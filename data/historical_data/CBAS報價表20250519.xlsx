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T-DERFS\Data\3.衍生性商品組\7.資產交換\ASO\報價表\部門報價\"/>
    </mc:Choice>
  </mc:AlternateContent>
  <bookViews>
    <workbookView xWindow="0" yWindow="0" windowWidth="19200" windowHeight="7690"/>
  </bookViews>
  <sheets>
    <sheet name="金融交易部資產交換選擇權報價表" sheetId="1" r:id="rId1"/>
  </sheets>
  <externalReferences>
    <externalReference r:id="rId2"/>
    <externalReference r:id="rId3"/>
    <externalReference r:id="rId4"/>
    <externalReference r:id="rId5"/>
    <externalReference r:id="rId6"/>
    <externalReference r:id="rId7"/>
  </externalReferences>
  <definedNames>
    <definedName name="_xlnm._FilterDatabase" localSheetId="0" hidden="1">金融交易部資產交換選擇權報價表!$A$7:$T$97</definedName>
    <definedName name="A">#REF!</definedName>
    <definedName name="A1112223" localSheetId="0">EVULATE([1]計算!$D$4)</definedName>
    <definedName name="A1112223">EVULATE([1]計算!$D$4)</definedName>
    <definedName name="ASWDSQ" localSheetId="0">EVULATE([1]計算!$D$4)</definedName>
    <definedName name="ASWDSQ">EVULATE([1]計算!$D$4)</definedName>
    <definedName name="AUpdate">1</definedName>
    <definedName name="B" localSheetId="0">EVULATE([1]計算!$D$4)</definedName>
    <definedName name="B">EVULATE([1]計算!$D$4)</definedName>
    <definedName name="BUpdate">1</definedName>
    <definedName name="CB_Type" localSheetId="0">#REF!</definedName>
    <definedName name="CB_Unit" localSheetId="0">#REF!</definedName>
    <definedName name="Date_End" localSheetId="0">#REF!</definedName>
    <definedName name="Date_Start" localSheetId="0">#REF!</definedName>
    <definedName name="DDESYS_LASTTRADE__1464" localSheetId="0">EVULATE([2]計算!#REF!)</definedName>
    <definedName name="DDESYS_LASTTRADE__1464">EVULATE([1]計算!$D$4)</definedName>
    <definedName name="GUpdate">0</definedName>
    <definedName name="_xlnm.Print_Titles" localSheetId="0">金融交易部資產交換選擇權報價表!$1:$7</definedName>
    <definedName name="RealizedRateTableTWD">'[3]Market Data'!$T$5:$AC$2633</definedName>
    <definedName name="Report_Flag" localSheetId="0">#REF!</definedName>
    <definedName name="SHD">EVULATE([1]計算!$D$4)</definedName>
    <definedName name="Sheet1.三大法人持股比率">"round(cast([25^0] as real)+cast([26^0] as real)+cast([27^0] as real),2)"</definedName>
    <definedName name="Sheet1.三大法人持股比率old">"AD6:AF6"</definedName>
    <definedName name="Sheet1.三大法人持股比率where">""</definedName>
    <definedName name="STOCK_ABC">#REF!</definedName>
    <definedName name="Stock_Amounts" localSheetId="0">#REF!</definedName>
    <definedName name="Stock_Date" localSheetId="0">#REF!</definedName>
    <definedName name="Stock_Fee" localSheetId="0">#REF!</definedName>
    <definedName name="Stock_ID" localSheetId="0">#REF!</definedName>
    <definedName name="Stock_Name" localSheetId="0">#REF!</definedName>
    <definedName name="Stock_Price" localSheetId="0">#REF!</definedName>
    <definedName name="Stock_Tax" localSheetId="0">#REF!</definedName>
    <definedName name="Stock_Type" localSheetId="0">#REF!</definedName>
    <definedName name="Stock_Unit" localSheetId="0">#REF!</definedName>
    <definedName name="SW">EVULATE([1]計算!$D$4)</definedName>
    <definedName name="Trader" localSheetId="0">#REF!</definedName>
    <definedName name="TraderName" localSheetId="0">#REF!</definedName>
    <definedName name="TraderNumber" localSheetId="0">#REF!</definedName>
    <definedName name="TUpdate">1</definedName>
    <definedName name="U" localSheetId="0">EVULATE([2]計算!#REF!)</definedName>
    <definedName name="U">EVULATE([1]計算!$D$4)</definedName>
    <definedName name="交易手續費">#REF!</definedName>
    <definedName name="交易稅">#REF!</definedName>
    <definedName name="保證金利息收入">#REF!</definedName>
    <definedName name="擔保品利息收入">#REF!</definedName>
    <definedName name="融券手續費">#REF!</definedName>
    <definedName name="融券保證金成數">#REF!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N75" i="1" l="1"/>
  <c r="AI75" i="1"/>
  <c r="AJ75" i="1" s="1"/>
  <c r="AH75" i="1"/>
  <c r="AG75" i="1"/>
  <c r="AF75" i="1"/>
  <c r="AM75" i="1" s="1"/>
  <c r="AE75" i="1"/>
  <c r="AD75" i="1"/>
  <c r="AC75" i="1"/>
  <c r="AB75" i="1"/>
  <c r="AA75" i="1"/>
  <c r="Z75" i="1"/>
  <c r="Y75" i="1"/>
  <c r="X75" i="1"/>
  <c r="AK75" i="1" s="1"/>
  <c r="W75" i="1"/>
  <c r="V75" i="1"/>
  <c r="AP75" i="1" l="1"/>
</calcChain>
</file>

<file path=xl/sharedStrings.xml><?xml version="1.0" encoding="utf-8"?>
<sst xmlns="http://schemas.openxmlformats.org/spreadsheetml/2006/main" count="405" uniqueCount="176">
  <si>
    <t>元大證券股份有限公司</t>
    <phoneticPr fontId="8" type="noConversion"/>
  </si>
  <si>
    <t>金融交易部</t>
    <phoneticPr fontId="8" type="noConversion"/>
  </si>
  <si>
    <t>資產交換選擇權 報價表</t>
    <phoneticPr fontId="8" type="noConversion"/>
  </si>
  <si>
    <t xml:space="preserve"> </t>
    <phoneticPr fontId="9" type="noConversion"/>
  </si>
  <si>
    <t>日期：</t>
    <phoneticPr fontId="9" type="noConversion"/>
  </si>
  <si>
    <t>名稱</t>
    <phoneticPr fontId="8" type="noConversion"/>
  </si>
  <si>
    <t>代號</t>
    <phoneticPr fontId="8" type="noConversion"/>
  </si>
  <si>
    <t>擔保</t>
    <phoneticPr fontId="9" type="noConversion"/>
  </si>
  <si>
    <t>TCRI</t>
    <phoneticPr fontId="8" type="noConversion"/>
  </si>
  <si>
    <t>百元報價</t>
    <phoneticPr fontId="8" type="noConversion"/>
  </si>
  <si>
    <t>選擇權到期日</t>
    <phoneticPr fontId="9" type="noConversion"/>
  </si>
  <si>
    <t>賣回日</t>
    <phoneticPr fontId="8" type="noConversion"/>
  </si>
  <si>
    <t>年期</t>
    <phoneticPr fontId="8" type="noConversion"/>
  </si>
  <si>
    <t>賣回價</t>
    <phoneticPr fontId="8" type="noConversion"/>
  </si>
  <si>
    <t>轉換價</t>
    <phoneticPr fontId="8" type="noConversion"/>
  </si>
  <si>
    <t>折現率</t>
  </si>
  <si>
    <t>轉換價值</t>
  </si>
  <si>
    <t>CB市價</t>
  </si>
  <si>
    <t>溢/折價</t>
    <phoneticPr fontId="9" type="noConversion"/>
  </si>
  <si>
    <t>參考單價</t>
    <phoneticPr fontId="9" type="noConversion"/>
  </si>
  <si>
    <t>餘額</t>
    <phoneticPr fontId="9" type="noConversion"/>
  </si>
  <si>
    <t>波動度(21D)</t>
    <phoneticPr fontId="9" type="noConversion"/>
  </si>
  <si>
    <t>承作限制</t>
    <phoneticPr fontId="9" type="noConversion"/>
  </si>
  <si>
    <t>備註</t>
    <phoneticPr fontId="9" type="noConversion"/>
  </si>
  <si>
    <t>可承作起日</t>
    <phoneticPr fontId="9" type="noConversion"/>
  </si>
  <si>
    <t>無限制</t>
    <phoneticPr fontId="9" type="noConversion"/>
  </si>
  <si>
    <t>確認額度</t>
    <phoneticPr fontId="9" type="noConversion"/>
  </si>
  <si>
    <t>NEXT PUT</t>
    <phoneticPr fontId="9" type="noConversion"/>
  </si>
  <si>
    <t>美律五</t>
    <phoneticPr fontId="9" type="noConversion"/>
  </si>
  <si>
    <t>新日興三</t>
    <phoneticPr fontId="9" type="noConversion"/>
  </si>
  <si>
    <t>南俊國際一</t>
    <phoneticPr fontId="9" type="noConversion"/>
  </si>
  <si>
    <t>新掛牌</t>
    <phoneticPr fontId="9" type="noConversion"/>
  </si>
  <si>
    <t>附註：</t>
    <phoneticPr fontId="9" type="noConversion"/>
  </si>
  <si>
    <t>1.選擇權執行價格＝賣回價格 - (100*折現率%*D/365)</t>
    <phoneticPr fontId="8" type="noConversion"/>
  </si>
  <si>
    <t xml:space="preserve">      D =自履約交割日(含)至賣回日(含)間之實際日曆天數</t>
    <phoneticPr fontId="8" type="noConversion"/>
  </si>
  <si>
    <t>2.選擇權到期日為賣回日之前14個日曆日。(如遇非營業日調整）</t>
    <phoneticPr fontId="8" type="noConversion"/>
  </si>
  <si>
    <r>
      <t>3.</t>
    </r>
    <r>
      <rPr>
        <sz val="12"/>
        <rFont val="新細明體"/>
        <family val="1"/>
        <charset val="136"/>
        <scheme val="minor"/>
      </rPr>
      <t>權利金的計算方式=百元報價% + (CB買進均價% – 100%)。</t>
    </r>
    <phoneticPr fontId="8" type="noConversion"/>
  </si>
  <si>
    <t>4.資產交換選擇權為美式選擇權，選擇權買方於契約生效日至到期日內任一營業日可行使選擇權權利。</t>
    <phoneticPr fontId="9" type="noConversion"/>
  </si>
  <si>
    <t>5.因應CB市場交易狀況，權利金最少實收比例為0.1%。(一張100元)</t>
    <phoneticPr fontId="8" type="noConversion"/>
  </si>
  <si>
    <t>6.未列示之標的，請來電詢價。</t>
    <phoneticPr fontId="9" type="noConversion"/>
  </si>
  <si>
    <t>7以上標的報價為交易前之參考，實際下單前請與業務人員聯絡「確認報價與額度」，謝謝。</t>
    <phoneticPr fontId="8" type="noConversion"/>
  </si>
  <si>
    <t>8.選擇權執行方式：</t>
    <phoneticPr fontId="9" type="noConversion"/>
  </si>
  <si>
    <t xml:space="preserve">   (1) 實務交割</t>
    <phoneticPr fontId="9" type="noConversion"/>
  </si>
  <si>
    <t xml:space="preserve">   (2) 現金履約</t>
    <phoneticPr fontId="9" type="noConversion"/>
  </si>
  <si>
    <r>
      <t>9.價格事件70元</t>
    </r>
    <r>
      <rPr>
        <b/>
        <sz val="12"/>
        <color rgb="FFFF0000"/>
        <rFont val="新細明體"/>
        <family val="1"/>
        <charset val="136"/>
      </rPr>
      <t>。</t>
    </r>
    <phoneticPr fontId="8" type="noConversion"/>
  </si>
  <si>
    <t xml:space="preserve">10.最小承作及提解張數為10張或10張之整倍數。 </t>
    <phoneticPr fontId="9" type="noConversion"/>
  </si>
  <si>
    <t>5/20(二)</t>
    <phoneticPr fontId="9" type="noConversion"/>
  </si>
  <si>
    <t>台泥一永</t>
  </si>
  <si>
    <t>無</t>
  </si>
  <si>
    <t>4</t>
  </si>
  <si>
    <t>上曜四</t>
  </si>
  <si>
    <t>有，台北富邦商業銀行股份有限公司</t>
  </si>
  <si>
    <t>8</t>
  </si>
  <si>
    <t>上曜六</t>
  </si>
  <si>
    <t>有，板信商業銀行股份有限公司</t>
  </si>
  <si>
    <t>華友聯二</t>
  </si>
  <si>
    <t>有，第一商業銀行股份有限公司</t>
  </si>
  <si>
    <t>三地開發一</t>
  </si>
  <si>
    <t>有，台中商業銀行股份有限公司</t>
  </si>
  <si>
    <t>亞力二</t>
  </si>
  <si>
    <t>6</t>
  </si>
  <si>
    <t>中砂一</t>
  </si>
  <si>
    <t>和勤四</t>
  </si>
  <si>
    <t>有，合作金庫商業銀行股份有限公司</t>
  </si>
  <si>
    <t>宏佳騰一</t>
  </si>
  <si>
    <t>有，台北富邦商業銀行</t>
  </si>
  <si>
    <t>5</t>
  </si>
  <si>
    <t>大亞五</t>
  </si>
  <si>
    <t>合世三</t>
  </si>
  <si>
    <t>有，華南商業銀行股份有限公司</t>
  </si>
  <si>
    <t>7</t>
  </si>
  <si>
    <t>金像電二</t>
  </si>
  <si>
    <t>台光電六</t>
  </si>
  <si>
    <t>3</t>
  </si>
  <si>
    <t>台光電七</t>
  </si>
  <si>
    <t>美律四</t>
  </si>
  <si>
    <t>光群雷六</t>
  </si>
  <si>
    <t>鉅祥二</t>
  </si>
  <si>
    <t>皇普三</t>
  </si>
  <si>
    <t>有，元大商業銀行股份有限公司</t>
  </si>
  <si>
    <t>華航七</t>
  </si>
  <si>
    <t>王品一</t>
  </si>
  <si>
    <t>晟銘電四</t>
  </si>
  <si>
    <t>有，兆豐國際商業銀行股份有限公司、中國信託商業銀行股份有限公司</t>
  </si>
  <si>
    <t>信邦八</t>
  </si>
  <si>
    <t>台灣大四</t>
  </si>
  <si>
    <t>2</t>
  </si>
  <si>
    <t>台灣大五</t>
  </si>
  <si>
    <t>及成四</t>
  </si>
  <si>
    <t>有，陽信商業銀行股份有限公司</t>
  </si>
  <si>
    <t>9</t>
  </si>
  <si>
    <t>佳穎一</t>
  </si>
  <si>
    <t>有，彰化商業銀行</t>
  </si>
  <si>
    <t>斐成三</t>
  </si>
  <si>
    <t>雙鴻五</t>
  </si>
  <si>
    <t>臺慶科一</t>
  </si>
  <si>
    <t>先進光一</t>
  </si>
  <si>
    <t>有，臺灣土地銀行股份有限公司</t>
  </si>
  <si>
    <t>崇越電一</t>
  </si>
  <si>
    <t>旭軟二</t>
  </si>
  <si>
    <t>有，中國信託商業銀行股份有限公司</t>
  </si>
  <si>
    <t>哲固一</t>
  </si>
  <si>
    <t>亞帝歐一</t>
  </si>
  <si>
    <t>有，永豐商業銀行股份有限公司</t>
  </si>
  <si>
    <t>柏騰一</t>
  </si>
  <si>
    <t>有，台新國際商業銀行股份有限公司</t>
  </si>
  <si>
    <t>御嵿一</t>
  </si>
  <si>
    <t>有，兆豐國際商業銀行股份有限公司</t>
  </si>
  <si>
    <t>兆利二</t>
  </si>
  <si>
    <t>兆利三</t>
  </si>
  <si>
    <t>閎康一</t>
  </si>
  <si>
    <t>碩禾三</t>
  </si>
  <si>
    <t>有，上海商業銀行、合作金庫商業銀行、彰化商業銀行</t>
  </si>
  <si>
    <t>上緯投控三</t>
  </si>
  <si>
    <t>晟德四</t>
  </si>
  <si>
    <t>有，上海商業儲蓄銀行</t>
  </si>
  <si>
    <t>晟德五</t>
  </si>
  <si>
    <t>有，合庫銀、彰銀、土銀、華銀、元大銀</t>
  </si>
  <si>
    <t>晟德六</t>
  </si>
  <si>
    <t>有，永豐商業銀行股份有限公司忠孝分公司</t>
  </si>
  <si>
    <t>承業醫四</t>
  </si>
  <si>
    <t>有，第一商業銀行、中國信託商業銀行、台北富邦商業銀行</t>
  </si>
  <si>
    <t>三圓三</t>
  </si>
  <si>
    <t>全球傳動一</t>
  </si>
  <si>
    <t>氣立三</t>
  </si>
  <si>
    <t>駐龍一</t>
  </si>
  <si>
    <t>康普三</t>
  </si>
  <si>
    <t>有，彰化商業銀行股份有限公司</t>
  </si>
  <si>
    <t>正文六</t>
  </si>
  <si>
    <t>雷笛克光學三</t>
  </si>
  <si>
    <t>智晶一</t>
  </si>
  <si>
    <t>100</t>
  </si>
  <si>
    <t>智崴五</t>
  </si>
  <si>
    <t>有，台中商業銀行</t>
  </si>
  <si>
    <t>桂盟四</t>
  </si>
  <si>
    <t>有，日商瑞穗銀行</t>
  </si>
  <si>
    <t>中磊七</t>
  </si>
  <si>
    <t>崇越二</t>
  </si>
  <si>
    <t>南良一</t>
  </si>
  <si>
    <t>四維航六</t>
  </si>
  <si>
    <t>有，陽信商業銀行</t>
  </si>
  <si>
    <t>四維航七</t>
  </si>
  <si>
    <t>南仁湖四</t>
  </si>
  <si>
    <t>有，臺灣土地銀行股份有限公司大發分行</t>
  </si>
  <si>
    <t>豐藝四</t>
  </si>
  <si>
    <t>旺矽五</t>
  </si>
  <si>
    <t>台燿四</t>
  </si>
  <si>
    <t>佳邦三</t>
  </si>
  <si>
    <t>良維十</t>
  </si>
  <si>
    <t>易發一</t>
  </si>
  <si>
    <t>有，上海商業儲蓄銀行股份有限公司</t>
  </si>
  <si>
    <t>大樹二</t>
  </si>
  <si>
    <t>易華電一</t>
  </si>
  <si>
    <t>鼎基一</t>
  </si>
  <si>
    <t>台灣銘板一</t>
  </si>
  <si>
    <t>萬年清一</t>
  </si>
  <si>
    <t>平和環保一創</t>
  </si>
  <si>
    <t>森崴能源一</t>
  </si>
  <si>
    <t>有，臺灣銀行股份有限公司土城分行等</t>
  </si>
  <si>
    <t>錼創科技一KY創</t>
  </si>
  <si>
    <t>有，中國信託商業銀行</t>
  </si>
  <si>
    <t>博智一</t>
  </si>
  <si>
    <t>天宇四</t>
  </si>
  <si>
    <t>有，板信商業銀行、台中商業銀行</t>
  </si>
  <si>
    <t>勤誠一</t>
  </si>
  <si>
    <t>朋程一</t>
  </si>
  <si>
    <t>群聯二</t>
  </si>
  <si>
    <t>威宏一KY</t>
  </si>
  <si>
    <t>有，玉山商業銀行股份有限公司</t>
  </si>
  <si>
    <t>威宏二KY</t>
  </si>
  <si>
    <t>波力二KY</t>
  </si>
  <si>
    <t>吉源一KY</t>
  </si>
  <si>
    <t>有，玉山銀行、王道銀行</t>
  </si>
  <si>
    <t>三貝德一</t>
  </si>
  <si>
    <t>有，上海商業儲蓄銀行股分有限公司竹科分公司</t>
  </si>
  <si>
    <t>北基七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</si>
</sst>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76" formatCode="0.00_);[Red]\(0.00\)"/>
    <numFmt numFmtId="177" formatCode="yyyy/mm/dd"/>
    <numFmt numFmtId="178" formatCode="0.0000_ "/>
    <numFmt numFmtId="179" formatCode="0.00_ "/>
    <numFmt numFmtId="180" formatCode="#,##0_ "/>
    <numFmt numFmtId="181" formatCode="0.000%"/>
    <numFmt numFmtId="182" formatCode="0.0%"/>
    <numFmt numFmtId="183" formatCode="_(* #,##0.00_);_(* \(#,##0.00\);_(* &quot;-&quot;??_);_(@_)"/>
    <numFmt numFmtId="184" formatCode="_(* #,##0_);_(* \(#,##0\);_(* &quot;-&quot;??_);_(@_)"/>
  </numFmts>
  <fonts count="20" x14ac:knownFonts="1">
    <font>
      <sz val="12"/>
      <name val="新細明體"/>
      <family val="1"/>
      <charset val="136"/>
    </font>
    <font>
      <sz val="10"/>
      <color indexed="8"/>
      <name val="MS Sans Serif"/>
      <family val="2"/>
    </font>
    <font>
      <sz val="12"/>
      <color indexed="8"/>
      <name val="新細明體"/>
      <family val="1"/>
      <charset val="136"/>
      <scheme val="minor"/>
    </font>
    <font>
      <sz val="9"/>
      <name val="新細明體"/>
      <family val="2"/>
      <charset val="136"/>
      <scheme val="minor"/>
    </font>
    <font>
      <sz val="12"/>
      <name val="新細明體"/>
      <family val="1"/>
      <charset val="136"/>
    </font>
    <font>
      <sz val="12"/>
      <name val="新細明體"/>
      <family val="1"/>
      <charset val="136"/>
      <scheme val="minor"/>
    </font>
    <font>
      <sz val="12"/>
      <color rgb="FFFF0000"/>
      <name val="新細明體"/>
      <family val="1"/>
      <charset val="136"/>
      <scheme val="minor"/>
    </font>
    <font>
      <b/>
      <sz val="12"/>
      <color indexed="62"/>
      <name val="新細明體"/>
      <family val="1"/>
      <charset val="136"/>
      <scheme val="minor"/>
    </font>
    <font>
      <sz val="9"/>
      <name val="細明體"/>
      <family val="3"/>
      <charset val="136"/>
    </font>
    <font>
      <sz val="9"/>
      <name val="新細明體"/>
      <family val="1"/>
      <charset val="136"/>
    </font>
    <font>
      <sz val="12"/>
      <color indexed="62"/>
      <name val="新細明體"/>
      <family val="1"/>
      <charset val="136"/>
      <scheme val="minor"/>
    </font>
    <font>
      <sz val="12"/>
      <color indexed="10"/>
      <name val="新細明體"/>
      <family val="1"/>
      <charset val="136"/>
      <scheme val="minor"/>
    </font>
    <font>
      <sz val="14"/>
      <color theme="0"/>
      <name val="新細明體"/>
      <family val="1"/>
      <charset val="136"/>
      <scheme val="minor"/>
    </font>
    <font>
      <sz val="12"/>
      <color theme="0"/>
      <name val="新細明體"/>
      <family val="1"/>
      <charset val="136"/>
      <scheme val="minor"/>
    </font>
    <font>
      <b/>
      <sz val="12"/>
      <color indexed="8"/>
      <name val="新細明體"/>
      <family val="1"/>
      <charset val="136"/>
      <scheme val="minor"/>
    </font>
    <font>
      <b/>
      <sz val="12"/>
      <color theme="1"/>
      <name val="新細明體"/>
      <family val="1"/>
      <charset val="136"/>
      <scheme val="minor"/>
    </font>
    <font>
      <b/>
      <sz val="12"/>
      <name val="新細明體"/>
      <family val="1"/>
      <charset val="136"/>
      <scheme val="minor"/>
    </font>
    <font>
      <b/>
      <sz val="12"/>
      <color rgb="FFFF0000"/>
      <name val="新細明體"/>
      <family val="1"/>
      <charset val="136"/>
      <scheme val="minor"/>
    </font>
    <font>
      <sz val="12"/>
      <color theme="1"/>
      <name val="新細明體"/>
      <family val="1"/>
      <charset val="136"/>
      <scheme val="minor"/>
    </font>
    <font>
      <b/>
      <sz val="12"/>
      <color rgb="FFFF0000"/>
      <name val="新細明體"/>
      <family val="1"/>
      <charset val="136"/>
    </font>
  </fonts>
  <fills count="7">
    <fill>
      <patternFill patternType="none"/>
    </fill>
    <fill>
      <patternFill patternType="gray125"/>
    </fill>
    <fill>
      <patternFill patternType="solid">
        <fgColor rgb="FFFFFF00"/>
        <bgColor indexed="64"/>
      </patternFill>
    </fill>
    <fill>
      <patternFill patternType="solid">
        <fgColor indexed="6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8" tint="0.79998168889431442"/>
        <bgColor indexed="64"/>
      </patternFill>
    </fill>
  </fills>
  <borders count="2">
    <border>
      <left/>
      <right/>
      <top/>
      <bottom/>
      <diagonal/>
    </border>
    <border>
      <left/>
      <right/>
      <top style="thin">
        <color indexed="48"/>
      </top>
      <bottom style="thin">
        <color indexed="48"/>
      </bottom>
      <diagonal/>
    </border>
  </borders>
  <cellStyleXfs count="4">
    <xf numFmtId="0" fontId="0" fillId="0" borderId="0"/>
    <xf numFmtId="183" fontId="4" fillId="0" borderId="0" applyFont="0" applyFill="0" applyBorder="0" applyAlignment="0" applyProtection="0">
      <alignment vertical="center"/>
    </xf>
    <xf numFmtId="0" fontId="1" fillId="0" borderId="0"/>
    <xf numFmtId="0" fontId="4" fillId="0" borderId="0">
      <alignment vertical="center"/>
    </xf>
  </cellStyleXfs>
  <cellXfs count="104">
    <xf numFmtId="0" fontId="0" fillId="0" borderId="0" xfId="0"/>
    <xf numFmtId="0" fontId="2" fillId="0" borderId="0" xfId="2" applyNumberFormat="1" applyFont="1" applyFill="1" applyBorder="1" applyAlignment="1" applyProtection="1">
      <alignment horizontal="right"/>
      <protection hidden="1"/>
    </xf>
    <xf numFmtId="0" fontId="5" fillId="0" borderId="0" xfId="3" applyFont="1" applyAlignment="1">
      <alignment horizontal="left" vertical="center"/>
    </xf>
    <xf numFmtId="0" fontId="5" fillId="0" borderId="0" xfId="3" applyFont="1" applyFill="1" applyAlignment="1">
      <alignment horizontal="left" vertical="center"/>
    </xf>
    <xf numFmtId="0" fontId="5" fillId="0" borderId="0" xfId="3" applyFont="1" applyFill="1">
      <alignment vertical="center"/>
    </xf>
    <xf numFmtId="0" fontId="5" fillId="0" borderId="0" xfId="3" applyFont="1">
      <alignment vertical="center"/>
    </xf>
    <xf numFmtId="0" fontId="7" fillId="0" borderId="0" xfId="2" applyNumberFormat="1" applyFont="1" applyFill="1" applyBorder="1" applyAlignment="1" applyProtection="1">
      <alignment horizontal="center" vertical="center"/>
      <protection hidden="1"/>
    </xf>
    <xf numFmtId="14" fontId="7" fillId="0" borderId="0" xfId="2" applyNumberFormat="1" applyFont="1" applyFill="1" applyBorder="1" applyAlignment="1" applyProtection="1">
      <alignment horizontal="center" vertical="center"/>
      <protection hidden="1"/>
    </xf>
    <xf numFmtId="0" fontId="2" fillId="0" borderId="0" xfId="2" applyNumberFormat="1" applyFont="1" applyFill="1" applyBorder="1" applyAlignment="1" applyProtection="1">
      <alignment horizontal="center" vertical="center"/>
      <protection hidden="1"/>
    </xf>
    <xf numFmtId="0" fontId="5" fillId="0" borderId="0" xfId="3" applyFont="1" applyAlignment="1">
      <alignment horizontal="center" vertical="center"/>
    </xf>
    <xf numFmtId="0" fontId="5" fillId="0" borderId="0" xfId="2" applyNumberFormat="1" applyFont="1" applyFill="1" applyBorder="1" applyAlignment="1" applyProtection="1">
      <alignment horizontal="center" vertical="center"/>
      <protection hidden="1"/>
    </xf>
    <xf numFmtId="14" fontId="5" fillId="0" borderId="0" xfId="2" applyNumberFormat="1" applyFont="1" applyFill="1" applyBorder="1" applyAlignment="1" applyProtection="1">
      <alignment horizontal="center" vertical="center"/>
      <protection hidden="1"/>
    </xf>
    <xf numFmtId="0" fontId="5" fillId="0" borderId="0" xfId="3" applyFont="1" applyFill="1" applyAlignment="1">
      <alignment horizontal="center" vertical="center"/>
    </xf>
    <xf numFmtId="176" fontId="10" fillId="0" borderId="0" xfId="2" applyNumberFormat="1" applyFont="1" applyFill="1" applyBorder="1" applyAlignment="1" applyProtection="1">
      <alignment horizontal="left"/>
      <protection hidden="1"/>
    </xf>
    <xf numFmtId="14" fontId="10" fillId="0" borderId="0" xfId="2" applyNumberFormat="1" applyFont="1" applyFill="1" applyBorder="1" applyAlignment="1" applyProtection="1">
      <alignment horizontal="left"/>
      <protection locked="0" hidden="1"/>
    </xf>
    <xf numFmtId="0" fontId="2" fillId="0" borderId="0" xfId="2" applyFont="1" applyFill="1" applyBorder="1" applyAlignment="1" applyProtection="1">
      <protection hidden="1"/>
    </xf>
    <xf numFmtId="176" fontId="2" fillId="0" borderId="0" xfId="2" applyNumberFormat="1" applyFont="1" applyFill="1" applyBorder="1" applyAlignment="1" applyProtection="1">
      <protection hidden="1"/>
    </xf>
    <xf numFmtId="176" fontId="2" fillId="0" borderId="0" xfId="2" applyNumberFormat="1" applyFont="1" applyFill="1" applyBorder="1" applyAlignment="1" applyProtection="1">
      <alignment horizontal="left"/>
      <protection hidden="1"/>
    </xf>
    <xf numFmtId="14" fontId="11" fillId="0" borderId="0" xfId="2" applyNumberFormat="1" applyFont="1" applyFill="1" applyBorder="1" applyAlignment="1" applyProtection="1">
      <alignment horizontal="left"/>
      <protection locked="0" hidden="1"/>
    </xf>
    <xf numFmtId="14" fontId="11" fillId="0" borderId="0" xfId="2" applyNumberFormat="1" applyFont="1" applyFill="1" applyBorder="1" applyAlignment="1" applyProtection="1">
      <alignment horizontal="center" vertical="center"/>
      <protection locked="0" hidden="1"/>
    </xf>
    <xf numFmtId="0" fontId="12" fillId="3" borderId="1" xfId="2" applyFont="1" applyFill="1" applyBorder="1" applyAlignment="1" applyProtection="1">
      <alignment horizontal="left" vertical="center"/>
      <protection hidden="1"/>
    </xf>
    <xf numFmtId="0" fontId="12" fillId="3" borderId="1" xfId="2" applyFont="1" applyFill="1" applyBorder="1" applyAlignment="1" applyProtection="1">
      <alignment horizontal="center" vertical="center"/>
      <protection hidden="1"/>
    </xf>
    <xf numFmtId="176" fontId="12" fillId="3" borderId="1" xfId="2" applyNumberFormat="1" applyFont="1" applyFill="1" applyBorder="1" applyAlignment="1" applyProtection="1">
      <alignment horizontal="left" vertical="center" wrapText="1"/>
      <protection hidden="1"/>
    </xf>
    <xf numFmtId="0" fontId="12" fillId="3" borderId="1" xfId="2" applyFont="1" applyFill="1" applyBorder="1" applyAlignment="1" applyProtection="1">
      <alignment horizontal="left" vertical="center" wrapText="1"/>
      <protection hidden="1"/>
    </xf>
    <xf numFmtId="49" fontId="12" fillId="3" borderId="1" xfId="2" applyNumberFormat="1" applyFont="1" applyFill="1" applyBorder="1" applyAlignment="1" applyProtection="1">
      <alignment horizontal="left" vertical="center"/>
      <protection hidden="1"/>
    </xf>
    <xf numFmtId="49" fontId="13" fillId="3" borderId="1" xfId="2" applyNumberFormat="1" applyFont="1" applyFill="1" applyBorder="1" applyAlignment="1" applyProtection="1">
      <alignment horizontal="center" vertical="center"/>
      <protection hidden="1"/>
    </xf>
    <xf numFmtId="14" fontId="13" fillId="3" borderId="0" xfId="2" applyNumberFormat="1" applyFont="1" applyFill="1" applyBorder="1" applyAlignment="1" applyProtection="1">
      <alignment horizontal="center" vertical="center"/>
      <protection hidden="1"/>
    </xf>
    <xf numFmtId="0" fontId="5" fillId="0" borderId="0" xfId="3" applyFont="1" applyFill="1" applyBorder="1" applyAlignment="1">
      <alignment horizontal="left" vertical="center"/>
    </xf>
    <xf numFmtId="0" fontId="13" fillId="0" borderId="0" xfId="3" applyFont="1">
      <alignment vertical="center"/>
    </xf>
    <xf numFmtId="0" fontId="5" fillId="4" borderId="1" xfId="3" applyFont="1" applyFill="1" applyBorder="1" applyAlignment="1">
      <alignment horizontal="left" vertical="top" wrapText="1"/>
    </xf>
    <xf numFmtId="0" fontId="5" fillId="5" borderId="1" xfId="3" applyFont="1" applyFill="1" applyBorder="1" applyAlignment="1">
      <alignment horizontal="left" vertical="center"/>
    </xf>
    <xf numFmtId="0" fontId="5" fillId="0" borderId="1" xfId="3" applyFont="1" applyFill="1" applyBorder="1" applyAlignment="1">
      <alignment horizontal="left" vertical="top"/>
    </xf>
    <xf numFmtId="0" fontId="5" fillId="0" borderId="1" xfId="3" applyFont="1" applyFill="1" applyBorder="1" applyAlignment="1">
      <alignment horizontal="center" vertical="top" wrapText="1"/>
    </xf>
    <xf numFmtId="10" fontId="14" fillId="4" borderId="1" xfId="2" applyNumberFormat="1" applyFont="1" applyFill="1" applyBorder="1" applyAlignment="1" applyProtection="1">
      <alignment horizontal="center" vertical="center"/>
      <protection hidden="1"/>
    </xf>
    <xf numFmtId="177" fontId="2" fillId="4" borderId="1" xfId="3" applyNumberFormat="1" applyFont="1" applyFill="1" applyBorder="1" applyAlignment="1">
      <alignment horizontal="center" vertical="top" wrapText="1"/>
    </xf>
    <xf numFmtId="176" fontId="2" fillId="0" borderId="1" xfId="2" applyNumberFormat="1" applyFont="1" applyFill="1" applyBorder="1" applyAlignment="1" applyProtection="1">
      <alignment horizontal="center" vertical="center"/>
      <protection hidden="1"/>
    </xf>
    <xf numFmtId="178" fontId="2" fillId="4" borderId="1" xfId="3" applyNumberFormat="1" applyFont="1" applyFill="1" applyBorder="1" applyAlignment="1">
      <alignment horizontal="left" vertical="top" wrapText="1"/>
    </xf>
    <xf numFmtId="179" fontId="2" fillId="0" borderId="1" xfId="3" applyNumberFormat="1" applyFont="1" applyFill="1" applyBorder="1" applyAlignment="1">
      <alignment horizontal="center" vertical="top" wrapText="1"/>
    </xf>
    <xf numFmtId="10" fontId="15" fillId="5" borderId="1" xfId="3" applyNumberFormat="1" applyFont="1" applyFill="1" applyBorder="1" applyAlignment="1">
      <alignment horizontal="right" vertical="center"/>
    </xf>
    <xf numFmtId="10" fontId="5" fillId="6" borderId="1" xfId="3" applyNumberFormat="1" applyFont="1" applyFill="1" applyBorder="1" applyAlignment="1">
      <alignment horizontal="right" vertical="center"/>
    </xf>
    <xf numFmtId="179" fontId="5" fillId="6" borderId="1" xfId="3" applyNumberFormat="1" applyFont="1" applyFill="1" applyBorder="1" applyAlignment="1">
      <alignment horizontal="right" vertical="center"/>
    </xf>
    <xf numFmtId="9" fontId="5" fillId="4" borderId="1" xfId="3" applyNumberFormat="1" applyFont="1" applyFill="1" applyBorder="1" applyAlignment="1">
      <alignment horizontal="right" vertical="center"/>
    </xf>
    <xf numFmtId="180" fontId="2" fillId="4" borderId="1" xfId="3" applyNumberFormat="1" applyFont="1" applyFill="1" applyBorder="1" applyAlignment="1">
      <alignment horizontal="right" vertical="top" wrapText="1"/>
    </xf>
    <xf numFmtId="9" fontId="2" fillId="4" borderId="1" xfId="3" applyNumberFormat="1" applyFont="1" applyFill="1" applyBorder="1" applyAlignment="1">
      <alignment horizontal="right" vertical="top" wrapText="1"/>
    </xf>
    <xf numFmtId="180" fontId="2" fillId="0" borderId="1" xfId="3" applyNumberFormat="1" applyFont="1" applyFill="1" applyBorder="1" applyAlignment="1">
      <alignment horizontal="left" vertical="top" wrapText="1"/>
    </xf>
    <xf numFmtId="180" fontId="2" fillId="0" borderId="1" xfId="3" applyNumberFormat="1" applyFont="1" applyFill="1" applyBorder="1" applyAlignment="1">
      <alignment horizontal="center" vertical="center" wrapText="1"/>
    </xf>
    <xf numFmtId="14" fontId="2" fillId="0" borderId="1" xfId="3" applyNumberFormat="1" applyFont="1" applyFill="1" applyBorder="1" applyAlignment="1">
      <alignment horizontal="left" vertical="center" wrapText="1"/>
    </xf>
    <xf numFmtId="10" fontId="5" fillId="0" borderId="0" xfId="3" applyNumberFormat="1" applyFont="1">
      <alignment vertical="center"/>
    </xf>
    <xf numFmtId="10" fontId="5" fillId="0" borderId="0" xfId="3" applyNumberFormat="1" applyFont="1" applyFill="1" applyAlignment="1">
      <alignment horizontal="right" vertical="center"/>
    </xf>
    <xf numFmtId="10" fontId="5" fillId="0" borderId="0" xfId="3" applyNumberFormat="1" applyFont="1" applyFill="1" applyAlignment="1">
      <alignment horizontal="left" vertical="center"/>
    </xf>
    <xf numFmtId="181" fontId="5" fillId="0" borderId="0" xfId="3" applyNumberFormat="1" applyFont="1" applyFill="1" applyAlignment="1">
      <alignment horizontal="right" vertical="center"/>
    </xf>
    <xf numFmtId="182" fontId="5" fillId="0" borderId="0" xfId="3" applyNumberFormat="1" applyFont="1" applyFill="1">
      <alignment vertical="center"/>
    </xf>
    <xf numFmtId="10" fontId="5" fillId="0" borderId="0" xfId="3" applyNumberFormat="1" applyFont="1" applyFill="1">
      <alignment vertical="center"/>
    </xf>
    <xf numFmtId="184" fontId="5" fillId="0" borderId="0" xfId="1" applyNumberFormat="1" applyFont="1">
      <alignment vertical="center"/>
    </xf>
    <xf numFmtId="14" fontId="2" fillId="0" borderId="1" xfId="3" applyNumberFormat="1" applyFont="1" applyFill="1" applyBorder="1" applyAlignment="1">
      <alignment horizontal="center" vertical="center" wrapText="1"/>
    </xf>
    <xf numFmtId="0" fontId="5" fillId="2" borderId="1" xfId="3" applyFont="1" applyFill="1" applyBorder="1" applyAlignment="1">
      <alignment horizontal="left" vertical="top" wrapText="1"/>
    </xf>
    <xf numFmtId="0" fontId="5" fillId="2" borderId="1" xfId="3" applyFont="1" applyFill="1" applyBorder="1" applyAlignment="1">
      <alignment horizontal="left" vertical="center"/>
    </xf>
    <xf numFmtId="0" fontId="5" fillId="2" borderId="1" xfId="3" applyFont="1" applyFill="1" applyBorder="1" applyAlignment="1">
      <alignment horizontal="left" vertical="top"/>
    </xf>
    <xf numFmtId="0" fontId="5" fillId="2" borderId="1" xfId="3" applyFont="1" applyFill="1" applyBorder="1" applyAlignment="1">
      <alignment horizontal="center" vertical="top" wrapText="1"/>
    </xf>
    <xf numFmtId="10" fontId="14" fillId="2" borderId="1" xfId="2" applyNumberFormat="1" applyFont="1" applyFill="1" applyBorder="1" applyAlignment="1" applyProtection="1">
      <alignment horizontal="center" vertical="center"/>
      <protection hidden="1"/>
    </xf>
    <xf numFmtId="177" fontId="2" fillId="2" borderId="1" xfId="3" applyNumberFormat="1" applyFont="1" applyFill="1" applyBorder="1" applyAlignment="1">
      <alignment horizontal="center" vertical="top" wrapText="1"/>
    </xf>
    <xf numFmtId="176" fontId="2" fillId="2" borderId="1" xfId="2" applyNumberFormat="1" applyFont="1" applyFill="1" applyBorder="1" applyAlignment="1" applyProtection="1">
      <alignment horizontal="center" vertical="center"/>
      <protection hidden="1"/>
    </xf>
    <xf numFmtId="178" fontId="2" fillId="2" borderId="1" xfId="3" applyNumberFormat="1" applyFont="1" applyFill="1" applyBorder="1" applyAlignment="1">
      <alignment horizontal="left" vertical="top" wrapText="1"/>
    </xf>
    <xf numFmtId="179" fontId="2" fillId="2" borderId="1" xfId="3" applyNumberFormat="1" applyFont="1" applyFill="1" applyBorder="1" applyAlignment="1">
      <alignment horizontal="center" vertical="top" wrapText="1"/>
    </xf>
    <xf numFmtId="10" fontId="15" fillId="2" borderId="1" xfId="3" applyNumberFormat="1" applyFont="1" applyFill="1" applyBorder="1" applyAlignment="1">
      <alignment horizontal="right" vertical="center"/>
    </xf>
    <xf numFmtId="10" fontId="5" fillId="2" borderId="1" xfId="3" applyNumberFormat="1" applyFont="1" applyFill="1" applyBorder="1" applyAlignment="1">
      <alignment horizontal="right" vertical="center"/>
    </xf>
    <xf numFmtId="179" fontId="5" fillId="2" borderId="1" xfId="3" applyNumberFormat="1" applyFont="1" applyFill="1" applyBorder="1" applyAlignment="1">
      <alignment horizontal="right" vertical="center"/>
    </xf>
    <xf numFmtId="9" fontId="5" fillId="2" borderId="1" xfId="3" applyNumberFormat="1" applyFont="1" applyFill="1" applyBorder="1" applyAlignment="1">
      <alignment horizontal="right" vertical="center"/>
    </xf>
    <xf numFmtId="180" fontId="2" fillId="2" borderId="1" xfId="3" applyNumberFormat="1" applyFont="1" applyFill="1" applyBorder="1" applyAlignment="1">
      <alignment horizontal="right" vertical="top" wrapText="1"/>
    </xf>
    <xf numFmtId="9" fontId="2" fillId="2" borderId="1" xfId="3" applyNumberFormat="1" applyFont="1" applyFill="1" applyBorder="1" applyAlignment="1">
      <alignment horizontal="right" vertical="top" wrapText="1"/>
    </xf>
    <xf numFmtId="180" fontId="2" fillId="2" borderId="1" xfId="3" applyNumberFormat="1" applyFont="1" applyFill="1" applyBorder="1" applyAlignment="1">
      <alignment horizontal="left" vertical="top" wrapText="1"/>
    </xf>
    <xf numFmtId="180" fontId="2" fillId="2" borderId="1" xfId="3" applyNumberFormat="1" applyFont="1" applyFill="1" applyBorder="1" applyAlignment="1">
      <alignment horizontal="center" vertical="center" wrapText="1"/>
    </xf>
    <xf numFmtId="0" fontId="2" fillId="0" borderId="0" xfId="2" applyNumberFormat="1" applyFont="1" applyFill="1" applyBorder="1" applyAlignment="1" applyProtection="1">
      <protection hidden="1"/>
    </xf>
    <xf numFmtId="0" fontId="2" fillId="0" borderId="0" xfId="2" applyNumberFormat="1" applyFont="1" applyFill="1" applyBorder="1" applyAlignment="1" applyProtection="1">
      <alignment horizontal="left"/>
      <protection hidden="1"/>
    </xf>
    <xf numFmtId="10" fontId="16" fillId="0" borderId="0" xfId="3" applyNumberFormat="1" applyFont="1" applyFill="1" applyBorder="1" applyAlignment="1">
      <alignment horizontal="right" vertical="center"/>
    </xf>
    <xf numFmtId="176" fontId="5" fillId="0" borderId="0" xfId="2" applyNumberFormat="1" applyFont="1" applyFill="1" applyBorder="1" applyAlignment="1" applyProtection="1">
      <alignment horizontal="left"/>
      <protection hidden="1"/>
    </xf>
    <xf numFmtId="176" fontId="5" fillId="0" borderId="0" xfId="2" applyNumberFormat="1" applyFont="1" applyFill="1" applyBorder="1" applyAlignment="1" applyProtection="1">
      <alignment horizontal="center" vertical="center"/>
      <protection hidden="1"/>
    </xf>
    <xf numFmtId="176" fontId="5" fillId="0" borderId="0" xfId="2" applyNumberFormat="1" applyFont="1" applyFill="1" applyBorder="1" applyAlignment="1" applyProtection="1">
      <protection hidden="1"/>
    </xf>
    <xf numFmtId="0" fontId="17" fillId="0" borderId="0" xfId="2" applyNumberFormat="1" applyFont="1" applyFill="1" applyBorder="1" applyAlignment="1" applyProtection="1">
      <protection hidden="1"/>
    </xf>
    <xf numFmtId="14" fontId="2" fillId="0" borderId="0" xfId="2" applyNumberFormat="1" applyFont="1" applyFill="1" applyBorder="1" applyAlignment="1" applyProtection="1">
      <alignment horizontal="center" vertical="center"/>
      <protection hidden="1"/>
    </xf>
    <xf numFmtId="0" fontId="5" fillId="0" borderId="0" xfId="3" applyFont="1" applyAlignment="1">
      <alignment horizontal="center" vertical="center" wrapText="1"/>
    </xf>
    <xf numFmtId="14" fontId="5" fillId="0" borderId="0" xfId="3" applyNumberFormat="1" applyFont="1" applyAlignment="1">
      <alignment horizontal="center" vertical="center" wrapText="1"/>
    </xf>
    <xf numFmtId="0" fontId="5" fillId="0" borderId="0" xfId="3" applyFont="1" applyAlignment="1">
      <alignment vertical="center"/>
    </xf>
    <xf numFmtId="0" fontId="6" fillId="0" borderId="0" xfId="3" applyFont="1" applyAlignment="1">
      <alignment horizontal="center" vertical="center"/>
    </xf>
    <xf numFmtId="14" fontId="6" fillId="0" borderId="0" xfId="3" applyNumberFormat="1" applyFont="1" applyAlignment="1">
      <alignment horizontal="center" vertical="center"/>
    </xf>
    <xf numFmtId="0" fontId="6" fillId="0" borderId="0" xfId="3" applyFont="1">
      <alignment vertical="center"/>
    </xf>
    <xf numFmtId="0" fontId="6" fillId="0" borderId="0" xfId="3" applyFont="1" applyAlignment="1">
      <alignment vertical="center"/>
    </xf>
    <xf numFmtId="176" fontId="6" fillId="0" borderId="0" xfId="3" applyNumberFormat="1" applyFont="1" applyAlignment="1">
      <alignment vertical="center"/>
    </xf>
    <xf numFmtId="176" fontId="5" fillId="0" borderId="0" xfId="3" applyNumberFormat="1" applyFont="1">
      <alignment vertical="center"/>
    </xf>
    <xf numFmtId="14" fontId="5" fillId="0" borderId="0" xfId="3" applyNumberFormat="1" applyFont="1" applyAlignment="1">
      <alignment horizontal="center" vertical="center"/>
    </xf>
    <xf numFmtId="14" fontId="5" fillId="0" borderId="0" xfId="3" applyNumberFormat="1" applyFont="1" applyFill="1" applyAlignment="1">
      <alignment horizontal="center" vertical="center"/>
    </xf>
    <xf numFmtId="14" fontId="2" fillId="2" borderId="1" xfId="3" applyNumberFormat="1" applyFont="1" applyFill="1" applyBorder="1" applyAlignment="1">
      <alignment horizontal="left" vertical="center" wrapText="1"/>
    </xf>
    <xf numFmtId="0" fontId="17" fillId="0" borderId="0" xfId="2" applyNumberFormat="1" applyFont="1" applyFill="1" applyBorder="1" applyAlignment="1" applyProtection="1">
      <protection hidden="1"/>
    </xf>
    <xf numFmtId="0" fontId="6" fillId="0" borderId="0" xfId="3" applyFont="1" applyAlignment="1">
      <alignment vertical="center"/>
    </xf>
    <xf numFmtId="176" fontId="6" fillId="0" borderId="0" xfId="3" applyNumberFormat="1" applyFont="1" applyAlignment="1">
      <alignment vertical="center"/>
    </xf>
    <xf numFmtId="0" fontId="5" fillId="0" borderId="0" xfId="3" applyFont="1" applyAlignment="1">
      <alignment vertical="center" wrapText="1"/>
    </xf>
    <xf numFmtId="176" fontId="5" fillId="0" borderId="0" xfId="3" applyNumberFormat="1" applyFont="1" applyAlignment="1">
      <alignment vertical="center" wrapText="1"/>
    </xf>
    <xf numFmtId="0" fontId="5" fillId="0" borderId="0" xfId="3" applyFont="1" applyAlignment="1">
      <alignment horizontal="left" vertical="center" wrapText="1"/>
    </xf>
    <xf numFmtId="176" fontId="5" fillId="0" borderId="0" xfId="3" applyNumberFormat="1" applyFont="1" applyAlignment="1">
      <alignment horizontal="left" vertical="center" wrapText="1"/>
    </xf>
    <xf numFmtId="0" fontId="18" fillId="0" borderId="0" xfId="2" applyNumberFormat="1" applyFont="1" applyFill="1" applyBorder="1" applyAlignment="1" applyProtection="1">
      <protection hidden="1"/>
    </xf>
    <xf numFmtId="0" fontId="18" fillId="0" borderId="0" xfId="3" applyFont="1" applyAlignment="1">
      <alignment vertical="center"/>
    </xf>
    <xf numFmtId="176" fontId="18" fillId="0" borderId="0" xfId="3" applyNumberFormat="1" applyFont="1" applyAlignment="1">
      <alignment vertical="center"/>
    </xf>
    <xf numFmtId="0" fontId="7" fillId="0" borderId="0" xfId="2" applyNumberFormat="1" applyFont="1" applyFill="1" applyBorder="1" applyAlignment="1" applyProtection="1">
      <alignment horizontal="center"/>
      <protection hidden="1"/>
    </xf>
    <xf numFmtId="176" fontId="7" fillId="0" borderId="0" xfId="2" applyNumberFormat="1" applyFont="1" applyFill="1" applyBorder="1" applyAlignment="1" applyProtection="1">
      <alignment horizontal="center"/>
      <protection hidden="1"/>
    </xf>
  </cellXfs>
  <cellStyles count="4">
    <cellStyle name="一般" xfId="0" builtinId="0"/>
    <cellStyle name="一般 3" xfId="3"/>
    <cellStyle name="一般_20060719CB操作簡表" xfId="2"/>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314325</xdr:colOff>
      <xdr:row>105</xdr:row>
      <xdr:rowOff>0</xdr:rowOff>
    </xdr:from>
    <xdr:to>
      <xdr:col>4</xdr:col>
      <xdr:colOff>0</xdr:colOff>
      <xdr:row>105</xdr:row>
      <xdr:rowOff>0</xdr:rowOff>
    </xdr:to>
    <xdr:sp macro="" textlink="">
      <xdr:nvSpPr>
        <xdr:cNvPr id="2" name="Object 1" hidden="1">
          <a:extLst>
            <a:ext uri="{63B3BB69-23CF-44E3-9099-C40C66FF867C}">
              <a14:compatExt xmlns:a14="http://schemas.microsoft.com/office/drawing/2010/main" spid="_x0000_s147457"/>
            </a:ext>
          </a:extLst>
        </xdr:cNvPr>
        <xdr:cNvSpPr/>
      </xdr:nvSpPr>
      <xdr:spPr bwMode="auto">
        <a:xfrm>
          <a:off x="1933575" y="51676300"/>
          <a:ext cx="1622425"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314325</xdr:colOff>
      <xdr:row>109</xdr:row>
      <xdr:rowOff>0</xdr:rowOff>
    </xdr:from>
    <xdr:to>
      <xdr:col>4</xdr:col>
      <xdr:colOff>0</xdr:colOff>
      <xdr:row>109</xdr:row>
      <xdr:rowOff>0</xdr:rowOff>
    </xdr:to>
    <xdr:sp macro="" textlink="">
      <xdr:nvSpPr>
        <xdr:cNvPr id="3" name="Object 2" hidden="1">
          <a:extLst>
            <a:ext uri="{63B3BB69-23CF-44E3-9099-C40C66FF867C}">
              <a14:compatExt xmlns:a14="http://schemas.microsoft.com/office/drawing/2010/main" spid="_x0000_s147458"/>
            </a:ext>
          </a:extLst>
        </xdr:cNvPr>
        <xdr:cNvSpPr/>
      </xdr:nvSpPr>
      <xdr:spPr bwMode="auto">
        <a:xfrm>
          <a:off x="1933575" y="52539900"/>
          <a:ext cx="1622425"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314325</xdr:colOff>
      <xdr:row>105</xdr:row>
      <xdr:rowOff>0</xdr:rowOff>
    </xdr:from>
    <xdr:to>
      <xdr:col>4</xdr:col>
      <xdr:colOff>0</xdr:colOff>
      <xdr:row>105</xdr:row>
      <xdr:rowOff>0</xdr:rowOff>
    </xdr:to>
    <xdr:sp macro="" textlink="">
      <xdr:nvSpPr>
        <xdr:cNvPr id="4" name="Object 4" hidden="1">
          <a:extLst>
            <a:ext uri="{63B3BB69-23CF-44E3-9099-C40C66FF867C}">
              <a14:compatExt xmlns:a14="http://schemas.microsoft.com/office/drawing/2010/main" spid="_x0000_s147460"/>
            </a:ext>
          </a:extLst>
        </xdr:cNvPr>
        <xdr:cNvSpPr/>
      </xdr:nvSpPr>
      <xdr:spPr bwMode="auto">
        <a:xfrm>
          <a:off x="1933575" y="51676300"/>
          <a:ext cx="1622425"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314325</xdr:colOff>
      <xdr:row>109</xdr:row>
      <xdr:rowOff>0</xdr:rowOff>
    </xdr:from>
    <xdr:to>
      <xdr:col>4</xdr:col>
      <xdr:colOff>0</xdr:colOff>
      <xdr:row>109</xdr:row>
      <xdr:rowOff>0</xdr:rowOff>
    </xdr:to>
    <xdr:sp macro="" textlink="">
      <xdr:nvSpPr>
        <xdr:cNvPr id="5" name="Object 5" hidden="1">
          <a:extLst>
            <a:ext uri="{63B3BB69-23CF-44E3-9099-C40C66FF867C}">
              <a14:compatExt xmlns:a14="http://schemas.microsoft.com/office/drawing/2010/main" spid="_x0000_s147461"/>
            </a:ext>
          </a:extLst>
        </xdr:cNvPr>
        <xdr:cNvSpPr/>
      </xdr:nvSpPr>
      <xdr:spPr bwMode="auto">
        <a:xfrm>
          <a:off x="1933575" y="52539900"/>
          <a:ext cx="1622425"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314325</xdr:colOff>
      <xdr:row>104</xdr:row>
      <xdr:rowOff>0</xdr:rowOff>
    </xdr:from>
    <xdr:to>
      <xdr:col>4</xdr:col>
      <xdr:colOff>0</xdr:colOff>
      <xdr:row>104</xdr:row>
      <xdr:rowOff>0</xdr:rowOff>
    </xdr:to>
    <xdr:sp macro="" textlink="">
      <xdr:nvSpPr>
        <xdr:cNvPr id="6" name="Object 7" hidden="1">
          <a:extLst>
            <a:ext uri="{63B3BB69-23CF-44E3-9099-C40C66FF867C}">
              <a14:compatExt xmlns:a14="http://schemas.microsoft.com/office/drawing/2010/main" spid="_x0000_s147463"/>
            </a:ext>
          </a:extLst>
        </xdr:cNvPr>
        <xdr:cNvSpPr/>
      </xdr:nvSpPr>
      <xdr:spPr bwMode="auto">
        <a:xfrm>
          <a:off x="1933575" y="51460400"/>
          <a:ext cx="1622425"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314325</xdr:colOff>
      <xdr:row>108</xdr:row>
      <xdr:rowOff>0</xdr:rowOff>
    </xdr:from>
    <xdr:to>
      <xdr:col>4</xdr:col>
      <xdr:colOff>0</xdr:colOff>
      <xdr:row>108</xdr:row>
      <xdr:rowOff>0</xdr:rowOff>
    </xdr:to>
    <xdr:sp macro="" textlink="">
      <xdr:nvSpPr>
        <xdr:cNvPr id="7" name="Object 8" hidden="1">
          <a:extLst>
            <a:ext uri="{63B3BB69-23CF-44E3-9099-C40C66FF867C}">
              <a14:compatExt xmlns:a14="http://schemas.microsoft.com/office/drawing/2010/main" spid="_x0000_s147464"/>
            </a:ext>
          </a:extLst>
        </xdr:cNvPr>
        <xdr:cNvSpPr/>
      </xdr:nvSpPr>
      <xdr:spPr bwMode="auto">
        <a:xfrm>
          <a:off x="1933575" y="52324000"/>
          <a:ext cx="1622425"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314325</xdr:colOff>
      <xdr:row>105</xdr:row>
      <xdr:rowOff>0</xdr:rowOff>
    </xdr:from>
    <xdr:to>
      <xdr:col>4</xdr:col>
      <xdr:colOff>0</xdr:colOff>
      <xdr:row>105</xdr:row>
      <xdr:rowOff>0</xdr:rowOff>
    </xdr:to>
    <xdr:pic>
      <xdr:nvPicPr>
        <xdr:cNvPr id="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1676300"/>
          <a:ext cx="16224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109</xdr:row>
      <xdr:rowOff>0</xdr:rowOff>
    </xdr:from>
    <xdr:to>
      <xdr:col>4</xdr:col>
      <xdr:colOff>0</xdr:colOff>
      <xdr:row>109</xdr:row>
      <xdr:rowOff>0</xdr:rowOff>
    </xdr:to>
    <xdr:pic>
      <xdr:nvPicPr>
        <xdr:cNvPr id="9"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2539900"/>
          <a:ext cx="16224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105</xdr:row>
      <xdr:rowOff>0</xdr:rowOff>
    </xdr:from>
    <xdr:to>
      <xdr:col>4</xdr:col>
      <xdr:colOff>0</xdr:colOff>
      <xdr:row>105</xdr:row>
      <xdr:rowOff>0</xdr:rowOff>
    </xdr:to>
    <xdr:pic>
      <xdr:nvPicPr>
        <xdr:cNvPr id="10"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1676300"/>
          <a:ext cx="16224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109</xdr:row>
      <xdr:rowOff>0</xdr:rowOff>
    </xdr:from>
    <xdr:to>
      <xdr:col>4</xdr:col>
      <xdr:colOff>0</xdr:colOff>
      <xdr:row>109</xdr:row>
      <xdr:rowOff>0</xdr:rowOff>
    </xdr:to>
    <xdr:pic>
      <xdr:nvPicPr>
        <xdr:cNvPr id="11"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2539900"/>
          <a:ext cx="16224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104</xdr:row>
      <xdr:rowOff>0</xdr:rowOff>
    </xdr:from>
    <xdr:to>
      <xdr:col>4</xdr:col>
      <xdr:colOff>0</xdr:colOff>
      <xdr:row>104</xdr:row>
      <xdr:rowOff>0</xdr:rowOff>
    </xdr:to>
    <xdr:pic>
      <xdr:nvPicPr>
        <xdr:cNvPr id="12" name="Pictur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1460400"/>
          <a:ext cx="16224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DERFS\Data\&#36039;&#29986;&#20132;&#25563;(CBASW)\&#37096;&#20301;&#26126;&#32048;\CB&#24066;&#22580;&#36039;&#260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DERFS\Data\&#36039;&#29986;&#20132;&#25563;(CBASW)\CB&#24066;&#22580;&#36039;&#2600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DERFS\Data\Data\data\Documents%20and%20Settings\etta.lee\&#26700;&#38754;\CREDIT%20TRADE%20BOOK_09031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34893;&#29983;&#24615;&#21830;&#21697;&#32068;/7.&#36039;&#29986;&#20132;&#25563;/ASO/&#22577;&#20729;&#34920;/&#21516;&#26989;&#22577;&#20729;/&#21516;&#26989;&#22577;&#2072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4893;&#29983;&#24615;&#21830;&#21697;&#32068;/7.&#36039;&#29986;&#20132;&#25563;/ASO/&#22577;&#20729;&#34920;/&#38651;&#23376;&#24179;&#21488;&#22577;&#20729;/202204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34893;&#29983;&#24615;&#21830;&#21697;&#32068;/7.&#36039;&#29986;&#20132;&#25563;/&#20449;&#29992;&#37096;&#20301;&#38989;&#2423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_CB"/>
      <sheetName val="Note_財務分析"/>
      <sheetName val="Note_報價"/>
      <sheetName val="ASO報價"/>
      <sheetName val="CLN報價"/>
      <sheetName val="觀察標的"/>
      <sheetName val="計算"/>
      <sheetName val="即時資料(操盤家)"/>
      <sheetName val="基本資料(CMONEY)"/>
      <sheetName val="財報資料(CMONEY)"/>
      <sheetName val="評等資料(TEJ)"/>
      <sheetName val="持股"/>
      <sheetName val="Note"/>
      <sheetName val="ToReadList"/>
      <sheetName val="IPO"/>
      <sheetName val="套利試算"/>
      <sheetName val="推薦標的"/>
      <sheetName val="停止過戶及停止資券(CMONEY)"/>
      <sheetName val="評等調整情形100617"/>
      <sheetName val="金融機構評等"/>
    </sheetNames>
    <sheetDataSet>
      <sheetData sheetId="0"/>
      <sheetData sheetId="1"/>
      <sheetData sheetId="2"/>
      <sheetData sheetId="3"/>
      <sheetData sheetId="4"/>
      <sheetData sheetId="5"/>
      <sheetData sheetId="6" refreshError="1">
        <row r="4">
          <cell r="D4">
            <v>28.1</v>
          </cell>
        </row>
      </sheetData>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持股"/>
      <sheetName val="財報Note"/>
      <sheetName val="ToReadList"/>
      <sheetName val="各券商週進出"/>
      <sheetName val="IPO"/>
      <sheetName val="套利試算"/>
      <sheetName val="推薦標的"/>
      <sheetName val="短線進出"/>
      <sheetName val="評價"/>
      <sheetName val="觀察標的"/>
      <sheetName val="計算"/>
      <sheetName val="基本資料(CMONEY)"/>
      <sheetName val="財報資料(CMONEY)"/>
      <sheetName val="停止過戶及停止資券(CMONEY)"/>
      <sheetName val="評等資料(TEJ)"/>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TWD)"/>
      <sheetName val="CB ASW"/>
      <sheetName val="CDS"/>
      <sheetName val="CLN"/>
      <sheetName val="Analysis"/>
      <sheetName val="CB TRADE"/>
      <sheetName val="IRS"/>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T5">
            <v>39885</v>
          </cell>
          <cell r="U5">
            <v>5.9199999999999999E-3</v>
          </cell>
          <cell r="V5">
            <v>7.6300000000000005E-3</v>
          </cell>
          <cell r="W5">
            <v>6.6E-3</v>
          </cell>
          <cell r="X5">
            <v>9.2999999999999992E-3</v>
          </cell>
          <cell r="Y5">
            <v>1.1599999999999999E-2</v>
          </cell>
          <cell r="Z5">
            <v>1.3300000000000001E-2</v>
          </cell>
          <cell r="AA5">
            <v>1.4449999999999998E-2</v>
          </cell>
          <cell r="AB5">
            <v>1.585E-2</v>
          </cell>
          <cell r="AC5">
            <v>1.77E-2</v>
          </cell>
        </row>
        <row r="6">
          <cell r="T6">
            <v>39884</v>
          </cell>
          <cell r="U6">
            <v>6.3899999999999998E-3</v>
          </cell>
          <cell r="V6">
            <v>7.8100000000000001E-3</v>
          </cell>
          <cell r="W6">
            <v>6.6500000000000005E-3</v>
          </cell>
          <cell r="X6">
            <v>9.1000000000000004E-3</v>
          </cell>
          <cell r="Y6">
            <v>1.1749999999999998E-2</v>
          </cell>
          <cell r="Z6">
            <v>1.3250000000000001E-2</v>
          </cell>
          <cell r="AA6">
            <v>1.4199999999999999E-2</v>
          </cell>
          <cell r="AB6">
            <v>1.5800000000000002E-2</v>
          </cell>
          <cell r="AC6">
            <v>1.7299999999999999E-2</v>
          </cell>
        </row>
        <row r="7">
          <cell r="T7">
            <v>39883</v>
          </cell>
          <cell r="U7">
            <v>5.6100000000000004E-3</v>
          </cell>
          <cell r="V7">
            <v>7.2899999999999996E-3</v>
          </cell>
          <cell r="W7">
            <v>6.7999999999999996E-3</v>
          </cell>
          <cell r="X7">
            <v>9.3999999999999986E-3</v>
          </cell>
          <cell r="Y7">
            <v>1.1699999999999999E-2</v>
          </cell>
          <cell r="Z7">
            <v>1.3349999999999999E-2</v>
          </cell>
          <cell r="AA7">
            <v>1.4649999999999998E-2</v>
          </cell>
          <cell r="AB7">
            <v>1.6E-2</v>
          </cell>
          <cell r="AC7">
            <v>1.7749999999999998E-2</v>
          </cell>
        </row>
        <row r="8">
          <cell r="T8">
            <v>39882</v>
          </cell>
          <cell r="U8">
            <v>5.8199999999999997E-3</v>
          </cell>
          <cell r="V8">
            <v>7.2899999999999996E-3</v>
          </cell>
          <cell r="W8">
            <v>6.7000000000000002E-3</v>
          </cell>
          <cell r="X8">
            <v>9.1500000000000001E-3</v>
          </cell>
          <cell r="Y8">
            <v>1.1200000000000002E-2</v>
          </cell>
          <cell r="Z8">
            <v>1.29E-2</v>
          </cell>
          <cell r="AA8">
            <v>1.3999999999999999E-2</v>
          </cell>
          <cell r="AB8">
            <v>1.5350000000000001E-2</v>
          </cell>
          <cell r="AC8">
            <v>1.7000000000000001E-2</v>
          </cell>
        </row>
        <row r="9">
          <cell r="T9">
            <v>39881</v>
          </cell>
          <cell r="U9">
            <v>6.0200000000000002E-3</v>
          </cell>
          <cell r="V9">
            <v>7.4099999999999999E-3</v>
          </cell>
          <cell r="W9">
            <v>6.4000000000000003E-3</v>
          </cell>
          <cell r="X9">
            <v>8.5000000000000006E-3</v>
          </cell>
          <cell r="Y9">
            <v>1.065E-2</v>
          </cell>
          <cell r="Z9">
            <v>1.2199999999999999E-2</v>
          </cell>
          <cell r="AA9">
            <v>1.3300000000000001E-2</v>
          </cell>
          <cell r="AB9">
            <v>1.4499999999999999E-2</v>
          </cell>
          <cell r="AC9">
            <v>1.6199999999999999E-2</v>
          </cell>
        </row>
        <row r="10">
          <cell r="T10">
            <v>39880</v>
          </cell>
          <cell r="U10">
            <v>5.8699999999999994E-3</v>
          </cell>
          <cell r="V10">
            <v>7.4099999999999999E-3</v>
          </cell>
          <cell r="W10">
            <v>6.5000000000000006E-3</v>
          </cell>
          <cell r="X10">
            <v>8.6499999999999997E-3</v>
          </cell>
          <cell r="Y10">
            <v>1.0800000000000001E-2</v>
          </cell>
          <cell r="Z10">
            <v>1.2450000000000001E-2</v>
          </cell>
          <cell r="AA10">
            <v>1.3450000000000002E-2</v>
          </cell>
          <cell r="AB10">
            <v>1.455E-2</v>
          </cell>
          <cell r="AC10">
            <v>1.635E-2</v>
          </cell>
        </row>
        <row r="11">
          <cell r="T11">
            <v>39879</v>
          </cell>
          <cell r="U11">
            <v>5.8699999999999994E-3</v>
          </cell>
          <cell r="V11">
            <v>7.4099999999999999E-3</v>
          </cell>
          <cell r="W11">
            <v>6.5000000000000006E-3</v>
          </cell>
          <cell r="X11">
            <v>8.6499999999999997E-3</v>
          </cell>
          <cell r="Y11">
            <v>1.0800000000000001E-2</v>
          </cell>
          <cell r="Z11">
            <v>1.2450000000000001E-2</v>
          </cell>
          <cell r="AA11">
            <v>1.3450000000000002E-2</v>
          </cell>
          <cell r="AB11">
            <v>1.455E-2</v>
          </cell>
          <cell r="AC11">
            <v>1.635E-2</v>
          </cell>
        </row>
        <row r="12">
          <cell r="T12">
            <v>39878</v>
          </cell>
          <cell r="U12">
            <v>5.8699999999999994E-3</v>
          </cell>
          <cell r="V12">
            <v>7.4099999999999999E-3</v>
          </cell>
          <cell r="W12">
            <v>6.5000000000000006E-3</v>
          </cell>
          <cell r="X12">
            <v>8.6499999999999997E-3</v>
          </cell>
          <cell r="Y12">
            <v>1.0800000000000001E-2</v>
          </cell>
          <cell r="Z12">
            <v>1.2450000000000001E-2</v>
          </cell>
          <cell r="AA12">
            <v>1.3450000000000002E-2</v>
          </cell>
          <cell r="AB12">
            <v>1.455E-2</v>
          </cell>
          <cell r="AC12">
            <v>1.635E-2</v>
          </cell>
        </row>
        <row r="13">
          <cell r="T13">
            <v>39877</v>
          </cell>
          <cell r="U13">
            <v>5.5100000000000001E-3</v>
          </cell>
          <cell r="V13">
            <v>7.2899999999999996E-3</v>
          </cell>
          <cell r="W13">
            <v>6.8000000000000005E-3</v>
          </cell>
          <cell r="X13">
            <v>8.9499999999999996E-3</v>
          </cell>
          <cell r="Y13">
            <v>1.125E-2</v>
          </cell>
          <cell r="Z13">
            <v>1.2699999999999999E-2</v>
          </cell>
          <cell r="AA13">
            <v>1.3699999999999999E-2</v>
          </cell>
          <cell r="AB13">
            <v>1.5049999999999999E-2</v>
          </cell>
          <cell r="AC13">
            <v>1.6650000000000002E-2</v>
          </cell>
        </row>
        <row r="14">
          <cell r="T14">
            <v>39876</v>
          </cell>
          <cell r="U14">
            <v>5.9499999999999996E-3</v>
          </cell>
          <cell r="V14">
            <v>7.45E-3</v>
          </cell>
          <cell r="W14">
            <v>6.6500000000000005E-3</v>
          </cell>
          <cell r="X14">
            <v>8.6E-3</v>
          </cell>
          <cell r="Y14">
            <v>1.09E-2</v>
          </cell>
          <cell r="Z14">
            <v>1.2374999999999999E-2</v>
          </cell>
          <cell r="AA14">
            <v>1.34E-2</v>
          </cell>
          <cell r="AB14">
            <v>1.4649999999999998E-2</v>
          </cell>
          <cell r="AC14">
            <v>1.6124999999999997E-2</v>
          </cell>
        </row>
        <row r="15">
          <cell r="T15">
            <v>39875</v>
          </cell>
          <cell r="U15">
            <v>5.9499999999999996E-3</v>
          </cell>
          <cell r="V15">
            <v>7.45E-3</v>
          </cell>
          <cell r="W15">
            <v>6.6E-3</v>
          </cell>
          <cell r="X15">
            <v>8.3749999999999988E-3</v>
          </cell>
          <cell r="Y15">
            <v>1.06E-2</v>
          </cell>
          <cell r="Z15">
            <v>1.2025000000000001E-2</v>
          </cell>
          <cell r="AA15">
            <v>1.29E-2</v>
          </cell>
          <cell r="AB15">
            <v>1.41E-2</v>
          </cell>
          <cell r="AC15">
            <v>1.5550000000000001E-2</v>
          </cell>
        </row>
        <row r="16">
          <cell r="T16">
            <v>39874</v>
          </cell>
          <cell r="U16">
            <v>6.0299999999999998E-3</v>
          </cell>
          <cell r="V16">
            <v>7.45E-3</v>
          </cell>
          <cell r="W16">
            <v>6.1999999999999998E-3</v>
          </cell>
          <cell r="X16">
            <v>8.3000000000000001E-3</v>
          </cell>
          <cell r="Y16">
            <v>0.01</v>
          </cell>
          <cell r="Z16">
            <v>1.1300000000000001E-2</v>
          </cell>
          <cell r="AA16">
            <v>1.24E-2</v>
          </cell>
          <cell r="AB16">
            <v>1.34E-2</v>
          </cell>
          <cell r="AC16">
            <v>1.4950000000000001E-2</v>
          </cell>
        </row>
        <row r="17">
          <cell r="T17">
            <v>39873</v>
          </cell>
          <cell r="U17">
            <v>5.8699999999999994E-3</v>
          </cell>
          <cell r="V17">
            <v>7.3099999999999997E-3</v>
          </cell>
          <cell r="W17">
            <v>6.3E-3</v>
          </cell>
          <cell r="X17">
            <v>8.3000000000000001E-3</v>
          </cell>
          <cell r="Y17">
            <v>1.01E-2</v>
          </cell>
          <cell r="Z17">
            <v>1.1375000000000001E-2</v>
          </cell>
          <cell r="AA17">
            <v>1.24E-2</v>
          </cell>
          <cell r="AB17">
            <v>1.37E-2</v>
          </cell>
          <cell r="AC17">
            <v>1.4950000000000001E-2</v>
          </cell>
        </row>
        <row r="18">
          <cell r="T18">
            <v>39872</v>
          </cell>
          <cell r="U18">
            <v>5.8699999999999994E-3</v>
          </cell>
          <cell r="V18">
            <v>7.3099999999999997E-3</v>
          </cell>
          <cell r="W18">
            <v>6.3E-3</v>
          </cell>
          <cell r="X18">
            <v>8.3000000000000001E-3</v>
          </cell>
          <cell r="Y18">
            <v>1.01E-2</v>
          </cell>
          <cell r="Z18">
            <v>1.1375000000000001E-2</v>
          </cell>
          <cell r="AA18">
            <v>1.24E-2</v>
          </cell>
          <cell r="AB18">
            <v>1.37E-2</v>
          </cell>
          <cell r="AC18">
            <v>1.4950000000000001E-2</v>
          </cell>
        </row>
        <row r="19">
          <cell r="T19">
            <v>39871</v>
          </cell>
          <cell r="U19">
            <v>5.8699999999999994E-3</v>
          </cell>
          <cell r="V19">
            <v>7.3099999999999997E-3</v>
          </cell>
          <cell r="W19">
            <v>6.3E-3</v>
          </cell>
          <cell r="X19">
            <v>8.3000000000000001E-3</v>
          </cell>
          <cell r="Y19">
            <v>1.01E-2</v>
          </cell>
          <cell r="Z19">
            <v>1.1375000000000001E-2</v>
          </cell>
          <cell r="AA19">
            <v>1.24E-2</v>
          </cell>
          <cell r="AB19">
            <v>1.37E-2</v>
          </cell>
          <cell r="AC19">
            <v>1.4950000000000001E-2</v>
          </cell>
        </row>
        <row r="20">
          <cell r="T20">
            <v>39870</v>
          </cell>
          <cell r="U20">
            <v>5.9899999999999997E-3</v>
          </cell>
          <cell r="V20">
            <v>7.4000000000000003E-3</v>
          </cell>
          <cell r="W20">
            <v>6.1999999999999998E-3</v>
          </cell>
          <cell r="X20">
            <v>7.7499999999999999E-3</v>
          </cell>
          <cell r="Y20">
            <v>9.75E-3</v>
          </cell>
          <cell r="Z20">
            <v>1.1000000000000001E-2</v>
          </cell>
          <cell r="AA20">
            <v>1.1899999999999999E-2</v>
          </cell>
          <cell r="AB20">
            <v>1.3225000000000001E-2</v>
          </cell>
          <cell r="AC20">
            <v>1.4499999999999999E-2</v>
          </cell>
        </row>
        <row r="21">
          <cell r="T21">
            <v>39869</v>
          </cell>
          <cell r="U21">
            <v>5.8899999999999994E-3</v>
          </cell>
          <cell r="V21">
            <v>7.43E-3</v>
          </cell>
          <cell r="W21">
            <v>6.1999999999999998E-3</v>
          </cell>
          <cell r="X21">
            <v>7.6500000000000005E-3</v>
          </cell>
          <cell r="Y21">
            <v>9.5499999999999995E-3</v>
          </cell>
          <cell r="Z21">
            <v>1.0800000000000001E-2</v>
          </cell>
          <cell r="AA21">
            <v>1.1699999999999999E-2</v>
          </cell>
          <cell r="AB21">
            <v>1.29E-2</v>
          </cell>
          <cell r="AC21">
            <v>1.435E-2</v>
          </cell>
        </row>
        <row r="22">
          <cell r="T22">
            <v>39868</v>
          </cell>
          <cell r="U22">
            <v>5.8899999999999994E-3</v>
          </cell>
          <cell r="V22">
            <v>7.43E-3</v>
          </cell>
          <cell r="W22">
            <v>6.2500000000000003E-3</v>
          </cell>
          <cell r="X22">
            <v>7.7000000000000002E-3</v>
          </cell>
          <cell r="Y22">
            <v>9.5999999999999992E-3</v>
          </cell>
          <cell r="Z22">
            <v>1.0950000000000001E-2</v>
          </cell>
          <cell r="AA22">
            <v>1.1899999999999999E-2</v>
          </cell>
          <cell r="AB22">
            <v>1.3049999999999999E-2</v>
          </cell>
          <cell r="AC22">
            <v>1.4499999999999999E-2</v>
          </cell>
        </row>
        <row r="23">
          <cell r="T23">
            <v>39867</v>
          </cell>
          <cell r="U23">
            <v>5.77E-3</v>
          </cell>
          <cell r="V23">
            <v>7.3299999999999997E-3</v>
          </cell>
          <cell r="W23">
            <v>6.3E-3</v>
          </cell>
          <cell r="X23">
            <v>8.0499999999999999E-3</v>
          </cell>
          <cell r="Y23">
            <v>1.0049999999999998E-2</v>
          </cell>
          <cell r="Z23">
            <v>1.125E-2</v>
          </cell>
          <cell r="AA23">
            <v>1.2199999999999999E-2</v>
          </cell>
          <cell r="AB23">
            <v>1.3475000000000001E-2</v>
          </cell>
          <cell r="AC23">
            <v>1.4800000000000001E-2</v>
          </cell>
        </row>
        <row r="24">
          <cell r="T24">
            <v>39866</v>
          </cell>
          <cell r="U24">
            <v>5.77E-3</v>
          </cell>
          <cell r="V24">
            <v>7.3299999999999997E-3</v>
          </cell>
          <cell r="W24">
            <v>6.1500000000000001E-3</v>
          </cell>
          <cell r="X24">
            <v>7.8000000000000005E-3</v>
          </cell>
          <cell r="Y24">
            <v>9.7999999999999997E-3</v>
          </cell>
          <cell r="Z24">
            <v>1.1049999999999999E-2</v>
          </cell>
          <cell r="AA24">
            <v>1.1949999999999999E-2</v>
          </cell>
          <cell r="AB24">
            <v>1.315E-2</v>
          </cell>
          <cell r="AC24">
            <v>1.4475E-2</v>
          </cell>
        </row>
        <row r="25">
          <cell r="T25">
            <v>39865</v>
          </cell>
          <cell r="U25">
            <v>5.77E-3</v>
          </cell>
          <cell r="V25">
            <v>7.3299999999999997E-3</v>
          </cell>
          <cell r="W25">
            <v>6.1500000000000001E-3</v>
          </cell>
          <cell r="X25">
            <v>7.8000000000000005E-3</v>
          </cell>
          <cell r="Y25">
            <v>9.7999999999999997E-3</v>
          </cell>
          <cell r="Z25">
            <v>1.1049999999999999E-2</v>
          </cell>
          <cell r="AA25">
            <v>1.1949999999999999E-2</v>
          </cell>
          <cell r="AB25">
            <v>1.315E-2</v>
          </cell>
          <cell r="AC25">
            <v>1.4475E-2</v>
          </cell>
        </row>
        <row r="26">
          <cell r="T26">
            <v>39864</v>
          </cell>
          <cell r="U26">
            <v>6.1399999999999996E-3</v>
          </cell>
          <cell r="V26">
            <v>7.7099999999999998E-3</v>
          </cell>
          <cell r="W26">
            <v>6.1500000000000001E-3</v>
          </cell>
          <cell r="X26">
            <v>7.7000000000000002E-3</v>
          </cell>
          <cell r="Y26">
            <v>9.6499999999999989E-3</v>
          </cell>
          <cell r="Z26">
            <v>1.0950000000000001E-2</v>
          </cell>
          <cell r="AA26">
            <v>1.1850000000000001E-2</v>
          </cell>
          <cell r="AB26">
            <v>1.3100000000000001E-2</v>
          </cell>
          <cell r="AC26">
            <v>1.4499999999999999E-2</v>
          </cell>
        </row>
        <row r="27">
          <cell r="T27">
            <v>39863</v>
          </cell>
          <cell r="U27">
            <v>6.4099999999999999E-3</v>
          </cell>
          <cell r="V27">
            <v>7.9699999999999997E-3</v>
          </cell>
          <cell r="W27">
            <v>6.0499999999999998E-3</v>
          </cell>
          <cell r="X27">
            <v>7.4999999999999997E-3</v>
          </cell>
          <cell r="Y27">
            <v>9.4999999999999998E-3</v>
          </cell>
          <cell r="Z27">
            <v>1.065E-2</v>
          </cell>
          <cell r="AA27">
            <v>1.1650000000000001E-2</v>
          </cell>
          <cell r="AB27">
            <v>1.29E-2</v>
          </cell>
          <cell r="AC27">
            <v>1.4199999999999999E-2</v>
          </cell>
        </row>
        <row r="28">
          <cell r="T28">
            <v>39862</v>
          </cell>
          <cell r="U28">
            <v>6.8100000000000001E-3</v>
          </cell>
          <cell r="V28">
            <v>8.5199999999999998E-3</v>
          </cell>
          <cell r="W28">
            <v>5.7999999999999996E-3</v>
          </cell>
          <cell r="X28">
            <v>7.0499999999999998E-3</v>
          </cell>
          <cell r="Y28">
            <v>9.0500000000000008E-3</v>
          </cell>
          <cell r="Z28">
            <v>1.0449999999999999E-2</v>
          </cell>
          <cell r="AA28">
            <v>1.1399999999999999E-2</v>
          </cell>
          <cell r="AB28">
            <v>1.26E-2</v>
          </cell>
          <cell r="AC28">
            <v>1.4049999999999998E-2</v>
          </cell>
        </row>
        <row r="29">
          <cell r="T29">
            <v>39861</v>
          </cell>
          <cell r="U29">
            <v>7.0899999999999999E-3</v>
          </cell>
          <cell r="V29">
            <v>8.6800000000000002E-3</v>
          </cell>
          <cell r="W29">
            <v>5.9499999999999996E-3</v>
          </cell>
          <cell r="X29">
            <v>7.4999999999999997E-3</v>
          </cell>
          <cell r="Y29">
            <v>9.5499999999999995E-3</v>
          </cell>
          <cell r="Z29">
            <v>1.085E-2</v>
          </cell>
          <cell r="AA29">
            <v>1.1749999999999998E-2</v>
          </cell>
          <cell r="AB29">
            <v>1.315E-2</v>
          </cell>
          <cell r="AC29">
            <v>1.43E-2</v>
          </cell>
        </row>
        <row r="30">
          <cell r="T30">
            <v>39860</v>
          </cell>
          <cell r="U30">
            <v>7.0899999999999999E-3</v>
          </cell>
          <cell r="V30">
            <v>8.6800000000000002E-3</v>
          </cell>
          <cell r="W30">
            <v>6.2500000000000003E-3</v>
          </cell>
          <cell r="X30">
            <v>7.9500000000000005E-3</v>
          </cell>
          <cell r="Y30">
            <v>1.01E-2</v>
          </cell>
          <cell r="Z30">
            <v>1.1300000000000001E-2</v>
          </cell>
          <cell r="AA30">
            <v>1.2199999999999999E-2</v>
          </cell>
          <cell r="AB30">
            <v>1.34E-2</v>
          </cell>
          <cell r="AC30">
            <v>1.47E-2</v>
          </cell>
        </row>
        <row r="31">
          <cell r="T31">
            <v>39859</v>
          </cell>
          <cell r="U31">
            <v>7.0299999999999998E-3</v>
          </cell>
          <cell r="V31">
            <v>8.6400000000000001E-3</v>
          </cell>
          <cell r="W31">
            <v>6.3499999999999997E-3</v>
          </cell>
          <cell r="X31">
            <v>8.0000000000000002E-3</v>
          </cell>
          <cell r="Y31">
            <v>1.01E-2</v>
          </cell>
          <cell r="Z31">
            <v>1.14E-2</v>
          </cell>
          <cell r="AA31">
            <v>1.2199999999999999E-2</v>
          </cell>
          <cell r="AB31">
            <v>1.3349999999999999E-2</v>
          </cell>
          <cell r="AC31">
            <v>1.47E-2</v>
          </cell>
        </row>
        <row r="32">
          <cell r="T32">
            <v>39858</v>
          </cell>
          <cell r="U32">
            <v>7.0299999999999998E-3</v>
          </cell>
          <cell r="V32">
            <v>8.6400000000000001E-3</v>
          </cell>
          <cell r="W32">
            <v>6.3499999999999997E-3</v>
          </cell>
          <cell r="X32">
            <v>8.0000000000000002E-3</v>
          </cell>
          <cell r="Y32">
            <v>1.01E-2</v>
          </cell>
          <cell r="Z32">
            <v>1.14E-2</v>
          </cell>
          <cell r="AA32">
            <v>1.2199999999999999E-2</v>
          </cell>
          <cell r="AB32">
            <v>1.3349999999999999E-2</v>
          </cell>
          <cell r="AC32">
            <v>1.47E-2</v>
          </cell>
        </row>
        <row r="33">
          <cell r="T33">
            <v>39857</v>
          </cell>
          <cell r="U33">
            <v>7.0299999999999998E-3</v>
          </cell>
          <cell r="V33">
            <v>8.6400000000000001E-3</v>
          </cell>
          <cell r="W33">
            <v>6.3499999999999997E-3</v>
          </cell>
          <cell r="X33">
            <v>8.0000000000000002E-3</v>
          </cell>
          <cell r="Y33">
            <v>1.01E-2</v>
          </cell>
          <cell r="Z33">
            <v>1.14E-2</v>
          </cell>
          <cell r="AA33">
            <v>1.2199999999999999E-2</v>
          </cell>
          <cell r="AB33">
            <v>1.3349999999999999E-2</v>
          </cell>
          <cell r="AC33">
            <v>1.47E-2</v>
          </cell>
        </row>
        <row r="34">
          <cell r="T34">
            <v>39856</v>
          </cell>
          <cell r="U34">
            <v>6.4700000000000001E-3</v>
          </cell>
          <cell r="V34">
            <v>8.4600000000000005E-3</v>
          </cell>
          <cell r="W34">
            <v>6.3499999999999997E-3</v>
          </cell>
          <cell r="X34">
            <v>8.3499999999999998E-3</v>
          </cell>
          <cell r="Y34">
            <v>1.06E-2</v>
          </cell>
          <cell r="Z34">
            <v>1.1749999999999998E-2</v>
          </cell>
          <cell r="AA34">
            <v>1.26E-2</v>
          </cell>
          <cell r="AB34">
            <v>1.375E-2</v>
          </cell>
          <cell r="AC34">
            <v>1.5100000000000001E-2</v>
          </cell>
        </row>
        <row r="35">
          <cell r="T35">
            <v>39855</v>
          </cell>
          <cell r="U35">
            <v>6.7200000000000003E-3</v>
          </cell>
          <cell r="V35">
            <v>8.4700000000000001E-3</v>
          </cell>
          <cell r="W35">
            <v>6.7000000000000002E-3</v>
          </cell>
          <cell r="X35">
            <v>8.6499999999999997E-3</v>
          </cell>
          <cell r="Y35">
            <v>1.0750000000000003E-2</v>
          </cell>
          <cell r="Z35">
            <v>1.1949999999999999E-2</v>
          </cell>
          <cell r="AA35">
            <v>1.295E-2</v>
          </cell>
          <cell r="AB35">
            <v>1.3999999999999999E-2</v>
          </cell>
          <cell r="AC35">
            <v>1.5350000000000001E-2</v>
          </cell>
        </row>
        <row r="36">
          <cell r="T36">
            <v>39854</v>
          </cell>
          <cell r="U36">
            <v>7.1799999999999998E-3</v>
          </cell>
          <cell r="V36">
            <v>8.7299999999999999E-3</v>
          </cell>
          <cell r="W36">
            <v>6.7500000000000008E-3</v>
          </cell>
          <cell r="X36">
            <v>8.8500000000000002E-3</v>
          </cell>
          <cell r="Y36">
            <v>1.11E-2</v>
          </cell>
          <cell r="Z36">
            <v>1.225E-2</v>
          </cell>
          <cell r="AA36">
            <v>1.315E-2</v>
          </cell>
          <cell r="AB36">
            <v>1.435E-2</v>
          </cell>
          <cell r="AC36">
            <v>1.5625E-2</v>
          </cell>
        </row>
        <row r="37">
          <cell r="T37">
            <v>39853</v>
          </cell>
          <cell r="U37">
            <v>6.9799999999999992E-3</v>
          </cell>
          <cell r="V37">
            <v>8.5699999999999995E-3</v>
          </cell>
          <cell r="W37">
            <v>6.8999999999999999E-3</v>
          </cell>
          <cell r="X37">
            <v>8.8500000000000002E-3</v>
          </cell>
          <cell r="Y37">
            <v>1.09E-2</v>
          </cell>
          <cell r="Z37">
            <v>1.2149999999999999E-2</v>
          </cell>
          <cell r="AA37">
            <v>1.315E-2</v>
          </cell>
          <cell r="AB37">
            <v>1.41E-2</v>
          </cell>
          <cell r="AC37">
            <v>1.5600000000000001E-2</v>
          </cell>
        </row>
        <row r="38">
          <cell r="T38">
            <v>39852</v>
          </cell>
          <cell r="U38">
            <v>6.9199999999999991E-3</v>
          </cell>
          <cell r="V38">
            <v>8.5699999999999995E-3</v>
          </cell>
          <cell r="W38">
            <v>6.9999999999999993E-3</v>
          </cell>
          <cell r="X38">
            <v>8.8999999999999999E-3</v>
          </cell>
          <cell r="Y38">
            <v>1.09E-2</v>
          </cell>
          <cell r="Z38">
            <v>1.21E-2</v>
          </cell>
          <cell r="AA38">
            <v>1.315E-2</v>
          </cell>
          <cell r="AB38">
            <v>1.4125E-2</v>
          </cell>
          <cell r="AC38">
            <v>1.5600000000000001E-2</v>
          </cell>
        </row>
        <row r="39">
          <cell r="T39">
            <v>39851</v>
          </cell>
          <cell r="U39">
            <v>6.9199999999999991E-3</v>
          </cell>
          <cell r="V39">
            <v>8.5699999999999995E-3</v>
          </cell>
          <cell r="W39">
            <v>6.9999999999999993E-3</v>
          </cell>
          <cell r="X39">
            <v>8.8999999999999999E-3</v>
          </cell>
          <cell r="Y39">
            <v>1.09E-2</v>
          </cell>
          <cell r="Z39">
            <v>1.21E-2</v>
          </cell>
          <cell r="AA39">
            <v>1.315E-2</v>
          </cell>
          <cell r="AB39">
            <v>1.4125E-2</v>
          </cell>
          <cell r="AC39">
            <v>1.5600000000000001E-2</v>
          </cell>
        </row>
        <row r="40">
          <cell r="T40">
            <v>39850</v>
          </cell>
          <cell r="U40">
            <v>6.9199999999999991E-3</v>
          </cell>
          <cell r="V40">
            <v>8.5699999999999995E-3</v>
          </cell>
          <cell r="W40">
            <v>6.9999999999999993E-3</v>
          </cell>
          <cell r="X40">
            <v>8.8999999999999999E-3</v>
          </cell>
          <cell r="Y40">
            <v>1.09E-2</v>
          </cell>
          <cell r="Z40">
            <v>1.21E-2</v>
          </cell>
          <cell r="AA40">
            <v>1.315E-2</v>
          </cell>
          <cell r="AB40">
            <v>1.4125E-2</v>
          </cell>
          <cell r="AC40">
            <v>1.5600000000000001E-2</v>
          </cell>
        </row>
        <row r="41">
          <cell r="T41">
            <v>39849</v>
          </cell>
          <cell r="U41">
            <v>6.8400000000000006E-3</v>
          </cell>
          <cell r="V41">
            <v>8.5699999999999995E-3</v>
          </cell>
          <cell r="W41">
            <v>7.1500000000000001E-3</v>
          </cell>
          <cell r="X41">
            <v>9.2500000000000013E-3</v>
          </cell>
          <cell r="Y41">
            <v>1.1200000000000002E-2</v>
          </cell>
          <cell r="Z41">
            <v>1.2349999999999998E-2</v>
          </cell>
          <cell r="AA41">
            <v>1.32E-2</v>
          </cell>
          <cell r="AB41">
            <v>1.44E-2</v>
          </cell>
          <cell r="AC41">
            <v>1.555E-2</v>
          </cell>
        </row>
        <row r="42">
          <cell r="T42">
            <v>39848</v>
          </cell>
          <cell r="U42">
            <v>6.9799999999999992E-3</v>
          </cell>
          <cell r="V42">
            <v>8.6199999999999992E-3</v>
          </cell>
          <cell r="W42">
            <v>7.1500000000000001E-3</v>
          </cell>
          <cell r="X42">
            <v>9.1999999999999998E-3</v>
          </cell>
          <cell r="Y42">
            <v>1.125E-2</v>
          </cell>
          <cell r="Z42">
            <v>1.2549999999999999E-2</v>
          </cell>
          <cell r="AA42">
            <v>1.3500000000000002E-2</v>
          </cell>
          <cell r="AB42">
            <v>1.4750000000000001E-2</v>
          </cell>
          <cell r="AC42">
            <v>1.6074999999999999E-2</v>
          </cell>
        </row>
        <row r="43">
          <cell r="T43">
            <v>39847</v>
          </cell>
          <cell r="U43">
            <v>7.11E-3</v>
          </cell>
          <cell r="V43">
            <v>8.6700000000000006E-3</v>
          </cell>
          <cell r="W43">
            <v>7.4000000000000003E-3</v>
          </cell>
          <cell r="X43">
            <v>9.1500000000000001E-3</v>
          </cell>
          <cell r="Y43">
            <v>1.1200000000000002E-2</v>
          </cell>
          <cell r="Z43">
            <v>1.2500000000000001E-2</v>
          </cell>
          <cell r="AA43">
            <v>1.345E-2</v>
          </cell>
          <cell r="AB43">
            <v>1.455E-2</v>
          </cell>
          <cell r="AC43">
            <v>1.5800000000000002E-2</v>
          </cell>
        </row>
        <row r="44">
          <cell r="T44">
            <v>39846</v>
          </cell>
          <cell r="U44">
            <v>7.0899999999999999E-3</v>
          </cell>
          <cell r="V44">
            <v>8.9200000000000008E-3</v>
          </cell>
          <cell r="W44">
            <v>7.2499999999999995E-3</v>
          </cell>
          <cell r="X44">
            <v>9.1000000000000004E-3</v>
          </cell>
          <cell r="Y44">
            <v>1.125E-2</v>
          </cell>
          <cell r="Z44">
            <v>1.2500000000000001E-2</v>
          </cell>
          <cell r="AA44">
            <v>1.355E-2</v>
          </cell>
          <cell r="AB44">
            <v>1.47E-2</v>
          </cell>
          <cell r="AC44">
            <v>1.5975000000000003E-2</v>
          </cell>
        </row>
        <row r="45">
          <cell r="T45">
            <v>39845</v>
          </cell>
          <cell r="U45">
            <v>7.0199999999999993E-3</v>
          </cell>
          <cell r="V45">
            <v>8.94E-3</v>
          </cell>
          <cell r="W45">
            <v>7.2499999999999995E-3</v>
          </cell>
          <cell r="X45">
            <v>8.8000000000000005E-3</v>
          </cell>
          <cell r="Y45">
            <v>1.085E-2</v>
          </cell>
          <cell r="Z45">
            <v>1.2149999999999999E-2</v>
          </cell>
          <cell r="AA45">
            <v>1.3000000000000001E-2</v>
          </cell>
          <cell r="AB45">
            <v>1.43E-2</v>
          </cell>
          <cell r="AC45">
            <v>1.55E-2</v>
          </cell>
        </row>
        <row r="46">
          <cell r="T46">
            <v>39844</v>
          </cell>
          <cell r="U46">
            <v>7.0199999999999993E-3</v>
          </cell>
          <cell r="V46">
            <v>8.94E-3</v>
          </cell>
          <cell r="W46">
            <v>7.2499999999999995E-3</v>
          </cell>
          <cell r="X46">
            <v>8.8000000000000005E-3</v>
          </cell>
          <cell r="Y46">
            <v>1.085E-2</v>
          </cell>
          <cell r="Z46">
            <v>1.2149999999999999E-2</v>
          </cell>
          <cell r="AA46">
            <v>1.3000000000000001E-2</v>
          </cell>
          <cell r="AB46">
            <v>1.43E-2</v>
          </cell>
          <cell r="AC46">
            <v>1.55E-2</v>
          </cell>
        </row>
        <row r="47">
          <cell r="T47">
            <v>39843</v>
          </cell>
          <cell r="U47">
            <v>7.0199999999999993E-3</v>
          </cell>
          <cell r="V47">
            <v>8.94E-3</v>
          </cell>
          <cell r="W47">
            <v>7.2499999999999995E-3</v>
          </cell>
          <cell r="X47">
            <v>8.8000000000000005E-3</v>
          </cell>
          <cell r="Y47">
            <v>1.085E-2</v>
          </cell>
          <cell r="Z47">
            <v>1.2149999999999999E-2</v>
          </cell>
          <cell r="AA47">
            <v>1.3000000000000001E-2</v>
          </cell>
          <cell r="AB47">
            <v>1.43E-2</v>
          </cell>
          <cell r="AC47">
            <v>1.55E-2</v>
          </cell>
        </row>
        <row r="48">
          <cell r="T48">
            <v>39842</v>
          </cell>
          <cell r="U48">
            <v>7.0199999999999993E-3</v>
          </cell>
          <cell r="V48">
            <v>8.94E-3</v>
          </cell>
          <cell r="W48">
            <v>7.2499999999999995E-3</v>
          </cell>
          <cell r="X48">
            <v>8.8000000000000005E-3</v>
          </cell>
          <cell r="Y48">
            <v>1.085E-2</v>
          </cell>
          <cell r="Z48">
            <v>1.2149999999999999E-2</v>
          </cell>
          <cell r="AA48">
            <v>1.3000000000000001E-2</v>
          </cell>
          <cell r="AB48">
            <v>1.43E-2</v>
          </cell>
          <cell r="AC48">
            <v>1.55E-2</v>
          </cell>
        </row>
        <row r="49">
          <cell r="T49">
            <v>39841</v>
          </cell>
          <cell r="U49">
            <v>7.0199999999999993E-3</v>
          </cell>
          <cell r="V49">
            <v>8.94E-3</v>
          </cell>
          <cell r="W49">
            <v>7.2499999999999995E-3</v>
          </cell>
          <cell r="X49">
            <v>8.8000000000000005E-3</v>
          </cell>
          <cell r="Y49">
            <v>1.085E-2</v>
          </cell>
          <cell r="Z49">
            <v>1.2149999999999999E-2</v>
          </cell>
          <cell r="AA49">
            <v>1.3000000000000001E-2</v>
          </cell>
          <cell r="AB49">
            <v>1.43E-2</v>
          </cell>
          <cell r="AC49">
            <v>1.55E-2</v>
          </cell>
        </row>
        <row r="50">
          <cell r="T50">
            <v>39840</v>
          </cell>
          <cell r="U50">
            <v>7.0199999999999993E-3</v>
          </cell>
          <cell r="V50">
            <v>8.94E-3</v>
          </cell>
          <cell r="W50">
            <v>7.2499999999999995E-3</v>
          </cell>
          <cell r="X50">
            <v>8.8000000000000005E-3</v>
          </cell>
          <cell r="Y50">
            <v>1.085E-2</v>
          </cell>
          <cell r="Z50">
            <v>1.2149999999999999E-2</v>
          </cell>
          <cell r="AA50">
            <v>1.3000000000000001E-2</v>
          </cell>
          <cell r="AB50">
            <v>1.43E-2</v>
          </cell>
          <cell r="AC50">
            <v>1.55E-2</v>
          </cell>
        </row>
        <row r="51">
          <cell r="T51">
            <v>39839</v>
          </cell>
          <cell r="U51">
            <v>7.0199999999999993E-3</v>
          </cell>
          <cell r="V51">
            <v>8.94E-3</v>
          </cell>
          <cell r="W51">
            <v>7.2499999999999995E-3</v>
          </cell>
          <cell r="X51">
            <v>8.8000000000000005E-3</v>
          </cell>
          <cell r="Y51">
            <v>1.085E-2</v>
          </cell>
          <cell r="Z51">
            <v>1.2149999999999999E-2</v>
          </cell>
          <cell r="AA51">
            <v>1.3000000000000001E-2</v>
          </cell>
          <cell r="AB51">
            <v>1.43E-2</v>
          </cell>
          <cell r="AC51">
            <v>1.55E-2</v>
          </cell>
        </row>
        <row r="52">
          <cell r="T52">
            <v>39838</v>
          </cell>
          <cell r="U52">
            <v>7.0199999999999993E-3</v>
          </cell>
          <cell r="V52">
            <v>8.94E-3</v>
          </cell>
          <cell r="W52">
            <v>7.2499999999999995E-3</v>
          </cell>
          <cell r="X52">
            <v>8.6999999999999994E-3</v>
          </cell>
          <cell r="Y52">
            <v>1.0950000000000001E-2</v>
          </cell>
          <cell r="Z52">
            <v>1.1899999999999999E-2</v>
          </cell>
          <cell r="AA52">
            <v>1.29E-2</v>
          </cell>
          <cell r="AB52">
            <v>1.3950000000000001E-2</v>
          </cell>
          <cell r="AC52">
            <v>1.5299999999999998E-2</v>
          </cell>
        </row>
        <row r="53">
          <cell r="T53">
            <v>39837</v>
          </cell>
          <cell r="U53">
            <v>7.0199999999999993E-3</v>
          </cell>
          <cell r="V53">
            <v>8.94E-3</v>
          </cell>
          <cell r="W53">
            <v>7.2499999999999995E-3</v>
          </cell>
          <cell r="X53">
            <v>8.6999999999999994E-3</v>
          </cell>
          <cell r="Y53">
            <v>1.0950000000000001E-2</v>
          </cell>
          <cell r="Z53">
            <v>1.1899999999999999E-2</v>
          </cell>
          <cell r="AA53">
            <v>1.29E-2</v>
          </cell>
          <cell r="AB53">
            <v>1.3950000000000001E-2</v>
          </cell>
          <cell r="AC53">
            <v>1.5299999999999998E-2</v>
          </cell>
        </row>
        <row r="54">
          <cell r="T54">
            <v>39836</v>
          </cell>
          <cell r="U54">
            <v>7.0199999999999993E-3</v>
          </cell>
          <cell r="V54">
            <v>8.94E-3</v>
          </cell>
          <cell r="W54">
            <v>7.2499999999999995E-3</v>
          </cell>
          <cell r="X54">
            <v>8.6999999999999994E-3</v>
          </cell>
          <cell r="Y54">
            <v>1.0950000000000001E-2</v>
          </cell>
          <cell r="Z54">
            <v>1.1899999999999999E-2</v>
          </cell>
          <cell r="AA54">
            <v>1.29E-2</v>
          </cell>
          <cell r="AB54">
            <v>1.3950000000000001E-2</v>
          </cell>
          <cell r="AC54">
            <v>1.5299999999999998E-2</v>
          </cell>
        </row>
        <row r="55">
          <cell r="T55">
            <v>39835</v>
          </cell>
          <cell r="U55">
            <v>7.3499999999999998E-3</v>
          </cell>
          <cell r="V55">
            <v>9.2399999999999999E-3</v>
          </cell>
          <cell r="W55">
            <v>7.4999999999999997E-3</v>
          </cell>
          <cell r="X55">
            <v>9.1999999999999998E-3</v>
          </cell>
          <cell r="Y55">
            <v>1.11E-2</v>
          </cell>
          <cell r="Z55">
            <v>1.225E-2</v>
          </cell>
          <cell r="AA55">
            <v>1.32E-2</v>
          </cell>
          <cell r="AB55">
            <v>1.44E-2</v>
          </cell>
          <cell r="AC55">
            <v>1.5449999999999998E-2</v>
          </cell>
        </row>
        <row r="56">
          <cell r="T56">
            <v>39834</v>
          </cell>
          <cell r="U56">
            <v>7.3499999999999998E-3</v>
          </cell>
          <cell r="V56">
            <v>9.2399999999999999E-3</v>
          </cell>
          <cell r="W56">
            <v>7.3499999999999998E-3</v>
          </cell>
          <cell r="X56">
            <v>9.1500000000000001E-3</v>
          </cell>
          <cell r="Y56">
            <v>1.11E-2</v>
          </cell>
          <cell r="Z56">
            <v>1.24E-2</v>
          </cell>
          <cell r="AA56">
            <v>1.3250000000000001E-2</v>
          </cell>
          <cell r="AB56">
            <v>1.43E-2</v>
          </cell>
          <cell r="AC56">
            <v>1.5575E-2</v>
          </cell>
        </row>
        <row r="57">
          <cell r="T57">
            <v>39833</v>
          </cell>
          <cell r="U57">
            <v>7.1300000000000001E-3</v>
          </cell>
          <cell r="V57">
            <v>8.94E-3</v>
          </cell>
          <cell r="W57">
            <v>7.7000000000000002E-3</v>
          </cell>
          <cell r="X57">
            <v>9.2999999999999992E-3</v>
          </cell>
          <cell r="Y57">
            <v>1.15E-2</v>
          </cell>
          <cell r="Z57">
            <v>1.26E-2</v>
          </cell>
          <cell r="AA57">
            <v>1.3600000000000001E-2</v>
          </cell>
          <cell r="AB57">
            <v>1.4849999999999999E-2</v>
          </cell>
          <cell r="AC57">
            <v>1.6300000000000002E-2</v>
          </cell>
        </row>
        <row r="58">
          <cell r="T58">
            <v>39832</v>
          </cell>
          <cell r="U58">
            <v>7.1199999999999996E-3</v>
          </cell>
          <cell r="V58">
            <v>9.1000000000000004E-3</v>
          </cell>
          <cell r="W58">
            <v>7.4999999999999997E-3</v>
          </cell>
          <cell r="X58">
            <v>9.5999999999999992E-3</v>
          </cell>
          <cell r="Y58">
            <v>1.15E-2</v>
          </cell>
          <cell r="Z58">
            <v>1.29E-2</v>
          </cell>
          <cell r="AA58">
            <v>1.3899999999999999E-2</v>
          </cell>
          <cell r="AB58">
            <v>1.5150000000000002E-2</v>
          </cell>
          <cell r="AC58">
            <v>1.6549999999999999E-2</v>
          </cell>
        </row>
        <row r="59">
          <cell r="T59">
            <v>39831</v>
          </cell>
          <cell r="U59">
            <v>7.1899999999999993E-3</v>
          </cell>
          <cell r="V59">
            <v>9.1599999999999997E-3</v>
          </cell>
          <cell r="W59">
            <v>8.2500000000000004E-3</v>
          </cell>
          <cell r="X59">
            <v>9.5500000000000012E-3</v>
          </cell>
          <cell r="Y59">
            <v>1.1200000000000002E-2</v>
          </cell>
          <cell r="Z59">
            <v>1.2500000000000001E-2</v>
          </cell>
          <cell r="AA59">
            <v>1.3599999999999999E-2</v>
          </cell>
          <cell r="AB59">
            <v>1.49E-2</v>
          </cell>
          <cell r="AC59">
            <v>1.6500000000000001E-2</v>
          </cell>
        </row>
        <row r="60">
          <cell r="T60">
            <v>39830</v>
          </cell>
          <cell r="U60">
            <v>7.1899999999999993E-3</v>
          </cell>
          <cell r="V60">
            <v>9.1599999999999997E-3</v>
          </cell>
          <cell r="W60">
            <v>8.2500000000000004E-3</v>
          </cell>
          <cell r="X60">
            <v>9.5500000000000012E-3</v>
          </cell>
          <cell r="Y60">
            <v>1.1200000000000002E-2</v>
          </cell>
          <cell r="Z60">
            <v>1.2500000000000001E-2</v>
          </cell>
          <cell r="AA60">
            <v>1.3599999999999999E-2</v>
          </cell>
          <cell r="AB60">
            <v>1.49E-2</v>
          </cell>
          <cell r="AC60">
            <v>1.6500000000000001E-2</v>
          </cell>
        </row>
        <row r="61">
          <cell r="T61">
            <v>39829</v>
          </cell>
          <cell r="U61">
            <v>7.2099999999999994E-3</v>
          </cell>
          <cell r="V61">
            <v>9.1700000000000011E-3</v>
          </cell>
          <cell r="W61">
            <v>8.0000000000000002E-3</v>
          </cell>
          <cell r="X61">
            <v>9.3999999999999986E-3</v>
          </cell>
          <cell r="Y61">
            <v>1.1200000000000002E-2</v>
          </cell>
          <cell r="Z61">
            <v>1.2500000000000001E-2</v>
          </cell>
          <cell r="AA61">
            <v>1.3450000000000002E-2</v>
          </cell>
          <cell r="AB61">
            <v>1.4800000000000001E-2</v>
          </cell>
          <cell r="AC61">
            <v>1.635E-2</v>
          </cell>
        </row>
        <row r="62">
          <cell r="T62">
            <v>39828</v>
          </cell>
          <cell r="U62">
            <v>7.4799999999999997E-3</v>
          </cell>
          <cell r="V62">
            <v>9.4199999999999996E-3</v>
          </cell>
          <cell r="W62">
            <v>7.4999999999999997E-3</v>
          </cell>
          <cell r="X62">
            <v>8.6E-3</v>
          </cell>
          <cell r="Y62">
            <v>1.0150000000000001E-2</v>
          </cell>
          <cell r="Z62">
            <v>1.15E-2</v>
          </cell>
          <cell r="AA62">
            <v>1.225E-2</v>
          </cell>
          <cell r="AB62">
            <v>1.3300000000000001E-2</v>
          </cell>
          <cell r="AC62">
            <v>1.4800000000000001E-2</v>
          </cell>
        </row>
        <row r="63">
          <cell r="T63">
            <v>39827</v>
          </cell>
          <cell r="U63">
            <v>7.5199999999999998E-3</v>
          </cell>
          <cell r="V63">
            <v>9.4599999999999997E-3</v>
          </cell>
          <cell r="W63">
            <v>7.7499999999999999E-3</v>
          </cell>
          <cell r="X63">
            <v>8.8999999999999999E-3</v>
          </cell>
          <cell r="Y63">
            <v>1.0449999999999999E-2</v>
          </cell>
          <cell r="Z63">
            <v>1.1699999999999999E-2</v>
          </cell>
          <cell r="AA63">
            <v>1.23E-2</v>
          </cell>
          <cell r="AB63">
            <v>1.3450000000000002E-2</v>
          </cell>
          <cell r="AC63">
            <v>1.47E-2</v>
          </cell>
        </row>
        <row r="64">
          <cell r="T64">
            <v>39826</v>
          </cell>
          <cell r="U64">
            <v>7.5199999999999998E-3</v>
          </cell>
          <cell r="V64">
            <v>9.4299999999999991E-3</v>
          </cell>
          <cell r="W64">
            <v>8.0499999999999999E-3</v>
          </cell>
          <cell r="X64">
            <v>9.3500000000000007E-3</v>
          </cell>
          <cell r="Y64">
            <v>1.0550000000000002E-2</v>
          </cell>
          <cell r="Z64">
            <v>1.1749999999999998E-2</v>
          </cell>
          <cell r="AA64">
            <v>1.225E-2</v>
          </cell>
          <cell r="AB64">
            <v>1.3100000000000001E-2</v>
          </cell>
          <cell r="AC64">
            <v>1.4499999999999999E-2</v>
          </cell>
        </row>
        <row r="65">
          <cell r="T65">
            <v>39825</v>
          </cell>
          <cell r="U65">
            <v>7.5500000000000003E-3</v>
          </cell>
          <cell r="V65">
            <v>9.4599999999999997E-3</v>
          </cell>
          <cell r="W65">
            <v>7.8000000000000005E-3</v>
          </cell>
          <cell r="X65">
            <v>9.2500000000000013E-3</v>
          </cell>
          <cell r="Y65">
            <v>1.065E-2</v>
          </cell>
          <cell r="Z65">
            <v>1.145E-2</v>
          </cell>
          <cell r="AA65">
            <v>1.2E-2</v>
          </cell>
          <cell r="AB65">
            <v>1.34E-2</v>
          </cell>
          <cell r="AC65">
            <v>1.47E-2</v>
          </cell>
        </row>
        <row r="66">
          <cell r="T66">
            <v>39824</v>
          </cell>
          <cell r="U66">
            <v>7.4999999999999997E-3</v>
          </cell>
          <cell r="V66">
            <v>9.3799999999999994E-3</v>
          </cell>
          <cell r="W66">
            <v>7.9000000000000008E-3</v>
          </cell>
          <cell r="X66">
            <v>9.4500000000000001E-3</v>
          </cell>
          <cell r="Y66">
            <v>1.0550000000000002E-2</v>
          </cell>
          <cell r="Z66">
            <v>1.1599999999999999E-2</v>
          </cell>
          <cell r="AA66">
            <v>1.2149999999999999E-2</v>
          </cell>
          <cell r="AB66">
            <v>1.315E-2</v>
          </cell>
          <cell r="AC66">
            <v>1.46E-2</v>
          </cell>
        </row>
        <row r="67">
          <cell r="T67">
            <v>39823</v>
          </cell>
          <cell r="U67">
            <v>7.4999999999999997E-3</v>
          </cell>
          <cell r="V67">
            <v>9.3799999999999994E-3</v>
          </cell>
          <cell r="W67">
            <v>7.9000000000000008E-3</v>
          </cell>
          <cell r="X67">
            <v>9.4500000000000001E-3</v>
          </cell>
          <cell r="Y67">
            <v>1.0550000000000002E-2</v>
          </cell>
          <cell r="Z67">
            <v>1.1599999999999999E-2</v>
          </cell>
          <cell r="AA67">
            <v>1.2149999999999999E-2</v>
          </cell>
          <cell r="AB67">
            <v>1.315E-2</v>
          </cell>
          <cell r="AC67">
            <v>1.46E-2</v>
          </cell>
        </row>
        <row r="68">
          <cell r="T68">
            <v>39822</v>
          </cell>
          <cell r="U68">
            <v>7.6400000000000001E-3</v>
          </cell>
          <cell r="V68">
            <v>9.7800000000000005E-3</v>
          </cell>
          <cell r="W68">
            <v>7.9500000000000005E-3</v>
          </cell>
          <cell r="X68">
            <v>9.4500000000000001E-3</v>
          </cell>
          <cell r="Y68">
            <v>1.06E-2</v>
          </cell>
          <cell r="Z68">
            <v>1.15E-2</v>
          </cell>
          <cell r="AA68">
            <v>1.2149999999999999E-2</v>
          </cell>
          <cell r="AB68">
            <v>1.3300000000000001E-2</v>
          </cell>
          <cell r="AC68">
            <v>1.46E-2</v>
          </cell>
        </row>
        <row r="69">
          <cell r="T69">
            <v>39821</v>
          </cell>
          <cell r="U69">
            <v>8.4399999999999996E-3</v>
          </cell>
          <cell r="V69">
            <v>1.047E-2</v>
          </cell>
          <cell r="W69">
            <v>8.3000000000000001E-3</v>
          </cell>
          <cell r="X69">
            <v>9.1999999999999998E-3</v>
          </cell>
          <cell r="Y69">
            <v>1.0350000000000002E-2</v>
          </cell>
          <cell r="Z69">
            <v>1.0950000000000001E-2</v>
          </cell>
          <cell r="AA69">
            <v>1.2E-2</v>
          </cell>
          <cell r="AB69">
            <v>1.2800000000000001E-2</v>
          </cell>
          <cell r="AC69">
            <v>1.3999999999999999E-2</v>
          </cell>
        </row>
        <row r="70">
          <cell r="T70">
            <v>39820</v>
          </cell>
          <cell r="U70">
            <v>1.085E-2</v>
          </cell>
          <cell r="V70">
            <v>1.2540000000000001E-2</v>
          </cell>
          <cell r="W70">
            <v>1.0800000000000001E-2</v>
          </cell>
          <cell r="X70">
            <v>1.145E-2</v>
          </cell>
          <cell r="Y70">
            <v>1.2749999999999999E-2</v>
          </cell>
          <cell r="Z70">
            <v>1.34E-2</v>
          </cell>
          <cell r="AA70">
            <v>1.4049999999999998E-2</v>
          </cell>
          <cell r="AB70">
            <v>1.4849999999999999E-2</v>
          </cell>
          <cell r="AC70">
            <v>1.5800000000000002E-2</v>
          </cell>
        </row>
        <row r="71">
          <cell r="T71">
            <v>39819</v>
          </cell>
          <cell r="U71">
            <v>1.1160000000000002E-2</v>
          </cell>
          <cell r="V71">
            <v>1.2760000000000001E-2</v>
          </cell>
          <cell r="W71">
            <v>1.11E-2</v>
          </cell>
          <cell r="X71">
            <v>1.2149999999999999E-2</v>
          </cell>
          <cell r="Y71">
            <v>1.32E-2</v>
          </cell>
          <cell r="Z71">
            <v>1.4049999999999998E-2</v>
          </cell>
          <cell r="AA71">
            <v>1.4649999999999998E-2</v>
          </cell>
          <cell r="AB71">
            <v>1.5449999999999998E-2</v>
          </cell>
          <cell r="AC71">
            <v>1.6749999999999998E-2</v>
          </cell>
        </row>
        <row r="72">
          <cell r="T72">
            <v>39818</v>
          </cell>
          <cell r="U72">
            <v>1.1140000000000001E-2</v>
          </cell>
          <cell r="V72">
            <v>1.278E-2</v>
          </cell>
          <cell r="W72">
            <v>1.0350000000000002E-2</v>
          </cell>
          <cell r="X72">
            <v>1.0700000000000001E-2</v>
          </cell>
          <cell r="Y72">
            <v>1.1699999999999999E-2</v>
          </cell>
          <cell r="Z72">
            <v>1.24E-2</v>
          </cell>
          <cell r="AA72">
            <v>1.29E-2</v>
          </cell>
          <cell r="AB72">
            <v>1.3599999999999999E-2</v>
          </cell>
          <cell r="AC72">
            <v>1.4499999999999999E-2</v>
          </cell>
        </row>
        <row r="73">
          <cell r="T73">
            <v>39817</v>
          </cell>
          <cell r="U73">
            <v>1.099E-2</v>
          </cell>
          <cell r="V73">
            <v>1.2699999999999999E-2</v>
          </cell>
          <cell r="W73">
            <v>0.01</v>
          </cell>
          <cell r="X73">
            <v>1.065E-2</v>
          </cell>
          <cell r="Y73">
            <v>1.1599999999999999E-2</v>
          </cell>
          <cell r="Z73">
            <v>1.1650000000000001E-2</v>
          </cell>
          <cell r="AA73">
            <v>1.2450000000000001E-2</v>
          </cell>
          <cell r="AB73">
            <v>1.3349999999999999E-2</v>
          </cell>
          <cell r="AC73">
            <v>1.4100000000000001E-2</v>
          </cell>
        </row>
        <row r="74">
          <cell r="T74">
            <v>39816</v>
          </cell>
          <cell r="U74">
            <v>1.099E-2</v>
          </cell>
          <cell r="V74">
            <v>1.2699999999999999E-2</v>
          </cell>
          <cell r="W74">
            <v>0.01</v>
          </cell>
          <cell r="X74">
            <v>1.065E-2</v>
          </cell>
          <cell r="Y74">
            <v>1.1599999999999999E-2</v>
          </cell>
          <cell r="Z74">
            <v>1.1650000000000001E-2</v>
          </cell>
          <cell r="AA74">
            <v>1.2450000000000001E-2</v>
          </cell>
          <cell r="AB74">
            <v>1.3349999999999999E-2</v>
          </cell>
          <cell r="AC74">
            <v>1.4100000000000001E-2</v>
          </cell>
        </row>
        <row r="75">
          <cell r="T75">
            <v>39815</v>
          </cell>
          <cell r="U75">
            <v>1.099E-2</v>
          </cell>
          <cell r="V75">
            <v>1.2699999999999999E-2</v>
          </cell>
          <cell r="W75">
            <v>0.01</v>
          </cell>
          <cell r="X75">
            <v>1.065E-2</v>
          </cell>
          <cell r="Y75">
            <v>1.1599999999999999E-2</v>
          </cell>
          <cell r="Z75">
            <v>1.1650000000000001E-2</v>
          </cell>
          <cell r="AA75">
            <v>1.2450000000000001E-2</v>
          </cell>
          <cell r="AB75">
            <v>1.3349999999999999E-2</v>
          </cell>
          <cell r="AC75">
            <v>1.4100000000000001E-2</v>
          </cell>
        </row>
        <row r="76">
          <cell r="T76">
            <v>39814</v>
          </cell>
          <cell r="U76">
            <v>1.099E-2</v>
          </cell>
          <cell r="V76">
            <v>1.2699999999999999E-2</v>
          </cell>
          <cell r="W76">
            <v>0.01</v>
          </cell>
          <cell r="X76">
            <v>1.065E-2</v>
          </cell>
          <cell r="Y76">
            <v>1.1599999999999999E-2</v>
          </cell>
          <cell r="Z76">
            <v>1.1650000000000001E-2</v>
          </cell>
          <cell r="AA76">
            <v>1.2450000000000001E-2</v>
          </cell>
          <cell r="AB76">
            <v>1.3349999999999999E-2</v>
          </cell>
          <cell r="AC76">
            <v>1.4100000000000001E-2</v>
          </cell>
        </row>
        <row r="77">
          <cell r="T77">
            <v>39813</v>
          </cell>
          <cell r="U77">
            <v>1.099E-2</v>
          </cell>
          <cell r="V77">
            <v>1.2699999999999999E-2</v>
          </cell>
          <cell r="W77">
            <v>0.01</v>
          </cell>
          <cell r="X77">
            <v>1.065E-2</v>
          </cell>
          <cell r="Y77">
            <v>1.1599999999999999E-2</v>
          </cell>
          <cell r="Z77">
            <v>1.1650000000000001E-2</v>
          </cell>
          <cell r="AA77">
            <v>1.2450000000000001E-2</v>
          </cell>
          <cell r="AB77">
            <v>1.3349999999999999E-2</v>
          </cell>
          <cell r="AC77">
            <v>1.4100000000000001E-2</v>
          </cell>
        </row>
        <row r="78">
          <cell r="T78">
            <v>39812</v>
          </cell>
          <cell r="U78">
            <v>1.125E-2</v>
          </cell>
          <cell r="V78">
            <v>1.2889999999999999E-2</v>
          </cell>
          <cell r="W78">
            <v>1.0550000000000002E-2</v>
          </cell>
          <cell r="X78">
            <v>1.0800000000000001E-2</v>
          </cell>
          <cell r="Y78">
            <v>1.1699999999999999E-2</v>
          </cell>
          <cell r="Z78">
            <v>1.23E-2</v>
          </cell>
          <cell r="AA78">
            <v>1.2800000000000001E-2</v>
          </cell>
          <cell r="AB78">
            <v>1.3650000000000001E-2</v>
          </cell>
          <cell r="AC78">
            <v>1.455E-2</v>
          </cell>
        </row>
        <row r="79">
          <cell r="T79">
            <v>39811</v>
          </cell>
          <cell r="U79">
            <v>1.1259999999999999E-2</v>
          </cell>
          <cell r="V79">
            <v>1.286E-2</v>
          </cell>
          <cell r="W79">
            <v>1.0750000000000003E-2</v>
          </cell>
          <cell r="X79">
            <v>1.0700000000000001E-2</v>
          </cell>
          <cell r="Y79">
            <v>1.1699999999999999E-2</v>
          </cell>
          <cell r="Z79">
            <v>1.23E-2</v>
          </cell>
          <cell r="AA79">
            <v>1.2800000000000001E-2</v>
          </cell>
          <cell r="AB79">
            <v>1.3599999999999999E-2</v>
          </cell>
          <cell r="AC79">
            <v>1.455E-2</v>
          </cell>
        </row>
        <row r="80">
          <cell r="T80">
            <v>39810</v>
          </cell>
          <cell r="U80">
            <v>1.1120000000000001E-2</v>
          </cell>
          <cell r="V80">
            <v>1.2760000000000001E-2</v>
          </cell>
          <cell r="W80">
            <v>1.09E-2</v>
          </cell>
          <cell r="X80">
            <v>1.0874999999999999E-2</v>
          </cell>
          <cell r="Y80">
            <v>1.1599999999999999E-2</v>
          </cell>
          <cell r="Z80">
            <v>1.2149999999999999E-2</v>
          </cell>
          <cell r="AA80">
            <v>1.2749999999999999E-2</v>
          </cell>
          <cell r="AB80">
            <v>1.3450000000000002E-2</v>
          </cell>
          <cell r="AC80">
            <v>1.4449999999999998E-2</v>
          </cell>
        </row>
        <row r="81">
          <cell r="T81">
            <v>39809</v>
          </cell>
          <cell r="U81">
            <v>1.1120000000000001E-2</v>
          </cell>
          <cell r="V81">
            <v>1.2760000000000001E-2</v>
          </cell>
          <cell r="W81">
            <v>1.09E-2</v>
          </cell>
          <cell r="X81">
            <v>1.0874999999999999E-2</v>
          </cell>
          <cell r="Y81">
            <v>1.1599999999999999E-2</v>
          </cell>
          <cell r="Z81">
            <v>1.2149999999999999E-2</v>
          </cell>
          <cell r="AA81">
            <v>1.2749999999999999E-2</v>
          </cell>
          <cell r="AB81">
            <v>1.3450000000000002E-2</v>
          </cell>
          <cell r="AC81">
            <v>1.4449999999999998E-2</v>
          </cell>
        </row>
        <row r="82">
          <cell r="T82">
            <v>39808</v>
          </cell>
          <cell r="U82">
            <v>1.1120000000000001E-2</v>
          </cell>
          <cell r="V82">
            <v>1.2760000000000001E-2</v>
          </cell>
          <cell r="W82">
            <v>1.09E-2</v>
          </cell>
          <cell r="X82">
            <v>1.0874999999999999E-2</v>
          </cell>
          <cell r="Y82">
            <v>1.1599999999999999E-2</v>
          </cell>
          <cell r="Z82">
            <v>1.2149999999999999E-2</v>
          </cell>
          <cell r="AA82">
            <v>1.2749999999999999E-2</v>
          </cell>
          <cell r="AB82">
            <v>1.3450000000000002E-2</v>
          </cell>
          <cell r="AC82">
            <v>1.4449999999999998E-2</v>
          </cell>
        </row>
        <row r="83">
          <cell r="T83">
            <v>39807</v>
          </cell>
          <cell r="U83">
            <v>1.1390000000000001E-2</v>
          </cell>
          <cell r="V83">
            <v>1.299E-2</v>
          </cell>
          <cell r="W83">
            <v>1.11E-2</v>
          </cell>
          <cell r="X83">
            <v>1.09E-2</v>
          </cell>
          <cell r="Y83">
            <v>1.1599999999999999E-2</v>
          </cell>
          <cell r="Z83">
            <v>1.21E-2</v>
          </cell>
          <cell r="AA83">
            <v>1.2699999999999999E-2</v>
          </cell>
          <cell r="AB83">
            <v>1.3450000000000002E-2</v>
          </cell>
          <cell r="AC83">
            <v>1.4449999999999998E-2</v>
          </cell>
        </row>
        <row r="84">
          <cell r="T84">
            <v>39806</v>
          </cell>
          <cell r="U84">
            <v>1.1310000000000001E-2</v>
          </cell>
          <cell r="V84">
            <v>1.299E-2</v>
          </cell>
          <cell r="W84">
            <v>1.1000000000000001E-2</v>
          </cell>
          <cell r="X84">
            <v>1.085E-2</v>
          </cell>
          <cell r="Y84">
            <v>1.15E-2</v>
          </cell>
          <cell r="Z84">
            <v>1.21E-2</v>
          </cell>
          <cell r="AA84">
            <v>1.2650000000000002E-2</v>
          </cell>
          <cell r="AB84">
            <v>1.3450000000000002E-2</v>
          </cell>
          <cell r="AC84">
            <v>1.4249999999999999E-2</v>
          </cell>
        </row>
        <row r="85">
          <cell r="T85">
            <v>39805</v>
          </cell>
          <cell r="U85">
            <v>1.1160000000000002E-2</v>
          </cell>
          <cell r="V85">
            <v>1.303E-2</v>
          </cell>
          <cell r="W85">
            <v>1.11E-2</v>
          </cell>
          <cell r="X85">
            <v>1.1200000000000002E-2</v>
          </cell>
          <cell r="Y85">
            <v>1.1850000000000001E-2</v>
          </cell>
          <cell r="Z85">
            <v>1.24E-2</v>
          </cell>
          <cell r="AA85">
            <v>1.29E-2</v>
          </cell>
          <cell r="AB85">
            <v>1.3599999999999999E-2</v>
          </cell>
          <cell r="AC85">
            <v>1.4449999999999998E-2</v>
          </cell>
        </row>
        <row r="86">
          <cell r="T86">
            <v>39804</v>
          </cell>
          <cell r="U86">
            <v>1.158E-2</v>
          </cell>
          <cell r="V86">
            <v>1.333E-2</v>
          </cell>
          <cell r="W86">
            <v>1.1350000000000001E-2</v>
          </cell>
          <cell r="X86">
            <v>1.145E-2</v>
          </cell>
          <cell r="Y86">
            <v>1.21E-2</v>
          </cell>
          <cell r="Z86">
            <v>1.2800000000000001E-2</v>
          </cell>
          <cell r="AA86">
            <v>1.315E-2</v>
          </cell>
          <cell r="AB86">
            <v>1.3999999999999999E-2</v>
          </cell>
          <cell r="AC86">
            <v>1.47E-2</v>
          </cell>
        </row>
        <row r="87">
          <cell r="T87">
            <v>39803</v>
          </cell>
          <cell r="U87">
            <v>1.145E-2</v>
          </cell>
          <cell r="V87">
            <v>1.2929999999999999E-2</v>
          </cell>
          <cell r="W87">
            <v>1.1200000000000002E-2</v>
          </cell>
          <cell r="X87">
            <v>1.1049999999999999E-2</v>
          </cell>
          <cell r="Y87">
            <v>1.18E-2</v>
          </cell>
          <cell r="Z87">
            <v>1.2450000000000001E-2</v>
          </cell>
          <cell r="AA87">
            <v>1.2850000000000002E-2</v>
          </cell>
          <cell r="AB87">
            <v>1.355E-2</v>
          </cell>
          <cell r="AC87">
            <v>1.4499999999999999E-2</v>
          </cell>
        </row>
        <row r="88">
          <cell r="T88">
            <v>39802</v>
          </cell>
          <cell r="U88">
            <v>1.145E-2</v>
          </cell>
          <cell r="V88">
            <v>1.2929999999999999E-2</v>
          </cell>
          <cell r="W88">
            <v>1.1200000000000002E-2</v>
          </cell>
          <cell r="X88">
            <v>1.1049999999999999E-2</v>
          </cell>
          <cell r="Y88">
            <v>1.18E-2</v>
          </cell>
          <cell r="Z88">
            <v>1.2450000000000001E-2</v>
          </cell>
          <cell r="AA88">
            <v>1.2850000000000002E-2</v>
          </cell>
          <cell r="AB88">
            <v>1.355E-2</v>
          </cell>
          <cell r="AC88">
            <v>1.4499999999999999E-2</v>
          </cell>
        </row>
        <row r="89">
          <cell r="T89">
            <v>39801</v>
          </cell>
          <cell r="U89">
            <v>1.145E-2</v>
          </cell>
          <cell r="V89">
            <v>1.2929999999999999E-2</v>
          </cell>
          <cell r="W89">
            <v>1.1200000000000002E-2</v>
          </cell>
          <cell r="X89">
            <v>1.1049999999999999E-2</v>
          </cell>
          <cell r="Y89">
            <v>1.18E-2</v>
          </cell>
          <cell r="Z89">
            <v>1.2450000000000001E-2</v>
          </cell>
          <cell r="AA89">
            <v>1.2850000000000002E-2</v>
          </cell>
          <cell r="AB89">
            <v>1.355E-2</v>
          </cell>
          <cell r="AC89">
            <v>1.4499999999999999E-2</v>
          </cell>
        </row>
        <row r="90">
          <cell r="T90">
            <v>39800</v>
          </cell>
          <cell r="U90">
            <v>1.159E-2</v>
          </cell>
          <cell r="V90">
            <v>1.3140000000000001E-2</v>
          </cell>
          <cell r="W90">
            <v>1.085E-2</v>
          </cell>
          <cell r="X90">
            <v>1.0750000000000003E-2</v>
          </cell>
          <cell r="Y90">
            <v>1.1350000000000001E-2</v>
          </cell>
          <cell r="Z90">
            <v>1.1949999999999999E-2</v>
          </cell>
          <cell r="AA90">
            <v>1.2800000000000001E-2</v>
          </cell>
          <cell r="AB90">
            <v>1.3375E-2</v>
          </cell>
          <cell r="AC90">
            <v>1.4325000000000001E-2</v>
          </cell>
        </row>
        <row r="91">
          <cell r="T91">
            <v>39799</v>
          </cell>
          <cell r="U91">
            <v>1.1679999999999999E-2</v>
          </cell>
          <cell r="V91">
            <v>1.319E-2</v>
          </cell>
          <cell r="W91">
            <v>1.085E-2</v>
          </cell>
          <cell r="X91">
            <v>1.0800000000000001E-2</v>
          </cell>
          <cell r="Y91">
            <v>1.1299999999999999E-2</v>
          </cell>
          <cell r="Z91">
            <v>1.18E-2</v>
          </cell>
          <cell r="AA91">
            <v>1.23E-2</v>
          </cell>
          <cell r="AB91">
            <v>1.3209E-2</v>
          </cell>
          <cell r="AC91">
            <v>1.4150000000000001E-2</v>
          </cell>
        </row>
        <row r="92">
          <cell r="T92">
            <v>39798</v>
          </cell>
          <cell r="U92">
            <v>1.183E-2</v>
          </cell>
          <cell r="V92">
            <v>1.345E-2</v>
          </cell>
          <cell r="W92">
            <v>1.1949999999999999E-2</v>
          </cell>
          <cell r="X92">
            <v>1.1699999999999999E-2</v>
          </cell>
          <cell r="Y92">
            <v>1.24E-2</v>
          </cell>
          <cell r="Z92">
            <v>1.2800000000000001E-2</v>
          </cell>
          <cell r="AA92">
            <v>1.315E-2</v>
          </cell>
          <cell r="AB92">
            <v>1.3950000000000001E-2</v>
          </cell>
          <cell r="AC92">
            <v>1.4649999999999998E-2</v>
          </cell>
        </row>
        <row r="93">
          <cell r="T93">
            <v>39797</v>
          </cell>
          <cell r="U93">
            <v>1.2350000000000002E-2</v>
          </cell>
          <cell r="V93">
            <v>1.389E-2</v>
          </cell>
          <cell r="W93">
            <v>1.2199999999999999E-2</v>
          </cell>
          <cell r="X93">
            <v>1.2149999999999999E-2</v>
          </cell>
          <cell r="Y93">
            <v>1.2650000000000002E-2</v>
          </cell>
          <cell r="Z93">
            <v>1.32E-2</v>
          </cell>
          <cell r="AA93">
            <v>1.37E-2</v>
          </cell>
          <cell r="AB93">
            <v>1.44E-2</v>
          </cell>
          <cell r="AC93">
            <v>1.525E-2</v>
          </cell>
        </row>
        <row r="94">
          <cell r="T94">
            <v>39796</v>
          </cell>
          <cell r="U94">
            <v>1.2619999999999999E-2</v>
          </cell>
          <cell r="V94">
            <v>1.436E-2</v>
          </cell>
          <cell r="W94">
            <v>1.205E-2</v>
          </cell>
          <cell r="X94">
            <v>1.2199999999999999E-2</v>
          </cell>
          <cell r="Y94">
            <v>1.2500000000000001E-2</v>
          </cell>
          <cell r="Z94">
            <v>1.3100000000000001E-2</v>
          </cell>
          <cell r="AA94">
            <v>1.3500000000000002E-2</v>
          </cell>
          <cell r="AB94">
            <v>1.41E-2</v>
          </cell>
          <cell r="AC94">
            <v>1.4849999999999999E-2</v>
          </cell>
        </row>
        <row r="95">
          <cell r="T95">
            <v>39795</v>
          </cell>
          <cell r="U95">
            <v>1.2619999999999999E-2</v>
          </cell>
          <cell r="V95">
            <v>1.436E-2</v>
          </cell>
          <cell r="W95">
            <v>1.205E-2</v>
          </cell>
          <cell r="X95">
            <v>1.2199999999999999E-2</v>
          </cell>
          <cell r="Y95">
            <v>1.2500000000000001E-2</v>
          </cell>
          <cell r="Z95">
            <v>1.3100000000000001E-2</v>
          </cell>
          <cell r="AA95">
            <v>1.3500000000000002E-2</v>
          </cell>
          <cell r="AB95">
            <v>1.41E-2</v>
          </cell>
          <cell r="AC95">
            <v>1.4849999999999999E-2</v>
          </cell>
        </row>
        <row r="96">
          <cell r="T96">
            <v>39794</v>
          </cell>
          <cell r="U96">
            <v>1.2619999999999999E-2</v>
          </cell>
          <cell r="V96">
            <v>1.436E-2</v>
          </cell>
          <cell r="W96">
            <v>1.205E-2</v>
          </cell>
          <cell r="X96">
            <v>1.2199999999999999E-2</v>
          </cell>
          <cell r="Y96">
            <v>1.2500000000000001E-2</v>
          </cell>
          <cell r="Z96">
            <v>1.3100000000000001E-2</v>
          </cell>
          <cell r="AA96">
            <v>1.3500000000000002E-2</v>
          </cell>
          <cell r="AB96">
            <v>1.41E-2</v>
          </cell>
          <cell r="AC96">
            <v>1.4849999999999999E-2</v>
          </cell>
        </row>
        <row r="97">
          <cell r="T97">
            <v>39793</v>
          </cell>
          <cell r="U97">
            <v>1.7440000000000001E-2</v>
          </cell>
          <cell r="V97">
            <v>1.9009999999999999E-2</v>
          </cell>
          <cell r="W97">
            <v>1.4750000000000001E-2</v>
          </cell>
          <cell r="X97">
            <v>1.4499999999999999E-2</v>
          </cell>
          <cell r="Y97">
            <v>1.4999999999999999E-2</v>
          </cell>
          <cell r="Z97">
            <v>1.5350000000000001E-2</v>
          </cell>
          <cell r="AA97">
            <v>1.5700000000000002E-2</v>
          </cell>
          <cell r="AB97">
            <v>1.6449999999999999E-2</v>
          </cell>
          <cell r="AC97">
            <v>1.7349999999999997E-2</v>
          </cell>
        </row>
        <row r="98">
          <cell r="T98">
            <v>39792</v>
          </cell>
          <cell r="U98">
            <v>1.7680000000000001E-2</v>
          </cell>
          <cell r="V98">
            <v>1.924E-2</v>
          </cell>
          <cell r="W98">
            <v>1.5049999999999999E-2</v>
          </cell>
          <cell r="X98">
            <v>1.4750000000000001E-2</v>
          </cell>
          <cell r="Y98">
            <v>1.5150000000000002E-2</v>
          </cell>
          <cell r="Z98">
            <v>1.5550000000000001E-2</v>
          </cell>
          <cell r="AA98">
            <v>1.5900000000000001E-2</v>
          </cell>
          <cell r="AB98">
            <v>1.66E-2</v>
          </cell>
          <cell r="AC98">
            <v>1.7500000000000002E-2</v>
          </cell>
        </row>
        <row r="99">
          <cell r="T99">
            <v>39791</v>
          </cell>
          <cell r="U99">
            <v>1.7809999999999999E-2</v>
          </cell>
          <cell r="V99">
            <v>1.9310000000000001E-2</v>
          </cell>
          <cell r="W99">
            <v>1.49E-2</v>
          </cell>
          <cell r="X99">
            <v>1.4750000000000001E-2</v>
          </cell>
          <cell r="Y99">
            <v>1.5300000000000001E-2</v>
          </cell>
          <cell r="Z99">
            <v>1.5650000000000001E-2</v>
          </cell>
          <cell r="AA99">
            <v>1.6049999999999998E-2</v>
          </cell>
          <cell r="AB99">
            <v>1.6799999999999999E-2</v>
          </cell>
          <cell r="AC99">
            <v>1.77E-2</v>
          </cell>
        </row>
        <row r="100">
          <cell r="T100">
            <v>39790</v>
          </cell>
          <cell r="U100">
            <v>1.779E-2</v>
          </cell>
          <cell r="V100">
            <v>1.9279999999999999E-2</v>
          </cell>
          <cell r="W100">
            <v>1.4499999999999999E-2</v>
          </cell>
          <cell r="X100">
            <v>1.4649999999999998E-2</v>
          </cell>
          <cell r="Y100">
            <v>1.4950000000000001E-2</v>
          </cell>
          <cell r="Z100">
            <v>1.54E-2</v>
          </cell>
          <cell r="AA100">
            <v>1.5800000000000002E-2</v>
          </cell>
          <cell r="AB100">
            <v>1.6401499999999999E-2</v>
          </cell>
          <cell r="AC100">
            <v>1.745E-2</v>
          </cell>
        </row>
        <row r="101">
          <cell r="T101">
            <v>39789</v>
          </cell>
          <cell r="U101">
            <v>1.8149999999999999E-2</v>
          </cell>
          <cell r="V101">
            <v>1.9470000000000001E-2</v>
          </cell>
          <cell r="W101">
            <v>1.4150000000000001E-2</v>
          </cell>
          <cell r="X101">
            <v>1.41E-2</v>
          </cell>
          <cell r="Y101">
            <v>1.4499999999999999E-2</v>
          </cell>
          <cell r="Z101">
            <v>1.4849999999999999E-2</v>
          </cell>
          <cell r="AA101">
            <v>1.5100000000000001E-2</v>
          </cell>
          <cell r="AB101">
            <v>1.585E-2</v>
          </cell>
          <cell r="AC101">
            <v>1.685E-2</v>
          </cell>
        </row>
        <row r="102">
          <cell r="T102">
            <v>39788</v>
          </cell>
          <cell r="U102">
            <v>1.8149999999999999E-2</v>
          </cell>
          <cell r="V102">
            <v>1.9470000000000001E-2</v>
          </cell>
          <cell r="W102">
            <v>1.4150000000000001E-2</v>
          </cell>
          <cell r="X102">
            <v>1.41E-2</v>
          </cell>
          <cell r="Y102">
            <v>1.4499999999999999E-2</v>
          </cell>
          <cell r="Z102">
            <v>1.4849999999999999E-2</v>
          </cell>
          <cell r="AA102">
            <v>1.5100000000000001E-2</v>
          </cell>
          <cell r="AB102">
            <v>1.585E-2</v>
          </cell>
          <cell r="AC102">
            <v>1.685E-2</v>
          </cell>
        </row>
        <row r="103">
          <cell r="T103">
            <v>39787</v>
          </cell>
          <cell r="U103">
            <v>1.8149999999999999E-2</v>
          </cell>
          <cell r="V103">
            <v>1.9470000000000001E-2</v>
          </cell>
          <cell r="W103">
            <v>1.4150000000000001E-2</v>
          </cell>
          <cell r="X103">
            <v>1.41E-2</v>
          </cell>
          <cell r="Y103">
            <v>1.4499999999999999E-2</v>
          </cell>
          <cell r="Z103">
            <v>1.4849999999999999E-2</v>
          </cell>
          <cell r="AA103">
            <v>1.5100000000000001E-2</v>
          </cell>
          <cell r="AB103">
            <v>1.585E-2</v>
          </cell>
          <cell r="AC103">
            <v>1.685E-2</v>
          </cell>
        </row>
        <row r="104">
          <cell r="T104">
            <v>39786</v>
          </cell>
          <cell r="U104">
            <v>1.8319999999999999E-2</v>
          </cell>
          <cell r="V104">
            <v>1.967E-2</v>
          </cell>
          <cell r="W104">
            <v>1.44E-2</v>
          </cell>
          <cell r="X104">
            <v>1.43E-2</v>
          </cell>
          <cell r="Y104">
            <v>1.455E-2</v>
          </cell>
          <cell r="Z104">
            <v>1.4800000000000001E-2</v>
          </cell>
          <cell r="AA104">
            <v>1.52E-2</v>
          </cell>
          <cell r="AB104">
            <v>1.6E-2</v>
          </cell>
          <cell r="AC104">
            <v>1.6750000000000001E-2</v>
          </cell>
        </row>
        <row r="105">
          <cell r="T105">
            <v>39785</v>
          </cell>
          <cell r="U105">
            <v>1.8319999999999999E-2</v>
          </cell>
          <cell r="V105">
            <v>1.967E-2</v>
          </cell>
          <cell r="W105">
            <v>1.435E-2</v>
          </cell>
          <cell r="X105">
            <v>1.43E-2</v>
          </cell>
          <cell r="Y105">
            <v>1.47E-2</v>
          </cell>
          <cell r="Z105">
            <v>1.4999999999999999E-2</v>
          </cell>
          <cell r="AA105">
            <v>1.54E-2</v>
          </cell>
          <cell r="AB105">
            <v>1.6200000000000003E-2</v>
          </cell>
          <cell r="AC105">
            <v>1.7025000000000002E-2</v>
          </cell>
        </row>
        <row r="106">
          <cell r="T106">
            <v>39784</v>
          </cell>
          <cell r="U106">
            <v>1.8329999999999999E-2</v>
          </cell>
          <cell r="V106">
            <v>1.968E-2</v>
          </cell>
          <cell r="W106">
            <v>1.43E-2</v>
          </cell>
          <cell r="X106">
            <v>1.4249999999999999E-2</v>
          </cell>
          <cell r="Y106">
            <v>1.455E-2</v>
          </cell>
          <cell r="Z106">
            <v>1.49E-2</v>
          </cell>
          <cell r="AA106">
            <v>1.525E-2</v>
          </cell>
          <cell r="AB106">
            <v>1.6E-2</v>
          </cell>
          <cell r="AC106">
            <v>1.7000000000000001E-2</v>
          </cell>
        </row>
        <row r="107">
          <cell r="T107">
            <v>39783</v>
          </cell>
          <cell r="U107">
            <v>1.8280000000000001E-2</v>
          </cell>
          <cell r="V107">
            <v>1.9630000000000002E-2</v>
          </cell>
          <cell r="W107">
            <v>1.4499999999999999E-2</v>
          </cell>
          <cell r="X107">
            <v>1.455E-2</v>
          </cell>
          <cell r="Y107">
            <v>1.4849999999999999E-2</v>
          </cell>
          <cell r="Z107">
            <v>1.525E-2</v>
          </cell>
          <cell r="AA107">
            <v>1.5600000000000001E-2</v>
          </cell>
          <cell r="AB107">
            <v>1.6250000000000001E-2</v>
          </cell>
          <cell r="AC107">
            <v>1.7349999999999997E-2</v>
          </cell>
        </row>
        <row r="108">
          <cell r="T108">
            <v>39782</v>
          </cell>
          <cell r="U108">
            <v>1.856E-2</v>
          </cell>
          <cell r="V108">
            <v>1.9910000000000001E-2</v>
          </cell>
          <cell r="W108">
            <v>1.47E-2</v>
          </cell>
          <cell r="X108">
            <v>1.43E-2</v>
          </cell>
          <cell r="Y108">
            <v>1.49E-2</v>
          </cell>
          <cell r="Z108">
            <v>1.52E-2</v>
          </cell>
          <cell r="AA108">
            <v>1.5550000000000001E-2</v>
          </cell>
          <cell r="AB108">
            <v>1.6299999999999999E-2</v>
          </cell>
          <cell r="AC108">
            <v>1.7250000000000001E-2</v>
          </cell>
        </row>
        <row r="109">
          <cell r="T109">
            <v>39781</v>
          </cell>
          <cell r="U109">
            <v>1.856E-2</v>
          </cell>
          <cell r="V109">
            <v>1.9910000000000001E-2</v>
          </cell>
          <cell r="W109">
            <v>1.47E-2</v>
          </cell>
          <cell r="X109">
            <v>1.43E-2</v>
          </cell>
          <cell r="Y109">
            <v>1.49E-2</v>
          </cell>
          <cell r="Z109">
            <v>1.52E-2</v>
          </cell>
          <cell r="AA109">
            <v>1.5550000000000001E-2</v>
          </cell>
          <cell r="AB109">
            <v>1.6299999999999999E-2</v>
          </cell>
          <cell r="AC109">
            <v>1.7250000000000001E-2</v>
          </cell>
        </row>
        <row r="110">
          <cell r="T110">
            <v>39780</v>
          </cell>
          <cell r="U110">
            <v>1.856E-2</v>
          </cell>
          <cell r="V110">
            <v>1.9910000000000001E-2</v>
          </cell>
          <cell r="W110">
            <v>1.47E-2</v>
          </cell>
          <cell r="X110">
            <v>1.43E-2</v>
          </cell>
          <cell r="Y110">
            <v>1.49E-2</v>
          </cell>
          <cell r="Z110">
            <v>1.52E-2</v>
          </cell>
          <cell r="AA110">
            <v>1.5550000000000001E-2</v>
          </cell>
          <cell r="AB110">
            <v>1.6299999999999999E-2</v>
          </cell>
          <cell r="AC110">
            <v>1.7250000000000001E-2</v>
          </cell>
        </row>
        <row r="111">
          <cell r="T111">
            <v>39779</v>
          </cell>
          <cell r="U111">
            <v>1.8600000000000002E-2</v>
          </cell>
          <cell r="V111">
            <v>1.9990000000000001E-2</v>
          </cell>
          <cell r="W111">
            <v>1.5049999999999999E-2</v>
          </cell>
          <cell r="X111">
            <v>1.5100000000000001E-2</v>
          </cell>
          <cell r="Y111">
            <v>1.5550000000000001E-2</v>
          </cell>
          <cell r="Z111">
            <v>1.6E-2</v>
          </cell>
          <cell r="AA111">
            <v>1.6299999999999999E-2</v>
          </cell>
          <cell r="AB111">
            <v>1.7000000000000001E-2</v>
          </cell>
          <cell r="AC111">
            <v>1.805E-2</v>
          </cell>
        </row>
        <row r="112">
          <cell r="T112">
            <v>39778</v>
          </cell>
          <cell r="U112">
            <v>1.8759999999999999E-2</v>
          </cell>
          <cell r="V112">
            <v>2.0049999999999998E-2</v>
          </cell>
          <cell r="W112">
            <v>1.525E-2</v>
          </cell>
          <cell r="X112">
            <v>1.54E-2</v>
          </cell>
          <cell r="Y112">
            <v>1.5650000000000001E-2</v>
          </cell>
          <cell r="Z112">
            <v>1.6299999999999999E-2</v>
          </cell>
          <cell r="AA112">
            <v>1.67E-2</v>
          </cell>
          <cell r="AB112">
            <v>1.7475000000000001E-2</v>
          </cell>
          <cell r="AC112">
            <v>1.8500000000000003E-2</v>
          </cell>
        </row>
        <row r="113">
          <cell r="T113">
            <v>39777</v>
          </cell>
          <cell r="U113">
            <v>1.8749999999999999E-2</v>
          </cell>
          <cell r="V113">
            <v>2.0080000000000001E-2</v>
          </cell>
          <cell r="W113">
            <v>1.5449999999999998E-2</v>
          </cell>
          <cell r="X113">
            <v>1.5550000000000001E-2</v>
          </cell>
          <cell r="Y113">
            <v>1.6025000000000001E-2</v>
          </cell>
          <cell r="Z113">
            <v>1.66E-2</v>
          </cell>
          <cell r="AA113">
            <v>1.7250000000000001E-2</v>
          </cell>
          <cell r="AB113">
            <v>1.78E-2</v>
          </cell>
          <cell r="AC113">
            <v>1.9049999999999997E-2</v>
          </cell>
        </row>
        <row r="114">
          <cell r="T114">
            <v>39776</v>
          </cell>
          <cell r="U114">
            <v>1.8749999999999999E-2</v>
          </cell>
          <cell r="V114">
            <v>2.009E-2</v>
          </cell>
          <cell r="W114">
            <v>1.435E-2</v>
          </cell>
          <cell r="X114">
            <v>1.4449999999999998E-2</v>
          </cell>
          <cell r="Y114">
            <v>1.47E-2</v>
          </cell>
          <cell r="Z114">
            <v>1.5049999999999999E-2</v>
          </cell>
          <cell r="AA114">
            <v>1.575E-2</v>
          </cell>
          <cell r="AB114">
            <v>1.6299999999999999E-2</v>
          </cell>
          <cell r="AC114">
            <v>1.7299999999999999E-2</v>
          </cell>
        </row>
        <row r="115">
          <cell r="T115">
            <v>39775</v>
          </cell>
          <cell r="U115">
            <v>1.8689999999999998E-2</v>
          </cell>
          <cell r="V115">
            <v>2.009E-2</v>
          </cell>
          <cell r="W115">
            <v>1.44E-2</v>
          </cell>
          <cell r="X115">
            <v>1.4150000000000001E-2</v>
          </cell>
          <cell r="Y115">
            <v>1.4649999999999998E-2</v>
          </cell>
          <cell r="Z115">
            <v>1.5150000000000002E-2</v>
          </cell>
          <cell r="AA115">
            <v>1.5300000000000001E-2</v>
          </cell>
          <cell r="AB115">
            <v>1.6200000000000003E-2</v>
          </cell>
          <cell r="AC115">
            <v>1.72E-2</v>
          </cell>
        </row>
        <row r="116">
          <cell r="T116">
            <v>39774</v>
          </cell>
          <cell r="U116">
            <v>1.8689999999999998E-2</v>
          </cell>
          <cell r="V116">
            <v>2.009E-2</v>
          </cell>
          <cell r="W116">
            <v>1.44E-2</v>
          </cell>
          <cell r="X116">
            <v>1.4150000000000001E-2</v>
          </cell>
          <cell r="Y116">
            <v>1.4649999999999998E-2</v>
          </cell>
          <cell r="Z116">
            <v>1.5150000000000002E-2</v>
          </cell>
          <cell r="AA116">
            <v>1.5300000000000001E-2</v>
          </cell>
          <cell r="AB116">
            <v>1.6200000000000003E-2</v>
          </cell>
          <cell r="AC116">
            <v>1.72E-2</v>
          </cell>
        </row>
        <row r="117">
          <cell r="T117">
            <v>39773</v>
          </cell>
          <cell r="U117">
            <v>1.8689999999999998E-2</v>
          </cell>
          <cell r="V117">
            <v>2.009E-2</v>
          </cell>
          <cell r="W117">
            <v>1.44E-2</v>
          </cell>
          <cell r="X117">
            <v>1.4150000000000001E-2</v>
          </cell>
          <cell r="Y117">
            <v>1.4649999999999998E-2</v>
          </cell>
          <cell r="Z117">
            <v>1.5150000000000002E-2</v>
          </cell>
          <cell r="AA117">
            <v>1.5300000000000001E-2</v>
          </cell>
          <cell r="AB117">
            <v>1.6200000000000003E-2</v>
          </cell>
          <cell r="AC117">
            <v>1.72E-2</v>
          </cell>
        </row>
        <row r="118">
          <cell r="T118">
            <v>39772</v>
          </cell>
          <cell r="U118">
            <v>1.8799999999999997E-2</v>
          </cell>
          <cell r="V118">
            <v>2.019E-2</v>
          </cell>
          <cell r="W118">
            <v>1.5049999999999999E-2</v>
          </cell>
          <cell r="X118">
            <v>1.4950000000000001E-2</v>
          </cell>
          <cell r="Y118">
            <v>1.5300000000000001E-2</v>
          </cell>
          <cell r="Z118">
            <v>1.5700000000000002E-2</v>
          </cell>
          <cell r="AA118">
            <v>1.61E-2</v>
          </cell>
          <cell r="AB118">
            <v>1.6904499999999999E-2</v>
          </cell>
          <cell r="AC118">
            <v>1.7950000000000001E-2</v>
          </cell>
        </row>
        <row r="119">
          <cell r="T119">
            <v>39771</v>
          </cell>
          <cell r="U119">
            <v>1.8790000000000001E-2</v>
          </cell>
          <cell r="V119">
            <v>2.0110000000000003E-2</v>
          </cell>
          <cell r="W119">
            <v>1.5900000000000001E-2</v>
          </cell>
          <cell r="X119">
            <v>1.575E-2</v>
          </cell>
          <cell r="Y119">
            <v>1.61E-2</v>
          </cell>
          <cell r="Z119">
            <v>1.6549999999999999E-2</v>
          </cell>
          <cell r="AA119">
            <v>1.7049999999999999E-2</v>
          </cell>
          <cell r="AB119">
            <v>1.7950000000000001E-2</v>
          </cell>
          <cell r="AC119">
            <v>1.8700000000000001E-2</v>
          </cell>
        </row>
        <row r="120">
          <cell r="T120">
            <v>39770</v>
          </cell>
          <cell r="U120">
            <v>1.8859999999999998E-2</v>
          </cell>
          <cell r="V120">
            <v>2.0110000000000003E-2</v>
          </cell>
          <cell r="W120">
            <v>1.6749999999999998E-2</v>
          </cell>
          <cell r="X120">
            <v>1.67E-2</v>
          </cell>
          <cell r="Y120">
            <v>1.7000000000000001E-2</v>
          </cell>
          <cell r="Z120">
            <v>1.745E-2</v>
          </cell>
          <cell r="AA120">
            <v>1.7749999999999998E-2</v>
          </cell>
          <cell r="AB120">
            <v>1.8500000000000003E-2</v>
          </cell>
          <cell r="AC120">
            <v>1.9599999999999999E-2</v>
          </cell>
        </row>
        <row r="121">
          <cell r="T121">
            <v>39769</v>
          </cell>
          <cell r="U121">
            <v>1.9089999999999999E-2</v>
          </cell>
          <cell r="V121">
            <v>2.0320000000000001E-2</v>
          </cell>
          <cell r="W121">
            <v>1.67E-2</v>
          </cell>
          <cell r="X121">
            <v>1.6650000000000002E-2</v>
          </cell>
          <cell r="Y121">
            <v>1.695E-2</v>
          </cell>
          <cell r="Z121">
            <v>1.72E-2</v>
          </cell>
          <cell r="AA121">
            <v>1.7749999999999998E-2</v>
          </cell>
          <cell r="AB121">
            <v>1.8547000000000001E-2</v>
          </cell>
          <cell r="AC121">
            <v>1.9550000000000001E-2</v>
          </cell>
        </row>
        <row r="122">
          <cell r="T122">
            <v>39768</v>
          </cell>
          <cell r="U122">
            <v>1.925E-2</v>
          </cell>
          <cell r="V122">
            <v>2.0400000000000001E-2</v>
          </cell>
          <cell r="W122">
            <v>1.6799999999999999E-2</v>
          </cell>
          <cell r="X122">
            <v>1.6650000000000002E-2</v>
          </cell>
          <cell r="Y122">
            <v>1.6899999999999998E-2</v>
          </cell>
          <cell r="Z122">
            <v>1.7250000000000001E-2</v>
          </cell>
          <cell r="AA122">
            <v>1.77E-2</v>
          </cell>
          <cell r="AB122">
            <v>1.84E-2</v>
          </cell>
          <cell r="AC122">
            <v>1.9299999999999998E-2</v>
          </cell>
        </row>
        <row r="123">
          <cell r="T123">
            <v>39767</v>
          </cell>
          <cell r="U123">
            <v>1.925E-2</v>
          </cell>
          <cell r="V123">
            <v>2.0400000000000001E-2</v>
          </cell>
          <cell r="W123">
            <v>1.6799999999999999E-2</v>
          </cell>
          <cell r="X123">
            <v>1.6650000000000002E-2</v>
          </cell>
          <cell r="Y123">
            <v>1.6899999999999998E-2</v>
          </cell>
          <cell r="Z123">
            <v>1.7250000000000001E-2</v>
          </cell>
          <cell r="AA123">
            <v>1.77E-2</v>
          </cell>
          <cell r="AB123">
            <v>1.84E-2</v>
          </cell>
          <cell r="AC123">
            <v>1.9299999999999998E-2</v>
          </cell>
        </row>
        <row r="124">
          <cell r="T124">
            <v>39766</v>
          </cell>
          <cell r="U124">
            <v>1.925E-2</v>
          </cell>
          <cell r="V124">
            <v>2.0400000000000001E-2</v>
          </cell>
          <cell r="W124">
            <v>1.6799999999999999E-2</v>
          </cell>
          <cell r="X124">
            <v>1.6650000000000002E-2</v>
          </cell>
          <cell r="Y124">
            <v>1.6899999999999998E-2</v>
          </cell>
          <cell r="Z124">
            <v>1.7250000000000001E-2</v>
          </cell>
          <cell r="AA124">
            <v>1.77E-2</v>
          </cell>
          <cell r="AB124">
            <v>1.84E-2</v>
          </cell>
          <cell r="AC124">
            <v>1.9299999999999998E-2</v>
          </cell>
        </row>
        <row r="125">
          <cell r="T125">
            <v>39765</v>
          </cell>
          <cell r="U125">
            <v>1.9199999999999998E-2</v>
          </cell>
          <cell r="V125">
            <v>2.0119999999999999E-2</v>
          </cell>
          <cell r="W125">
            <v>1.755E-2</v>
          </cell>
          <cell r="X125">
            <v>1.745E-2</v>
          </cell>
          <cell r="Y125">
            <v>1.7600000000000001E-2</v>
          </cell>
          <cell r="Z125">
            <v>1.7850000000000001E-2</v>
          </cell>
          <cell r="AA125">
            <v>1.8250000000000002E-2</v>
          </cell>
          <cell r="AB125">
            <v>1.8849999999999999E-2</v>
          </cell>
          <cell r="AC125">
            <v>1.9799999999999998E-2</v>
          </cell>
        </row>
        <row r="126">
          <cell r="T126">
            <v>39764</v>
          </cell>
          <cell r="U126">
            <v>1.9230000000000001E-2</v>
          </cell>
          <cell r="V126">
            <v>2.0489999999999998E-2</v>
          </cell>
          <cell r="W126">
            <v>1.7349999999999997E-2</v>
          </cell>
          <cell r="X126">
            <v>1.7299999999999999E-2</v>
          </cell>
          <cell r="Y126">
            <v>1.7600000000000001E-2</v>
          </cell>
          <cell r="Z126">
            <v>1.7899999999999999E-2</v>
          </cell>
          <cell r="AA126">
            <v>1.8100000000000002E-2</v>
          </cell>
          <cell r="AB126">
            <v>1.8849999999999999E-2</v>
          </cell>
          <cell r="AC126">
            <v>1.9865000000000001E-2</v>
          </cell>
        </row>
        <row r="127">
          <cell r="T127">
            <v>39763</v>
          </cell>
          <cell r="U127">
            <v>1.9570000000000001E-2</v>
          </cell>
          <cell r="V127">
            <v>2.0930000000000001E-2</v>
          </cell>
          <cell r="W127">
            <v>1.7600000000000001E-2</v>
          </cell>
          <cell r="X127">
            <v>1.745E-2</v>
          </cell>
          <cell r="Y127">
            <v>1.7749999999999998E-2</v>
          </cell>
          <cell r="Z127">
            <v>1.7950000000000001E-2</v>
          </cell>
          <cell r="AA127">
            <v>1.8250000000000002E-2</v>
          </cell>
          <cell r="AB127">
            <v>1.8881499999999999E-2</v>
          </cell>
          <cell r="AC127">
            <v>1.9949999999999999E-2</v>
          </cell>
        </row>
        <row r="128">
          <cell r="T128">
            <v>39762</v>
          </cell>
          <cell r="U128">
            <v>1.9630000000000002E-2</v>
          </cell>
          <cell r="V128">
            <v>2.1080000000000002E-2</v>
          </cell>
          <cell r="W128">
            <v>1.8250000000000002E-2</v>
          </cell>
          <cell r="X128">
            <v>1.8149999999999999E-2</v>
          </cell>
          <cell r="Y128">
            <v>1.84E-2</v>
          </cell>
          <cell r="Z128">
            <v>1.8799999999999997E-2</v>
          </cell>
          <cell r="AA128">
            <v>1.8950000000000002E-2</v>
          </cell>
          <cell r="AB128">
            <v>1.9699999999999999E-2</v>
          </cell>
          <cell r="AC128">
            <v>2.0750000000000001E-2</v>
          </cell>
        </row>
        <row r="129">
          <cell r="T129">
            <v>39761</v>
          </cell>
          <cell r="U129">
            <v>2.0830000000000001E-2</v>
          </cell>
          <cell r="V129">
            <v>2.2090000000000002E-2</v>
          </cell>
          <cell r="W129">
            <v>1.9699999999999999E-2</v>
          </cell>
          <cell r="X129">
            <v>1.975E-2</v>
          </cell>
          <cell r="Y129">
            <v>1.9949999999999999E-2</v>
          </cell>
          <cell r="Z129">
            <v>2.0299999999999999E-2</v>
          </cell>
          <cell r="AA129">
            <v>2.0549999999999999E-2</v>
          </cell>
          <cell r="AB129">
            <v>2.1300499999999997E-2</v>
          </cell>
          <cell r="AC129">
            <v>2.23E-2</v>
          </cell>
        </row>
        <row r="130">
          <cell r="T130">
            <v>39760</v>
          </cell>
          <cell r="U130">
            <v>2.0830000000000001E-2</v>
          </cell>
          <cell r="V130">
            <v>2.2090000000000002E-2</v>
          </cell>
          <cell r="W130">
            <v>1.9699999999999999E-2</v>
          </cell>
          <cell r="X130">
            <v>1.975E-2</v>
          </cell>
          <cell r="Y130">
            <v>1.9949999999999999E-2</v>
          </cell>
          <cell r="Z130">
            <v>2.0299999999999999E-2</v>
          </cell>
          <cell r="AA130">
            <v>2.0549999999999999E-2</v>
          </cell>
          <cell r="AB130">
            <v>2.1300499999999997E-2</v>
          </cell>
          <cell r="AC130">
            <v>2.23E-2</v>
          </cell>
        </row>
        <row r="131">
          <cell r="T131">
            <v>39759</v>
          </cell>
          <cell r="U131">
            <v>2.0830000000000001E-2</v>
          </cell>
          <cell r="V131">
            <v>2.2090000000000002E-2</v>
          </cell>
          <cell r="W131">
            <v>1.9699999999999999E-2</v>
          </cell>
          <cell r="X131">
            <v>1.975E-2</v>
          </cell>
          <cell r="Y131">
            <v>1.9949999999999999E-2</v>
          </cell>
          <cell r="Z131">
            <v>2.0299999999999999E-2</v>
          </cell>
          <cell r="AA131">
            <v>2.0549999999999999E-2</v>
          </cell>
          <cell r="AB131">
            <v>2.1300499999999997E-2</v>
          </cell>
          <cell r="AC131">
            <v>2.23E-2</v>
          </cell>
        </row>
        <row r="132">
          <cell r="T132">
            <v>39758</v>
          </cell>
          <cell r="U132">
            <v>2.0830000000000001E-2</v>
          </cell>
          <cell r="V132">
            <v>2.206E-2</v>
          </cell>
          <cell r="W132">
            <v>1.9799999999999998E-2</v>
          </cell>
          <cell r="X132">
            <v>1.9900000000000001E-2</v>
          </cell>
          <cell r="Y132">
            <v>0.02</v>
          </cell>
          <cell r="Z132">
            <v>2.0400000000000001E-2</v>
          </cell>
          <cell r="AA132">
            <v>2.0499999999999997E-2</v>
          </cell>
          <cell r="AB132">
            <v>2.1349999999999997E-2</v>
          </cell>
          <cell r="AC132">
            <v>2.2349999999999998E-2</v>
          </cell>
        </row>
        <row r="133">
          <cell r="T133">
            <v>39757</v>
          </cell>
          <cell r="U133">
            <v>2.0910000000000002E-2</v>
          </cell>
          <cell r="V133">
            <v>2.2109999999999998E-2</v>
          </cell>
          <cell r="W133">
            <v>1.9950000000000002E-2</v>
          </cell>
          <cell r="X133">
            <v>1.9900000000000001E-2</v>
          </cell>
          <cell r="Y133">
            <v>2.0099999999999996E-2</v>
          </cell>
          <cell r="Z133">
            <v>2.0449999999999999E-2</v>
          </cell>
          <cell r="AA133">
            <v>2.0750000000000001E-2</v>
          </cell>
          <cell r="AB133">
            <v>2.1499999999999998E-2</v>
          </cell>
          <cell r="AC133">
            <v>2.265E-2</v>
          </cell>
        </row>
        <row r="134">
          <cell r="T134">
            <v>39756</v>
          </cell>
          <cell r="U134">
            <v>2.0889999999999999E-2</v>
          </cell>
          <cell r="V134">
            <v>2.2080000000000002E-2</v>
          </cell>
          <cell r="W134">
            <v>1.9900000000000001E-2</v>
          </cell>
          <cell r="X134">
            <v>2.0099999999999996E-2</v>
          </cell>
          <cell r="Y134">
            <v>2.0324999999999996E-2</v>
          </cell>
          <cell r="Z134">
            <v>2.0700000000000003E-2</v>
          </cell>
          <cell r="AA134">
            <v>2.0999999999999998E-2</v>
          </cell>
          <cell r="AB134">
            <v>2.1950000000000004E-2</v>
          </cell>
          <cell r="AC134">
            <v>2.2749999999999999E-2</v>
          </cell>
        </row>
        <row r="135">
          <cell r="T135">
            <v>39755</v>
          </cell>
          <cell r="U135">
            <v>2.0870000000000003E-2</v>
          </cell>
          <cell r="V135">
            <v>2.2109999999999998E-2</v>
          </cell>
          <cell r="W135">
            <v>0.02</v>
          </cell>
          <cell r="X135">
            <v>2.0250000000000001E-2</v>
          </cell>
          <cell r="Y135">
            <v>2.06E-2</v>
          </cell>
          <cell r="Z135">
            <v>2.0899999999999998E-2</v>
          </cell>
          <cell r="AA135">
            <v>2.1250000000000002E-2</v>
          </cell>
          <cell r="AB135">
            <v>2.18E-2</v>
          </cell>
          <cell r="AC135">
            <v>2.3099999999999999E-2</v>
          </cell>
        </row>
        <row r="136">
          <cell r="T136">
            <v>39754</v>
          </cell>
          <cell r="U136">
            <v>2.1019999999999997E-2</v>
          </cell>
          <cell r="V136">
            <v>2.2109999999999998E-2</v>
          </cell>
          <cell r="W136">
            <v>1.985E-2</v>
          </cell>
          <cell r="X136">
            <v>1.9899999999999998E-2</v>
          </cell>
          <cell r="Y136">
            <v>2.0250000000000001E-2</v>
          </cell>
          <cell r="Z136">
            <v>2.0499999999999997E-2</v>
          </cell>
          <cell r="AA136">
            <v>2.0799999999999999E-2</v>
          </cell>
          <cell r="AB136">
            <v>2.1499999999999998E-2</v>
          </cell>
          <cell r="AC136">
            <v>2.2199999999999998E-2</v>
          </cell>
        </row>
        <row r="137">
          <cell r="T137">
            <v>39753</v>
          </cell>
          <cell r="U137">
            <v>2.1019999999999997E-2</v>
          </cell>
          <cell r="V137">
            <v>2.2109999999999998E-2</v>
          </cell>
          <cell r="W137">
            <v>1.985E-2</v>
          </cell>
          <cell r="X137">
            <v>1.9899999999999998E-2</v>
          </cell>
          <cell r="Y137">
            <v>2.0250000000000001E-2</v>
          </cell>
          <cell r="Z137">
            <v>2.0499999999999997E-2</v>
          </cell>
          <cell r="AA137">
            <v>2.0799999999999999E-2</v>
          </cell>
          <cell r="AB137">
            <v>2.1499999999999998E-2</v>
          </cell>
          <cell r="AC137">
            <v>2.2199999999999998E-2</v>
          </cell>
        </row>
        <row r="138">
          <cell r="T138">
            <v>39752</v>
          </cell>
          <cell r="U138">
            <v>2.1019999999999997E-2</v>
          </cell>
          <cell r="V138">
            <v>2.2109999999999998E-2</v>
          </cell>
          <cell r="W138">
            <v>1.985E-2</v>
          </cell>
          <cell r="X138">
            <v>1.9899999999999998E-2</v>
          </cell>
          <cell r="Y138">
            <v>2.0250000000000001E-2</v>
          </cell>
          <cell r="Z138">
            <v>2.0499999999999997E-2</v>
          </cell>
          <cell r="AA138">
            <v>2.0799999999999999E-2</v>
          </cell>
          <cell r="AB138">
            <v>2.1499999999999998E-2</v>
          </cell>
          <cell r="AC138">
            <v>2.2199999999999998E-2</v>
          </cell>
        </row>
        <row r="139">
          <cell r="T139">
            <v>39751</v>
          </cell>
          <cell r="U139">
            <v>2.1099999999999997E-2</v>
          </cell>
          <cell r="V139">
            <v>2.2170000000000002E-2</v>
          </cell>
          <cell r="W139">
            <v>1.9649999999999997E-2</v>
          </cell>
          <cell r="X139">
            <v>1.95E-2</v>
          </cell>
          <cell r="Y139">
            <v>1.9599999999999999E-2</v>
          </cell>
          <cell r="Z139">
            <v>1.9949999999999999E-2</v>
          </cell>
          <cell r="AA139">
            <v>2.0250000000000001E-2</v>
          </cell>
          <cell r="AB139">
            <v>2.0949999999999996E-2</v>
          </cell>
          <cell r="AC139">
            <v>2.1600000000000001E-2</v>
          </cell>
        </row>
        <row r="140">
          <cell r="T140">
            <v>39750</v>
          </cell>
          <cell r="U140">
            <v>2.1489999999999999E-2</v>
          </cell>
          <cell r="V140">
            <v>2.2540000000000001E-2</v>
          </cell>
          <cell r="W140">
            <v>1.975E-2</v>
          </cell>
          <cell r="X140">
            <v>1.975E-2</v>
          </cell>
          <cell r="Y140">
            <v>1.9899999999999998E-2</v>
          </cell>
          <cell r="Z140">
            <v>2.0150000000000001E-2</v>
          </cell>
          <cell r="AA140">
            <v>2.0400000000000001E-2</v>
          </cell>
          <cell r="AB140">
            <v>2.1150000000000002E-2</v>
          </cell>
          <cell r="AC140">
            <v>2.1950000000000004E-2</v>
          </cell>
        </row>
        <row r="141">
          <cell r="T141">
            <v>39749</v>
          </cell>
          <cell r="U141">
            <v>2.155E-2</v>
          </cell>
          <cell r="V141">
            <v>2.257E-2</v>
          </cell>
          <cell r="W141">
            <v>1.9599999999999999E-2</v>
          </cell>
          <cell r="X141">
            <v>1.9599999999999999E-2</v>
          </cell>
          <cell r="Y141">
            <v>1.9699999999999999E-2</v>
          </cell>
          <cell r="Z141">
            <v>1.9950000000000002E-2</v>
          </cell>
          <cell r="AA141">
            <v>2.0400000000000001E-2</v>
          </cell>
          <cell r="AB141">
            <v>2.1150000000000002E-2</v>
          </cell>
          <cell r="AC141">
            <v>2.1950000000000004E-2</v>
          </cell>
        </row>
        <row r="142">
          <cell r="T142">
            <v>39748</v>
          </cell>
          <cell r="U142">
            <v>2.1600000000000001E-2</v>
          </cell>
          <cell r="V142">
            <v>2.2629999999999997E-2</v>
          </cell>
          <cell r="W142">
            <v>1.9400000000000001E-2</v>
          </cell>
          <cell r="X142">
            <v>1.925E-2</v>
          </cell>
          <cell r="Y142">
            <v>1.9449999999999999E-2</v>
          </cell>
          <cell r="Z142">
            <v>1.9699999999999999E-2</v>
          </cell>
          <cell r="AA142">
            <v>1.9949999999999999E-2</v>
          </cell>
          <cell r="AB142">
            <v>2.0649999999999998E-2</v>
          </cell>
          <cell r="AC142">
            <v>2.1349999999999997E-2</v>
          </cell>
        </row>
        <row r="143">
          <cell r="T143">
            <v>39747</v>
          </cell>
          <cell r="U143">
            <v>2.1600000000000001E-2</v>
          </cell>
          <cell r="V143">
            <v>2.2629999999999997E-2</v>
          </cell>
          <cell r="W143">
            <v>2.0099999999999996E-2</v>
          </cell>
          <cell r="X143">
            <v>0.02</v>
          </cell>
          <cell r="Y143">
            <v>2.0049999999999998E-2</v>
          </cell>
          <cell r="Z143">
            <v>2.0300000000000002E-2</v>
          </cell>
          <cell r="AA143">
            <v>2.0549999999999999E-2</v>
          </cell>
          <cell r="AB143">
            <v>2.1299999999999999E-2</v>
          </cell>
          <cell r="AC143">
            <v>2.1974999999999998E-2</v>
          </cell>
        </row>
        <row r="144">
          <cell r="T144">
            <v>39746</v>
          </cell>
          <cell r="U144">
            <v>2.1600000000000001E-2</v>
          </cell>
          <cell r="V144">
            <v>2.2629999999999997E-2</v>
          </cell>
          <cell r="W144">
            <v>2.0099999999999996E-2</v>
          </cell>
          <cell r="X144">
            <v>0.02</v>
          </cell>
          <cell r="Y144">
            <v>2.0049999999999998E-2</v>
          </cell>
          <cell r="Z144">
            <v>2.0300000000000002E-2</v>
          </cell>
          <cell r="AA144">
            <v>2.0549999999999999E-2</v>
          </cell>
          <cell r="AB144">
            <v>2.1299999999999999E-2</v>
          </cell>
          <cell r="AC144">
            <v>2.1974999999999998E-2</v>
          </cell>
        </row>
        <row r="145">
          <cell r="T145">
            <v>39745</v>
          </cell>
          <cell r="U145">
            <v>2.1600000000000001E-2</v>
          </cell>
          <cell r="V145">
            <v>2.2629999999999997E-2</v>
          </cell>
          <cell r="W145">
            <v>2.0099999999999996E-2</v>
          </cell>
          <cell r="X145">
            <v>0.02</v>
          </cell>
          <cell r="Y145">
            <v>2.0049999999999998E-2</v>
          </cell>
          <cell r="Z145">
            <v>2.0300000000000002E-2</v>
          </cell>
          <cell r="AA145">
            <v>2.0549999999999999E-2</v>
          </cell>
          <cell r="AB145">
            <v>2.1299999999999999E-2</v>
          </cell>
          <cell r="AC145">
            <v>2.1974999999999998E-2</v>
          </cell>
        </row>
        <row r="146">
          <cell r="T146">
            <v>39744</v>
          </cell>
          <cell r="U146">
            <v>2.1600000000000001E-2</v>
          </cell>
          <cell r="V146">
            <v>2.2589999999999999E-2</v>
          </cell>
          <cell r="W146">
            <v>1.9950000000000002E-2</v>
          </cell>
          <cell r="X146">
            <v>1.9950000000000002E-2</v>
          </cell>
          <cell r="Y146">
            <v>2.0099999999999996E-2</v>
          </cell>
          <cell r="Z146">
            <v>2.0300000000000002E-2</v>
          </cell>
          <cell r="AA146">
            <v>2.0599999999999997E-2</v>
          </cell>
          <cell r="AB146">
            <v>2.12E-2</v>
          </cell>
          <cell r="AC146">
            <v>2.1899999999999999E-2</v>
          </cell>
        </row>
        <row r="147">
          <cell r="T147">
            <v>39743</v>
          </cell>
          <cell r="U147">
            <v>2.1629999999999996E-2</v>
          </cell>
          <cell r="V147">
            <v>2.2610000000000002E-2</v>
          </cell>
          <cell r="W147">
            <v>2.06E-2</v>
          </cell>
          <cell r="X147">
            <v>2.06E-2</v>
          </cell>
          <cell r="Y147">
            <v>2.0899999999999998E-2</v>
          </cell>
          <cell r="Z147">
            <v>2.1099999999999997E-2</v>
          </cell>
          <cell r="AA147">
            <v>2.1499999999999998E-2</v>
          </cell>
          <cell r="AB147">
            <v>2.2250000000000002E-2</v>
          </cell>
          <cell r="AC147">
            <v>2.2949999999999998E-2</v>
          </cell>
        </row>
        <row r="148">
          <cell r="T148">
            <v>39742</v>
          </cell>
          <cell r="U148">
            <v>2.1589999999999998E-2</v>
          </cell>
          <cell r="V148">
            <v>2.2620000000000001E-2</v>
          </cell>
          <cell r="W148">
            <v>2.0499999999999997E-2</v>
          </cell>
          <cell r="X148">
            <v>2.07E-2</v>
          </cell>
          <cell r="Y148">
            <v>2.1049999999999999E-2</v>
          </cell>
          <cell r="Z148">
            <v>2.1349999999999997E-2</v>
          </cell>
          <cell r="AA148">
            <v>2.1649999999999999E-2</v>
          </cell>
          <cell r="AB148">
            <v>2.2450000000000001E-2</v>
          </cell>
          <cell r="AC148">
            <v>2.3049999999999998E-2</v>
          </cell>
        </row>
        <row r="149">
          <cell r="T149">
            <v>39741</v>
          </cell>
          <cell r="U149">
            <v>2.162E-2</v>
          </cell>
          <cell r="V149">
            <v>2.2639999999999997E-2</v>
          </cell>
          <cell r="W149">
            <v>2.0449999999999999E-2</v>
          </cell>
          <cell r="X149">
            <v>2.0499999999999997E-2</v>
          </cell>
          <cell r="Y149">
            <v>2.0750000000000001E-2</v>
          </cell>
          <cell r="Z149">
            <v>2.1049999999999999E-2</v>
          </cell>
          <cell r="AA149">
            <v>2.1349999999999997E-2</v>
          </cell>
          <cell r="AB149">
            <v>2.2000000000000002E-2</v>
          </cell>
          <cell r="AC149">
            <v>2.2850000000000002E-2</v>
          </cell>
        </row>
        <row r="150">
          <cell r="T150">
            <v>39740</v>
          </cell>
          <cell r="U150">
            <v>2.162E-2</v>
          </cell>
          <cell r="V150">
            <v>2.2629999999999997E-2</v>
          </cell>
          <cell r="W150">
            <v>2.0250000000000001E-2</v>
          </cell>
          <cell r="X150">
            <v>2.0149999999999998E-2</v>
          </cell>
          <cell r="Y150">
            <v>2.0400000000000001E-2</v>
          </cell>
          <cell r="Z150">
            <v>2.07E-2</v>
          </cell>
          <cell r="AA150">
            <v>2.0949999999999996E-2</v>
          </cell>
          <cell r="AB150">
            <v>2.1700000000000001E-2</v>
          </cell>
          <cell r="AC150">
            <v>2.2350000000000002E-2</v>
          </cell>
        </row>
        <row r="151">
          <cell r="T151">
            <v>39739</v>
          </cell>
          <cell r="U151">
            <v>2.162E-2</v>
          </cell>
          <cell r="V151">
            <v>2.2629999999999997E-2</v>
          </cell>
          <cell r="W151">
            <v>2.0250000000000001E-2</v>
          </cell>
          <cell r="X151">
            <v>2.0149999999999998E-2</v>
          </cell>
          <cell r="Y151">
            <v>2.0400000000000001E-2</v>
          </cell>
          <cell r="Z151">
            <v>2.07E-2</v>
          </cell>
          <cell r="AA151">
            <v>2.0949999999999996E-2</v>
          </cell>
          <cell r="AB151">
            <v>2.1700000000000001E-2</v>
          </cell>
          <cell r="AC151">
            <v>2.2350000000000002E-2</v>
          </cell>
        </row>
        <row r="152">
          <cell r="T152">
            <v>39738</v>
          </cell>
          <cell r="U152">
            <v>2.162E-2</v>
          </cell>
          <cell r="V152">
            <v>2.2629999999999997E-2</v>
          </cell>
          <cell r="W152">
            <v>2.0250000000000001E-2</v>
          </cell>
          <cell r="X152">
            <v>2.0149999999999998E-2</v>
          </cell>
          <cell r="Y152">
            <v>2.0400000000000001E-2</v>
          </cell>
          <cell r="Z152">
            <v>2.07E-2</v>
          </cell>
          <cell r="AA152">
            <v>2.0949999999999996E-2</v>
          </cell>
          <cell r="AB152">
            <v>2.1700000000000001E-2</v>
          </cell>
          <cell r="AC152">
            <v>2.2350000000000002E-2</v>
          </cell>
        </row>
        <row r="153">
          <cell r="T153">
            <v>39737</v>
          </cell>
          <cell r="U153">
            <v>2.1610000000000001E-2</v>
          </cell>
          <cell r="V153">
            <v>2.2669999999999999E-2</v>
          </cell>
          <cell r="W153">
            <v>2.0149999999999998E-2</v>
          </cell>
          <cell r="X153">
            <v>2.0199999999999996E-2</v>
          </cell>
          <cell r="Y153">
            <v>2.0499999999999997E-2</v>
          </cell>
          <cell r="Z153">
            <v>2.0750000000000001E-2</v>
          </cell>
          <cell r="AA153">
            <v>2.0949999999999996E-2</v>
          </cell>
          <cell r="AB153">
            <v>2.1749999999999999E-2</v>
          </cell>
          <cell r="AC153">
            <v>2.2200000000000001E-2</v>
          </cell>
        </row>
        <row r="154">
          <cell r="T154">
            <v>39736</v>
          </cell>
          <cell r="U154">
            <v>2.1659999999999999E-2</v>
          </cell>
          <cell r="V154">
            <v>2.2669999999999999E-2</v>
          </cell>
          <cell r="W154">
            <v>2.085E-2</v>
          </cell>
          <cell r="X154">
            <v>2.0949999999999996E-2</v>
          </cell>
          <cell r="Y154">
            <v>2.1299999999999999E-2</v>
          </cell>
          <cell r="Z154">
            <v>2.1600000000000001E-2</v>
          </cell>
          <cell r="AA154">
            <v>2.1850000000000001E-2</v>
          </cell>
          <cell r="AB154">
            <v>2.265E-2</v>
          </cell>
          <cell r="AC154">
            <v>2.3550000000000001E-2</v>
          </cell>
        </row>
        <row r="155">
          <cell r="T155">
            <v>39735</v>
          </cell>
          <cell r="U155">
            <v>2.1629999999999996E-2</v>
          </cell>
          <cell r="V155">
            <v>2.2639999999999997E-2</v>
          </cell>
          <cell r="W155">
            <v>2.0899999999999998E-2</v>
          </cell>
          <cell r="X155">
            <v>2.1049999999999999E-2</v>
          </cell>
          <cell r="Y155">
            <v>2.1299999999999999E-2</v>
          </cell>
          <cell r="Z155">
            <v>2.1675E-2</v>
          </cell>
          <cell r="AA155">
            <v>2.1900000000000003E-2</v>
          </cell>
          <cell r="AB155">
            <v>2.2700000000000001E-2</v>
          </cell>
          <cell r="AC155">
            <v>2.3600000000000003E-2</v>
          </cell>
        </row>
        <row r="156">
          <cell r="T156">
            <v>39734</v>
          </cell>
          <cell r="U156">
            <v>2.1629999999999996E-2</v>
          </cell>
          <cell r="V156">
            <v>2.266E-2</v>
          </cell>
          <cell r="W156">
            <v>2.0649999999999998E-2</v>
          </cell>
          <cell r="X156">
            <v>2.0549999999999999E-2</v>
          </cell>
          <cell r="Y156">
            <v>2.085E-2</v>
          </cell>
          <cell r="Z156">
            <v>2.1000000000000001E-2</v>
          </cell>
          <cell r="AA156">
            <v>2.1299999999999999E-2</v>
          </cell>
          <cell r="AB156">
            <v>2.2000000000000002E-2</v>
          </cell>
          <cell r="AC156">
            <v>2.2800000000000001E-2</v>
          </cell>
        </row>
        <row r="157">
          <cell r="T157">
            <v>39733</v>
          </cell>
          <cell r="U157">
            <v>2.1780000000000001E-2</v>
          </cell>
          <cell r="V157">
            <v>2.3039999999999998E-2</v>
          </cell>
          <cell r="W157">
            <v>2.0649999999999998E-2</v>
          </cell>
          <cell r="X157">
            <v>2.0549999999999999E-2</v>
          </cell>
          <cell r="Y157">
            <v>2.085E-2</v>
          </cell>
          <cell r="Z157">
            <v>2.1000000000000001E-2</v>
          </cell>
          <cell r="AA157">
            <v>2.1299999999999999E-2</v>
          </cell>
          <cell r="AB157">
            <v>2.2000000000000002E-2</v>
          </cell>
          <cell r="AC157">
            <v>2.2800000000000001E-2</v>
          </cell>
        </row>
        <row r="158">
          <cell r="T158">
            <v>39732</v>
          </cell>
          <cell r="U158">
            <v>2.1780000000000001E-2</v>
          </cell>
          <cell r="V158">
            <v>2.3039999999999998E-2</v>
          </cell>
          <cell r="W158">
            <v>2.0649999999999998E-2</v>
          </cell>
          <cell r="X158">
            <v>2.0549999999999999E-2</v>
          </cell>
          <cell r="Y158">
            <v>2.085E-2</v>
          </cell>
          <cell r="Z158">
            <v>2.1000000000000001E-2</v>
          </cell>
          <cell r="AA158">
            <v>2.1299999999999999E-2</v>
          </cell>
          <cell r="AB158">
            <v>2.2000000000000002E-2</v>
          </cell>
          <cell r="AC158">
            <v>2.2800000000000001E-2</v>
          </cell>
        </row>
        <row r="159">
          <cell r="T159">
            <v>39731</v>
          </cell>
          <cell r="U159">
            <v>2.1780000000000001E-2</v>
          </cell>
          <cell r="V159">
            <v>2.3039999999999998E-2</v>
          </cell>
          <cell r="W159">
            <v>2.0649999999999998E-2</v>
          </cell>
          <cell r="X159">
            <v>2.0549999999999999E-2</v>
          </cell>
          <cell r="Y159">
            <v>2.085E-2</v>
          </cell>
          <cell r="Z159">
            <v>2.1000000000000001E-2</v>
          </cell>
          <cell r="AA159">
            <v>2.1299999999999999E-2</v>
          </cell>
          <cell r="AB159">
            <v>2.2000000000000002E-2</v>
          </cell>
          <cell r="AC159">
            <v>2.2800000000000001E-2</v>
          </cell>
        </row>
        <row r="160">
          <cell r="T160">
            <v>39730</v>
          </cell>
          <cell r="U160">
            <v>2.1780000000000001E-2</v>
          </cell>
          <cell r="V160">
            <v>2.3039999999999998E-2</v>
          </cell>
          <cell r="W160">
            <v>2.0549999999999999E-2</v>
          </cell>
          <cell r="X160">
            <v>2.0649999999999998E-2</v>
          </cell>
          <cell r="Y160">
            <v>2.085E-2</v>
          </cell>
          <cell r="Z160">
            <v>2.1049999999999999E-2</v>
          </cell>
          <cell r="AA160">
            <v>2.12E-2</v>
          </cell>
          <cell r="AB160">
            <v>2.1900000000000003E-2</v>
          </cell>
          <cell r="AC160">
            <v>2.2599999999999999E-2</v>
          </cell>
        </row>
        <row r="161">
          <cell r="T161">
            <v>39729</v>
          </cell>
          <cell r="U161">
            <v>2.213E-2</v>
          </cell>
          <cell r="V161">
            <v>2.3429999999999999E-2</v>
          </cell>
          <cell r="W161">
            <v>2.07E-2</v>
          </cell>
          <cell r="X161">
            <v>2.07E-2</v>
          </cell>
          <cell r="Y161">
            <v>2.0949999999999996E-2</v>
          </cell>
          <cell r="Z161">
            <v>2.1000000000000001E-2</v>
          </cell>
          <cell r="AA161">
            <v>2.1250000000000002E-2</v>
          </cell>
          <cell r="AB161">
            <v>2.205E-2</v>
          </cell>
          <cell r="AC161">
            <v>2.2699999999999994E-2</v>
          </cell>
        </row>
        <row r="162">
          <cell r="T162">
            <v>39728</v>
          </cell>
          <cell r="U162">
            <v>2.2170000000000002E-2</v>
          </cell>
          <cell r="V162">
            <v>2.3439999999999999E-2</v>
          </cell>
          <cell r="W162">
            <v>2.1749999999999999E-2</v>
          </cell>
          <cell r="X162">
            <v>2.18E-2</v>
          </cell>
          <cell r="Y162">
            <v>2.1950000000000004E-2</v>
          </cell>
          <cell r="Z162">
            <v>2.2259999999999999E-2</v>
          </cell>
          <cell r="AA162">
            <v>2.2450000000000001E-2</v>
          </cell>
          <cell r="AB162">
            <v>2.3250000000000003E-2</v>
          </cell>
          <cell r="AC162">
            <v>2.4400000000000005E-2</v>
          </cell>
        </row>
        <row r="163">
          <cell r="T163">
            <v>39727</v>
          </cell>
          <cell r="U163">
            <v>2.2240000000000003E-2</v>
          </cell>
          <cell r="V163">
            <v>2.3540000000000002E-2</v>
          </cell>
          <cell r="W163">
            <v>2.1649999999999999E-2</v>
          </cell>
          <cell r="X163">
            <v>2.1700000000000001E-2</v>
          </cell>
          <cell r="Y163">
            <v>2.1900000000000003E-2</v>
          </cell>
          <cell r="Z163">
            <v>2.2300000000000004E-2</v>
          </cell>
          <cell r="AA163">
            <v>2.2499999999999999E-2</v>
          </cell>
          <cell r="AB163">
            <v>2.3250000000000003E-2</v>
          </cell>
          <cell r="AC163">
            <v>2.435E-2</v>
          </cell>
        </row>
        <row r="164">
          <cell r="T164">
            <v>39726</v>
          </cell>
          <cell r="U164">
            <v>2.2210000000000001E-2</v>
          </cell>
          <cell r="V164">
            <v>2.3540000000000002E-2</v>
          </cell>
          <cell r="W164">
            <v>2.2000000000000002E-2</v>
          </cell>
          <cell r="X164">
            <v>2.215E-2</v>
          </cell>
          <cell r="Y164">
            <v>2.2450000000000001E-2</v>
          </cell>
          <cell r="Z164">
            <v>2.2800000000000001E-2</v>
          </cell>
          <cell r="AA164">
            <v>2.3199999999999998E-2</v>
          </cell>
          <cell r="AB164">
            <v>2.4300000000000002E-2</v>
          </cell>
          <cell r="AC164">
            <v>2.5300000000000003E-2</v>
          </cell>
        </row>
        <row r="165">
          <cell r="T165">
            <v>39725</v>
          </cell>
          <cell r="U165">
            <v>2.2210000000000001E-2</v>
          </cell>
          <cell r="V165">
            <v>2.3540000000000002E-2</v>
          </cell>
          <cell r="W165">
            <v>2.2000000000000002E-2</v>
          </cell>
          <cell r="X165">
            <v>2.215E-2</v>
          </cell>
          <cell r="Y165">
            <v>2.2450000000000001E-2</v>
          </cell>
          <cell r="Z165">
            <v>2.2800000000000001E-2</v>
          </cell>
          <cell r="AA165">
            <v>2.3199999999999998E-2</v>
          </cell>
          <cell r="AB165">
            <v>2.4300000000000002E-2</v>
          </cell>
          <cell r="AC165">
            <v>2.5300000000000003E-2</v>
          </cell>
        </row>
        <row r="166">
          <cell r="T166">
            <v>39724</v>
          </cell>
          <cell r="U166">
            <v>2.2210000000000001E-2</v>
          </cell>
          <cell r="V166">
            <v>2.3540000000000002E-2</v>
          </cell>
          <cell r="W166">
            <v>2.2000000000000002E-2</v>
          </cell>
          <cell r="X166">
            <v>2.215E-2</v>
          </cell>
          <cell r="Y166">
            <v>2.2450000000000001E-2</v>
          </cell>
          <cell r="Z166">
            <v>2.2800000000000001E-2</v>
          </cell>
          <cell r="AA166">
            <v>2.3199999999999998E-2</v>
          </cell>
          <cell r="AB166">
            <v>2.4300000000000002E-2</v>
          </cell>
          <cell r="AC166">
            <v>2.5300000000000003E-2</v>
          </cell>
        </row>
        <row r="167">
          <cell r="T167">
            <v>39723</v>
          </cell>
          <cell r="U167">
            <v>2.2259999999999999E-2</v>
          </cell>
          <cell r="V167">
            <v>2.3519999999999999E-2</v>
          </cell>
          <cell r="W167">
            <v>2.1950000000000004E-2</v>
          </cell>
          <cell r="X167">
            <v>2.2300000000000004E-2</v>
          </cell>
          <cell r="Y167">
            <v>2.2499999999999999E-2</v>
          </cell>
          <cell r="Z167">
            <v>2.29E-2</v>
          </cell>
          <cell r="AA167">
            <v>2.3200000000000002E-2</v>
          </cell>
          <cell r="AB167">
            <v>2.4199999999999999E-2</v>
          </cell>
          <cell r="AC167">
            <v>2.5049999999999999E-2</v>
          </cell>
        </row>
        <row r="168">
          <cell r="T168">
            <v>39722</v>
          </cell>
          <cell r="U168">
            <v>2.2330000000000003E-2</v>
          </cell>
          <cell r="V168">
            <v>2.3530000000000002E-2</v>
          </cell>
          <cell r="W168">
            <v>2.2099999999999998E-2</v>
          </cell>
          <cell r="X168">
            <v>2.23E-2</v>
          </cell>
          <cell r="Y168">
            <v>2.2400000000000003E-2</v>
          </cell>
          <cell r="Z168">
            <v>2.2850000000000002E-2</v>
          </cell>
          <cell r="AA168">
            <v>2.3300000000000001E-2</v>
          </cell>
          <cell r="AB168">
            <v>2.4249999999999997E-2</v>
          </cell>
          <cell r="AC168">
            <v>2.5049999999999999E-2</v>
          </cell>
        </row>
        <row r="169">
          <cell r="T169">
            <v>39721</v>
          </cell>
          <cell r="U169">
            <v>2.2370000000000001E-2</v>
          </cell>
          <cell r="V169">
            <v>2.358E-2</v>
          </cell>
          <cell r="W169">
            <v>2.1850000000000001E-2</v>
          </cell>
          <cell r="X169">
            <v>2.215E-2</v>
          </cell>
          <cell r="Y169">
            <v>2.2599999999999999E-2</v>
          </cell>
          <cell r="Z169">
            <v>2.29E-2</v>
          </cell>
          <cell r="AA169">
            <v>2.3300000000000001E-2</v>
          </cell>
          <cell r="AB169">
            <v>2.4299999999999999E-2</v>
          </cell>
          <cell r="AC169">
            <v>2.5300000000000003E-2</v>
          </cell>
        </row>
        <row r="170">
          <cell r="T170">
            <v>39720</v>
          </cell>
          <cell r="U170">
            <v>2.2460000000000001E-2</v>
          </cell>
          <cell r="V170">
            <v>2.375E-2</v>
          </cell>
          <cell r="W170">
            <v>2.1850000000000001E-2</v>
          </cell>
          <cell r="X170">
            <v>2.215E-2</v>
          </cell>
          <cell r="Y170">
            <v>2.2599999999999999E-2</v>
          </cell>
          <cell r="Z170">
            <v>2.29E-2</v>
          </cell>
          <cell r="AA170">
            <v>2.3300000000000001E-2</v>
          </cell>
          <cell r="AB170">
            <v>2.4299999999999999E-2</v>
          </cell>
          <cell r="AC170">
            <v>2.5300000000000003E-2</v>
          </cell>
        </row>
        <row r="171">
          <cell r="T171">
            <v>39719</v>
          </cell>
          <cell r="U171">
            <v>2.2380000000000001E-2</v>
          </cell>
          <cell r="V171">
            <v>2.35E-2</v>
          </cell>
          <cell r="W171">
            <v>2.1900000000000003E-2</v>
          </cell>
          <cell r="X171">
            <v>2.2199999999999998E-2</v>
          </cell>
          <cell r="Y171">
            <v>2.2499999999999999E-2</v>
          </cell>
          <cell r="Z171">
            <v>2.2850000000000002E-2</v>
          </cell>
          <cell r="AA171">
            <v>2.3250000000000003E-2</v>
          </cell>
          <cell r="AB171">
            <v>2.4700000000000003E-2</v>
          </cell>
          <cell r="AC171">
            <v>2.5249999999999998E-2</v>
          </cell>
        </row>
        <row r="172">
          <cell r="T172">
            <v>39718</v>
          </cell>
          <cell r="U172">
            <v>2.2380000000000001E-2</v>
          </cell>
          <cell r="V172">
            <v>2.35E-2</v>
          </cell>
          <cell r="W172">
            <v>2.1900000000000003E-2</v>
          </cell>
          <cell r="X172">
            <v>2.2199999999999998E-2</v>
          </cell>
          <cell r="Y172">
            <v>2.2499999999999999E-2</v>
          </cell>
          <cell r="Z172">
            <v>2.2850000000000002E-2</v>
          </cell>
          <cell r="AA172">
            <v>2.3250000000000003E-2</v>
          </cell>
          <cell r="AB172">
            <v>2.4700000000000003E-2</v>
          </cell>
          <cell r="AC172">
            <v>2.5249999999999998E-2</v>
          </cell>
        </row>
        <row r="173">
          <cell r="T173">
            <v>39717</v>
          </cell>
          <cell r="U173">
            <v>2.2380000000000001E-2</v>
          </cell>
          <cell r="V173">
            <v>2.35E-2</v>
          </cell>
          <cell r="W173">
            <v>2.1900000000000003E-2</v>
          </cell>
          <cell r="X173">
            <v>2.2199999999999998E-2</v>
          </cell>
          <cell r="Y173">
            <v>2.2499999999999999E-2</v>
          </cell>
          <cell r="Z173">
            <v>2.2850000000000002E-2</v>
          </cell>
          <cell r="AA173">
            <v>2.3250000000000003E-2</v>
          </cell>
          <cell r="AB173">
            <v>2.4700000000000003E-2</v>
          </cell>
          <cell r="AC173">
            <v>2.5249999999999998E-2</v>
          </cell>
        </row>
        <row r="174">
          <cell r="T174">
            <v>39716</v>
          </cell>
          <cell r="U174">
            <v>2.2700000000000001E-2</v>
          </cell>
          <cell r="V174">
            <v>2.3820000000000001E-2</v>
          </cell>
          <cell r="W174">
            <v>2.2649999999999997E-2</v>
          </cell>
          <cell r="X174">
            <v>2.3049999999999998E-2</v>
          </cell>
          <cell r="Y174">
            <v>2.3499999999999997E-2</v>
          </cell>
          <cell r="Z174">
            <v>2.3949999999999999E-2</v>
          </cell>
          <cell r="AA174">
            <v>2.4450000000000003E-2</v>
          </cell>
          <cell r="AB174">
            <v>2.5399999999999999E-2</v>
          </cell>
          <cell r="AC174">
            <v>2.6349999999999998E-2</v>
          </cell>
        </row>
        <row r="175">
          <cell r="T175">
            <v>39715</v>
          </cell>
          <cell r="U175">
            <v>2.249E-2</v>
          </cell>
          <cell r="V175">
            <v>2.3709999999999998E-2</v>
          </cell>
          <cell r="W175">
            <v>2.2749999999999999E-2</v>
          </cell>
          <cell r="X175">
            <v>2.315E-2</v>
          </cell>
          <cell r="Y175">
            <v>2.3600000000000003E-2</v>
          </cell>
          <cell r="Z175">
            <v>2.4199999999999999E-2</v>
          </cell>
          <cell r="AA175">
            <v>2.4649999999999998E-2</v>
          </cell>
          <cell r="AB175">
            <v>2.5499999999999998E-2</v>
          </cell>
          <cell r="AC175">
            <v>2.6600000000000002E-2</v>
          </cell>
        </row>
        <row r="176">
          <cell r="T176">
            <v>39714</v>
          </cell>
          <cell r="U176">
            <v>2.2610000000000002E-2</v>
          </cell>
          <cell r="V176">
            <v>2.3730000000000001E-2</v>
          </cell>
          <cell r="W176">
            <v>2.29E-2</v>
          </cell>
          <cell r="X176">
            <v>2.3049999999999998E-2</v>
          </cell>
          <cell r="Y176">
            <v>2.3599999999999999E-2</v>
          </cell>
          <cell r="Z176">
            <v>2.4000000000000004E-2</v>
          </cell>
          <cell r="AA176">
            <v>2.4450000000000003E-2</v>
          </cell>
          <cell r="AB176">
            <v>2.5149999999999995E-2</v>
          </cell>
          <cell r="AC176">
            <v>2.6249999999999999E-2</v>
          </cell>
        </row>
        <row r="177">
          <cell r="T177">
            <v>39713</v>
          </cell>
          <cell r="U177">
            <v>2.2610000000000002E-2</v>
          </cell>
          <cell r="V177">
            <v>2.3730000000000001E-2</v>
          </cell>
          <cell r="W177">
            <v>2.29E-2</v>
          </cell>
          <cell r="X177">
            <v>2.3049999999999998E-2</v>
          </cell>
          <cell r="Y177">
            <v>2.3599999999999999E-2</v>
          </cell>
          <cell r="Z177">
            <v>2.4000000000000004E-2</v>
          </cell>
          <cell r="AA177">
            <v>2.4450000000000003E-2</v>
          </cell>
          <cell r="AB177">
            <v>2.5149999999999995E-2</v>
          </cell>
          <cell r="AC177">
            <v>2.6249999999999999E-2</v>
          </cell>
        </row>
        <row r="178">
          <cell r="T178">
            <v>39712</v>
          </cell>
          <cell r="U178">
            <v>2.2460000000000001E-2</v>
          </cell>
          <cell r="V178">
            <v>2.375E-2</v>
          </cell>
          <cell r="W178">
            <v>2.2649999999999997E-2</v>
          </cell>
          <cell r="X178">
            <v>2.2949999999999998E-2</v>
          </cell>
          <cell r="Y178">
            <v>2.3300000000000001E-2</v>
          </cell>
          <cell r="Z178">
            <v>2.3899999999999998E-2</v>
          </cell>
          <cell r="AA178">
            <v>2.4300000000000002E-2</v>
          </cell>
          <cell r="AB178">
            <v>2.5000000000000001E-2</v>
          </cell>
          <cell r="AC178">
            <v>2.6200000000000001E-2</v>
          </cell>
        </row>
        <row r="179">
          <cell r="T179">
            <v>39711</v>
          </cell>
          <cell r="U179">
            <v>2.2460000000000001E-2</v>
          </cell>
          <cell r="V179">
            <v>2.375E-2</v>
          </cell>
          <cell r="W179">
            <v>2.2649999999999997E-2</v>
          </cell>
          <cell r="X179">
            <v>2.2949999999999998E-2</v>
          </cell>
          <cell r="Y179">
            <v>2.3300000000000001E-2</v>
          </cell>
          <cell r="Z179">
            <v>2.3899999999999998E-2</v>
          </cell>
          <cell r="AA179">
            <v>2.4300000000000002E-2</v>
          </cell>
          <cell r="AB179">
            <v>2.5000000000000001E-2</v>
          </cell>
          <cell r="AC179">
            <v>2.6200000000000001E-2</v>
          </cell>
        </row>
        <row r="180">
          <cell r="T180">
            <v>39710</v>
          </cell>
          <cell r="U180">
            <v>2.2460000000000001E-2</v>
          </cell>
          <cell r="V180">
            <v>2.375E-2</v>
          </cell>
          <cell r="W180">
            <v>2.2649999999999997E-2</v>
          </cell>
          <cell r="X180">
            <v>2.2949999999999998E-2</v>
          </cell>
          <cell r="Y180">
            <v>2.3300000000000001E-2</v>
          </cell>
          <cell r="Z180">
            <v>2.3899999999999998E-2</v>
          </cell>
          <cell r="AA180">
            <v>2.4300000000000002E-2</v>
          </cell>
          <cell r="AB180">
            <v>2.5000000000000001E-2</v>
          </cell>
          <cell r="AC180">
            <v>2.6200000000000001E-2</v>
          </cell>
        </row>
        <row r="181">
          <cell r="T181">
            <v>39709</v>
          </cell>
          <cell r="U181">
            <v>2.2620000000000001E-2</v>
          </cell>
          <cell r="V181">
            <v>2.3799999999999998E-2</v>
          </cell>
          <cell r="W181">
            <v>2.2850000000000002E-2</v>
          </cell>
          <cell r="X181">
            <v>2.3200000000000002E-2</v>
          </cell>
          <cell r="Y181">
            <v>2.3700000000000002E-2</v>
          </cell>
          <cell r="Z181">
            <v>2.3949999999999999E-2</v>
          </cell>
          <cell r="AA181">
            <v>2.4450000000000003E-2</v>
          </cell>
          <cell r="AB181">
            <v>2.495E-2</v>
          </cell>
          <cell r="AC181">
            <v>2.6349999999999998E-2</v>
          </cell>
        </row>
        <row r="182">
          <cell r="T182">
            <v>39708</v>
          </cell>
          <cell r="U182">
            <v>2.265E-2</v>
          </cell>
          <cell r="V182">
            <v>2.3869999999999999E-2</v>
          </cell>
          <cell r="W182">
            <v>2.23E-2</v>
          </cell>
          <cell r="X182">
            <v>2.2450000000000001E-2</v>
          </cell>
          <cell r="Y182">
            <v>2.2800000000000001E-2</v>
          </cell>
          <cell r="Z182">
            <v>2.315E-2</v>
          </cell>
          <cell r="AA182">
            <v>2.3399999999999997E-2</v>
          </cell>
          <cell r="AB182">
            <v>2.4400000000000005E-2</v>
          </cell>
          <cell r="AC182">
            <v>2.5300000000000003E-2</v>
          </cell>
        </row>
        <row r="183">
          <cell r="T183">
            <v>39707</v>
          </cell>
          <cell r="U183">
            <v>2.274E-2</v>
          </cell>
          <cell r="V183">
            <v>2.3910000000000001E-2</v>
          </cell>
          <cell r="W183">
            <v>2.2850000000000002E-2</v>
          </cell>
          <cell r="X183">
            <v>2.3099999999999996E-2</v>
          </cell>
          <cell r="Y183">
            <v>2.3250000000000003E-2</v>
          </cell>
          <cell r="Z183">
            <v>2.35E-2</v>
          </cell>
          <cell r="AA183">
            <v>2.3899999999999998E-2</v>
          </cell>
          <cell r="AB183">
            <v>2.4750000000000001E-2</v>
          </cell>
          <cell r="AC183">
            <v>2.6000000000000002E-2</v>
          </cell>
        </row>
        <row r="184">
          <cell r="T184">
            <v>39706</v>
          </cell>
          <cell r="U184">
            <v>2.2940000000000002E-2</v>
          </cell>
          <cell r="V184">
            <v>2.3969999999999998E-2</v>
          </cell>
          <cell r="W184">
            <v>2.1900000000000003E-2</v>
          </cell>
          <cell r="X184">
            <v>2.1749999999999999E-2</v>
          </cell>
          <cell r="Y184">
            <v>2.1700000000000001E-2</v>
          </cell>
          <cell r="Z184">
            <v>2.205E-2</v>
          </cell>
          <cell r="AA184">
            <v>2.215E-2</v>
          </cell>
          <cell r="AB184">
            <v>2.2800000000000001E-2</v>
          </cell>
          <cell r="AC184">
            <v>2.3449999999999999E-2</v>
          </cell>
        </row>
        <row r="185">
          <cell r="T185">
            <v>39705</v>
          </cell>
          <cell r="U185">
            <v>2.2930000000000002E-2</v>
          </cell>
          <cell r="V185">
            <v>2.4029999999999999E-2</v>
          </cell>
          <cell r="W185">
            <v>2.215E-2</v>
          </cell>
          <cell r="X185">
            <v>2.205E-2</v>
          </cell>
          <cell r="Y185">
            <v>2.2250000000000002E-2</v>
          </cell>
          <cell r="Z185">
            <v>2.2499999999999999E-2</v>
          </cell>
          <cell r="AA185">
            <v>2.2699999999999994E-2</v>
          </cell>
          <cell r="AB185">
            <v>2.3250000000000003E-2</v>
          </cell>
          <cell r="AC185">
            <v>2.4E-2</v>
          </cell>
        </row>
        <row r="186">
          <cell r="T186">
            <v>39704</v>
          </cell>
          <cell r="U186">
            <v>2.2930000000000002E-2</v>
          </cell>
          <cell r="V186">
            <v>2.4029999999999999E-2</v>
          </cell>
          <cell r="W186">
            <v>2.215E-2</v>
          </cell>
          <cell r="X186">
            <v>2.205E-2</v>
          </cell>
          <cell r="Y186">
            <v>2.2250000000000002E-2</v>
          </cell>
          <cell r="Z186">
            <v>2.2499999999999999E-2</v>
          </cell>
          <cell r="AA186">
            <v>2.2699999999999994E-2</v>
          </cell>
          <cell r="AB186">
            <v>2.3250000000000003E-2</v>
          </cell>
          <cell r="AC186">
            <v>2.4E-2</v>
          </cell>
        </row>
        <row r="187">
          <cell r="T187">
            <v>39703</v>
          </cell>
          <cell r="U187">
            <v>2.2930000000000002E-2</v>
          </cell>
          <cell r="V187">
            <v>2.4029999999999999E-2</v>
          </cell>
          <cell r="W187">
            <v>2.215E-2</v>
          </cell>
          <cell r="X187">
            <v>2.205E-2</v>
          </cell>
          <cell r="Y187">
            <v>2.2250000000000002E-2</v>
          </cell>
          <cell r="Z187">
            <v>2.2499999999999999E-2</v>
          </cell>
          <cell r="AA187">
            <v>2.2699999999999994E-2</v>
          </cell>
          <cell r="AB187">
            <v>2.3250000000000003E-2</v>
          </cell>
          <cell r="AC187">
            <v>2.4E-2</v>
          </cell>
        </row>
        <row r="188">
          <cell r="T188">
            <v>39702</v>
          </cell>
          <cell r="U188">
            <v>2.2890000000000001E-2</v>
          </cell>
          <cell r="V188">
            <v>2.4029999999999999E-2</v>
          </cell>
          <cell r="W188">
            <v>2.2499999999999999E-2</v>
          </cell>
          <cell r="X188">
            <v>2.2550000000000001E-2</v>
          </cell>
          <cell r="Y188">
            <v>2.2699999999999994E-2</v>
          </cell>
          <cell r="Z188">
            <v>2.3049999999999998E-2</v>
          </cell>
          <cell r="AA188">
            <v>2.3300000000000001E-2</v>
          </cell>
          <cell r="AB188">
            <v>2.3949999999999999E-2</v>
          </cell>
          <cell r="AC188">
            <v>2.4799999999999999E-2</v>
          </cell>
        </row>
        <row r="189">
          <cell r="T189">
            <v>39701</v>
          </cell>
          <cell r="U189">
            <v>2.2620000000000001E-2</v>
          </cell>
          <cell r="V189">
            <v>2.3990000000000001E-2</v>
          </cell>
          <cell r="W189">
            <v>2.2649999999999997E-2</v>
          </cell>
          <cell r="X189">
            <v>2.2800000000000001E-2</v>
          </cell>
          <cell r="Y189">
            <v>2.3049999999999998E-2</v>
          </cell>
          <cell r="Z189">
            <v>2.3399999999999997E-2</v>
          </cell>
          <cell r="AA189">
            <v>2.3849999999999996E-2</v>
          </cell>
          <cell r="AB189">
            <v>2.4550000000000002E-2</v>
          </cell>
          <cell r="AC189">
            <v>2.5300000000000003E-2</v>
          </cell>
        </row>
        <row r="190">
          <cell r="T190">
            <v>39700</v>
          </cell>
          <cell r="U190">
            <v>2.266E-2</v>
          </cell>
          <cell r="V190">
            <v>2.402E-2</v>
          </cell>
          <cell r="W190">
            <v>2.2799999999999997E-2</v>
          </cell>
          <cell r="X190">
            <v>2.2949999999999998E-2</v>
          </cell>
          <cell r="Y190">
            <v>2.3199999999999998E-2</v>
          </cell>
          <cell r="Z190">
            <v>2.3700000000000002E-2</v>
          </cell>
          <cell r="AA190">
            <v>2.41E-2</v>
          </cell>
          <cell r="AB190">
            <v>2.4900000000000002E-2</v>
          </cell>
          <cell r="AC190">
            <v>2.5649999999999999E-2</v>
          </cell>
        </row>
        <row r="191">
          <cell r="T191">
            <v>39699</v>
          </cell>
          <cell r="U191">
            <v>2.274E-2</v>
          </cell>
          <cell r="V191">
            <v>2.402E-2</v>
          </cell>
          <cell r="W191">
            <v>2.29E-2</v>
          </cell>
          <cell r="X191">
            <v>2.3E-2</v>
          </cell>
          <cell r="Y191">
            <v>2.3250000000000003E-2</v>
          </cell>
          <cell r="Z191">
            <v>2.3600000000000003E-2</v>
          </cell>
          <cell r="AA191">
            <v>2.4150000000000001E-2</v>
          </cell>
          <cell r="AB191">
            <v>2.4750000000000001E-2</v>
          </cell>
          <cell r="AC191">
            <v>2.5499999999999998E-2</v>
          </cell>
        </row>
        <row r="192">
          <cell r="T192">
            <v>39698</v>
          </cell>
          <cell r="U192">
            <v>2.274E-2</v>
          </cell>
          <cell r="V192">
            <v>2.402E-2</v>
          </cell>
          <cell r="W192">
            <v>2.2850000000000002E-2</v>
          </cell>
          <cell r="X192">
            <v>2.2949999999999998E-2</v>
          </cell>
          <cell r="Y192">
            <v>2.315E-2</v>
          </cell>
          <cell r="Z192">
            <v>2.3449999999999999E-2</v>
          </cell>
          <cell r="AA192">
            <v>2.3849999999999996E-2</v>
          </cell>
          <cell r="AB192">
            <v>2.46E-2</v>
          </cell>
          <cell r="AC192">
            <v>2.5249999999999998E-2</v>
          </cell>
        </row>
        <row r="193">
          <cell r="T193">
            <v>39697</v>
          </cell>
          <cell r="U193">
            <v>2.274E-2</v>
          </cell>
          <cell r="V193">
            <v>2.402E-2</v>
          </cell>
          <cell r="W193">
            <v>2.2850000000000002E-2</v>
          </cell>
          <cell r="X193">
            <v>2.2949999999999998E-2</v>
          </cell>
          <cell r="Y193">
            <v>2.315E-2</v>
          </cell>
          <cell r="Z193">
            <v>2.3449999999999999E-2</v>
          </cell>
          <cell r="AA193">
            <v>2.3849999999999996E-2</v>
          </cell>
          <cell r="AB193">
            <v>2.46E-2</v>
          </cell>
          <cell r="AC193">
            <v>2.5249999999999998E-2</v>
          </cell>
        </row>
        <row r="194">
          <cell r="T194">
            <v>39696</v>
          </cell>
          <cell r="U194">
            <v>2.274E-2</v>
          </cell>
          <cell r="V194">
            <v>2.402E-2</v>
          </cell>
          <cell r="W194">
            <v>2.2850000000000002E-2</v>
          </cell>
          <cell r="X194">
            <v>2.2949999999999998E-2</v>
          </cell>
          <cell r="Y194">
            <v>2.315E-2</v>
          </cell>
          <cell r="Z194">
            <v>2.3449999999999999E-2</v>
          </cell>
          <cell r="AA194">
            <v>2.3849999999999996E-2</v>
          </cell>
          <cell r="AB194">
            <v>2.46E-2</v>
          </cell>
          <cell r="AC194">
            <v>2.5249999999999998E-2</v>
          </cell>
        </row>
        <row r="195">
          <cell r="T195">
            <v>39695</v>
          </cell>
          <cell r="U195">
            <v>2.2789999999999998E-2</v>
          </cell>
          <cell r="V195">
            <v>2.4039999999999999E-2</v>
          </cell>
          <cell r="W195">
            <v>2.3200000000000002E-2</v>
          </cell>
          <cell r="X195">
            <v>2.3399999999999997E-2</v>
          </cell>
          <cell r="Y195">
            <v>2.3650000000000001E-2</v>
          </cell>
          <cell r="Z195">
            <v>2.4150000000000001E-2</v>
          </cell>
          <cell r="AA195">
            <v>2.4649999999999998E-2</v>
          </cell>
          <cell r="AB195">
            <v>2.5399999999999999E-2</v>
          </cell>
          <cell r="AC195">
            <v>2.6200000000000001E-2</v>
          </cell>
        </row>
        <row r="196">
          <cell r="T196">
            <v>39694</v>
          </cell>
          <cell r="U196">
            <v>2.273E-2</v>
          </cell>
          <cell r="V196">
            <v>2.4039999999999999E-2</v>
          </cell>
          <cell r="W196">
            <v>2.3200000000000002E-2</v>
          </cell>
          <cell r="X196">
            <v>2.3399999999999997E-2</v>
          </cell>
          <cell r="Y196">
            <v>2.3799999999999998E-2</v>
          </cell>
          <cell r="Z196">
            <v>2.4249999999999997E-2</v>
          </cell>
          <cell r="AA196">
            <v>2.4699999999999996E-2</v>
          </cell>
          <cell r="AB196">
            <v>2.545E-2</v>
          </cell>
          <cell r="AC196">
            <v>2.6200000000000001E-2</v>
          </cell>
        </row>
        <row r="197">
          <cell r="T197">
            <v>39693</v>
          </cell>
          <cell r="U197">
            <v>2.283E-2</v>
          </cell>
          <cell r="V197">
            <v>2.4039999999999999E-2</v>
          </cell>
          <cell r="W197">
            <v>2.3250000000000003E-2</v>
          </cell>
          <cell r="X197">
            <v>2.3399999999999997E-2</v>
          </cell>
          <cell r="Y197">
            <v>2.4000000000000004E-2</v>
          </cell>
          <cell r="Z197">
            <v>2.4450000000000003E-2</v>
          </cell>
          <cell r="AA197">
            <v>2.4850000000000004E-2</v>
          </cell>
          <cell r="AB197">
            <v>2.5549999999999996E-2</v>
          </cell>
          <cell r="AC197">
            <v>2.6349999999999998E-2</v>
          </cell>
        </row>
        <row r="198">
          <cell r="T198">
            <v>39692</v>
          </cell>
          <cell r="U198">
            <v>2.2770000000000002E-2</v>
          </cell>
          <cell r="V198">
            <v>2.4009999999999997E-2</v>
          </cell>
          <cell r="W198">
            <v>2.3200000000000002E-2</v>
          </cell>
          <cell r="X198">
            <v>2.3399999999999997E-2</v>
          </cell>
          <cell r="Y198">
            <v>2.3899999999999998E-2</v>
          </cell>
          <cell r="Z198">
            <v>2.4400000000000005E-2</v>
          </cell>
          <cell r="AA198">
            <v>2.4800000000000003E-2</v>
          </cell>
          <cell r="AB198">
            <v>2.5600000000000001E-2</v>
          </cell>
          <cell r="AC198">
            <v>2.6349999999999998E-2</v>
          </cell>
        </row>
        <row r="199">
          <cell r="T199">
            <v>39691</v>
          </cell>
          <cell r="U199">
            <v>2.283E-2</v>
          </cell>
          <cell r="V199">
            <v>2.4039999999999999E-2</v>
          </cell>
          <cell r="W199">
            <v>2.3200000000000002E-2</v>
          </cell>
          <cell r="X199">
            <v>2.3449999999999999E-2</v>
          </cell>
          <cell r="Y199">
            <v>2.3949999999999999E-2</v>
          </cell>
          <cell r="Z199">
            <v>2.4400000000000005E-2</v>
          </cell>
          <cell r="AA199">
            <v>2.4800000000000003E-2</v>
          </cell>
          <cell r="AB199">
            <v>2.5499999999999998E-2</v>
          </cell>
          <cell r="AC199">
            <v>2.63E-2</v>
          </cell>
        </row>
        <row r="200">
          <cell r="T200">
            <v>39690</v>
          </cell>
          <cell r="U200">
            <v>2.283E-2</v>
          </cell>
          <cell r="V200">
            <v>2.4039999999999999E-2</v>
          </cell>
          <cell r="W200">
            <v>2.3200000000000002E-2</v>
          </cell>
          <cell r="X200">
            <v>2.3449999999999999E-2</v>
          </cell>
          <cell r="Y200">
            <v>2.3949999999999999E-2</v>
          </cell>
          <cell r="Z200">
            <v>2.4400000000000005E-2</v>
          </cell>
          <cell r="AA200">
            <v>2.4800000000000003E-2</v>
          </cell>
          <cell r="AB200">
            <v>2.5499999999999998E-2</v>
          </cell>
          <cell r="AC200">
            <v>2.63E-2</v>
          </cell>
        </row>
        <row r="201">
          <cell r="T201">
            <v>39689</v>
          </cell>
          <cell r="U201">
            <v>2.283E-2</v>
          </cell>
          <cell r="V201">
            <v>2.4039999999999999E-2</v>
          </cell>
          <cell r="W201">
            <v>2.3200000000000002E-2</v>
          </cell>
          <cell r="X201">
            <v>2.3449999999999999E-2</v>
          </cell>
          <cell r="Y201">
            <v>2.3949999999999999E-2</v>
          </cell>
          <cell r="Z201">
            <v>2.4400000000000005E-2</v>
          </cell>
          <cell r="AA201">
            <v>2.4800000000000003E-2</v>
          </cell>
          <cell r="AB201">
            <v>2.5499999999999998E-2</v>
          </cell>
          <cell r="AC201">
            <v>2.63E-2</v>
          </cell>
        </row>
        <row r="202">
          <cell r="T202">
            <v>39688</v>
          </cell>
          <cell r="U202">
            <v>2.283E-2</v>
          </cell>
          <cell r="V202">
            <v>2.4039999999999999E-2</v>
          </cell>
          <cell r="W202">
            <v>2.3300000000000001E-2</v>
          </cell>
          <cell r="X202">
            <v>2.375E-2</v>
          </cell>
          <cell r="Y202">
            <v>2.4299999999999999E-2</v>
          </cell>
          <cell r="Z202">
            <v>2.4800000000000003E-2</v>
          </cell>
          <cell r="AA202">
            <v>2.5350000000000001E-2</v>
          </cell>
          <cell r="AB202">
            <v>2.605E-2</v>
          </cell>
          <cell r="AC202">
            <v>2.6799999999999997E-2</v>
          </cell>
        </row>
        <row r="203">
          <cell r="T203">
            <v>39687</v>
          </cell>
          <cell r="U203">
            <v>2.283E-2</v>
          </cell>
          <cell r="V203">
            <v>2.4039999999999999E-2</v>
          </cell>
          <cell r="W203">
            <v>2.3300000000000001E-2</v>
          </cell>
          <cell r="X203">
            <v>2.3650000000000001E-2</v>
          </cell>
          <cell r="Y203">
            <v>2.4249999999999997E-2</v>
          </cell>
          <cell r="Z203">
            <v>2.4850000000000004E-2</v>
          </cell>
          <cell r="AA203">
            <v>2.5350000000000001E-2</v>
          </cell>
          <cell r="AB203">
            <v>2.6099999999999998E-2</v>
          </cell>
          <cell r="AC203">
            <v>2.6849999999999999E-2</v>
          </cell>
        </row>
        <row r="204">
          <cell r="T204">
            <v>39686</v>
          </cell>
          <cell r="U204">
            <v>2.282E-2</v>
          </cell>
          <cell r="V204">
            <v>2.4039999999999999E-2</v>
          </cell>
          <cell r="W204">
            <v>2.3349999999999999E-2</v>
          </cell>
          <cell r="X204">
            <v>2.3650000000000001E-2</v>
          </cell>
          <cell r="Y204">
            <v>2.4299999999999999E-2</v>
          </cell>
          <cell r="Z204">
            <v>2.4800000000000003E-2</v>
          </cell>
          <cell r="AA204">
            <v>2.5300000000000003E-2</v>
          </cell>
          <cell r="AB204">
            <v>2.6100000000000002E-2</v>
          </cell>
          <cell r="AC204">
            <v>2.6900000000000004E-2</v>
          </cell>
        </row>
        <row r="205">
          <cell r="T205">
            <v>39685</v>
          </cell>
          <cell r="U205">
            <v>2.273E-2</v>
          </cell>
          <cell r="V205">
            <v>2.3940000000000003E-2</v>
          </cell>
          <cell r="W205">
            <v>2.3349999999999999E-2</v>
          </cell>
          <cell r="X205">
            <v>2.375E-2</v>
          </cell>
          <cell r="Y205">
            <v>2.435E-2</v>
          </cell>
          <cell r="Z205">
            <v>2.4850000000000004E-2</v>
          </cell>
          <cell r="AA205">
            <v>2.5350000000000001E-2</v>
          </cell>
          <cell r="AB205">
            <v>2.6200000000000001E-2</v>
          </cell>
          <cell r="AC205">
            <v>2.69E-2</v>
          </cell>
        </row>
        <row r="206">
          <cell r="T206">
            <v>39684</v>
          </cell>
          <cell r="U206">
            <v>2.2770000000000002E-2</v>
          </cell>
          <cell r="V206">
            <v>2.3969999999999998E-2</v>
          </cell>
          <cell r="W206">
            <v>2.3300000000000001E-2</v>
          </cell>
          <cell r="X206">
            <v>2.3700000000000002E-2</v>
          </cell>
          <cell r="Y206">
            <v>2.4150000000000001E-2</v>
          </cell>
          <cell r="Z206">
            <v>2.46E-2</v>
          </cell>
          <cell r="AA206">
            <v>2.5099999999999997E-2</v>
          </cell>
          <cell r="AB206">
            <v>2.5899999999999999E-2</v>
          </cell>
          <cell r="AC206">
            <v>2.6749999999999999E-2</v>
          </cell>
        </row>
        <row r="207">
          <cell r="T207">
            <v>39683</v>
          </cell>
          <cell r="U207">
            <v>2.2770000000000002E-2</v>
          </cell>
          <cell r="V207">
            <v>2.3969999999999998E-2</v>
          </cell>
          <cell r="W207">
            <v>2.3300000000000001E-2</v>
          </cell>
          <cell r="X207">
            <v>2.3700000000000002E-2</v>
          </cell>
          <cell r="Y207">
            <v>2.4150000000000001E-2</v>
          </cell>
          <cell r="Z207">
            <v>2.46E-2</v>
          </cell>
          <cell r="AA207">
            <v>2.5099999999999997E-2</v>
          </cell>
          <cell r="AB207">
            <v>2.5899999999999999E-2</v>
          </cell>
          <cell r="AC207">
            <v>2.6749999999999999E-2</v>
          </cell>
        </row>
        <row r="208">
          <cell r="T208">
            <v>39682</v>
          </cell>
          <cell r="U208">
            <v>2.2770000000000002E-2</v>
          </cell>
          <cell r="V208">
            <v>2.3969999999999998E-2</v>
          </cell>
          <cell r="W208">
            <v>2.3300000000000001E-2</v>
          </cell>
          <cell r="X208">
            <v>2.3700000000000002E-2</v>
          </cell>
          <cell r="Y208">
            <v>2.4150000000000001E-2</v>
          </cell>
          <cell r="Z208">
            <v>2.46E-2</v>
          </cell>
          <cell r="AA208">
            <v>2.5099999999999997E-2</v>
          </cell>
          <cell r="AB208">
            <v>2.5899999999999999E-2</v>
          </cell>
          <cell r="AC208">
            <v>2.6749999999999999E-2</v>
          </cell>
        </row>
        <row r="209">
          <cell r="T209">
            <v>39681</v>
          </cell>
          <cell r="U209">
            <v>2.2719999999999997E-2</v>
          </cell>
          <cell r="V209">
            <v>2.3980000000000001E-2</v>
          </cell>
          <cell r="W209">
            <v>2.3250000000000003E-2</v>
          </cell>
          <cell r="X209">
            <v>2.3700000000000002E-2</v>
          </cell>
          <cell r="Y209">
            <v>2.4249999999999997E-2</v>
          </cell>
          <cell r="Z209">
            <v>2.4699999999999996E-2</v>
          </cell>
          <cell r="AA209">
            <v>2.5249999999999998E-2</v>
          </cell>
          <cell r="AB209">
            <v>2.5949999999999997E-2</v>
          </cell>
          <cell r="AC209">
            <v>2.6799999999999997E-2</v>
          </cell>
        </row>
        <row r="210">
          <cell r="T210">
            <v>39680</v>
          </cell>
          <cell r="U210">
            <v>2.2669999999999999E-2</v>
          </cell>
          <cell r="V210">
            <v>2.3929999999999996E-2</v>
          </cell>
          <cell r="W210">
            <v>2.3300000000000001E-2</v>
          </cell>
          <cell r="X210">
            <v>2.3700000000000002E-2</v>
          </cell>
          <cell r="Y210">
            <v>2.4199999999999999E-2</v>
          </cell>
          <cell r="Z210">
            <v>2.4649999999999998E-2</v>
          </cell>
          <cell r="AA210">
            <v>2.5149999999999995E-2</v>
          </cell>
          <cell r="AB210">
            <v>2.5949999999999997E-2</v>
          </cell>
          <cell r="AC210">
            <v>2.6749999999999999E-2</v>
          </cell>
        </row>
        <row r="211">
          <cell r="T211">
            <v>39679</v>
          </cell>
          <cell r="U211">
            <v>2.2759999999999999E-2</v>
          </cell>
          <cell r="V211">
            <v>2.4E-2</v>
          </cell>
          <cell r="W211">
            <v>2.3200000000000002E-2</v>
          </cell>
          <cell r="X211">
            <v>2.3574999999999999E-2</v>
          </cell>
          <cell r="Y211">
            <v>2.4050000000000002E-2</v>
          </cell>
          <cell r="Z211">
            <v>2.4500000000000001E-2</v>
          </cell>
          <cell r="AA211">
            <v>2.4974999999999997E-2</v>
          </cell>
          <cell r="AB211">
            <v>2.5675E-2</v>
          </cell>
          <cell r="AC211">
            <v>2.6525E-2</v>
          </cell>
        </row>
        <row r="212">
          <cell r="T212">
            <v>39678</v>
          </cell>
          <cell r="U212">
            <v>2.2789999999999998E-2</v>
          </cell>
          <cell r="V212">
            <v>2.4E-2</v>
          </cell>
          <cell r="W212">
            <v>2.3200000000000002E-2</v>
          </cell>
          <cell r="X212">
            <v>2.3799999999999998E-2</v>
          </cell>
          <cell r="Y212">
            <v>2.41E-2</v>
          </cell>
          <cell r="Z212">
            <v>2.4500000000000001E-2</v>
          </cell>
          <cell r="AA212">
            <v>2.5000000000000001E-2</v>
          </cell>
          <cell r="AB212">
            <v>2.58E-2</v>
          </cell>
          <cell r="AC212">
            <v>2.7537500000000003E-2</v>
          </cell>
        </row>
        <row r="213">
          <cell r="T213">
            <v>39677</v>
          </cell>
          <cell r="U213">
            <v>2.291E-2</v>
          </cell>
          <cell r="V213">
            <v>2.3949999999999999E-2</v>
          </cell>
          <cell r="W213">
            <v>2.3349999999999999E-2</v>
          </cell>
          <cell r="X213">
            <v>2.3900000000000001E-2</v>
          </cell>
          <cell r="Y213">
            <v>2.4249999999999997E-2</v>
          </cell>
          <cell r="Z213">
            <v>2.4750000000000001E-2</v>
          </cell>
          <cell r="AA213">
            <v>2.53E-2</v>
          </cell>
          <cell r="AB213">
            <v>2.6100000000000002E-2</v>
          </cell>
          <cell r="AC213">
            <v>2.6849999999999999E-2</v>
          </cell>
        </row>
        <row r="214">
          <cell r="T214">
            <v>39676</v>
          </cell>
          <cell r="U214">
            <v>2.291E-2</v>
          </cell>
          <cell r="V214">
            <v>2.3949999999999999E-2</v>
          </cell>
          <cell r="W214">
            <v>2.3349999999999999E-2</v>
          </cell>
          <cell r="X214">
            <v>2.3900000000000001E-2</v>
          </cell>
          <cell r="Y214">
            <v>2.4249999999999997E-2</v>
          </cell>
          <cell r="Z214">
            <v>2.4750000000000001E-2</v>
          </cell>
          <cell r="AA214">
            <v>2.53E-2</v>
          </cell>
          <cell r="AB214">
            <v>2.6100000000000002E-2</v>
          </cell>
          <cell r="AC214">
            <v>2.6849999999999999E-2</v>
          </cell>
        </row>
        <row r="215">
          <cell r="T215">
            <v>39675</v>
          </cell>
          <cell r="U215">
            <v>2.291E-2</v>
          </cell>
          <cell r="V215">
            <v>2.3949999999999999E-2</v>
          </cell>
          <cell r="W215">
            <v>2.3349999999999999E-2</v>
          </cell>
          <cell r="X215">
            <v>2.3900000000000001E-2</v>
          </cell>
          <cell r="Y215">
            <v>2.4249999999999997E-2</v>
          </cell>
          <cell r="Z215">
            <v>2.4750000000000001E-2</v>
          </cell>
          <cell r="AA215">
            <v>2.53E-2</v>
          </cell>
          <cell r="AB215">
            <v>2.6100000000000002E-2</v>
          </cell>
          <cell r="AC215">
            <v>2.6849999999999999E-2</v>
          </cell>
        </row>
        <row r="216">
          <cell r="T216">
            <v>39674</v>
          </cell>
          <cell r="U216">
            <v>2.291E-2</v>
          </cell>
          <cell r="V216">
            <v>2.3949999999999999E-2</v>
          </cell>
          <cell r="W216">
            <v>2.3399999999999997E-2</v>
          </cell>
          <cell r="X216">
            <v>2.3849999999999996E-2</v>
          </cell>
          <cell r="Y216">
            <v>2.4399999999999998E-2</v>
          </cell>
          <cell r="Z216">
            <v>2.495E-2</v>
          </cell>
          <cell r="AA216">
            <v>2.5399999999999999E-2</v>
          </cell>
          <cell r="AB216">
            <v>2.6150000000000003E-2</v>
          </cell>
          <cell r="AC216">
            <v>2.7000000000000003E-2</v>
          </cell>
        </row>
        <row r="217">
          <cell r="T217">
            <v>39673</v>
          </cell>
          <cell r="U217">
            <v>2.2839999999999999E-2</v>
          </cell>
          <cell r="V217">
            <v>2.3929999999999996E-2</v>
          </cell>
          <cell r="W217">
            <v>2.3399999999999997E-2</v>
          </cell>
          <cell r="X217">
            <v>2.375E-2</v>
          </cell>
          <cell r="Y217">
            <v>2.4400000000000005E-2</v>
          </cell>
          <cell r="Z217">
            <v>2.4850000000000004E-2</v>
          </cell>
          <cell r="AA217">
            <v>2.5324999999999997E-2</v>
          </cell>
          <cell r="AB217">
            <v>2.605E-2</v>
          </cell>
          <cell r="AC217">
            <v>2.6849999999999999E-2</v>
          </cell>
        </row>
        <row r="218">
          <cell r="T218">
            <v>39672</v>
          </cell>
          <cell r="U218">
            <v>2.2860000000000002E-2</v>
          </cell>
          <cell r="V218">
            <v>2.3910000000000001E-2</v>
          </cell>
          <cell r="W218">
            <v>2.3300000000000001E-2</v>
          </cell>
          <cell r="X218">
            <v>2.3550000000000001E-2</v>
          </cell>
          <cell r="Y218">
            <v>2.4000000000000004E-2</v>
          </cell>
          <cell r="Z218">
            <v>2.44125E-2</v>
          </cell>
          <cell r="AA218">
            <v>2.4874999999999998E-2</v>
          </cell>
          <cell r="AB218">
            <v>2.5549999999999996E-2</v>
          </cell>
          <cell r="AC218">
            <v>2.6375000000000003E-2</v>
          </cell>
        </row>
        <row r="219">
          <cell r="T219">
            <v>39671</v>
          </cell>
          <cell r="U219">
            <v>2.2890000000000001E-2</v>
          </cell>
          <cell r="V219">
            <v>2.3910000000000001E-2</v>
          </cell>
          <cell r="W219">
            <v>2.3200000000000002E-2</v>
          </cell>
          <cell r="X219">
            <v>2.3550000000000001E-2</v>
          </cell>
          <cell r="Y219">
            <v>2.41E-2</v>
          </cell>
          <cell r="Z219">
            <v>2.4249999999999997E-2</v>
          </cell>
          <cell r="AA219">
            <v>2.4649999999999998E-2</v>
          </cell>
          <cell r="AB219">
            <v>2.53E-2</v>
          </cell>
          <cell r="AC219">
            <v>2.6249999999999999E-2</v>
          </cell>
        </row>
        <row r="220">
          <cell r="T220">
            <v>39670</v>
          </cell>
          <cell r="U220">
            <v>2.2890000000000001E-2</v>
          </cell>
          <cell r="V220">
            <v>2.3910000000000001E-2</v>
          </cell>
          <cell r="W220">
            <v>2.3449999999999999E-2</v>
          </cell>
          <cell r="X220">
            <v>2.375E-2</v>
          </cell>
          <cell r="Y220">
            <v>2.4249999999999997E-2</v>
          </cell>
          <cell r="Z220">
            <v>2.4575E-2</v>
          </cell>
          <cell r="AA220">
            <v>2.495E-2</v>
          </cell>
          <cell r="AB220">
            <v>2.5699999999999997E-2</v>
          </cell>
          <cell r="AC220">
            <v>2.6499999999999999E-2</v>
          </cell>
        </row>
        <row r="221">
          <cell r="T221">
            <v>39669</v>
          </cell>
          <cell r="U221">
            <v>2.2890000000000001E-2</v>
          </cell>
          <cell r="V221">
            <v>2.3910000000000001E-2</v>
          </cell>
          <cell r="W221">
            <v>2.3449999999999999E-2</v>
          </cell>
          <cell r="X221">
            <v>2.375E-2</v>
          </cell>
          <cell r="Y221">
            <v>2.4249999999999997E-2</v>
          </cell>
          <cell r="Z221">
            <v>2.4575E-2</v>
          </cell>
          <cell r="AA221">
            <v>2.495E-2</v>
          </cell>
          <cell r="AB221">
            <v>2.5699999999999997E-2</v>
          </cell>
          <cell r="AC221">
            <v>2.6499999999999999E-2</v>
          </cell>
        </row>
        <row r="222">
          <cell r="T222">
            <v>39668</v>
          </cell>
          <cell r="U222">
            <v>2.2890000000000001E-2</v>
          </cell>
          <cell r="V222">
            <v>2.3910000000000001E-2</v>
          </cell>
          <cell r="W222">
            <v>2.3449999999999999E-2</v>
          </cell>
          <cell r="X222">
            <v>2.375E-2</v>
          </cell>
          <cell r="Y222">
            <v>2.4249999999999997E-2</v>
          </cell>
          <cell r="Z222">
            <v>2.4575E-2</v>
          </cell>
          <cell r="AA222">
            <v>2.495E-2</v>
          </cell>
          <cell r="AB222">
            <v>2.5699999999999997E-2</v>
          </cell>
          <cell r="AC222">
            <v>2.6499999999999999E-2</v>
          </cell>
        </row>
        <row r="223">
          <cell r="T223">
            <v>39667</v>
          </cell>
          <cell r="U223">
            <v>2.2890000000000001E-2</v>
          </cell>
          <cell r="V223">
            <v>2.3910000000000001E-2</v>
          </cell>
          <cell r="W223">
            <v>2.315E-2</v>
          </cell>
          <cell r="X223">
            <v>2.3449999999999999E-2</v>
          </cell>
          <cell r="Y223">
            <v>2.4850000000000004E-2</v>
          </cell>
          <cell r="Z223">
            <v>2.4300000000000002E-2</v>
          </cell>
          <cell r="AA223">
            <v>2.4649999999999998E-2</v>
          </cell>
          <cell r="AB223">
            <v>2.5350000000000001E-2</v>
          </cell>
          <cell r="AC223">
            <v>2.605E-2</v>
          </cell>
        </row>
        <row r="224">
          <cell r="T224">
            <v>39666</v>
          </cell>
          <cell r="U224">
            <v>2.2679999999999999E-2</v>
          </cell>
          <cell r="V224">
            <v>2.3849999999999996E-2</v>
          </cell>
          <cell r="W224">
            <v>2.3650000000000001E-2</v>
          </cell>
          <cell r="X224">
            <v>2.435E-2</v>
          </cell>
          <cell r="Y224">
            <v>2.4850000000000004E-2</v>
          </cell>
          <cell r="Z224">
            <v>2.5300000000000003E-2</v>
          </cell>
          <cell r="AA224">
            <v>2.5549999999999996E-2</v>
          </cell>
          <cell r="AB224">
            <v>2.6462500000000003E-2</v>
          </cell>
          <cell r="AC224">
            <v>2.7000000000000003E-2</v>
          </cell>
        </row>
        <row r="225">
          <cell r="T225">
            <v>39665</v>
          </cell>
          <cell r="U225">
            <v>2.2679999999999999E-2</v>
          </cell>
          <cell r="V225">
            <v>2.3849999999999996E-2</v>
          </cell>
          <cell r="W225">
            <v>2.3799999999999998E-2</v>
          </cell>
          <cell r="X225">
            <v>2.4649999999999998E-2</v>
          </cell>
          <cell r="Y225">
            <v>2.5249999999999998E-2</v>
          </cell>
          <cell r="Z225">
            <v>2.5649999999999999E-2</v>
          </cell>
          <cell r="AA225">
            <v>2.6249999999999999E-2</v>
          </cell>
          <cell r="AB225">
            <v>2.7099999999999999E-2</v>
          </cell>
          <cell r="AC225">
            <v>2.7900000000000001E-2</v>
          </cell>
        </row>
        <row r="226">
          <cell r="T226">
            <v>39664</v>
          </cell>
          <cell r="U226">
            <v>2.2639999999999997E-2</v>
          </cell>
          <cell r="V226">
            <v>2.3849999999999996E-2</v>
          </cell>
          <cell r="W226">
            <v>2.3849999999999996E-2</v>
          </cell>
          <cell r="X226">
            <v>2.4750000000000001E-2</v>
          </cell>
          <cell r="Y226">
            <v>2.5300000000000003E-2</v>
          </cell>
          <cell r="Z226">
            <v>2.57375E-2</v>
          </cell>
          <cell r="AA226">
            <v>2.63E-2</v>
          </cell>
          <cell r="AB226">
            <v>2.7050000000000001E-2</v>
          </cell>
          <cell r="AC226">
            <v>2.7999999999999997E-2</v>
          </cell>
        </row>
        <row r="227">
          <cell r="T227">
            <v>39663</v>
          </cell>
          <cell r="U227">
            <v>2.2669999999999999E-2</v>
          </cell>
          <cell r="V227">
            <v>2.3879999999999998E-2</v>
          </cell>
          <cell r="W227">
            <v>2.3650000000000001E-2</v>
          </cell>
          <cell r="X227">
            <v>2.4450000000000003E-2</v>
          </cell>
          <cell r="Y227">
            <v>2.4900000000000002E-2</v>
          </cell>
          <cell r="Z227">
            <v>2.5350000000000001E-2</v>
          </cell>
          <cell r="AA227">
            <v>2.5999999999999995E-2</v>
          </cell>
          <cell r="AB227">
            <v>2.6749999999999999E-2</v>
          </cell>
          <cell r="AC227">
            <v>2.7699999999999999E-2</v>
          </cell>
        </row>
        <row r="228">
          <cell r="T228">
            <v>39662</v>
          </cell>
          <cell r="U228">
            <v>2.2669999999999999E-2</v>
          </cell>
          <cell r="V228">
            <v>2.3879999999999998E-2</v>
          </cell>
          <cell r="W228">
            <v>2.3650000000000001E-2</v>
          </cell>
          <cell r="X228">
            <v>2.4450000000000003E-2</v>
          </cell>
          <cell r="Y228">
            <v>2.4900000000000002E-2</v>
          </cell>
          <cell r="Z228">
            <v>2.5350000000000001E-2</v>
          </cell>
          <cell r="AA228">
            <v>2.5999999999999995E-2</v>
          </cell>
          <cell r="AB228">
            <v>2.6749999999999999E-2</v>
          </cell>
          <cell r="AC228">
            <v>2.7699999999999999E-2</v>
          </cell>
        </row>
        <row r="229">
          <cell r="T229">
            <v>39661</v>
          </cell>
          <cell r="U229">
            <v>2.2669999999999999E-2</v>
          </cell>
          <cell r="V229">
            <v>2.3879999999999998E-2</v>
          </cell>
          <cell r="W229">
            <v>2.3650000000000001E-2</v>
          </cell>
          <cell r="X229">
            <v>2.4450000000000003E-2</v>
          </cell>
          <cell r="Y229">
            <v>2.4900000000000002E-2</v>
          </cell>
          <cell r="Z229">
            <v>2.5350000000000001E-2</v>
          </cell>
          <cell r="AA229">
            <v>2.5999999999999995E-2</v>
          </cell>
          <cell r="AB229">
            <v>2.6749999999999999E-2</v>
          </cell>
          <cell r="AC229">
            <v>2.7699999999999999E-2</v>
          </cell>
        </row>
        <row r="230">
          <cell r="T230">
            <v>39660</v>
          </cell>
          <cell r="U230">
            <v>2.2679999999999999E-2</v>
          </cell>
          <cell r="V230">
            <v>2.3879999999999998E-2</v>
          </cell>
          <cell r="W230">
            <v>2.3799999999999998E-2</v>
          </cell>
          <cell r="X230">
            <v>2.4550000000000002E-2</v>
          </cell>
          <cell r="Y230">
            <v>2.5249999999999998E-2</v>
          </cell>
          <cell r="Z230">
            <v>2.5649999999999999E-2</v>
          </cell>
          <cell r="AA230">
            <v>2.6150000000000003E-2</v>
          </cell>
          <cell r="AB230">
            <v>2.6849999999999999E-2</v>
          </cell>
          <cell r="AC230">
            <v>2.7949999999999999E-2</v>
          </cell>
        </row>
        <row r="231">
          <cell r="T231">
            <v>39659</v>
          </cell>
          <cell r="U231">
            <v>2.2669999999999999E-2</v>
          </cell>
          <cell r="V231">
            <v>2.3879999999999998E-2</v>
          </cell>
          <cell r="W231">
            <v>2.4000000000000004E-2</v>
          </cell>
          <cell r="X231">
            <v>2.4700000000000003E-2</v>
          </cell>
          <cell r="Y231">
            <v>2.53E-2</v>
          </cell>
          <cell r="Z231">
            <v>2.5849999999999998E-2</v>
          </cell>
          <cell r="AA231">
            <v>2.63E-2</v>
          </cell>
          <cell r="AB231">
            <v>2.7099999999999999E-2</v>
          </cell>
          <cell r="AC231">
            <v>2.8049999999999999E-2</v>
          </cell>
        </row>
        <row r="232">
          <cell r="T232">
            <v>39658</v>
          </cell>
          <cell r="U232">
            <v>2.2749999999999999E-2</v>
          </cell>
          <cell r="V232">
            <v>2.3990000000000001E-2</v>
          </cell>
          <cell r="W232">
            <v>2.4050000000000002E-2</v>
          </cell>
          <cell r="X232">
            <v>2.4850000000000004E-2</v>
          </cell>
          <cell r="Y232">
            <v>2.5399999999999999E-2</v>
          </cell>
          <cell r="Z232">
            <v>2.5899999999999999E-2</v>
          </cell>
          <cell r="AA232">
            <v>2.6349999999999998E-2</v>
          </cell>
          <cell r="AB232">
            <v>2.7149999999999997E-2</v>
          </cell>
          <cell r="AC232">
            <v>2.7949999999999999E-2</v>
          </cell>
        </row>
        <row r="233">
          <cell r="T233">
            <v>39657</v>
          </cell>
          <cell r="U233">
            <v>2.2930000000000002E-2</v>
          </cell>
          <cell r="V233">
            <v>2.4039999999999999E-2</v>
          </cell>
          <cell r="W233">
            <v>2.4050000000000002E-2</v>
          </cell>
          <cell r="X233">
            <v>2.4850000000000004E-2</v>
          </cell>
          <cell r="Y233">
            <v>2.5750000000000002E-2</v>
          </cell>
          <cell r="Z233">
            <v>2.5899999999999999E-2</v>
          </cell>
          <cell r="AA233">
            <v>2.6349999999999998E-2</v>
          </cell>
          <cell r="AB233">
            <v>2.7149999999999997E-2</v>
          </cell>
          <cell r="AC233">
            <v>2.7949999999999999E-2</v>
          </cell>
        </row>
        <row r="234">
          <cell r="T234">
            <v>39656</v>
          </cell>
          <cell r="U234">
            <v>2.2930000000000002E-2</v>
          </cell>
          <cell r="V234">
            <v>2.4039999999999999E-2</v>
          </cell>
          <cell r="W234">
            <v>2.4000000000000004E-2</v>
          </cell>
          <cell r="X234">
            <v>2.4900000000000002E-2</v>
          </cell>
          <cell r="Y234">
            <v>2.605E-2</v>
          </cell>
          <cell r="Z234">
            <v>2.5949999999999997E-2</v>
          </cell>
          <cell r="AA234">
            <v>2.6349999999999998E-2</v>
          </cell>
          <cell r="AB234">
            <v>2.725E-2</v>
          </cell>
          <cell r="AC234">
            <v>2.8049999999999999E-2</v>
          </cell>
        </row>
        <row r="235">
          <cell r="T235">
            <v>39655</v>
          </cell>
          <cell r="U235">
            <v>2.2930000000000002E-2</v>
          </cell>
          <cell r="V235">
            <v>2.4039999999999999E-2</v>
          </cell>
          <cell r="W235">
            <v>2.4000000000000004E-2</v>
          </cell>
          <cell r="X235">
            <v>2.4900000000000002E-2</v>
          </cell>
          <cell r="Y235">
            <v>2.605E-2</v>
          </cell>
          <cell r="Z235">
            <v>2.5949999999999997E-2</v>
          </cell>
          <cell r="AA235">
            <v>2.6349999999999998E-2</v>
          </cell>
          <cell r="AB235">
            <v>2.725E-2</v>
          </cell>
          <cell r="AC235">
            <v>2.8049999999999999E-2</v>
          </cell>
        </row>
        <row r="236">
          <cell r="T236">
            <v>39654</v>
          </cell>
          <cell r="U236">
            <v>2.2930000000000002E-2</v>
          </cell>
          <cell r="V236">
            <v>2.4039999999999999E-2</v>
          </cell>
          <cell r="W236">
            <v>2.4000000000000004E-2</v>
          </cell>
          <cell r="X236">
            <v>2.4900000000000002E-2</v>
          </cell>
          <cell r="Y236">
            <v>2.605E-2</v>
          </cell>
          <cell r="Z236">
            <v>2.5949999999999997E-2</v>
          </cell>
          <cell r="AA236">
            <v>2.6349999999999998E-2</v>
          </cell>
          <cell r="AB236">
            <v>2.725E-2</v>
          </cell>
          <cell r="AC236">
            <v>2.8049999999999999E-2</v>
          </cell>
        </row>
        <row r="237">
          <cell r="T237">
            <v>39653</v>
          </cell>
          <cell r="U237">
            <v>2.2930000000000002E-2</v>
          </cell>
          <cell r="V237">
            <v>2.4039999999999999E-2</v>
          </cell>
          <cell r="W237">
            <v>2.4249999999999997E-2</v>
          </cell>
          <cell r="X237">
            <v>2.5399999999999999E-2</v>
          </cell>
          <cell r="Y237">
            <v>2.63E-2</v>
          </cell>
          <cell r="Z237">
            <v>2.6399999999999996E-2</v>
          </cell>
          <cell r="AA237">
            <v>2.7000000000000003E-2</v>
          </cell>
          <cell r="AB237">
            <v>2.775E-2</v>
          </cell>
          <cell r="AC237">
            <v>2.8750000000000001E-2</v>
          </cell>
        </row>
        <row r="238">
          <cell r="T238">
            <v>39652</v>
          </cell>
          <cell r="U238">
            <v>2.2940000000000002E-2</v>
          </cell>
          <cell r="V238">
            <v>2.4039999999999999E-2</v>
          </cell>
          <cell r="W238">
            <v>2.435E-2</v>
          </cell>
          <cell r="X238">
            <v>2.5649999999999999E-2</v>
          </cell>
          <cell r="Y238">
            <v>2.6150000000000003E-2</v>
          </cell>
          <cell r="Z238">
            <v>2.6950000000000002E-2</v>
          </cell>
          <cell r="AA238">
            <v>2.7649999999999997E-2</v>
          </cell>
          <cell r="AB238">
            <v>2.8399999999999998E-2</v>
          </cell>
          <cell r="AC238">
            <v>2.9450000000000004E-2</v>
          </cell>
        </row>
        <row r="239">
          <cell r="T239">
            <v>39651</v>
          </cell>
          <cell r="U239">
            <v>2.2940000000000002E-2</v>
          </cell>
          <cell r="V239">
            <v>2.4039999999999999E-2</v>
          </cell>
          <cell r="W239">
            <v>2.4299999999999999E-2</v>
          </cell>
          <cell r="X239">
            <v>2.5399999999999999E-2</v>
          </cell>
          <cell r="Y239">
            <v>2.6150000000000003E-2</v>
          </cell>
          <cell r="Z239">
            <v>2.6600000000000002E-2</v>
          </cell>
          <cell r="AA239">
            <v>2.7149999999999997E-2</v>
          </cell>
          <cell r="AB239">
            <v>2.7949999999999999E-2</v>
          </cell>
          <cell r="AC239">
            <v>2.8899999999999995E-2</v>
          </cell>
        </row>
        <row r="240">
          <cell r="T240">
            <v>39650</v>
          </cell>
          <cell r="U240">
            <v>2.2860000000000002E-2</v>
          </cell>
          <cell r="V240">
            <v>2.4039999999999999E-2</v>
          </cell>
          <cell r="W240">
            <v>2.4299999999999999E-2</v>
          </cell>
          <cell r="X240">
            <v>2.545E-2</v>
          </cell>
          <cell r="Y240">
            <v>2.5999999999999995E-2</v>
          </cell>
          <cell r="Z240">
            <v>2.6500000000000003E-2</v>
          </cell>
          <cell r="AA240">
            <v>2.7099999999999999E-2</v>
          </cell>
          <cell r="AB240">
            <v>2.7799999999999998E-2</v>
          </cell>
          <cell r="AC240">
            <v>2.895E-2</v>
          </cell>
        </row>
        <row r="241">
          <cell r="T241">
            <v>39649</v>
          </cell>
          <cell r="U241">
            <v>2.2940000000000002E-2</v>
          </cell>
          <cell r="V241">
            <v>2.4070000000000001E-2</v>
          </cell>
          <cell r="W241">
            <v>2.4199999999999999E-2</v>
          </cell>
          <cell r="X241">
            <v>2.5300000000000003E-2</v>
          </cell>
          <cell r="Y241">
            <v>2.5949999999999997E-2</v>
          </cell>
          <cell r="Z241">
            <v>2.6450000000000001E-2</v>
          </cell>
          <cell r="AA241">
            <v>2.7000000000000003E-2</v>
          </cell>
          <cell r="AB241">
            <v>2.7799999999999998E-2</v>
          </cell>
          <cell r="AC241">
            <v>2.8849999999999997E-2</v>
          </cell>
        </row>
        <row r="242">
          <cell r="T242">
            <v>39648</v>
          </cell>
          <cell r="U242">
            <v>2.2940000000000002E-2</v>
          </cell>
          <cell r="V242">
            <v>2.4070000000000001E-2</v>
          </cell>
          <cell r="W242">
            <v>2.4199999999999999E-2</v>
          </cell>
          <cell r="X242">
            <v>2.5300000000000003E-2</v>
          </cell>
          <cell r="Y242">
            <v>2.5949999999999997E-2</v>
          </cell>
          <cell r="Z242">
            <v>2.6450000000000001E-2</v>
          </cell>
          <cell r="AA242">
            <v>2.7000000000000003E-2</v>
          </cell>
          <cell r="AB242">
            <v>2.7799999999999998E-2</v>
          </cell>
          <cell r="AC242">
            <v>2.8849999999999997E-2</v>
          </cell>
        </row>
        <row r="243">
          <cell r="T243">
            <v>39647</v>
          </cell>
          <cell r="U243">
            <v>2.2940000000000002E-2</v>
          </cell>
          <cell r="V243">
            <v>2.4070000000000001E-2</v>
          </cell>
          <cell r="W243">
            <v>2.4199999999999999E-2</v>
          </cell>
          <cell r="X243">
            <v>2.5300000000000003E-2</v>
          </cell>
          <cell r="Y243">
            <v>2.5949999999999997E-2</v>
          </cell>
          <cell r="Z243">
            <v>2.6450000000000001E-2</v>
          </cell>
          <cell r="AA243">
            <v>2.7000000000000003E-2</v>
          </cell>
          <cell r="AB243">
            <v>2.7799999999999998E-2</v>
          </cell>
          <cell r="AC243">
            <v>2.8849999999999997E-2</v>
          </cell>
        </row>
        <row r="244">
          <cell r="T244">
            <v>39646</v>
          </cell>
          <cell r="U244">
            <v>2.2930000000000002E-2</v>
          </cell>
          <cell r="V244">
            <v>2.4049999999999998E-2</v>
          </cell>
          <cell r="W244">
            <v>2.4150000000000001E-2</v>
          </cell>
          <cell r="X244">
            <v>2.5049999999999999E-2</v>
          </cell>
          <cell r="Y244">
            <v>2.6349999999999998E-2</v>
          </cell>
          <cell r="Z244">
            <v>2.6349999999999998E-2</v>
          </cell>
          <cell r="AA244">
            <v>2.6900000000000004E-2</v>
          </cell>
          <cell r="AB244">
            <v>2.785E-2</v>
          </cell>
          <cell r="AC244">
            <v>2.8849999999999997E-2</v>
          </cell>
        </row>
        <row r="245">
          <cell r="T245">
            <v>39645</v>
          </cell>
          <cell r="U245">
            <v>2.2879999999999998E-2</v>
          </cell>
          <cell r="V245">
            <v>2.4080000000000001E-2</v>
          </cell>
          <cell r="W245">
            <v>2.4300000000000002E-2</v>
          </cell>
          <cell r="X245">
            <v>2.545E-2</v>
          </cell>
          <cell r="Y245">
            <v>2.6349999999999998E-2</v>
          </cell>
          <cell r="Z245">
            <v>2.6500000000000003E-2</v>
          </cell>
          <cell r="AA245">
            <v>2.7000000000000003E-2</v>
          </cell>
          <cell r="AB245">
            <v>2.7999999999999997E-2</v>
          </cell>
          <cell r="AC245">
            <v>2.8849999999999997E-2</v>
          </cell>
        </row>
        <row r="246">
          <cell r="T246">
            <v>39644</v>
          </cell>
          <cell r="U246">
            <v>2.291E-2</v>
          </cell>
          <cell r="V246">
            <v>2.4080000000000001E-2</v>
          </cell>
          <cell r="W246">
            <v>2.4500000000000001E-2</v>
          </cell>
          <cell r="X246">
            <v>2.5899999999999999E-2</v>
          </cell>
          <cell r="Y246">
            <v>2.6474999999999999E-2</v>
          </cell>
          <cell r="Z246">
            <v>2.7149999999999997E-2</v>
          </cell>
          <cell r="AA246">
            <v>2.7549999999999998E-2</v>
          </cell>
          <cell r="AB246">
            <v>2.8449999999999996E-2</v>
          </cell>
          <cell r="AC246">
            <v>2.92E-2</v>
          </cell>
        </row>
        <row r="247">
          <cell r="T247">
            <v>39643</v>
          </cell>
          <cell r="U247">
            <v>2.291E-2</v>
          </cell>
          <cell r="V247">
            <v>2.4049999999999998E-2</v>
          </cell>
          <cell r="W247">
            <v>2.435E-2</v>
          </cell>
          <cell r="X247">
            <v>2.5899999999999999E-2</v>
          </cell>
          <cell r="Y247">
            <v>2.6600000000000002E-2</v>
          </cell>
          <cell r="Z247">
            <v>2.7199999999999998E-2</v>
          </cell>
          <cell r="AA247">
            <v>2.775E-2</v>
          </cell>
          <cell r="AB247">
            <v>2.8449999999999996E-2</v>
          </cell>
          <cell r="AC247">
            <v>2.9350000000000001E-2</v>
          </cell>
        </row>
        <row r="248">
          <cell r="T248">
            <v>39642</v>
          </cell>
          <cell r="U248">
            <v>2.291E-2</v>
          </cell>
          <cell r="V248">
            <v>2.4029999999999999E-2</v>
          </cell>
          <cell r="W248">
            <v>2.4249999999999997E-2</v>
          </cell>
          <cell r="X248">
            <v>2.5949999999999997E-2</v>
          </cell>
          <cell r="Y248">
            <v>2.6249999999999999E-2</v>
          </cell>
          <cell r="Z248">
            <v>2.6950000000000002E-2</v>
          </cell>
          <cell r="AA248">
            <v>2.7450000000000002E-2</v>
          </cell>
          <cell r="AB248">
            <v>2.7924999999999998E-2</v>
          </cell>
          <cell r="AC248">
            <v>2.8750000000000001E-2</v>
          </cell>
        </row>
        <row r="249">
          <cell r="T249">
            <v>39641</v>
          </cell>
          <cell r="U249">
            <v>2.291E-2</v>
          </cell>
          <cell r="V249">
            <v>2.4029999999999999E-2</v>
          </cell>
          <cell r="W249">
            <v>2.4249999999999997E-2</v>
          </cell>
          <cell r="X249">
            <v>2.5949999999999997E-2</v>
          </cell>
          <cell r="Y249">
            <v>2.6249999999999999E-2</v>
          </cell>
          <cell r="Z249">
            <v>2.6950000000000002E-2</v>
          </cell>
          <cell r="AA249">
            <v>2.7450000000000002E-2</v>
          </cell>
          <cell r="AB249">
            <v>2.7924999999999998E-2</v>
          </cell>
          <cell r="AC249">
            <v>2.8750000000000001E-2</v>
          </cell>
        </row>
        <row r="250">
          <cell r="T250">
            <v>39640</v>
          </cell>
          <cell r="U250">
            <v>2.291E-2</v>
          </cell>
          <cell r="V250">
            <v>2.4029999999999999E-2</v>
          </cell>
          <cell r="W250">
            <v>2.4249999999999997E-2</v>
          </cell>
          <cell r="X250">
            <v>2.5949999999999997E-2</v>
          </cell>
          <cell r="Y250">
            <v>2.6249999999999999E-2</v>
          </cell>
          <cell r="Z250">
            <v>2.6950000000000002E-2</v>
          </cell>
          <cell r="AA250">
            <v>2.7450000000000002E-2</v>
          </cell>
          <cell r="AB250">
            <v>2.7924999999999998E-2</v>
          </cell>
          <cell r="AC250">
            <v>2.8750000000000001E-2</v>
          </cell>
        </row>
        <row r="251">
          <cell r="T251">
            <v>39639</v>
          </cell>
          <cell r="U251">
            <v>2.2930000000000002E-2</v>
          </cell>
          <cell r="V251">
            <v>2.4080000000000001E-2</v>
          </cell>
          <cell r="W251">
            <v>2.4299999999999999E-2</v>
          </cell>
          <cell r="X251">
            <v>2.5700000000000004E-2</v>
          </cell>
          <cell r="Y251">
            <v>2.63E-2</v>
          </cell>
          <cell r="Z251">
            <v>2.6675000000000001E-2</v>
          </cell>
          <cell r="AA251">
            <v>2.7350000000000003E-2</v>
          </cell>
          <cell r="AB251">
            <v>2.8099999999999997E-2</v>
          </cell>
          <cell r="AC251">
            <v>2.9100000000000001E-2</v>
          </cell>
        </row>
        <row r="252">
          <cell r="T252">
            <v>39638</v>
          </cell>
          <cell r="U252">
            <v>2.2930000000000002E-2</v>
          </cell>
          <cell r="V252">
            <v>2.4080000000000001E-2</v>
          </cell>
          <cell r="W252">
            <v>2.4450000000000003E-2</v>
          </cell>
          <cell r="X252">
            <v>2.605E-2</v>
          </cell>
          <cell r="Y252">
            <v>2.6799999999999997E-2</v>
          </cell>
          <cell r="Z252">
            <v>2.7400000000000001E-2</v>
          </cell>
          <cell r="AA252">
            <v>2.7949999999999999E-2</v>
          </cell>
          <cell r="AB252">
            <v>2.8750000000000001E-2</v>
          </cell>
          <cell r="AC252">
            <v>2.9600000000000001E-2</v>
          </cell>
        </row>
        <row r="253">
          <cell r="T253">
            <v>39637</v>
          </cell>
          <cell r="U253">
            <v>2.2930000000000002E-2</v>
          </cell>
          <cell r="V253">
            <v>2.4080000000000001E-2</v>
          </cell>
          <cell r="W253">
            <v>2.4450000000000003E-2</v>
          </cell>
          <cell r="X253">
            <v>2.5949999999999997E-2</v>
          </cell>
          <cell r="Y253">
            <v>2.6699999999999998E-2</v>
          </cell>
          <cell r="Z253">
            <v>2.7099999999999999E-2</v>
          </cell>
          <cell r="AA253">
            <v>2.8149999999999998E-2</v>
          </cell>
          <cell r="AB253">
            <v>2.86E-2</v>
          </cell>
          <cell r="AC253">
            <v>2.9750000000000002E-2</v>
          </cell>
        </row>
        <row r="254">
          <cell r="T254">
            <v>39636</v>
          </cell>
          <cell r="U254">
            <v>2.2959999999999998E-2</v>
          </cell>
          <cell r="V254">
            <v>2.402E-2</v>
          </cell>
          <cell r="W254">
            <v>2.4800000000000003E-2</v>
          </cell>
          <cell r="X254">
            <v>2.6499999999999999E-2</v>
          </cell>
          <cell r="Y254">
            <v>2.7450000000000002E-2</v>
          </cell>
          <cell r="Z254">
            <v>2.7949999999999999E-2</v>
          </cell>
          <cell r="AA254">
            <v>2.8600000000000004E-2</v>
          </cell>
          <cell r="AB254">
            <v>2.9300000000000003E-2</v>
          </cell>
          <cell r="AC254">
            <v>3.005E-2</v>
          </cell>
        </row>
        <row r="255">
          <cell r="T255">
            <v>39635</v>
          </cell>
          <cell r="U255">
            <v>2.2949999999999998E-2</v>
          </cell>
          <cell r="V255">
            <v>2.402E-2</v>
          </cell>
          <cell r="W255">
            <v>2.46E-2</v>
          </cell>
          <cell r="X255">
            <v>2.6550000000000004E-2</v>
          </cell>
          <cell r="Y255">
            <v>2.7450000000000002E-2</v>
          </cell>
          <cell r="Z255">
            <v>2.7975000000000003E-2</v>
          </cell>
          <cell r="AA255">
            <v>2.8650000000000002E-2</v>
          </cell>
          <cell r="AB255">
            <v>2.9624999999999999E-2</v>
          </cell>
          <cell r="AC255">
            <v>3.005E-2</v>
          </cell>
        </row>
        <row r="256">
          <cell r="T256">
            <v>39634</v>
          </cell>
          <cell r="U256">
            <v>2.2949999999999998E-2</v>
          </cell>
          <cell r="V256">
            <v>2.402E-2</v>
          </cell>
          <cell r="W256">
            <v>2.46E-2</v>
          </cell>
          <cell r="X256">
            <v>2.6550000000000004E-2</v>
          </cell>
          <cell r="Y256">
            <v>2.7450000000000002E-2</v>
          </cell>
          <cell r="Z256">
            <v>2.7975000000000003E-2</v>
          </cell>
          <cell r="AA256">
            <v>2.8650000000000002E-2</v>
          </cell>
          <cell r="AB256">
            <v>2.9624999999999999E-2</v>
          </cell>
          <cell r="AC256">
            <v>3.005E-2</v>
          </cell>
        </row>
        <row r="257">
          <cell r="T257">
            <v>39633</v>
          </cell>
          <cell r="U257">
            <v>2.2949999999999998E-2</v>
          </cell>
          <cell r="V257">
            <v>2.402E-2</v>
          </cell>
          <cell r="W257">
            <v>2.46E-2</v>
          </cell>
          <cell r="X257">
            <v>2.6550000000000004E-2</v>
          </cell>
          <cell r="Y257">
            <v>2.7450000000000002E-2</v>
          </cell>
          <cell r="Z257">
            <v>2.7975000000000003E-2</v>
          </cell>
          <cell r="AA257">
            <v>2.8650000000000002E-2</v>
          </cell>
          <cell r="AB257">
            <v>2.9624999999999999E-2</v>
          </cell>
          <cell r="AC257">
            <v>3.005E-2</v>
          </cell>
        </row>
        <row r="258">
          <cell r="T258">
            <v>39632</v>
          </cell>
          <cell r="U258">
            <v>2.2869999999999998E-2</v>
          </cell>
          <cell r="V258">
            <v>2.3990000000000001E-2</v>
          </cell>
          <cell r="W258">
            <v>2.4800000000000003E-2</v>
          </cell>
          <cell r="X258">
            <v>2.6699999999999998E-2</v>
          </cell>
          <cell r="Y258">
            <v>2.76E-2</v>
          </cell>
          <cell r="Z258">
            <v>2.8200000000000003E-2</v>
          </cell>
          <cell r="AA258">
            <v>2.8849999999999997E-2</v>
          </cell>
          <cell r="AB258">
            <v>2.9649999999999999E-2</v>
          </cell>
          <cell r="AC258">
            <v>3.04E-2</v>
          </cell>
        </row>
        <row r="259">
          <cell r="T259">
            <v>39631</v>
          </cell>
          <cell r="U259">
            <v>2.2869999999999998E-2</v>
          </cell>
          <cell r="V259">
            <v>2.3990000000000001E-2</v>
          </cell>
          <cell r="W259">
            <v>2.4699999999999996E-2</v>
          </cell>
          <cell r="X259">
            <v>2.6450000000000001E-2</v>
          </cell>
          <cell r="Y259">
            <v>2.725E-2</v>
          </cell>
          <cell r="Z259">
            <v>2.7900000000000001E-2</v>
          </cell>
          <cell r="AA259">
            <v>2.8549999999999999E-2</v>
          </cell>
          <cell r="AB259">
            <v>2.9299999999999996E-2</v>
          </cell>
          <cell r="AC259">
            <v>2.9950000000000001E-2</v>
          </cell>
        </row>
        <row r="260">
          <cell r="T260">
            <v>39630</v>
          </cell>
          <cell r="U260">
            <v>2.3E-2</v>
          </cell>
          <cell r="V260">
            <v>2.4049999999999998E-2</v>
          </cell>
          <cell r="W260">
            <v>2.495E-2</v>
          </cell>
          <cell r="X260">
            <v>2.6799999999999997E-2</v>
          </cell>
          <cell r="Y260">
            <v>2.7699999999999999E-2</v>
          </cell>
          <cell r="Z260">
            <v>2.8449999999999996E-2</v>
          </cell>
          <cell r="AA260">
            <v>2.9299999999999996E-2</v>
          </cell>
          <cell r="AB260">
            <v>2.9900000000000003E-2</v>
          </cell>
          <cell r="AC260">
            <v>3.0600000000000002E-2</v>
          </cell>
        </row>
        <row r="261">
          <cell r="T261">
            <v>39629</v>
          </cell>
          <cell r="U261">
            <v>2.3E-2</v>
          </cell>
          <cell r="V261">
            <v>2.4049999999999998E-2</v>
          </cell>
          <cell r="W261">
            <v>2.5000000000000001E-2</v>
          </cell>
          <cell r="X261">
            <v>2.6849999999999999E-2</v>
          </cell>
          <cell r="Y261">
            <v>2.7649999999999997E-2</v>
          </cell>
          <cell r="Z261">
            <v>2.835E-2</v>
          </cell>
          <cell r="AA261">
            <v>2.9100000000000001E-2</v>
          </cell>
          <cell r="AB261">
            <v>2.9900000000000003E-2</v>
          </cell>
          <cell r="AC261">
            <v>3.0600000000000002E-2</v>
          </cell>
        </row>
        <row r="262">
          <cell r="T262">
            <v>39628</v>
          </cell>
          <cell r="U262">
            <v>2.298E-2</v>
          </cell>
          <cell r="V262">
            <v>2.4070000000000001E-2</v>
          </cell>
          <cell r="W262">
            <v>2.4900000000000002E-2</v>
          </cell>
          <cell r="X262">
            <v>2.6550000000000004E-2</v>
          </cell>
          <cell r="Y262">
            <v>2.7549999999999998E-2</v>
          </cell>
          <cell r="Z262">
            <v>2.8149999999999998E-2</v>
          </cell>
          <cell r="AA262">
            <v>2.8799999999999999E-2</v>
          </cell>
          <cell r="AB262">
            <v>2.955E-2</v>
          </cell>
          <cell r="AC262">
            <v>3.0299999999999997E-2</v>
          </cell>
        </row>
        <row r="263">
          <cell r="T263">
            <v>39627</v>
          </cell>
          <cell r="U263">
            <v>2.298E-2</v>
          </cell>
          <cell r="V263">
            <v>2.4070000000000001E-2</v>
          </cell>
          <cell r="W263">
            <v>2.4900000000000002E-2</v>
          </cell>
          <cell r="X263">
            <v>2.6550000000000004E-2</v>
          </cell>
          <cell r="Y263">
            <v>2.7549999999999998E-2</v>
          </cell>
          <cell r="Z263">
            <v>2.8149999999999998E-2</v>
          </cell>
          <cell r="AA263">
            <v>2.8799999999999999E-2</v>
          </cell>
          <cell r="AB263">
            <v>2.955E-2</v>
          </cell>
          <cell r="AC263">
            <v>3.0299999999999997E-2</v>
          </cell>
        </row>
        <row r="264">
          <cell r="T264">
            <v>39626</v>
          </cell>
          <cell r="U264">
            <v>2.298E-2</v>
          </cell>
          <cell r="V264">
            <v>2.4070000000000001E-2</v>
          </cell>
          <cell r="W264">
            <v>2.4900000000000002E-2</v>
          </cell>
          <cell r="X264">
            <v>2.6550000000000004E-2</v>
          </cell>
          <cell r="Y264">
            <v>2.7549999999999998E-2</v>
          </cell>
          <cell r="Z264">
            <v>2.8149999999999998E-2</v>
          </cell>
          <cell r="AA264">
            <v>2.8799999999999999E-2</v>
          </cell>
          <cell r="AB264">
            <v>2.955E-2</v>
          </cell>
          <cell r="AC264">
            <v>3.0299999999999997E-2</v>
          </cell>
        </row>
        <row r="265">
          <cell r="T265">
            <v>39625</v>
          </cell>
          <cell r="U265">
            <v>2.2839999999999999E-2</v>
          </cell>
          <cell r="V265">
            <v>2.3730000000000001E-2</v>
          </cell>
          <cell r="W265">
            <v>2.495E-2</v>
          </cell>
          <cell r="X265">
            <v>2.6550000000000004E-2</v>
          </cell>
          <cell r="Y265">
            <v>2.7450000000000002E-2</v>
          </cell>
          <cell r="Z265">
            <v>2.8075000000000003E-2</v>
          </cell>
          <cell r="AA265">
            <v>2.8775000000000005E-2</v>
          </cell>
          <cell r="AB265">
            <v>2.955E-2</v>
          </cell>
          <cell r="AC265">
            <v>3.0299999999999997E-2</v>
          </cell>
        </row>
        <row r="266">
          <cell r="T266">
            <v>39624</v>
          </cell>
          <cell r="U266">
            <v>2.283E-2</v>
          </cell>
          <cell r="V266">
            <v>2.3709999999999998E-2</v>
          </cell>
          <cell r="W266">
            <v>2.4900000000000002E-2</v>
          </cell>
          <cell r="X266">
            <v>2.6499999999999999E-2</v>
          </cell>
          <cell r="Y266">
            <v>2.7450000000000002E-2</v>
          </cell>
          <cell r="Z266">
            <v>2.81E-2</v>
          </cell>
          <cell r="AA266">
            <v>2.8750000000000001E-2</v>
          </cell>
          <cell r="AB266">
            <v>2.9450000000000004E-2</v>
          </cell>
          <cell r="AC266">
            <v>3.0250000000000003E-2</v>
          </cell>
        </row>
        <row r="267">
          <cell r="T267">
            <v>39623</v>
          </cell>
          <cell r="U267">
            <v>2.2799999999999997E-2</v>
          </cell>
          <cell r="V267">
            <v>2.3709999999999998E-2</v>
          </cell>
          <cell r="W267">
            <v>2.5049999999999999E-2</v>
          </cell>
          <cell r="X267">
            <v>2.6950000000000002E-2</v>
          </cell>
          <cell r="Y267">
            <v>2.785E-2</v>
          </cell>
          <cell r="Z267">
            <v>2.8499999999999998E-2</v>
          </cell>
          <cell r="AA267">
            <v>2.92E-2</v>
          </cell>
          <cell r="AB267">
            <v>2.9900000000000003E-2</v>
          </cell>
          <cell r="AC267">
            <v>3.0949999999999998E-2</v>
          </cell>
        </row>
        <row r="268">
          <cell r="T268">
            <v>39622</v>
          </cell>
          <cell r="U268">
            <v>2.2879999999999998E-2</v>
          </cell>
          <cell r="V268">
            <v>2.3740000000000001E-2</v>
          </cell>
          <cell r="W268">
            <v>2.5049999999999999E-2</v>
          </cell>
          <cell r="X268">
            <v>2.6699999999999998E-2</v>
          </cell>
          <cell r="Y268">
            <v>2.7699999999999995E-2</v>
          </cell>
          <cell r="Z268">
            <v>2.8449999999999996E-2</v>
          </cell>
          <cell r="AA268">
            <v>2.92E-2</v>
          </cell>
          <cell r="AB268">
            <v>2.9900000000000003E-2</v>
          </cell>
          <cell r="AC268">
            <v>3.0949999999999998E-2</v>
          </cell>
        </row>
        <row r="269">
          <cell r="T269">
            <v>39621</v>
          </cell>
          <cell r="U269">
            <v>2.2919999999999999E-2</v>
          </cell>
          <cell r="V269">
            <v>2.3730000000000001E-2</v>
          </cell>
          <cell r="W269">
            <v>2.495E-2</v>
          </cell>
          <cell r="X269">
            <v>2.6749999999999999E-2</v>
          </cell>
          <cell r="Y269">
            <v>2.7649999999999997E-2</v>
          </cell>
          <cell r="Z269">
            <v>2.8399999999999998E-2</v>
          </cell>
          <cell r="AA269">
            <v>2.9149999999999999E-2</v>
          </cell>
          <cell r="AB269">
            <v>3.005E-2</v>
          </cell>
          <cell r="AC269">
            <v>3.0949999999999998E-2</v>
          </cell>
        </row>
        <row r="270">
          <cell r="T270">
            <v>39620</v>
          </cell>
          <cell r="U270">
            <v>2.2919999999999999E-2</v>
          </cell>
          <cell r="V270">
            <v>2.3730000000000001E-2</v>
          </cell>
          <cell r="W270">
            <v>2.495E-2</v>
          </cell>
          <cell r="X270">
            <v>2.6749999999999999E-2</v>
          </cell>
          <cell r="Y270">
            <v>2.7649999999999997E-2</v>
          </cell>
          <cell r="Z270">
            <v>2.8399999999999998E-2</v>
          </cell>
          <cell r="AA270">
            <v>2.9149999999999999E-2</v>
          </cell>
          <cell r="AB270">
            <v>3.005E-2</v>
          </cell>
          <cell r="AC270">
            <v>3.0949999999999998E-2</v>
          </cell>
        </row>
        <row r="271">
          <cell r="T271">
            <v>39619</v>
          </cell>
          <cell r="U271">
            <v>2.2919999999999999E-2</v>
          </cell>
          <cell r="V271">
            <v>2.3730000000000001E-2</v>
          </cell>
          <cell r="W271">
            <v>2.495E-2</v>
          </cell>
          <cell r="X271">
            <v>2.6749999999999999E-2</v>
          </cell>
          <cell r="Y271">
            <v>2.7649999999999997E-2</v>
          </cell>
          <cell r="Z271">
            <v>2.8399999999999998E-2</v>
          </cell>
          <cell r="AA271">
            <v>2.9149999999999999E-2</v>
          </cell>
          <cell r="AB271">
            <v>3.005E-2</v>
          </cell>
          <cell r="AC271">
            <v>3.0949999999999998E-2</v>
          </cell>
        </row>
        <row r="272">
          <cell r="T272">
            <v>39618</v>
          </cell>
          <cell r="U272">
            <v>2.266E-2</v>
          </cell>
          <cell r="V272">
            <v>2.3719999999999998E-2</v>
          </cell>
          <cell r="W272">
            <v>2.4849999999999997E-2</v>
          </cell>
          <cell r="X272">
            <v>2.6600000000000002E-2</v>
          </cell>
          <cell r="Y272">
            <v>2.7400000000000001E-2</v>
          </cell>
          <cell r="Z272">
            <v>2.8300000000000002E-2</v>
          </cell>
          <cell r="AA272">
            <v>2.9112499999999999E-2</v>
          </cell>
          <cell r="AB272">
            <v>2.9750000000000002E-2</v>
          </cell>
          <cell r="AC272">
            <v>3.0999999999999996E-2</v>
          </cell>
        </row>
        <row r="273">
          <cell r="T273">
            <v>39617</v>
          </cell>
          <cell r="U273">
            <v>2.2799999999999997E-2</v>
          </cell>
          <cell r="V273">
            <v>2.3690000000000003E-2</v>
          </cell>
          <cell r="W273">
            <v>2.4900000000000002E-2</v>
          </cell>
          <cell r="X273">
            <v>2.6875E-2</v>
          </cell>
          <cell r="Y273">
            <v>2.7800000000000002E-2</v>
          </cell>
          <cell r="Z273">
            <v>2.8600000000000004E-2</v>
          </cell>
          <cell r="AA273">
            <v>2.9350000000000001E-2</v>
          </cell>
          <cell r="AB273">
            <v>3.0300000000000004E-2</v>
          </cell>
          <cell r="AC273">
            <v>3.125E-2</v>
          </cell>
        </row>
        <row r="274">
          <cell r="T274">
            <v>39616</v>
          </cell>
          <cell r="U274">
            <v>2.2639999999999997E-2</v>
          </cell>
          <cell r="V274">
            <v>2.368E-2</v>
          </cell>
          <cell r="W274">
            <v>2.5149999999999995E-2</v>
          </cell>
          <cell r="X274">
            <v>2.7000000000000003E-2</v>
          </cell>
          <cell r="Y274">
            <v>2.785E-2</v>
          </cell>
          <cell r="Z274">
            <v>2.8849999999999997E-2</v>
          </cell>
          <cell r="AA274">
            <v>2.9712499999999999E-2</v>
          </cell>
          <cell r="AB274">
            <v>3.0549999999999997E-2</v>
          </cell>
          <cell r="AC274">
            <v>3.1699999999999999E-2</v>
          </cell>
        </row>
        <row r="275">
          <cell r="T275">
            <v>39615</v>
          </cell>
          <cell r="U275">
            <v>2.274E-2</v>
          </cell>
          <cell r="V275">
            <v>2.366E-2</v>
          </cell>
          <cell r="W275">
            <v>2.5849999999999998E-2</v>
          </cell>
          <cell r="X275">
            <v>2.7900000000000001E-2</v>
          </cell>
          <cell r="Y275">
            <v>2.895E-2</v>
          </cell>
          <cell r="Z275">
            <v>2.9850000000000002E-2</v>
          </cell>
          <cell r="AA275">
            <v>3.0849999999999999E-2</v>
          </cell>
          <cell r="AB275">
            <v>3.1625E-2</v>
          </cell>
          <cell r="AC275">
            <v>3.2750000000000001E-2</v>
          </cell>
        </row>
        <row r="276">
          <cell r="T276">
            <v>39614</v>
          </cell>
          <cell r="U276">
            <v>2.29E-2</v>
          </cell>
          <cell r="V276">
            <v>2.3789999999999999E-2</v>
          </cell>
          <cell r="W276">
            <v>2.5399999999999999E-2</v>
          </cell>
          <cell r="X276">
            <v>2.7199999999999998E-2</v>
          </cell>
          <cell r="Y276">
            <v>2.8399999999999998E-2</v>
          </cell>
          <cell r="Z276">
            <v>2.9300000000000003E-2</v>
          </cell>
          <cell r="AA276">
            <v>3.0249999999999999E-2</v>
          </cell>
          <cell r="AB276">
            <v>3.1200000000000002E-2</v>
          </cell>
          <cell r="AC276">
            <v>3.2199999999999999E-2</v>
          </cell>
        </row>
        <row r="277">
          <cell r="T277">
            <v>39613</v>
          </cell>
          <cell r="U277">
            <v>2.29E-2</v>
          </cell>
          <cell r="V277">
            <v>2.3789999999999999E-2</v>
          </cell>
          <cell r="W277">
            <v>2.5399999999999999E-2</v>
          </cell>
          <cell r="X277">
            <v>2.7199999999999998E-2</v>
          </cell>
          <cell r="Y277">
            <v>2.8399999999999998E-2</v>
          </cell>
          <cell r="Z277">
            <v>2.9300000000000003E-2</v>
          </cell>
          <cell r="AA277">
            <v>3.0249999999999999E-2</v>
          </cell>
          <cell r="AB277">
            <v>3.1200000000000002E-2</v>
          </cell>
          <cell r="AC277">
            <v>3.2199999999999999E-2</v>
          </cell>
        </row>
        <row r="278">
          <cell r="T278">
            <v>39612</v>
          </cell>
          <cell r="U278">
            <v>2.29E-2</v>
          </cell>
          <cell r="V278">
            <v>2.3789999999999999E-2</v>
          </cell>
          <cell r="W278">
            <v>2.5399999999999999E-2</v>
          </cell>
          <cell r="X278">
            <v>2.7199999999999998E-2</v>
          </cell>
          <cell r="Y278">
            <v>2.8399999999999998E-2</v>
          </cell>
          <cell r="Z278">
            <v>2.9300000000000003E-2</v>
          </cell>
          <cell r="AA278">
            <v>3.0249999999999999E-2</v>
          </cell>
          <cell r="AB278">
            <v>3.1200000000000002E-2</v>
          </cell>
          <cell r="AC278">
            <v>3.2199999999999999E-2</v>
          </cell>
        </row>
        <row r="279">
          <cell r="T279">
            <v>39611</v>
          </cell>
          <cell r="U279">
            <v>2.2959999999999998E-2</v>
          </cell>
          <cell r="V279">
            <v>2.3789999999999999E-2</v>
          </cell>
          <cell r="W279">
            <v>2.5350000000000001E-2</v>
          </cell>
          <cell r="X279">
            <v>2.7300000000000005E-2</v>
          </cell>
          <cell r="Y279">
            <v>2.8399999999999998E-2</v>
          </cell>
          <cell r="Z279">
            <v>2.9350000000000001E-2</v>
          </cell>
          <cell r="AA279">
            <v>3.0249999999999999E-2</v>
          </cell>
          <cell r="AB279">
            <v>3.1224999999999999E-2</v>
          </cell>
          <cell r="AC279">
            <v>3.2199999999999999E-2</v>
          </cell>
        </row>
        <row r="280">
          <cell r="T280">
            <v>39610</v>
          </cell>
          <cell r="U280">
            <v>2.2949999999999998E-2</v>
          </cell>
          <cell r="V280">
            <v>2.3879999999999998E-2</v>
          </cell>
          <cell r="W280">
            <v>2.5249999999999998E-2</v>
          </cell>
          <cell r="X280">
            <v>2.6799999999999997E-2</v>
          </cell>
          <cell r="Y280">
            <v>2.7949999999999999E-2</v>
          </cell>
          <cell r="Z280">
            <v>2.895E-2</v>
          </cell>
          <cell r="AA280">
            <v>2.9850000000000002E-2</v>
          </cell>
          <cell r="AB280">
            <v>3.0849999999999999E-2</v>
          </cell>
          <cell r="AC280">
            <v>3.2099999999999997E-2</v>
          </cell>
        </row>
        <row r="281">
          <cell r="T281">
            <v>39609</v>
          </cell>
          <cell r="U281">
            <v>2.2930000000000002E-2</v>
          </cell>
          <cell r="V281">
            <v>2.3820000000000001E-2</v>
          </cell>
          <cell r="W281">
            <v>2.52E-2</v>
          </cell>
          <cell r="X281">
            <v>2.6799999999999997E-2</v>
          </cell>
          <cell r="Y281">
            <v>2.7900000000000001E-2</v>
          </cell>
          <cell r="Z281">
            <v>2.9000000000000005E-2</v>
          </cell>
          <cell r="AA281">
            <v>2.9850000000000002E-2</v>
          </cell>
          <cell r="AB281">
            <v>3.0849999999999999E-2</v>
          </cell>
          <cell r="AC281">
            <v>3.2099999999999997E-2</v>
          </cell>
        </row>
        <row r="282">
          <cell r="T282">
            <v>39608</v>
          </cell>
          <cell r="U282">
            <v>2.281E-2</v>
          </cell>
          <cell r="V282">
            <v>2.3809999999999998E-2</v>
          </cell>
          <cell r="W282">
            <v>2.4799999999999999E-2</v>
          </cell>
          <cell r="X282">
            <v>2.6349999999999998E-2</v>
          </cell>
          <cell r="Y282">
            <v>2.7549999999999998E-2</v>
          </cell>
          <cell r="Z282">
            <v>2.8600000000000004E-2</v>
          </cell>
          <cell r="AA282">
            <v>2.9299999999999996E-2</v>
          </cell>
          <cell r="AB282">
            <v>3.0249999999999999E-2</v>
          </cell>
          <cell r="AC282">
            <v>3.1349999999999996E-2</v>
          </cell>
        </row>
        <row r="283">
          <cell r="T283">
            <v>39607</v>
          </cell>
          <cell r="U283">
            <v>2.299E-2</v>
          </cell>
          <cell r="V283">
            <v>2.3910000000000001E-2</v>
          </cell>
          <cell r="W283">
            <v>2.4799999999999999E-2</v>
          </cell>
          <cell r="X283">
            <v>2.6450000000000001E-2</v>
          </cell>
          <cell r="Y283">
            <v>2.7549999999999998E-2</v>
          </cell>
          <cell r="Z283">
            <v>2.8600000000000004E-2</v>
          </cell>
          <cell r="AA283">
            <v>2.9299999999999996E-2</v>
          </cell>
          <cell r="AB283">
            <v>3.0249999999999999E-2</v>
          </cell>
          <cell r="AC283">
            <v>3.1349999999999996E-2</v>
          </cell>
        </row>
        <row r="284">
          <cell r="T284">
            <v>39606</v>
          </cell>
          <cell r="U284">
            <v>2.299E-2</v>
          </cell>
          <cell r="V284">
            <v>2.3910000000000001E-2</v>
          </cell>
          <cell r="W284">
            <v>2.4799999999999999E-2</v>
          </cell>
          <cell r="X284">
            <v>2.6450000000000001E-2</v>
          </cell>
          <cell r="Y284">
            <v>2.7549999999999998E-2</v>
          </cell>
          <cell r="Z284">
            <v>2.8600000000000004E-2</v>
          </cell>
          <cell r="AA284">
            <v>2.9299999999999996E-2</v>
          </cell>
          <cell r="AB284">
            <v>3.0249999999999999E-2</v>
          </cell>
          <cell r="AC284">
            <v>3.1349999999999996E-2</v>
          </cell>
        </row>
        <row r="285">
          <cell r="T285">
            <v>39605</v>
          </cell>
          <cell r="U285">
            <v>2.299E-2</v>
          </cell>
          <cell r="V285">
            <v>2.3910000000000001E-2</v>
          </cell>
          <cell r="W285">
            <v>2.4799999999999999E-2</v>
          </cell>
          <cell r="X285">
            <v>2.6450000000000001E-2</v>
          </cell>
          <cell r="Y285">
            <v>2.7549999999999998E-2</v>
          </cell>
          <cell r="Z285">
            <v>2.8600000000000004E-2</v>
          </cell>
          <cell r="AA285">
            <v>2.9299999999999996E-2</v>
          </cell>
          <cell r="AB285">
            <v>3.0249999999999999E-2</v>
          </cell>
          <cell r="AC285">
            <v>3.1349999999999996E-2</v>
          </cell>
        </row>
        <row r="286">
          <cell r="T286">
            <v>39604</v>
          </cell>
          <cell r="U286">
            <v>2.3010000000000003E-2</v>
          </cell>
          <cell r="V286">
            <v>2.3910000000000001E-2</v>
          </cell>
          <cell r="W286">
            <v>2.4750000000000001E-2</v>
          </cell>
          <cell r="X286">
            <v>2.6349999999999998E-2</v>
          </cell>
          <cell r="Y286">
            <v>2.7400000000000001E-2</v>
          </cell>
          <cell r="Z286">
            <v>2.8399999999999998E-2</v>
          </cell>
          <cell r="AA286">
            <v>2.92E-2</v>
          </cell>
          <cell r="AB286">
            <v>3.0249999999999999E-2</v>
          </cell>
          <cell r="AC286">
            <v>3.1100000000000003E-2</v>
          </cell>
        </row>
        <row r="287">
          <cell r="T287">
            <v>39603</v>
          </cell>
          <cell r="U287">
            <v>2.2940000000000002E-2</v>
          </cell>
          <cell r="V287">
            <v>2.3910000000000001E-2</v>
          </cell>
          <cell r="W287">
            <v>2.4750000000000001E-2</v>
          </cell>
          <cell r="X287">
            <v>2.63375E-2</v>
          </cell>
          <cell r="Y287">
            <v>2.7350000000000003E-2</v>
          </cell>
          <cell r="Z287">
            <v>2.8449999999999996E-2</v>
          </cell>
          <cell r="AA287">
            <v>2.92E-2</v>
          </cell>
          <cell r="AB287">
            <v>3.0149999999999996E-2</v>
          </cell>
          <cell r="AC287">
            <v>3.1100000000000003E-2</v>
          </cell>
        </row>
        <row r="288">
          <cell r="T288">
            <v>39602</v>
          </cell>
          <cell r="U288">
            <v>2.3109999999999999E-2</v>
          </cell>
          <cell r="V288">
            <v>2.3969999999999998E-2</v>
          </cell>
          <cell r="W288">
            <v>2.4750000000000001E-2</v>
          </cell>
          <cell r="X288">
            <v>2.6249999999999999E-2</v>
          </cell>
          <cell r="Y288">
            <v>2.7300000000000005E-2</v>
          </cell>
          <cell r="Z288">
            <v>2.8449999999999996E-2</v>
          </cell>
          <cell r="AA288">
            <v>2.92E-2</v>
          </cell>
          <cell r="AB288">
            <v>3.015E-2</v>
          </cell>
          <cell r="AC288">
            <v>3.1649999999999998E-2</v>
          </cell>
        </row>
        <row r="289">
          <cell r="T289">
            <v>39601</v>
          </cell>
          <cell r="U289">
            <v>2.3060000000000001E-2</v>
          </cell>
          <cell r="V289">
            <v>2.3889999999999998E-2</v>
          </cell>
          <cell r="W289">
            <v>2.4750000000000001E-2</v>
          </cell>
          <cell r="X289">
            <v>2.6150000000000003E-2</v>
          </cell>
          <cell r="Y289">
            <v>2.725E-2</v>
          </cell>
          <cell r="Z289">
            <v>2.835E-2</v>
          </cell>
          <cell r="AA289">
            <v>2.9100000000000001E-2</v>
          </cell>
          <cell r="AB289">
            <v>3.0175E-2</v>
          </cell>
          <cell r="AC289">
            <v>3.1649999999999998E-2</v>
          </cell>
        </row>
        <row r="290">
          <cell r="T290">
            <v>39600</v>
          </cell>
          <cell r="U290">
            <v>2.3029999999999998E-2</v>
          </cell>
          <cell r="V290">
            <v>2.384E-2</v>
          </cell>
          <cell r="W290">
            <v>2.4700000000000003E-2</v>
          </cell>
          <cell r="X290">
            <v>2.6249999999999999E-2</v>
          </cell>
          <cell r="Y290">
            <v>2.7400000000000001E-2</v>
          </cell>
          <cell r="Z290">
            <v>2.8399999999999998E-2</v>
          </cell>
          <cell r="AA290">
            <v>2.9124999999999998E-2</v>
          </cell>
          <cell r="AB290">
            <v>3.0175E-2</v>
          </cell>
          <cell r="AC290">
            <v>3.1550000000000002E-2</v>
          </cell>
        </row>
        <row r="291">
          <cell r="T291">
            <v>39599</v>
          </cell>
          <cell r="U291">
            <v>2.3029999999999998E-2</v>
          </cell>
          <cell r="V291">
            <v>2.384E-2</v>
          </cell>
          <cell r="W291">
            <v>2.4700000000000003E-2</v>
          </cell>
          <cell r="X291">
            <v>2.6249999999999999E-2</v>
          </cell>
          <cell r="Y291">
            <v>2.7400000000000001E-2</v>
          </cell>
          <cell r="Z291">
            <v>2.8399999999999998E-2</v>
          </cell>
          <cell r="AA291">
            <v>2.9124999999999998E-2</v>
          </cell>
          <cell r="AB291">
            <v>3.0175E-2</v>
          </cell>
          <cell r="AC291">
            <v>3.1550000000000002E-2</v>
          </cell>
        </row>
        <row r="292">
          <cell r="T292">
            <v>39598</v>
          </cell>
          <cell r="U292">
            <v>2.3029999999999998E-2</v>
          </cell>
          <cell r="V292">
            <v>2.384E-2</v>
          </cell>
          <cell r="W292">
            <v>2.4700000000000003E-2</v>
          </cell>
          <cell r="X292">
            <v>2.6249999999999999E-2</v>
          </cell>
          <cell r="Y292">
            <v>2.7400000000000001E-2</v>
          </cell>
          <cell r="Z292">
            <v>2.8399999999999998E-2</v>
          </cell>
          <cell r="AA292">
            <v>2.9124999999999998E-2</v>
          </cell>
          <cell r="AB292">
            <v>3.0175E-2</v>
          </cell>
          <cell r="AC292">
            <v>3.1550000000000002E-2</v>
          </cell>
        </row>
        <row r="293">
          <cell r="T293">
            <v>39597</v>
          </cell>
          <cell r="U293">
            <v>2.2930000000000002E-2</v>
          </cell>
          <cell r="V293">
            <v>2.3809999999999998E-2</v>
          </cell>
          <cell r="W293">
            <v>2.4800000000000003E-2</v>
          </cell>
          <cell r="X293">
            <v>2.6450000000000001E-2</v>
          </cell>
          <cell r="Y293">
            <v>2.7350000000000003E-2</v>
          </cell>
          <cell r="Z293">
            <v>2.8399999999999998E-2</v>
          </cell>
          <cell r="AA293">
            <v>2.9149999999999999E-2</v>
          </cell>
          <cell r="AB293">
            <v>3.0099999999999998E-2</v>
          </cell>
          <cell r="AC293">
            <v>3.1550000000000002E-2</v>
          </cell>
        </row>
        <row r="294">
          <cell r="T294">
            <v>39596</v>
          </cell>
          <cell r="U294">
            <v>2.2970000000000001E-2</v>
          </cell>
          <cell r="V294">
            <v>2.3809999999999998E-2</v>
          </cell>
          <cell r="W294">
            <v>2.4800000000000003E-2</v>
          </cell>
          <cell r="X294">
            <v>2.6249999999999999E-2</v>
          </cell>
          <cell r="Y294">
            <v>2.7225000000000003E-2</v>
          </cell>
          <cell r="Z294">
            <v>2.8149999999999998E-2</v>
          </cell>
          <cell r="AA294">
            <v>2.8750000000000001E-2</v>
          </cell>
          <cell r="AB294">
            <v>2.9849999999999998E-2</v>
          </cell>
          <cell r="AC294">
            <v>3.125E-2</v>
          </cell>
        </row>
        <row r="295">
          <cell r="T295">
            <v>39595</v>
          </cell>
          <cell r="U295">
            <v>2.2879999999999998E-2</v>
          </cell>
          <cell r="V295">
            <v>2.3889999999999998E-2</v>
          </cell>
          <cell r="W295">
            <v>2.4799999999999999E-2</v>
          </cell>
          <cell r="X295">
            <v>2.6450000000000001E-2</v>
          </cell>
          <cell r="Y295">
            <v>2.7450000000000002E-2</v>
          </cell>
          <cell r="Z295">
            <v>2.8274999999999998E-2</v>
          </cell>
          <cell r="AA295">
            <v>2.8999999999999998E-2</v>
          </cell>
          <cell r="AB295">
            <v>3.0075000000000005E-2</v>
          </cell>
          <cell r="AC295">
            <v>3.1399999999999997E-2</v>
          </cell>
        </row>
        <row r="296">
          <cell r="T296">
            <v>39594</v>
          </cell>
          <cell r="U296">
            <v>2.2850000000000002E-2</v>
          </cell>
          <cell r="V296">
            <v>2.3849999999999996E-2</v>
          </cell>
          <cell r="W296">
            <v>2.46E-2</v>
          </cell>
          <cell r="X296">
            <v>2.58E-2</v>
          </cell>
          <cell r="Y296">
            <v>2.6799999999999997E-2</v>
          </cell>
          <cell r="Z296">
            <v>2.7549999999999998E-2</v>
          </cell>
          <cell r="AA296">
            <v>2.8250000000000001E-2</v>
          </cell>
          <cell r="AB296">
            <v>2.9450000000000004E-2</v>
          </cell>
          <cell r="AC296">
            <v>3.0549999999999997E-2</v>
          </cell>
        </row>
        <row r="297">
          <cell r="T297">
            <v>39593</v>
          </cell>
          <cell r="U297">
            <v>2.3090000000000003E-2</v>
          </cell>
          <cell r="V297">
            <v>2.3940000000000003E-2</v>
          </cell>
          <cell r="W297">
            <v>2.4450000000000003E-2</v>
          </cell>
          <cell r="X297">
            <v>2.5700000000000004E-2</v>
          </cell>
          <cell r="Y297">
            <v>2.6849999999999999E-2</v>
          </cell>
          <cell r="Z297">
            <v>2.7549999999999998E-2</v>
          </cell>
          <cell r="AA297">
            <v>2.8199999999999999E-2</v>
          </cell>
          <cell r="AB297">
            <v>2.9450000000000004E-2</v>
          </cell>
          <cell r="AC297">
            <v>3.0750000000000003E-2</v>
          </cell>
        </row>
        <row r="298">
          <cell r="T298">
            <v>39592</v>
          </cell>
          <cell r="U298">
            <v>2.3090000000000003E-2</v>
          </cell>
          <cell r="V298">
            <v>2.3940000000000003E-2</v>
          </cell>
          <cell r="W298">
            <v>2.4450000000000003E-2</v>
          </cell>
          <cell r="X298">
            <v>2.5700000000000004E-2</v>
          </cell>
          <cell r="Y298">
            <v>2.6849999999999999E-2</v>
          </cell>
          <cell r="Z298">
            <v>2.7549999999999998E-2</v>
          </cell>
          <cell r="AA298">
            <v>2.8199999999999999E-2</v>
          </cell>
          <cell r="AB298">
            <v>2.9450000000000004E-2</v>
          </cell>
          <cell r="AC298">
            <v>3.0750000000000003E-2</v>
          </cell>
        </row>
        <row r="299">
          <cell r="T299">
            <v>39591</v>
          </cell>
          <cell r="U299">
            <v>2.3090000000000003E-2</v>
          </cell>
          <cell r="V299">
            <v>2.3940000000000003E-2</v>
          </cell>
          <cell r="W299">
            <v>2.4450000000000003E-2</v>
          </cell>
          <cell r="X299">
            <v>2.5700000000000004E-2</v>
          </cell>
          <cell r="Y299">
            <v>2.6849999999999999E-2</v>
          </cell>
          <cell r="Z299">
            <v>2.7549999999999998E-2</v>
          </cell>
          <cell r="AA299">
            <v>2.8199999999999999E-2</v>
          </cell>
          <cell r="AB299">
            <v>2.9450000000000004E-2</v>
          </cell>
          <cell r="AC299">
            <v>3.0750000000000003E-2</v>
          </cell>
        </row>
        <row r="300">
          <cell r="T300">
            <v>39590</v>
          </cell>
          <cell r="U300">
            <v>2.3090000000000003E-2</v>
          </cell>
          <cell r="V300">
            <v>2.3940000000000003E-2</v>
          </cell>
          <cell r="W300">
            <v>2.4550000000000002E-2</v>
          </cell>
          <cell r="X300">
            <v>2.58E-2</v>
          </cell>
          <cell r="Y300">
            <v>2.6849999999999999E-2</v>
          </cell>
          <cell r="Z300">
            <v>2.7525000000000001E-2</v>
          </cell>
          <cell r="AA300">
            <v>2.8200000000000003E-2</v>
          </cell>
          <cell r="AB300">
            <v>2.9300000000000003E-2</v>
          </cell>
          <cell r="AC300">
            <v>3.0449999999999998E-2</v>
          </cell>
        </row>
        <row r="301">
          <cell r="T301">
            <v>39589</v>
          </cell>
          <cell r="U301">
            <v>2.3099999999999999E-2</v>
          </cell>
          <cell r="V301">
            <v>2.392E-2</v>
          </cell>
          <cell r="W301">
            <v>2.435E-2</v>
          </cell>
          <cell r="X301">
            <v>2.545E-2</v>
          </cell>
          <cell r="Y301">
            <v>2.6450000000000001E-2</v>
          </cell>
          <cell r="Z301">
            <v>2.7050000000000001E-2</v>
          </cell>
          <cell r="AA301">
            <v>2.775E-2</v>
          </cell>
          <cell r="AB301">
            <v>2.8799999999999999E-2</v>
          </cell>
          <cell r="AC301">
            <v>2.9849999999999998E-2</v>
          </cell>
        </row>
        <row r="302">
          <cell r="T302">
            <v>39588</v>
          </cell>
          <cell r="U302">
            <v>2.29E-2</v>
          </cell>
          <cell r="V302">
            <v>2.3809999999999998E-2</v>
          </cell>
          <cell r="W302">
            <v>2.4300000000000002E-2</v>
          </cell>
          <cell r="X302">
            <v>2.5300000000000003E-2</v>
          </cell>
          <cell r="Y302">
            <v>2.6375000000000003E-2</v>
          </cell>
          <cell r="Z302">
            <v>2.69E-2</v>
          </cell>
          <cell r="AA302">
            <v>2.76E-2</v>
          </cell>
          <cell r="AB302">
            <v>2.87E-2</v>
          </cell>
          <cell r="AC302">
            <v>2.9750000000000002E-2</v>
          </cell>
        </row>
        <row r="303">
          <cell r="T303">
            <v>39587</v>
          </cell>
          <cell r="U303">
            <v>2.2940000000000002E-2</v>
          </cell>
          <cell r="V303">
            <v>2.3809999999999998E-2</v>
          </cell>
          <cell r="W303">
            <v>2.4199999999999999E-2</v>
          </cell>
          <cell r="X303">
            <v>2.5199999999999997E-2</v>
          </cell>
          <cell r="Y303">
            <v>2.605E-2</v>
          </cell>
          <cell r="Z303">
            <v>2.6699999999999998E-2</v>
          </cell>
          <cell r="AA303">
            <v>2.7350000000000003E-2</v>
          </cell>
          <cell r="AB303">
            <v>2.8449999999999996E-2</v>
          </cell>
          <cell r="AC303">
            <v>2.9750000000000002E-2</v>
          </cell>
        </row>
        <row r="304">
          <cell r="T304">
            <v>39586</v>
          </cell>
          <cell r="U304">
            <v>2.3E-2</v>
          </cell>
          <cell r="V304">
            <v>2.384E-2</v>
          </cell>
          <cell r="W304">
            <v>2.435E-2</v>
          </cell>
          <cell r="X304">
            <v>2.545E-2</v>
          </cell>
          <cell r="Y304">
            <v>2.6399999999999996E-2</v>
          </cell>
          <cell r="Z304">
            <v>2.69E-2</v>
          </cell>
          <cell r="AA304">
            <v>2.7350000000000003E-2</v>
          </cell>
          <cell r="AB304">
            <v>2.8449999999999996E-2</v>
          </cell>
          <cell r="AC304">
            <v>2.9350000000000001E-2</v>
          </cell>
        </row>
        <row r="305">
          <cell r="T305">
            <v>39585</v>
          </cell>
          <cell r="U305">
            <v>2.3E-2</v>
          </cell>
          <cell r="V305">
            <v>2.384E-2</v>
          </cell>
          <cell r="W305">
            <v>2.435E-2</v>
          </cell>
          <cell r="X305">
            <v>2.545E-2</v>
          </cell>
          <cell r="Y305">
            <v>2.6399999999999996E-2</v>
          </cell>
          <cell r="Z305">
            <v>2.69E-2</v>
          </cell>
          <cell r="AA305">
            <v>2.7350000000000003E-2</v>
          </cell>
          <cell r="AB305">
            <v>2.8449999999999996E-2</v>
          </cell>
          <cell r="AC305">
            <v>2.9350000000000001E-2</v>
          </cell>
        </row>
        <row r="306">
          <cell r="T306">
            <v>39584</v>
          </cell>
          <cell r="U306">
            <v>2.3E-2</v>
          </cell>
          <cell r="V306">
            <v>2.384E-2</v>
          </cell>
          <cell r="W306">
            <v>2.435E-2</v>
          </cell>
          <cell r="X306">
            <v>2.545E-2</v>
          </cell>
          <cell r="Y306">
            <v>2.6399999999999996E-2</v>
          </cell>
          <cell r="Z306">
            <v>2.69E-2</v>
          </cell>
          <cell r="AA306">
            <v>2.7350000000000003E-2</v>
          </cell>
          <cell r="AB306">
            <v>2.8449999999999996E-2</v>
          </cell>
          <cell r="AC306">
            <v>2.9350000000000001E-2</v>
          </cell>
        </row>
        <row r="307">
          <cell r="T307">
            <v>39583</v>
          </cell>
          <cell r="U307">
            <v>2.2970000000000001E-2</v>
          </cell>
          <cell r="V307">
            <v>2.3780000000000003E-2</v>
          </cell>
          <cell r="W307">
            <v>2.4300000000000002E-2</v>
          </cell>
          <cell r="X307">
            <v>2.5350000000000001E-2</v>
          </cell>
          <cell r="Y307">
            <v>2.6399999999999996E-2</v>
          </cell>
          <cell r="Z307">
            <v>2.7050000000000001E-2</v>
          </cell>
          <cell r="AA307">
            <v>2.775E-2</v>
          </cell>
          <cell r="AB307">
            <v>2.8875000000000001E-2</v>
          </cell>
          <cell r="AC307">
            <v>3.0099999999999998E-2</v>
          </cell>
        </row>
        <row r="308">
          <cell r="T308">
            <v>39582</v>
          </cell>
          <cell r="U308">
            <v>2.299E-2</v>
          </cell>
          <cell r="V308">
            <v>2.3780000000000003E-2</v>
          </cell>
          <cell r="W308">
            <v>2.4299999999999999E-2</v>
          </cell>
          <cell r="X308">
            <v>2.5300000000000003E-2</v>
          </cell>
          <cell r="Y308">
            <v>2.63E-2</v>
          </cell>
          <cell r="Z308">
            <v>2.6950000000000002E-2</v>
          </cell>
          <cell r="AA308">
            <v>2.76E-2</v>
          </cell>
          <cell r="AB308">
            <v>2.87E-2</v>
          </cell>
          <cell r="AC308">
            <v>3.0099999999999998E-2</v>
          </cell>
        </row>
        <row r="309">
          <cell r="T309">
            <v>39581</v>
          </cell>
          <cell r="U309">
            <v>2.291E-2</v>
          </cell>
          <cell r="V309">
            <v>2.3780000000000003E-2</v>
          </cell>
          <cell r="W309">
            <v>2.4150000000000001E-2</v>
          </cell>
          <cell r="X309">
            <v>2.5049999999999999E-2</v>
          </cell>
          <cell r="Y309">
            <v>2.5899999999999999E-2</v>
          </cell>
          <cell r="Z309">
            <v>2.6600000000000002E-2</v>
          </cell>
          <cell r="AA309">
            <v>2.725E-2</v>
          </cell>
          <cell r="AB309">
            <v>2.8250000000000001E-2</v>
          </cell>
          <cell r="AC309">
            <v>2.9100000000000001E-2</v>
          </cell>
        </row>
        <row r="310">
          <cell r="T310">
            <v>39580</v>
          </cell>
          <cell r="U310">
            <v>2.2959999999999998E-2</v>
          </cell>
          <cell r="V310">
            <v>2.3809999999999998E-2</v>
          </cell>
          <cell r="W310">
            <v>2.3849999999999996E-2</v>
          </cell>
          <cell r="X310">
            <v>2.4649999999999998E-2</v>
          </cell>
          <cell r="Y310">
            <v>2.545E-2</v>
          </cell>
          <cell r="Z310">
            <v>2.605E-2</v>
          </cell>
          <cell r="AA310">
            <v>2.665E-2</v>
          </cell>
          <cell r="AB310">
            <v>2.775E-2</v>
          </cell>
          <cell r="AC310">
            <v>2.8799999999999999E-2</v>
          </cell>
        </row>
        <row r="311">
          <cell r="T311">
            <v>39579</v>
          </cell>
          <cell r="U311">
            <v>2.2749999999999999E-2</v>
          </cell>
          <cell r="V311">
            <v>2.375E-2</v>
          </cell>
          <cell r="W311">
            <v>2.3949999999999999E-2</v>
          </cell>
          <cell r="X311">
            <v>2.4800000000000003E-2</v>
          </cell>
          <cell r="Y311">
            <v>2.5599999999999998E-2</v>
          </cell>
          <cell r="Z311">
            <v>2.6249999999999999E-2</v>
          </cell>
          <cell r="AA311">
            <v>2.6900000000000004E-2</v>
          </cell>
          <cell r="AB311">
            <v>2.7900000000000001E-2</v>
          </cell>
          <cell r="AC311">
            <v>2.9050000000000003E-2</v>
          </cell>
        </row>
        <row r="312">
          <cell r="T312">
            <v>39578</v>
          </cell>
          <cell r="U312">
            <v>2.2749999999999999E-2</v>
          </cell>
          <cell r="V312">
            <v>2.375E-2</v>
          </cell>
          <cell r="W312">
            <v>2.3949999999999999E-2</v>
          </cell>
          <cell r="X312">
            <v>2.4800000000000003E-2</v>
          </cell>
          <cell r="Y312">
            <v>2.5599999999999998E-2</v>
          </cell>
          <cell r="Z312">
            <v>2.6249999999999999E-2</v>
          </cell>
          <cell r="AA312">
            <v>2.6900000000000004E-2</v>
          </cell>
          <cell r="AB312">
            <v>2.7900000000000001E-2</v>
          </cell>
          <cell r="AC312">
            <v>2.9050000000000003E-2</v>
          </cell>
        </row>
        <row r="313">
          <cell r="T313">
            <v>39577</v>
          </cell>
          <cell r="U313">
            <v>2.2749999999999999E-2</v>
          </cell>
          <cell r="V313">
            <v>2.375E-2</v>
          </cell>
          <cell r="W313">
            <v>2.3949999999999999E-2</v>
          </cell>
          <cell r="X313">
            <v>2.4800000000000003E-2</v>
          </cell>
          <cell r="Y313">
            <v>2.5599999999999998E-2</v>
          </cell>
          <cell r="Z313">
            <v>2.6249999999999999E-2</v>
          </cell>
          <cell r="AA313">
            <v>2.6900000000000004E-2</v>
          </cell>
          <cell r="AB313">
            <v>2.7900000000000001E-2</v>
          </cell>
          <cell r="AC313">
            <v>2.9050000000000003E-2</v>
          </cell>
        </row>
        <row r="314">
          <cell r="T314">
            <v>39576</v>
          </cell>
          <cell r="U314">
            <v>2.2949999999999998E-2</v>
          </cell>
          <cell r="V314">
            <v>2.3809999999999998E-2</v>
          </cell>
          <cell r="W314">
            <v>2.3650000000000001E-2</v>
          </cell>
          <cell r="X314">
            <v>2.4450000000000003E-2</v>
          </cell>
          <cell r="Y314">
            <v>2.5149999999999995E-2</v>
          </cell>
          <cell r="Z314">
            <v>2.5750000000000002E-2</v>
          </cell>
          <cell r="AA314">
            <v>2.6375000000000003E-2</v>
          </cell>
          <cell r="AB314">
            <v>2.7400000000000001E-2</v>
          </cell>
          <cell r="AC314">
            <v>2.8300000000000002E-2</v>
          </cell>
        </row>
        <row r="315">
          <cell r="T315">
            <v>39575</v>
          </cell>
          <cell r="U315">
            <v>2.2949999999999998E-2</v>
          </cell>
          <cell r="V315">
            <v>2.3809999999999998E-2</v>
          </cell>
          <cell r="W315">
            <v>2.3650000000000001E-2</v>
          </cell>
          <cell r="X315">
            <v>2.4450000000000003E-2</v>
          </cell>
          <cell r="Y315">
            <v>2.5149999999999995E-2</v>
          </cell>
          <cell r="Z315">
            <v>2.5750000000000002E-2</v>
          </cell>
          <cell r="AA315">
            <v>2.6375000000000003E-2</v>
          </cell>
          <cell r="AB315">
            <v>2.7400000000000001E-2</v>
          </cell>
          <cell r="AC315">
            <v>2.8300000000000002E-2</v>
          </cell>
        </row>
        <row r="316">
          <cell r="T316">
            <v>39574</v>
          </cell>
          <cell r="U316">
            <v>2.3029999999999998E-2</v>
          </cell>
          <cell r="V316">
            <v>2.3860000000000003E-2</v>
          </cell>
          <cell r="W316">
            <v>2.3650000000000001E-2</v>
          </cell>
          <cell r="X316">
            <v>2.4299999999999999E-2</v>
          </cell>
          <cell r="Y316">
            <v>2.5049999999999999E-2</v>
          </cell>
          <cell r="Z316">
            <v>2.5750000000000002E-2</v>
          </cell>
          <cell r="AA316">
            <v>2.6399999999999996E-2</v>
          </cell>
          <cell r="AB316">
            <v>2.7349999999999999E-2</v>
          </cell>
          <cell r="AC316">
            <v>2.835E-2</v>
          </cell>
        </row>
        <row r="317">
          <cell r="T317">
            <v>39573</v>
          </cell>
          <cell r="U317">
            <v>2.2930000000000002E-2</v>
          </cell>
          <cell r="V317">
            <v>2.3860000000000003E-2</v>
          </cell>
          <cell r="W317">
            <v>2.3650000000000001E-2</v>
          </cell>
          <cell r="X317">
            <v>2.435E-2</v>
          </cell>
          <cell r="Y317">
            <v>2.5049999999999999E-2</v>
          </cell>
          <cell r="Z317">
            <v>2.5649999999999999E-2</v>
          </cell>
          <cell r="AA317">
            <v>2.6349999999999998E-2</v>
          </cell>
          <cell r="AB317">
            <v>2.7349999999999999E-2</v>
          </cell>
          <cell r="AC317">
            <v>2.835E-2</v>
          </cell>
        </row>
        <row r="318">
          <cell r="T318">
            <v>39572</v>
          </cell>
          <cell r="U318">
            <v>2.2890000000000001E-2</v>
          </cell>
          <cell r="V318">
            <v>2.3860000000000003E-2</v>
          </cell>
          <cell r="W318">
            <v>2.3650000000000001E-2</v>
          </cell>
          <cell r="X318">
            <v>2.4249999999999997E-2</v>
          </cell>
          <cell r="Y318">
            <v>2.495E-2</v>
          </cell>
          <cell r="Z318">
            <v>2.5599999999999998E-2</v>
          </cell>
          <cell r="AA318">
            <v>2.6249999999999999E-2</v>
          </cell>
          <cell r="AB318">
            <v>2.725E-2</v>
          </cell>
          <cell r="AC318">
            <v>2.8499999999999998E-2</v>
          </cell>
        </row>
        <row r="319">
          <cell r="T319">
            <v>39571</v>
          </cell>
          <cell r="U319">
            <v>2.2890000000000001E-2</v>
          </cell>
          <cell r="V319">
            <v>2.3860000000000003E-2</v>
          </cell>
          <cell r="W319">
            <v>2.3650000000000001E-2</v>
          </cell>
          <cell r="X319">
            <v>2.4249999999999997E-2</v>
          </cell>
          <cell r="Y319">
            <v>2.495E-2</v>
          </cell>
          <cell r="Z319">
            <v>2.5599999999999998E-2</v>
          </cell>
          <cell r="AA319">
            <v>2.6249999999999999E-2</v>
          </cell>
          <cell r="AB319">
            <v>2.725E-2</v>
          </cell>
          <cell r="AC319">
            <v>2.8499999999999998E-2</v>
          </cell>
        </row>
        <row r="320">
          <cell r="T320">
            <v>39570</v>
          </cell>
          <cell r="U320">
            <v>2.2890000000000001E-2</v>
          </cell>
          <cell r="V320">
            <v>2.3860000000000003E-2</v>
          </cell>
          <cell r="W320">
            <v>2.3650000000000001E-2</v>
          </cell>
          <cell r="X320">
            <v>2.4249999999999997E-2</v>
          </cell>
          <cell r="Y320">
            <v>2.495E-2</v>
          </cell>
          <cell r="Z320">
            <v>2.5599999999999998E-2</v>
          </cell>
          <cell r="AA320">
            <v>2.6249999999999999E-2</v>
          </cell>
          <cell r="AB320">
            <v>2.725E-2</v>
          </cell>
          <cell r="AC320">
            <v>2.8499999999999998E-2</v>
          </cell>
        </row>
        <row r="321">
          <cell r="T321">
            <v>39569</v>
          </cell>
          <cell r="U321">
            <v>2.2850000000000002E-2</v>
          </cell>
          <cell r="V321">
            <v>2.3860000000000003E-2</v>
          </cell>
          <cell r="W321">
            <v>2.375E-2</v>
          </cell>
          <cell r="X321">
            <v>2.46E-2</v>
          </cell>
          <cell r="Y321">
            <v>2.5300000000000003E-2</v>
          </cell>
          <cell r="Z321">
            <v>2.5949999999999997E-2</v>
          </cell>
          <cell r="AA321">
            <v>2.6550000000000004E-2</v>
          </cell>
          <cell r="AB321">
            <v>2.7650000000000001E-2</v>
          </cell>
          <cell r="AC321">
            <v>2.8449999999999996E-2</v>
          </cell>
        </row>
        <row r="322">
          <cell r="T322">
            <v>39568</v>
          </cell>
          <cell r="U322">
            <v>2.2850000000000002E-2</v>
          </cell>
          <cell r="V322">
            <v>2.3860000000000003E-2</v>
          </cell>
          <cell r="W322">
            <v>2.375E-2</v>
          </cell>
          <cell r="X322">
            <v>2.46E-2</v>
          </cell>
          <cell r="Y322">
            <v>2.5300000000000003E-2</v>
          </cell>
          <cell r="Z322">
            <v>2.5949999999999997E-2</v>
          </cell>
          <cell r="AA322">
            <v>2.6550000000000004E-2</v>
          </cell>
          <cell r="AB322">
            <v>2.7650000000000001E-2</v>
          </cell>
          <cell r="AC322">
            <v>2.8449999999999996E-2</v>
          </cell>
        </row>
        <row r="323">
          <cell r="T323">
            <v>39567</v>
          </cell>
          <cell r="U323">
            <v>2.2879999999999998E-2</v>
          </cell>
          <cell r="V323">
            <v>2.3860000000000003E-2</v>
          </cell>
          <cell r="W323">
            <v>2.3899999999999998E-2</v>
          </cell>
          <cell r="X323">
            <v>2.4699999999999996E-2</v>
          </cell>
          <cell r="Y323">
            <v>2.5549999999999996E-2</v>
          </cell>
          <cell r="Z323">
            <v>2.63E-2</v>
          </cell>
          <cell r="AA323">
            <v>2.7000000000000003E-2</v>
          </cell>
          <cell r="AB323">
            <v>2.7900000000000001E-2</v>
          </cell>
          <cell r="AC323">
            <v>2.9100000000000001E-2</v>
          </cell>
        </row>
        <row r="324">
          <cell r="T324">
            <v>39566</v>
          </cell>
          <cell r="U324">
            <v>2.2780000000000002E-2</v>
          </cell>
          <cell r="V324">
            <v>2.3860000000000003E-2</v>
          </cell>
          <cell r="W324">
            <v>2.4050000000000002E-2</v>
          </cell>
          <cell r="X324">
            <v>2.495E-2</v>
          </cell>
          <cell r="Y324">
            <v>2.58E-2</v>
          </cell>
          <cell r="Z324">
            <v>2.6450000000000001E-2</v>
          </cell>
          <cell r="AA324">
            <v>2.7199999999999998E-2</v>
          </cell>
          <cell r="AB324">
            <v>2.8250000000000001E-2</v>
          </cell>
          <cell r="AC324">
            <v>2.9450000000000004E-2</v>
          </cell>
        </row>
        <row r="325">
          <cell r="T325">
            <v>39565</v>
          </cell>
          <cell r="U325">
            <v>2.3050000000000001E-2</v>
          </cell>
          <cell r="V325">
            <v>2.3959999999999999E-2</v>
          </cell>
          <cell r="W325">
            <v>2.4050000000000002E-2</v>
          </cell>
          <cell r="X325">
            <v>2.5049999999999999E-2</v>
          </cell>
          <cell r="Y325">
            <v>2.5849999999999998E-2</v>
          </cell>
          <cell r="Z325">
            <v>2.6500000000000003E-2</v>
          </cell>
          <cell r="AA325">
            <v>2.7199999999999998E-2</v>
          </cell>
          <cell r="AB325">
            <v>2.8250000000000001E-2</v>
          </cell>
          <cell r="AC325">
            <v>2.9249999999999998E-2</v>
          </cell>
        </row>
        <row r="326">
          <cell r="T326">
            <v>39564</v>
          </cell>
          <cell r="U326">
            <v>2.3050000000000001E-2</v>
          </cell>
          <cell r="V326">
            <v>2.3959999999999999E-2</v>
          </cell>
          <cell r="W326">
            <v>2.4050000000000002E-2</v>
          </cell>
          <cell r="X326">
            <v>2.5049999999999999E-2</v>
          </cell>
          <cell r="Y326">
            <v>2.5849999999999998E-2</v>
          </cell>
          <cell r="Z326">
            <v>2.6500000000000003E-2</v>
          </cell>
          <cell r="AA326">
            <v>2.7199999999999998E-2</v>
          </cell>
          <cell r="AB326">
            <v>2.8250000000000001E-2</v>
          </cell>
          <cell r="AC326">
            <v>2.9249999999999998E-2</v>
          </cell>
        </row>
        <row r="327">
          <cell r="T327">
            <v>39563</v>
          </cell>
          <cell r="U327">
            <v>2.3050000000000001E-2</v>
          </cell>
          <cell r="V327">
            <v>2.3959999999999999E-2</v>
          </cell>
          <cell r="W327">
            <v>2.4050000000000002E-2</v>
          </cell>
          <cell r="X327">
            <v>2.5049999999999999E-2</v>
          </cell>
          <cell r="Y327">
            <v>2.5849999999999998E-2</v>
          </cell>
          <cell r="Z327">
            <v>2.6500000000000003E-2</v>
          </cell>
          <cell r="AA327">
            <v>2.7199999999999998E-2</v>
          </cell>
          <cell r="AB327">
            <v>2.8250000000000001E-2</v>
          </cell>
          <cell r="AC327">
            <v>2.9249999999999998E-2</v>
          </cell>
        </row>
        <row r="328">
          <cell r="T328">
            <v>39562</v>
          </cell>
          <cell r="U328">
            <v>2.3179999999999999E-2</v>
          </cell>
          <cell r="V328">
            <v>2.3959999999999999E-2</v>
          </cell>
          <cell r="W328">
            <v>2.3949999999999999E-2</v>
          </cell>
          <cell r="X328">
            <v>2.46E-2</v>
          </cell>
          <cell r="Y328">
            <v>2.5374999999999995E-2</v>
          </cell>
          <cell r="Z328">
            <v>2.5999999999999995E-2</v>
          </cell>
          <cell r="AA328">
            <v>2.6749999999999999E-2</v>
          </cell>
          <cell r="AB328">
            <v>2.7820000000000001E-2</v>
          </cell>
          <cell r="AC328">
            <v>2.9000000000000005E-2</v>
          </cell>
        </row>
        <row r="329">
          <cell r="T329">
            <v>39561</v>
          </cell>
          <cell r="U329">
            <v>2.3099999999999999E-2</v>
          </cell>
          <cell r="V329">
            <v>2.3900000000000001E-2</v>
          </cell>
          <cell r="W329">
            <v>2.3899999999999998E-2</v>
          </cell>
          <cell r="X329">
            <v>2.4699999999999996E-2</v>
          </cell>
          <cell r="Y329">
            <v>2.5499999999999998E-2</v>
          </cell>
          <cell r="Z329">
            <v>2.605E-2</v>
          </cell>
          <cell r="AA329">
            <v>2.6725000000000002E-2</v>
          </cell>
          <cell r="AB329">
            <v>2.7949999999999999E-2</v>
          </cell>
          <cell r="AC329">
            <v>2.9100000000000001E-2</v>
          </cell>
        </row>
        <row r="330">
          <cell r="T330">
            <v>39560</v>
          </cell>
          <cell r="U330">
            <v>2.3050000000000001E-2</v>
          </cell>
          <cell r="V330">
            <v>2.3900000000000001E-2</v>
          </cell>
          <cell r="W330">
            <v>2.3849999999999996E-2</v>
          </cell>
          <cell r="X330">
            <v>2.4400000000000005E-2</v>
          </cell>
          <cell r="Y330">
            <v>2.5049999999999999E-2</v>
          </cell>
          <cell r="Z330">
            <v>2.5699999999999997E-2</v>
          </cell>
          <cell r="AA330">
            <v>2.64E-2</v>
          </cell>
          <cell r="AB330">
            <v>2.7549999999999998E-2</v>
          </cell>
          <cell r="AC330">
            <v>2.8750000000000001E-2</v>
          </cell>
        </row>
        <row r="331">
          <cell r="T331">
            <v>39559</v>
          </cell>
          <cell r="U331">
            <v>2.2930000000000002E-2</v>
          </cell>
          <cell r="V331">
            <v>2.3980000000000001E-2</v>
          </cell>
          <cell r="W331">
            <v>2.3799999999999998E-2</v>
          </cell>
          <cell r="X331">
            <v>2.435E-2</v>
          </cell>
          <cell r="Y331">
            <v>2.5000000000000001E-2</v>
          </cell>
          <cell r="Z331">
            <v>2.5599999999999998E-2</v>
          </cell>
          <cell r="AA331">
            <v>2.6349999999999998E-2</v>
          </cell>
          <cell r="AB331">
            <v>2.75E-2</v>
          </cell>
          <cell r="AC331">
            <v>2.87E-2</v>
          </cell>
        </row>
        <row r="332">
          <cell r="T332">
            <v>39558</v>
          </cell>
          <cell r="U332">
            <v>2.282E-2</v>
          </cell>
          <cell r="V332">
            <v>2.3980000000000001E-2</v>
          </cell>
          <cell r="W332">
            <v>2.3799999999999998E-2</v>
          </cell>
          <cell r="X332">
            <v>2.435E-2</v>
          </cell>
          <cell r="Y332">
            <v>2.5000000000000001E-2</v>
          </cell>
          <cell r="Z332">
            <v>2.5575000000000001E-2</v>
          </cell>
          <cell r="AA332">
            <v>2.6325000000000001E-2</v>
          </cell>
          <cell r="AB332">
            <v>2.76E-2</v>
          </cell>
          <cell r="AC332">
            <v>2.87E-2</v>
          </cell>
        </row>
        <row r="333">
          <cell r="T333">
            <v>39557</v>
          </cell>
          <cell r="U333">
            <v>2.282E-2</v>
          </cell>
          <cell r="V333">
            <v>2.3980000000000001E-2</v>
          </cell>
          <cell r="W333">
            <v>2.3799999999999998E-2</v>
          </cell>
          <cell r="X333">
            <v>2.435E-2</v>
          </cell>
          <cell r="Y333">
            <v>2.5000000000000001E-2</v>
          </cell>
          <cell r="Z333">
            <v>2.5575000000000001E-2</v>
          </cell>
          <cell r="AA333">
            <v>2.6325000000000001E-2</v>
          </cell>
          <cell r="AB333">
            <v>2.76E-2</v>
          </cell>
          <cell r="AC333">
            <v>2.87E-2</v>
          </cell>
        </row>
        <row r="334">
          <cell r="T334">
            <v>39556</v>
          </cell>
          <cell r="U334">
            <v>2.282E-2</v>
          </cell>
          <cell r="V334">
            <v>2.3980000000000001E-2</v>
          </cell>
          <cell r="W334">
            <v>2.3799999999999998E-2</v>
          </cell>
          <cell r="X334">
            <v>2.435E-2</v>
          </cell>
          <cell r="Y334">
            <v>2.5000000000000001E-2</v>
          </cell>
          <cell r="Z334">
            <v>2.5575000000000001E-2</v>
          </cell>
          <cell r="AA334">
            <v>2.6325000000000001E-2</v>
          </cell>
          <cell r="AB334">
            <v>2.76E-2</v>
          </cell>
          <cell r="AC334">
            <v>2.87E-2</v>
          </cell>
        </row>
        <row r="335">
          <cell r="T335">
            <v>39555</v>
          </cell>
          <cell r="U335">
            <v>2.2879999999999998E-2</v>
          </cell>
          <cell r="V335">
            <v>2.3990000000000001E-2</v>
          </cell>
          <cell r="W335">
            <v>2.3799999999999998E-2</v>
          </cell>
          <cell r="X335">
            <v>2.4400000000000005E-2</v>
          </cell>
          <cell r="Y335">
            <v>2.5149999999999995E-2</v>
          </cell>
          <cell r="Z335">
            <v>2.5750000000000002E-2</v>
          </cell>
          <cell r="AA335">
            <v>2.6399999999999996E-2</v>
          </cell>
          <cell r="AB335">
            <v>2.7549999999999998E-2</v>
          </cell>
          <cell r="AC335">
            <v>2.8750000000000001E-2</v>
          </cell>
        </row>
        <row r="336">
          <cell r="T336">
            <v>39554</v>
          </cell>
          <cell r="U336">
            <v>2.2869999999999998E-2</v>
          </cell>
          <cell r="V336">
            <v>2.3990000000000001E-2</v>
          </cell>
          <cell r="W336">
            <v>2.375E-2</v>
          </cell>
          <cell r="X336">
            <v>2.41E-2</v>
          </cell>
          <cell r="Y336">
            <v>2.4850000000000004E-2</v>
          </cell>
          <cell r="Z336">
            <v>2.55125E-2</v>
          </cell>
          <cell r="AA336">
            <v>2.6150000000000003E-2</v>
          </cell>
          <cell r="AB336">
            <v>2.7349999999999999E-2</v>
          </cell>
          <cell r="AC336">
            <v>2.8449999999999996E-2</v>
          </cell>
        </row>
        <row r="337">
          <cell r="T337">
            <v>39553</v>
          </cell>
          <cell r="U337">
            <v>2.308E-2</v>
          </cell>
          <cell r="V337">
            <v>2.4230000000000002E-2</v>
          </cell>
          <cell r="W337">
            <v>2.375E-2</v>
          </cell>
          <cell r="X337">
            <v>2.3949999999999999E-2</v>
          </cell>
          <cell r="Y337">
            <v>2.4649999999999998E-2</v>
          </cell>
          <cell r="Z337">
            <v>2.5199999999999997E-2</v>
          </cell>
          <cell r="AA337">
            <v>2.5849999999999998E-2</v>
          </cell>
          <cell r="AB337">
            <v>2.7099999999999999E-2</v>
          </cell>
          <cell r="AC337">
            <v>2.8199999999999999E-2</v>
          </cell>
        </row>
        <row r="338">
          <cell r="T338">
            <v>39552</v>
          </cell>
          <cell r="U338">
            <v>2.2930000000000002E-2</v>
          </cell>
          <cell r="V338">
            <v>2.4060000000000002E-2</v>
          </cell>
          <cell r="W338">
            <v>2.3550000000000001E-2</v>
          </cell>
          <cell r="X338">
            <v>2.3674999999999998E-2</v>
          </cell>
          <cell r="Y338">
            <v>2.4400000000000005E-2</v>
          </cell>
          <cell r="Z338">
            <v>2.4850000000000004E-2</v>
          </cell>
          <cell r="AA338">
            <v>2.545E-2</v>
          </cell>
          <cell r="AB338">
            <v>2.6600000000000002E-2</v>
          </cell>
          <cell r="AC338">
            <v>2.7549999999999998E-2</v>
          </cell>
        </row>
        <row r="339">
          <cell r="T339">
            <v>39551</v>
          </cell>
          <cell r="U339">
            <v>2.2919999999999999E-2</v>
          </cell>
          <cell r="V339">
            <v>2.4129999999999999E-2</v>
          </cell>
          <cell r="W339">
            <v>2.3550000000000001E-2</v>
          </cell>
          <cell r="X339">
            <v>2.3499999999999997E-2</v>
          </cell>
          <cell r="Y339">
            <v>2.4012500000000003E-2</v>
          </cell>
          <cell r="Z339">
            <v>2.4587500000000002E-2</v>
          </cell>
          <cell r="AA339">
            <v>2.5249999999999998E-2</v>
          </cell>
          <cell r="AB339">
            <v>2.64E-2</v>
          </cell>
          <cell r="AC339">
            <v>2.7650000000000001E-2</v>
          </cell>
        </row>
        <row r="340">
          <cell r="T340">
            <v>39550</v>
          </cell>
          <cell r="U340">
            <v>2.2919999999999999E-2</v>
          </cell>
          <cell r="V340">
            <v>2.4129999999999999E-2</v>
          </cell>
          <cell r="W340">
            <v>2.3550000000000001E-2</v>
          </cell>
          <cell r="X340">
            <v>2.3499999999999997E-2</v>
          </cell>
          <cell r="Y340">
            <v>2.4012500000000003E-2</v>
          </cell>
          <cell r="Z340">
            <v>2.4587500000000002E-2</v>
          </cell>
          <cell r="AA340">
            <v>2.5249999999999998E-2</v>
          </cell>
          <cell r="AB340">
            <v>2.64E-2</v>
          </cell>
          <cell r="AC340">
            <v>2.7650000000000001E-2</v>
          </cell>
        </row>
        <row r="341">
          <cell r="T341">
            <v>39549</v>
          </cell>
          <cell r="U341">
            <v>2.2919999999999999E-2</v>
          </cell>
          <cell r="V341">
            <v>2.4129999999999999E-2</v>
          </cell>
          <cell r="W341">
            <v>2.3550000000000001E-2</v>
          </cell>
          <cell r="X341">
            <v>2.3499999999999997E-2</v>
          </cell>
          <cell r="Y341">
            <v>2.4012500000000003E-2</v>
          </cell>
          <cell r="Z341">
            <v>2.4587500000000002E-2</v>
          </cell>
          <cell r="AA341">
            <v>2.5249999999999998E-2</v>
          </cell>
          <cell r="AB341">
            <v>2.64E-2</v>
          </cell>
          <cell r="AC341">
            <v>2.7650000000000001E-2</v>
          </cell>
        </row>
        <row r="342">
          <cell r="T342">
            <v>39548</v>
          </cell>
          <cell r="U342">
            <v>2.2940000000000002E-2</v>
          </cell>
          <cell r="V342">
            <v>2.4129999999999999E-2</v>
          </cell>
          <cell r="W342">
            <v>2.3600000000000003E-2</v>
          </cell>
          <cell r="X342">
            <v>2.3525000000000001E-2</v>
          </cell>
          <cell r="Y342">
            <v>2.4150000000000001E-2</v>
          </cell>
          <cell r="Z342">
            <v>2.4649999999999998E-2</v>
          </cell>
          <cell r="AA342">
            <v>2.5300000000000003E-2</v>
          </cell>
          <cell r="AB342">
            <v>2.6550000000000004E-2</v>
          </cell>
          <cell r="AC342">
            <v>2.7650000000000001E-2</v>
          </cell>
        </row>
        <row r="343">
          <cell r="T343">
            <v>39547</v>
          </cell>
          <cell r="U343">
            <v>2.3239999999999997E-2</v>
          </cell>
          <cell r="V343">
            <v>2.4169999999999997E-2</v>
          </cell>
          <cell r="W343">
            <v>2.3600000000000003E-2</v>
          </cell>
          <cell r="X343">
            <v>2.3700000000000002E-2</v>
          </cell>
          <cell r="Y343">
            <v>2.4050000000000002E-2</v>
          </cell>
          <cell r="Z343">
            <v>2.4450000000000003E-2</v>
          </cell>
          <cell r="AA343">
            <v>2.5099999999999997E-2</v>
          </cell>
          <cell r="AB343">
            <v>2.6200000000000001E-2</v>
          </cell>
          <cell r="AC343">
            <v>2.7149999999999997E-2</v>
          </cell>
        </row>
        <row r="344">
          <cell r="T344">
            <v>39546</v>
          </cell>
          <cell r="U344">
            <v>2.3300000000000001E-2</v>
          </cell>
          <cell r="V344">
            <v>2.4169999999999997E-2</v>
          </cell>
          <cell r="W344">
            <v>2.3600000000000003E-2</v>
          </cell>
          <cell r="X344">
            <v>2.36875E-2</v>
          </cell>
          <cell r="Y344">
            <v>2.41E-2</v>
          </cell>
          <cell r="Z344">
            <v>2.4550000000000002E-2</v>
          </cell>
          <cell r="AA344">
            <v>2.5049999999999999E-2</v>
          </cell>
          <cell r="AB344">
            <v>2.6249999999999999E-2</v>
          </cell>
          <cell r="AC344">
            <v>2.6950000000000002E-2</v>
          </cell>
        </row>
        <row r="345">
          <cell r="T345">
            <v>39545</v>
          </cell>
          <cell r="U345">
            <v>2.3170000000000003E-2</v>
          </cell>
          <cell r="V345">
            <v>2.4119999999999999E-2</v>
          </cell>
          <cell r="W345">
            <v>2.3349999999999999E-2</v>
          </cell>
          <cell r="X345">
            <v>2.3300000000000001E-2</v>
          </cell>
          <cell r="Y345">
            <v>2.375E-2</v>
          </cell>
          <cell r="Z345">
            <v>2.4150000000000001E-2</v>
          </cell>
          <cell r="AA345">
            <v>2.4850000000000004E-2</v>
          </cell>
          <cell r="AB345">
            <v>2.5875000000000002E-2</v>
          </cell>
          <cell r="AC345">
            <v>2.6600000000000002E-2</v>
          </cell>
        </row>
        <row r="346">
          <cell r="T346">
            <v>39544</v>
          </cell>
          <cell r="U346">
            <v>2.316E-2</v>
          </cell>
          <cell r="V346">
            <v>2.4169999999999997E-2</v>
          </cell>
          <cell r="W346">
            <v>2.3200000000000002E-2</v>
          </cell>
          <cell r="X346">
            <v>2.3200000000000002E-2</v>
          </cell>
          <cell r="Y346">
            <v>2.3600000000000003E-2</v>
          </cell>
          <cell r="Z346">
            <v>2.4199999999999999E-2</v>
          </cell>
          <cell r="AA346">
            <v>2.4900000000000002E-2</v>
          </cell>
          <cell r="AB346">
            <v>2.5949999999999997E-2</v>
          </cell>
          <cell r="AC346">
            <v>2.75E-2</v>
          </cell>
        </row>
        <row r="347">
          <cell r="T347">
            <v>39543</v>
          </cell>
          <cell r="U347">
            <v>2.316E-2</v>
          </cell>
          <cell r="V347">
            <v>2.4169999999999997E-2</v>
          </cell>
          <cell r="W347">
            <v>2.3200000000000002E-2</v>
          </cell>
          <cell r="X347">
            <v>2.3200000000000002E-2</v>
          </cell>
          <cell r="Y347">
            <v>2.3600000000000003E-2</v>
          </cell>
          <cell r="Z347">
            <v>2.4199999999999999E-2</v>
          </cell>
          <cell r="AA347">
            <v>2.4900000000000002E-2</v>
          </cell>
          <cell r="AB347">
            <v>2.5949999999999997E-2</v>
          </cell>
          <cell r="AC347">
            <v>2.75E-2</v>
          </cell>
        </row>
        <row r="348">
          <cell r="T348">
            <v>39542</v>
          </cell>
          <cell r="U348">
            <v>2.316E-2</v>
          </cell>
          <cell r="V348">
            <v>2.4169999999999997E-2</v>
          </cell>
          <cell r="W348">
            <v>2.3200000000000002E-2</v>
          </cell>
          <cell r="X348">
            <v>2.3200000000000002E-2</v>
          </cell>
          <cell r="Y348">
            <v>2.3600000000000003E-2</v>
          </cell>
          <cell r="Z348">
            <v>2.4199999999999999E-2</v>
          </cell>
          <cell r="AA348">
            <v>2.4900000000000002E-2</v>
          </cell>
          <cell r="AB348">
            <v>2.5949999999999997E-2</v>
          </cell>
          <cell r="AC348">
            <v>2.75E-2</v>
          </cell>
        </row>
        <row r="349">
          <cell r="T349">
            <v>39541</v>
          </cell>
          <cell r="U349">
            <v>2.316E-2</v>
          </cell>
          <cell r="V349">
            <v>2.4169999999999997E-2</v>
          </cell>
          <cell r="W349">
            <v>2.3200000000000002E-2</v>
          </cell>
          <cell r="X349">
            <v>2.3200000000000002E-2</v>
          </cell>
          <cell r="Y349">
            <v>2.3600000000000003E-2</v>
          </cell>
          <cell r="Z349">
            <v>2.4199999999999999E-2</v>
          </cell>
          <cell r="AA349">
            <v>2.4900000000000002E-2</v>
          </cell>
          <cell r="AB349">
            <v>2.5949999999999997E-2</v>
          </cell>
          <cell r="AC349">
            <v>2.75E-2</v>
          </cell>
        </row>
        <row r="350">
          <cell r="T350">
            <v>39540</v>
          </cell>
          <cell r="U350">
            <v>2.2879999999999998E-2</v>
          </cell>
          <cell r="V350">
            <v>2.4060000000000002E-2</v>
          </cell>
          <cell r="W350">
            <v>2.315E-2</v>
          </cell>
          <cell r="X350">
            <v>2.3224999999999999E-2</v>
          </cell>
          <cell r="Y350">
            <v>2.3650000000000001E-2</v>
          </cell>
          <cell r="Z350">
            <v>2.4199999999999999E-2</v>
          </cell>
          <cell r="AA350">
            <v>2.4900000000000002E-2</v>
          </cell>
          <cell r="AB350">
            <v>2.6150000000000003E-2</v>
          </cell>
          <cell r="AC350">
            <v>2.7699999999999999E-2</v>
          </cell>
        </row>
        <row r="351">
          <cell r="T351">
            <v>39539</v>
          </cell>
          <cell r="U351">
            <v>2.3E-2</v>
          </cell>
          <cell r="V351">
            <v>2.4080000000000001E-2</v>
          </cell>
          <cell r="W351">
            <v>2.3200000000000002E-2</v>
          </cell>
          <cell r="X351">
            <v>2.3250000000000003E-2</v>
          </cell>
          <cell r="Y351">
            <v>2.3599999999999999E-2</v>
          </cell>
          <cell r="Z351">
            <v>2.4050000000000002E-2</v>
          </cell>
          <cell r="AA351">
            <v>2.4750000000000001E-2</v>
          </cell>
          <cell r="AB351">
            <v>2.5949999999999997E-2</v>
          </cell>
          <cell r="AC351">
            <v>2.775E-2</v>
          </cell>
        </row>
        <row r="352">
          <cell r="T352">
            <v>39538</v>
          </cell>
          <cell r="U352">
            <v>2.3039999999999998E-2</v>
          </cell>
          <cell r="V352">
            <v>2.4E-2</v>
          </cell>
          <cell r="W352">
            <v>2.3250000000000003E-2</v>
          </cell>
          <cell r="X352">
            <v>2.3200000000000002E-2</v>
          </cell>
          <cell r="Y352">
            <v>2.3550000000000001E-2</v>
          </cell>
          <cell r="Z352">
            <v>2.4050000000000002E-2</v>
          </cell>
          <cell r="AA352">
            <v>2.4750000000000001E-2</v>
          </cell>
          <cell r="AB352">
            <v>2.5949999999999997E-2</v>
          </cell>
          <cell r="AC352">
            <v>2.7699999999999999E-2</v>
          </cell>
        </row>
        <row r="353">
          <cell r="T353">
            <v>39537</v>
          </cell>
          <cell r="U353">
            <v>2.2949999999999998E-2</v>
          </cell>
          <cell r="V353">
            <v>2.402E-2</v>
          </cell>
          <cell r="W353">
            <v>2.3250000000000003E-2</v>
          </cell>
          <cell r="X353">
            <v>2.3300000000000001E-2</v>
          </cell>
          <cell r="Y353">
            <v>2.3600000000000003E-2</v>
          </cell>
          <cell r="Z353">
            <v>2.40375E-2</v>
          </cell>
          <cell r="AA353">
            <v>2.4799999999999999E-2</v>
          </cell>
          <cell r="AB353">
            <v>2.6000000000000002E-2</v>
          </cell>
          <cell r="AC353">
            <v>2.775E-2</v>
          </cell>
        </row>
        <row r="354">
          <cell r="T354">
            <v>39536</v>
          </cell>
          <cell r="U354">
            <v>2.2949999999999998E-2</v>
          </cell>
          <cell r="V354">
            <v>2.402E-2</v>
          </cell>
          <cell r="W354">
            <v>2.3250000000000003E-2</v>
          </cell>
          <cell r="X354">
            <v>2.3300000000000001E-2</v>
          </cell>
          <cell r="Y354">
            <v>2.3600000000000003E-2</v>
          </cell>
          <cell r="Z354">
            <v>2.40375E-2</v>
          </cell>
          <cell r="AA354">
            <v>2.4799999999999999E-2</v>
          </cell>
          <cell r="AB354">
            <v>2.6000000000000002E-2</v>
          </cell>
          <cell r="AC354">
            <v>2.775E-2</v>
          </cell>
        </row>
        <row r="355">
          <cell r="T355">
            <v>39535</v>
          </cell>
          <cell r="U355">
            <v>2.2949999999999998E-2</v>
          </cell>
          <cell r="V355">
            <v>2.402E-2</v>
          </cell>
          <cell r="W355">
            <v>2.3250000000000003E-2</v>
          </cell>
          <cell r="X355">
            <v>2.3300000000000001E-2</v>
          </cell>
          <cell r="Y355">
            <v>2.3600000000000003E-2</v>
          </cell>
          <cell r="Z355">
            <v>2.40375E-2</v>
          </cell>
          <cell r="AA355">
            <v>2.4799999999999999E-2</v>
          </cell>
          <cell r="AB355">
            <v>2.6000000000000002E-2</v>
          </cell>
          <cell r="AC355">
            <v>2.775E-2</v>
          </cell>
        </row>
        <row r="356">
          <cell r="T356">
            <v>39534</v>
          </cell>
          <cell r="U356">
            <v>2.2930000000000002E-2</v>
          </cell>
          <cell r="V356">
            <v>2.3929999999999996E-2</v>
          </cell>
          <cell r="W356">
            <v>2.3099999999999999E-2</v>
          </cell>
          <cell r="X356">
            <v>2.3174999999999998E-2</v>
          </cell>
          <cell r="Y356">
            <v>2.3550000000000001E-2</v>
          </cell>
          <cell r="Z356">
            <v>2.4150000000000001E-2</v>
          </cell>
          <cell r="AA356">
            <v>2.4750000000000001E-2</v>
          </cell>
          <cell r="AB356">
            <v>2.5949999999999997E-2</v>
          </cell>
          <cell r="AC356">
            <v>2.7699999999999999E-2</v>
          </cell>
        </row>
        <row r="357">
          <cell r="T357">
            <v>39533</v>
          </cell>
          <cell r="U357">
            <v>2.2890000000000001E-2</v>
          </cell>
          <cell r="V357">
            <v>2.3990000000000001E-2</v>
          </cell>
          <cell r="W357">
            <v>2.3650000000000001E-2</v>
          </cell>
          <cell r="X357">
            <v>2.3550000000000001E-2</v>
          </cell>
          <cell r="Y357">
            <v>2.3949999999999999E-2</v>
          </cell>
          <cell r="Z357">
            <v>2.46E-2</v>
          </cell>
          <cell r="AA357">
            <v>2.5399999999999999E-2</v>
          </cell>
          <cell r="AB357">
            <v>2.6699999999999998E-2</v>
          </cell>
          <cell r="AC357">
            <v>2.8399999999999998E-2</v>
          </cell>
        </row>
        <row r="358">
          <cell r="T358">
            <v>39532</v>
          </cell>
          <cell r="U358">
            <v>2.2799999999999997E-2</v>
          </cell>
          <cell r="V358">
            <v>2.4E-2</v>
          </cell>
          <cell r="W358">
            <v>2.3650000000000001E-2</v>
          </cell>
          <cell r="X358">
            <v>2.3600000000000003E-2</v>
          </cell>
          <cell r="Y358">
            <v>2.4000000000000004E-2</v>
          </cell>
          <cell r="Z358">
            <v>2.46E-2</v>
          </cell>
          <cell r="AA358">
            <v>2.5399999999999999E-2</v>
          </cell>
          <cell r="AB358">
            <v>2.665E-2</v>
          </cell>
          <cell r="AC358">
            <v>2.835E-2</v>
          </cell>
        </row>
        <row r="359">
          <cell r="T359">
            <v>39531</v>
          </cell>
          <cell r="U359">
            <v>2.2949999999999998E-2</v>
          </cell>
          <cell r="V359">
            <v>2.3940000000000003E-2</v>
          </cell>
          <cell r="W359">
            <v>2.3650000000000001E-2</v>
          </cell>
          <cell r="X359">
            <v>2.3650000000000001E-2</v>
          </cell>
          <cell r="Y359">
            <v>2.41E-2</v>
          </cell>
          <cell r="Z359">
            <v>2.4799999999999999E-2</v>
          </cell>
          <cell r="AA359">
            <v>2.5549999999999996E-2</v>
          </cell>
          <cell r="AB359">
            <v>2.6900000000000004E-2</v>
          </cell>
          <cell r="AC359">
            <v>2.8499999999999998E-2</v>
          </cell>
        </row>
        <row r="360">
          <cell r="T360">
            <v>39530</v>
          </cell>
          <cell r="U360">
            <v>2.291E-2</v>
          </cell>
          <cell r="V360">
            <v>2.3990000000000001E-2</v>
          </cell>
          <cell r="W360">
            <v>2.3550000000000001E-2</v>
          </cell>
          <cell r="X360">
            <v>2.3674999999999998E-2</v>
          </cell>
          <cell r="Y360">
            <v>2.4050000000000002E-2</v>
          </cell>
          <cell r="Z360">
            <v>2.4649999999999998E-2</v>
          </cell>
          <cell r="AA360">
            <v>2.545E-2</v>
          </cell>
          <cell r="AB360">
            <v>2.665E-2</v>
          </cell>
          <cell r="AC360">
            <v>2.835E-2</v>
          </cell>
        </row>
        <row r="361">
          <cell r="T361">
            <v>39529</v>
          </cell>
          <cell r="U361">
            <v>2.291E-2</v>
          </cell>
          <cell r="V361">
            <v>2.3990000000000001E-2</v>
          </cell>
          <cell r="W361">
            <v>2.3550000000000001E-2</v>
          </cell>
          <cell r="X361">
            <v>2.3674999999999998E-2</v>
          </cell>
          <cell r="Y361">
            <v>2.4050000000000002E-2</v>
          </cell>
          <cell r="Z361">
            <v>2.4649999999999998E-2</v>
          </cell>
          <cell r="AA361">
            <v>2.545E-2</v>
          </cell>
          <cell r="AB361">
            <v>2.665E-2</v>
          </cell>
          <cell r="AC361">
            <v>2.835E-2</v>
          </cell>
        </row>
        <row r="362">
          <cell r="T362">
            <v>39528</v>
          </cell>
          <cell r="U362">
            <v>2.291E-2</v>
          </cell>
          <cell r="V362">
            <v>2.3990000000000001E-2</v>
          </cell>
          <cell r="W362">
            <v>2.3550000000000001E-2</v>
          </cell>
          <cell r="X362">
            <v>2.3674999999999998E-2</v>
          </cell>
          <cell r="Y362">
            <v>2.4050000000000002E-2</v>
          </cell>
          <cell r="Z362">
            <v>2.4649999999999998E-2</v>
          </cell>
          <cell r="AA362">
            <v>2.545E-2</v>
          </cell>
          <cell r="AB362">
            <v>2.665E-2</v>
          </cell>
          <cell r="AC362">
            <v>2.835E-2</v>
          </cell>
        </row>
        <row r="363">
          <cell r="T363">
            <v>39527</v>
          </cell>
          <cell r="U363">
            <v>2.29E-2</v>
          </cell>
          <cell r="V363">
            <v>2.4E-2</v>
          </cell>
          <cell r="W363">
            <v>2.3300000000000001E-2</v>
          </cell>
          <cell r="X363">
            <v>2.3449999999999999E-2</v>
          </cell>
          <cell r="Y363">
            <v>2.3775000000000004E-2</v>
          </cell>
          <cell r="Z363">
            <v>2.4500000000000001E-2</v>
          </cell>
          <cell r="AA363">
            <v>2.5199999999999997E-2</v>
          </cell>
          <cell r="AB363">
            <v>2.6450000000000001E-2</v>
          </cell>
          <cell r="AC363">
            <v>2.7949999999999999E-2</v>
          </cell>
        </row>
        <row r="364">
          <cell r="T364">
            <v>39526</v>
          </cell>
          <cell r="U364">
            <v>2.281E-2</v>
          </cell>
          <cell r="V364">
            <v>2.3900000000000001E-2</v>
          </cell>
          <cell r="W364">
            <v>2.315E-2</v>
          </cell>
          <cell r="X364">
            <v>2.315E-2</v>
          </cell>
          <cell r="Y364">
            <v>2.3550000000000001E-2</v>
          </cell>
          <cell r="Z364">
            <v>2.4199999999999999E-2</v>
          </cell>
          <cell r="AA364">
            <v>2.4900000000000002E-2</v>
          </cell>
          <cell r="AB364">
            <v>2.6150000000000003E-2</v>
          </cell>
          <cell r="AC364">
            <v>2.7725E-2</v>
          </cell>
        </row>
        <row r="365">
          <cell r="T365">
            <v>39525</v>
          </cell>
          <cell r="U365">
            <v>2.3050000000000001E-2</v>
          </cell>
          <cell r="V365">
            <v>2.3889999999999998E-2</v>
          </cell>
          <cell r="W365">
            <v>2.3E-2</v>
          </cell>
          <cell r="X365">
            <v>2.29E-2</v>
          </cell>
          <cell r="Y365">
            <v>2.3399999999999997E-2</v>
          </cell>
          <cell r="Z365">
            <v>2.4050000000000002E-2</v>
          </cell>
          <cell r="AA365">
            <v>2.4799999999999999E-2</v>
          </cell>
          <cell r="AB365">
            <v>2.5949999999999997E-2</v>
          </cell>
          <cell r="AC365">
            <v>2.7374999999999997E-2</v>
          </cell>
        </row>
        <row r="366">
          <cell r="T366">
            <v>39524</v>
          </cell>
          <cell r="U366">
            <v>2.2930000000000002E-2</v>
          </cell>
          <cell r="V366">
            <v>2.3940000000000003E-2</v>
          </cell>
          <cell r="W366">
            <v>2.3E-2</v>
          </cell>
          <cell r="X366">
            <v>2.2850000000000002E-2</v>
          </cell>
          <cell r="Y366">
            <v>2.3337500000000001E-2</v>
          </cell>
          <cell r="Z366">
            <v>2.3849999999999996E-2</v>
          </cell>
          <cell r="AA366">
            <v>2.4500000000000001E-2</v>
          </cell>
          <cell r="AB366">
            <v>2.5624999999999998E-2</v>
          </cell>
          <cell r="AC366">
            <v>2.75E-2</v>
          </cell>
        </row>
        <row r="367">
          <cell r="T367">
            <v>39523</v>
          </cell>
          <cell r="U367">
            <v>2.29E-2</v>
          </cell>
          <cell r="V367">
            <v>2.3889999999999998E-2</v>
          </cell>
          <cell r="W367">
            <v>2.3199999999999998E-2</v>
          </cell>
          <cell r="X367">
            <v>2.315E-2</v>
          </cell>
          <cell r="Y367">
            <v>2.3550000000000001E-2</v>
          </cell>
          <cell r="Z367">
            <v>2.4124999999999997E-2</v>
          </cell>
          <cell r="AA367">
            <v>2.4900000000000002E-2</v>
          </cell>
          <cell r="AB367">
            <v>2.6150000000000003E-2</v>
          </cell>
          <cell r="AC367">
            <v>2.8049999999999999E-2</v>
          </cell>
        </row>
        <row r="368">
          <cell r="T368">
            <v>39522</v>
          </cell>
          <cell r="U368">
            <v>2.29E-2</v>
          </cell>
          <cell r="V368">
            <v>2.3889999999999998E-2</v>
          </cell>
          <cell r="W368">
            <v>2.3199999999999998E-2</v>
          </cell>
          <cell r="X368">
            <v>2.315E-2</v>
          </cell>
          <cell r="Y368">
            <v>2.3550000000000001E-2</v>
          </cell>
          <cell r="Z368">
            <v>2.4124999999999997E-2</v>
          </cell>
          <cell r="AA368">
            <v>2.4900000000000002E-2</v>
          </cell>
          <cell r="AB368">
            <v>2.6150000000000003E-2</v>
          </cell>
          <cell r="AC368">
            <v>2.8049999999999999E-2</v>
          </cell>
        </row>
        <row r="369">
          <cell r="T369">
            <v>39521</v>
          </cell>
          <cell r="U369">
            <v>2.29E-2</v>
          </cell>
          <cell r="V369">
            <v>2.3889999999999998E-2</v>
          </cell>
          <cell r="W369">
            <v>2.3199999999999998E-2</v>
          </cell>
          <cell r="X369">
            <v>2.315E-2</v>
          </cell>
          <cell r="Y369">
            <v>2.3550000000000001E-2</v>
          </cell>
          <cell r="Z369">
            <v>2.4124999999999997E-2</v>
          </cell>
          <cell r="AA369">
            <v>2.4900000000000002E-2</v>
          </cell>
          <cell r="AB369">
            <v>2.6150000000000003E-2</v>
          </cell>
          <cell r="AC369">
            <v>2.8049999999999999E-2</v>
          </cell>
        </row>
        <row r="370">
          <cell r="T370">
            <v>39520</v>
          </cell>
          <cell r="U370">
            <v>2.2940000000000002E-2</v>
          </cell>
          <cell r="V370">
            <v>2.3940000000000003E-2</v>
          </cell>
          <cell r="W370">
            <v>2.3099999999999999E-2</v>
          </cell>
          <cell r="X370">
            <v>2.3E-2</v>
          </cell>
          <cell r="Y370">
            <v>2.3349999999999999E-2</v>
          </cell>
          <cell r="Z370">
            <v>2.3799999999999998E-2</v>
          </cell>
          <cell r="AA370">
            <v>2.4500000000000001E-2</v>
          </cell>
          <cell r="AB370">
            <v>2.5699999999999997E-2</v>
          </cell>
          <cell r="AC370">
            <v>2.7799999999999998E-2</v>
          </cell>
        </row>
        <row r="371">
          <cell r="T371">
            <v>39519</v>
          </cell>
          <cell r="U371">
            <v>2.2879999999999998E-2</v>
          </cell>
          <cell r="V371">
            <v>2.3889999999999998E-2</v>
          </cell>
          <cell r="W371">
            <v>2.3E-2</v>
          </cell>
          <cell r="X371">
            <v>2.315E-2</v>
          </cell>
          <cell r="Y371">
            <v>2.3600000000000003E-2</v>
          </cell>
          <cell r="Z371">
            <v>2.4249999999999997E-2</v>
          </cell>
          <cell r="AA371">
            <v>2.5099999999999997E-2</v>
          </cell>
          <cell r="AB371">
            <v>2.6550000000000004E-2</v>
          </cell>
          <cell r="AC371">
            <v>2.8099999999999997E-2</v>
          </cell>
        </row>
        <row r="372">
          <cell r="T372">
            <v>39518</v>
          </cell>
          <cell r="U372">
            <v>2.2839999999999999E-2</v>
          </cell>
          <cell r="V372">
            <v>2.392E-2</v>
          </cell>
          <cell r="W372">
            <v>2.3E-2</v>
          </cell>
          <cell r="X372">
            <v>2.3200000000000002E-2</v>
          </cell>
          <cell r="Y372">
            <v>2.3550000000000001E-2</v>
          </cell>
          <cell r="Z372">
            <v>2.4275000000000001E-2</v>
          </cell>
          <cell r="AA372">
            <v>2.5149999999999995E-2</v>
          </cell>
          <cell r="AB372">
            <v>2.6387499999999998E-2</v>
          </cell>
          <cell r="AC372">
            <v>2.8274999999999998E-2</v>
          </cell>
        </row>
        <row r="373">
          <cell r="T373">
            <v>39517</v>
          </cell>
          <cell r="U373">
            <v>2.282E-2</v>
          </cell>
          <cell r="V373">
            <v>2.3860000000000003E-2</v>
          </cell>
          <cell r="W373">
            <v>2.29E-2</v>
          </cell>
          <cell r="X373">
            <v>2.2812499999999999E-2</v>
          </cell>
          <cell r="Y373">
            <v>2.3200000000000002E-2</v>
          </cell>
          <cell r="Z373">
            <v>2.3949999999999999E-2</v>
          </cell>
          <cell r="AA373">
            <v>2.4699999999999996E-2</v>
          </cell>
          <cell r="AB373">
            <v>2.5962499999999999E-2</v>
          </cell>
          <cell r="AC373">
            <v>2.7949999999999999E-2</v>
          </cell>
        </row>
        <row r="374">
          <cell r="T374">
            <v>39516</v>
          </cell>
          <cell r="U374">
            <v>2.2770000000000002E-2</v>
          </cell>
          <cell r="V374">
            <v>2.392E-2</v>
          </cell>
          <cell r="W374">
            <v>2.2800000000000001E-2</v>
          </cell>
          <cell r="X374">
            <v>2.2700000000000001E-2</v>
          </cell>
          <cell r="Y374">
            <v>2.315E-2</v>
          </cell>
          <cell r="Z374">
            <v>2.3825000000000002E-2</v>
          </cell>
          <cell r="AA374">
            <v>2.46E-2</v>
          </cell>
          <cell r="AB374">
            <v>2.5949999999999997E-2</v>
          </cell>
          <cell r="AC374">
            <v>2.7900000000000001E-2</v>
          </cell>
        </row>
        <row r="375">
          <cell r="T375">
            <v>39515</v>
          </cell>
          <cell r="U375">
            <v>2.2770000000000002E-2</v>
          </cell>
          <cell r="V375">
            <v>2.392E-2</v>
          </cell>
          <cell r="W375">
            <v>2.2800000000000001E-2</v>
          </cell>
          <cell r="X375">
            <v>2.2700000000000001E-2</v>
          </cell>
          <cell r="Y375">
            <v>2.315E-2</v>
          </cell>
          <cell r="Z375">
            <v>2.3825000000000002E-2</v>
          </cell>
          <cell r="AA375">
            <v>2.46E-2</v>
          </cell>
          <cell r="AB375">
            <v>2.5949999999999997E-2</v>
          </cell>
          <cell r="AC375">
            <v>2.7900000000000001E-2</v>
          </cell>
        </row>
        <row r="376">
          <cell r="T376">
            <v>39514</v>
          </cell>
          <cell r="U376">
            <v>2.2770000000000002E-2</v>
          </cell>
          <cell r="V376">
            <v>2.392E-2</v>
          </cell>
          <cell r="W376">
            <v>2.2800000000000001E-2</v>
          </cell>
          <cell r="X376">
            <v>2.2700000000000001E-2</v>
          </cell>
          <cell r="Y376">
            <v>2.315E-2</v>
          </cell>
          <cell r="Z376">
            <v>2.3825000000000002E-2</v>
          </cell>
          <cell r="AA376">
            <v>2.46E-2</v>
          </cell>
          <cell r="AB376">
            <v>2.5949999999999997E-2</v>
          </cell>
          <cell r="AC376">
            <v>2.7900000000000001E-2</v>
          </cell>
        </row>
        <row r="377">
          <cell r="T377">
            <v>39513</v>
          </cell>
          <cell r="U377">
            <v>2.3099999999999999E-2</v>
          </cell>
          <cell r="V377">
            <v>2.3860000000000003E-2</v>
          </cell>
          <cell r="W377">
            <v>2.2949999999999998E-2</v>
          </cell>
          <cell r="X377">
            <v>2.2949999999999998E-2</v>
          </cell>
          <cell r="Y377">
            <v>2.3499999999999997E-2</v>
          </cell>
          <cell r="Z377">
            <v>2.4150000000000001E-2</v>
          </cell>
          <cell r="AA377">
            <v>2.495E-2</v>
          </cell>
          <cell r="AB377">
            <v>2.6349999999999998E-2</v>
          </cell>
          <cell r="AC377">
            <v>2.8449999999999996E-2</v>
          </cell>
        </row>
        <row r="378">
          <cell r="T378">
            <v>39512</v>
          </cell>
          <cell r="U378">
            <v>2.315E-2</v>
          </cell>
          <cell r="V378">
            <v>2.3809999999999998E-2</v>
          </cell>
          <cell r="W378">
            <v>2.315E-2</v>
          </cell>
          <cell r="X378">
            <v>2.3099999999999996E-2</v>
          </cell>
          <cell r="Y378">
            <v>2.3449999999999999E-2</v>
          </cell>
          <cell r="Z378">
            <v>2.4199999999999999E-2</v>
          </cell>
          <cell r="AA378">
            <v>2.5125000000000001E-2</v>
          </cell>
          <cell r="AB378">
            <v>2.6450000000000001E-2</v>
          </cell>
          <cell r="AC378">
            <v>2.8499999999999998E-2</v>
          </cell>
        </row>
        <row r="379">
          <cell r="T379">
            <v>39511</v>
          </cell>
          <cell r="U379">
            <v>2.3060000000000001E-2</v>
          </cell>
          <cell r="V379">
            <v>2.3849999999999996E-2</v>
          </cell>
          <cell r="W379">
            <v>2.2749999999999999E-2</v>
          </cell>
          <cell r="X379">
            <v>2.2649999999999997E-2</v>
          </cell>
          <cell r="Y379">
            <v>2.3200000000000002E-2</v>
          </cell>
          <cell r="Z379">
            <v>2.3949999999999999E-2</v>
          </cell>
          <cell r="AA379">
            <v>2.46E-2</v>
          </cell>
          <cell r="AB379">
            <v>2.5899999999999999E-2</v>
          </cell>
          <cell r="AC379">
            <v>2.785E-2</v>
          </cell>
        </row>
        <row r="380">
          <cell r="T380">
            <v>39510</v>
          </cell>
          <cell r="U380">
            <v>2.3050000000000001E-2</v>
          </cell>
          <cell r="V380">
            <v>2.3849999999999996E-2</v>
          </cell>
          <cell r="W380">
            <v>2.265E-2</v>
          </cell>
          <cell r="X380">
            <v>2.2649999999999997E-2</v>
          </cell>
          <cell r="Y380">
            <v>2.315E-2</v>
          </cell>
          <cell r="Z380">
            <v>2.4E-2</v>
          </cell>
          <cell r="AA380">
            <v>2.46E-2</v>
          </cell>
          <cell r="AB380">
            <v>2.5949999999999997E-2</v>
          </cell>
          <cell r="AC380">
            <v>2.7900000000000001E-2</v>
          </cell>
        </row>
        <row r="381">
          <cell r="T381">
            <v>39509</v>
          </cell>
          <cell r="U381">
            <v>2.2959999999999998E-2</v>
          </cell>
          <cell r="V381">
            <v>2.3780000000000003E-2</v>
          </cell>
          <cell r="W381">
            <v>2.2799999999999997E-2</v>
          </cell>
          <cell r="X381">
            <v>2.2949999999999998E-2</v>
          </cell>
          <cell r="Y381">
            <v>2.3600000000000003E-2</v>
          </cell>
          <cell r="Z381">
            <v>2.4450000000000003E-2</v>
          </cell>
          <cell r="AA381">
            <v>2.5049999999999999E-2</v>
          </cell>
          <cell r="AB381">
            <v>2.6500000000000003E-2</v>
          </cell>
          <cell r="AC381">
            <v>2.8650000000000002E-2</v>
          </cell>
        </row>
        <row r="382">
          <cell r="T382">
            <v>39508</v>
          </cell>
          <cell r="U382">
            <v>2.2959999999999998E-2</v>
          </cell>
          <cell r="V382">
            <v>2.3780000000000003E-2</v>
          </cell>
          <cell r="W382">
            <v>2.2799999999999997E-2</v>
          </cell>
          <cell r="X382">
            <v>2.2949999999999998E-2</v>
          </cell>
          <cell r="Y382">
            <v>2.3600000000000003E-2</v>
          </cell>
          <cell r="Z382">
            <v>2.4450000000000003E-2</v>
          </cell>
          <cell r="AA382">
            <v>2.5049999999999999E-2</v>
          </cell>
          <cell r="AB382">
            <v>2.6500000000000003E-2</v>
          </cell>
          <cell r="AC382">
            <v>2.8650000000000002E-2</v>
          </cell>
        </row>
        <row r="383">
          <cell r="T383">
            <v>39507</v>
          </cell>
          <cell r="U383">
            <v>2.2959999999999998E-2</v>
          </cell>
          <cell r="V383">
            <v>2.3780000000000003E-2</v>
          </cell>
          <cell r="W383">
            <v>2.2799999999999997E-2</v>
          </cell>
          <cell r="X383">
            <v>2.2949999999999998E-2</v>
          </cell>
          <cell r="Y383">
            <v>2.3600000000000003E-2</v>
          </cell>
          <cell r="Z383">
            <v>2.4450000000000003E-2</v>
          </cell>
          <cell r="AA383">
            <v>2.5049999999999999E-2</v>
          </cell>
          <cell r="AB383">
            <v>2.6500000000000003E-2</v>
          </cell>
          <cell r="AC383">
            <v>2.8650000000000002E-2</v>
          </cell>
        </row>
        <row r="384">
          <cell r="T384">
            <v>39506</v>
          </cell>
          <cell r="U384">
            <v>2.2959999999999998E-2</v>
          </cell>
          <cell r="V384">
            <v>2.3780000000000003E-2</v>
          </cell>
          <cell r="W384">
            <v>2.2799999999999997E-2</v>
          </cell>
          <cell r="X384">
            <v>2.2949999999999998E-2</v>
          </cell>
          <cell r="Y384">
            <v>2.3600000000000003E-2</v>
          </cell>
          <cell r="Z384">
            <v>2.4450000000000003E-2</v>
          </cell>
          <cell r="AA384">
            <v>2.5049999999999999E-2</v>
          </cell>
          <cell r="AB384">
            <v>2.6500000000000003E-2</v>
          </cell>
          <cell r="AC384">
            <v>2.8650000000000002E-2</v>
          </cell>
        </row>
        <row r="385">
          <cell r="T385">
            <v>39505</v>
          </cell>
          <cell r="U385">
            <v>2.2850000000000002E-2</v>
          </cell>
          <cell r="V385">
            <v>2.3700000000000002E-2</v>
          </cell>
          <cell r="W385">
            <v>2.3075000000000002E-2</v>
          </cell>
          <cell r="X385">
            <v>2.3125E-2</v>
          </cell>
          <cell r="Y385">
            <v>2.3775000000000004E-2</v>
          </cell>
          <cell r="Z385">
            <v>2.4399999999999998E-2</v>
          </cell>
          <cell r="AA385">
            <v>2.5099999999999997E-2</v>
          </cell>
          <cell r="AB385">
            <v>2.6500000000000003E-2</v>
          </cell>
          <cell r="AC385">
            <v>2.835E-2</v>
          </cell>
        </row>
        <row r="386">
          <cell r="T386">
            <v>39504</v>
          </cell>
          <cell r="U386">
            <v>2.3029999999999998E-2</v>
          </cell>
          <cell r="V386">
            <v>2.3700000000000002E-2</v>
          </cell>
          <cell r="W386">
            <v>2.2799999999999997E-2</v>
          </cell>
          <cell r="X386">
            <v>2.2850000000000002E-2</v>
          </cell>
          <cell r="Y386">
            <v>2.3199999999999998E-2</v>
          </cell>
          <cell r="Z386">
            <v>2.4150000000000001E-2</v>
          </cell>
          <cell r="AA386">
            <v>2.4750000000000001E-2</v>
          </cell>
          <cell r="AB386">
            <v>2.5649999999999999E-2</v>
          </cell>
          <cell r="AC386">
            <v>2.7400000000000001E-2</v>
          </cell>
        </row>
        <row r="387">
          <cell r="T387">
            <v>39503</v>
          </cell>
          <cell r="U387">
            <v>2.3060000000000001E-2</v>
          </cell>
          <cell r="V387">
            <v>2.3780000000000003E-2</v>
          </cell>
          <cell r="W387">
            <v>2.2800000000000001E-2</v>
          </cell>
          <cell r="X387">
            <v>2.2800000000000001E-2</v>
          </cell>
          <cell r="Y387">
            <v>2.3387500000000002E-2</v>
          </cell>
          <cell r="Z387">
            <v>2.41E-2</v>
          </cell>
          <cell r="AA387">
            <v>2.4649999999999998E-2</v>
          </cell>
          <cell r="AB387">
            <v>2.5899999999999999E-2</v>
          </cell>
          <cell r="AC387">
            <v>2.7349999999999999E-2</v>
          </cell>
        </row>
        <row r="388">
          <cell r="T388">
            <v>39502</v>
          </cell>
          <cell r="U388">
            <v>2.3060000000000001E-2</v>
          </cell>
          <cell r="V388">
            <v>2.3780000000000003E-2</v>
          </cell>
          <cell r="W388">
            <v>2.2649999999999997E-2</v>
          </cell>
          <cell r="X388">
            <v>2.2450000000000001E-2</v>
          </cell>
          <cell r="Y388">
            <v>2.2874999999999996E-2</v>
          </cell>
          <cell r="Z388">
            <v>2.3525000000000001E-2</v>
          </cell>
          <cell r="AA388">
            <v>2.4275000000000001E-2</v>
          </cell>
          <cell r="AB388">
            <v>2.5312500000000002E-2</v>
          </cell>
          <cell r="AC388">
            <v>2.7050000000000001E-2</v>
          </cell>
        </row>
        <row r="389">
          <cell r="T389">
            <v>39501</v>
          </cell>
          <cell r="U389">
            <v>2.3060000000000001E-2</v>
          </cell>
          <cell r="V389">
            <v>2.3780000000000003E-2</v>
          </cell>
          <cell r="W389">
            <v>2.2649999999999997E-2</v>
          </cell>
          <cell r="X389">
            <v>2.2450000000000001E-2</v>
          </cell>
          <cell r="Y389">
            <v>2.2874999999999996E-2</v>
          </cell>
          <cell r="Z389">
            <v>2.3525000000000001E-2</v>
          </cell>
          <cell r="AA389">
            <v>2.4275000000000001E-2</v>
          </cell>
          <cell r="AB389">
            <v>2.5312500000000002E-2</v>
          </cell>
          <cell r="AC389">
            <v>2.7050000000000001E-2</v>
          </cell>
        </row>
        <row r="390">
          <cell r="T390">
            <v>39500</v>
          </cell>
          <cell r="U390">
            <v>2.3060000000000001E-2</v>
          </cell>
          <cell r="V390">
            <v>2.3780000000000003E-2</v>
          </cell>
          <cell r="W390">
            <v>2.2649999999999997E-2</v>
          </cell>
          <cell r="X390">
            <v>2.2450000000000001E-2</v>
          </cell>
          <cell r="Y390">
            <v>2.2874999999999996E-2</v>
          </cell>
          <cell r="Z390">
            <v>2.3525000000000001E-2</v>
          </cell>
          <cell r="AA390">
            <v>2.4275000000000001E-2</v>
          </cell>
          <cell r="AB390">
            <v>2.5312500000000002E-2</v>
          </cell>
          <cell r="AC390">
            <v>2.7050000000000001E-2</v>
          </cell>
        </row>
        <row r="391">
          <cell r="T391">
            <v>39499</v>
          </cell>
          <cell r="U391">
            <v>2.3010000000000003E-2</v>
          </cell>
          <cell r="V391">
            <v>2.3780000000000003E-2</v>
          </cell>
          <cell r="W391">
            <v>2.2199999999999998E-2</v>
          </cell>
          <cell r="X391">
            <v>2.215E-2</v>
          </cell>
          <cell r="Y391">
            <v>2.2550000000000001E-2</v>
          </cell>
          <cell r="Z391">
            <v>2.3199999999999998E-2</v>
          </cell>
          <cell r="AA391">
            <v>2.3899999999999998E-2</v>
          </cell>
          <cell r="AB391">
            <v>2.52E-2</v>
          </cell>
          <cell r="AC391">
            <v>2.665E-2</v>
          </cell>
        </row>
        <row r="392">
          <cell r="T392">
            <v>39498</v>
          </cell>
          <cell r="U392">
            <v>2.2879999999999998E-2</v>
          </cell>
          <cell r="V392">
            <v>2.3700000000000002E-2</v>
          </cell>
          <cell r="W392">
            <v>2.2199999999999998E-2</v>
          </cell>
          <cell r="X392">
            <v>2.2099999999999998E-2</v>
          </cell>
          <cell r="Y392">
            <v>2.2599999999999999E-2</v>
          </cell>
          <cell r="Z392">
            <v>2.3300000000000001E-2</v>
          </cell>
          <cell r="AA392">
            <v>2.39125E-2</v>
          </cell>
          <cell r="AB392">
            <v>2.495E-2</v>
          </cell>
          <cell r="AC392">
            <v>2.6499999999999999E-2</v>
          </cell>
        </row>
        <row r="393">
          <cell r="T393">
            <v>39497</v>
          </cell>
          <cell r="U393">
            <v>2.283E-2</v>
          </cell>
          <cell r="V393">
            <v>2.3650000000000001E-2</v>
          </cell>
          <cell r="W393">
            <v>2.2099999999999998E-2</v>
          </cell>
          <cell r="X393">
            <v>2.1950000000000004E-2</v>
          </cell>
          <cell r="Y393">
            <v>2.2400000000000003E-2</v>
          </cell>
          <cell r="Z393">
            <v>2.3099999999999996E-2</v>
          </cell>
          <cell r="AA393">
            <v>2.3700000000000002E-2</v>
          </cell>
          <cell r="AB393">
            <v>2.5099999999999997E-2</v>
          </cell>
          <cell r="AC393">
            <v>2.6150000000000003E-2</v>
          </cell>
        </row>
        <row r="394">
          <cell r="T394">
            <v>39496</v>
          </cell>
          <cell r="U394">
            <v>2.2919999999999999E-2</v>
          </cell>
          <cell r="V394">
            <v>2.3780000000000003E-2</v>
          </cell>
          <cell r="W394">
            <v>2.215E-2</v>
          </cell>
          <cell r="X394">
            <v>2.1900000000000003E-2</v>
          </cell>
          <cell r="Y394">
            <v>2.2400000000000003E-2</v>
          </cell>
          <cell r="Z394">
            <v>2.3075000000000002E-2</v>
          </cell>
          <cell r="AA394">
            <v>2.3624999999999997E-2</v>
          </cell>
          <cell r="AB394">
            <v>2.46375E-2</v>
          </cell>
          <cell r="AC394">
            <v>2.6200000000000001E-2</v>
          </cell>
        </row>
        <row r="395">
          <cell r="T395">
            <v>39495</v>
          </cell>
          <cell r="U395">
            <v>2.299E-2</v>
          </cell>
          <cell r="V395">
            <v>2.3799999999999998E-2</v>
          </cell>
          <cell r="W395">
            <v>2.2250000000000002E-2</v>
          </cell>
          <cell r="X395">
            <v>2.2000000000000002E-2</v>
          </cell>
          <cell r="Y395">
            <v>2.2499999999999999E-2</v>
          </cell>
          <cell r="Z395">
            <v>2.3200000000000002E-2</v>
          </cell>
          <cell r="AA395">
            <v>2.3700000000000002E-2</v>
          </cell>
          <cell r="AB395">
            <v>2.4749999999999998E-2</v>
          </cell>
          <cell r="AC395">
            <v>2.5949999999999997E-2</v>
          </cell>
        </row>
        <row r="396">
          <cell r="T396">
            <v>39494</v>
          </cell>
          <cell r="U396">
            <v>2.299E-2</v>
          </cell>
          <cell r="V396">
            <v>2.3799999999999998E-2</v>
          </cell>
          <cell r="W396">
            <v>2.2250000000000002E-2</v>
          </cell>
          <cell r="X396">
            <v>2.2000000000000002E-2</v>
          </cell>
          <cell r="Y396">
            <v>2.2499999999999999E-2</v>
          </cell>
          <cell r="Z396">
            <v>2.3200000000000002E-2</v>
          </cell>
          <cell r="AA396">
            <v>2.3700000000000002E-2</v>
          </cell>
          <cell r="AB396">
            <v>2.4749999999999998E-2</v>
          </cell>
          <cell r="AC396">
            <v>2.5949999999999997E-2</v>
          </cell>
        </row>
        <row r="397">
          <cell r="T397">
            <v>39493</v>
          </cell>
          <cell r="U397">
            <v>2.299E-2</v>
          </cell>
          <cell r="V397">
            <v>2.3799999999999998E-2</v>
          </cell>
          <cell r="W397">
            <v>2.2250000000000002E-2</v>
          </cell>
          <cell r="X397">
            <v>2.2000000000000002E-2</v>
          </cell>
          <cell r="Y397">
            <v>2.2499999999999999E-2</v>
          </cell>
          <cell r="Z397">
            <v>2.3200000000000002E-2</v>
          </cell>
          <cell r="AA397">
            <v>2.3700000000000002E-2</v>
          </cell>
          <cell r="AB397">
            <v>2.4749999999999998E-2</v>
          </cell>
          <cell r="AC397">
            <v>2.5949999999999997E-2</v>
          </cell>
        </row>
        <row r="398">
          <cell r="T398">
            <v>39492</v>
          </cell>
          <cell r="U398">
            <v>2.3060000000000001E-2</v>
          </cell>
          <cell r="V398">
            <v>2.3799999999999998E-2</v>
          </cell>
          <cell r="W398">
            <v>2.205E-2</v>
          </cell>
          <cell r="X398">
            <v>2.1950000000000004E-2</v>
          </cell>
          <cell r="Y398">
            <v>2.2300000000000004E-2</v>
          </cell>
          <cell r="Z398">
            <v>2.2949999999999998E-2</v>
          </cell>
          <cell r="AA398">
            <v>2.3349999999999999E-2</v>
          </cell>
          <cell r="AB398">
            <v>2.4400000000000005E-2</v>
          </cell>
          <cell r="AC398">
            <v>2.5699999999999997E-2</v>
          </cell>
        </row>
        <row r="399">
          <cell r="T399">
            <v>39491</v>
          </cell>
          <cell r="U399">
            <v>2.2940000000000002E-2</v>
          </cell>
          <cell r="V399">
            <v>2.3599999999999999E-2</v>
          </cell>
          <cell r="W399">
            <v>2.1850000000000001E-2</v>
          </cell>
          <cell r="X399">
            <v>2.1850000000000001E-2</v>
          </cell>
          <cell r="Y399">
            <v>2.205E-2</v>
          </cell>
          <cell r="Z399">
            <v>2.2499999999999999E-2</v>
          </cell>
          <cell r="AA399">
            <v>2.28375E-2</v>
          </cell>
          <cell r="AB399">
            <v>2.3650000000000001E-2</v>
          </cell>
          <cell r="AC399">
            <v>2.46E-2</v>
          </cell>
        </row>
        <row r="400">
          <cell r="T400">
            <v>39490</v>
          </cell>
          <cell r="U400">
            <v>2.283E-2</v>
          </cell>
          <cell r="V400">
            <v>2.3599999999999999E-2</v>
          </cell>
          <cell r="W400">
            <v>2.1950000000000004E-2</v>
          </cell>
          <cell r="X400">
            <v>2.1900000000000003E-2</v>
          </cell>
          <cell r="Y400">
            <v>2.205E-2</v>
          </cell>
          <cell r="Z400">
            <v>2.2550000000000001E-2</v>
          </cell>
          <cell r="AA400">
            <v>2.2799999999999997E-2</v>
          </cell>
          <cell r="AB400">
            <v>2.3499999999999997E-2</v>
          </cell>
          <cell r="AC400">
            <v>2.4649999999999998E-2</v>
          </cell>
        </row>
        <row r="401">
          <cell r="T401">
            <v>39489</v>
          </cell>
          <cell r="U401">
            <v>2.273E-2</v>
          </cell>
          <cell r="V401">
            <v>2.358E-2</v>
          </cell>
          <cell r="W401">
            <v>2.1899999999999999E-2</v>
          </cell>
          <cell r="X401">
            <v>2.1900000000000003E-2</v>
          </cell>
          <cell r="Y401">
            <v>2.215E-2</v>
          </cell>
          <cell r="Z401">
            <v>2.2599999999999999E-2</v>
          </cell>
          <cell r="AA401">
            <v>2.3049999999999998E-2</v>
          </cell>
          <cell r="AB401">
            <v>2.3700000000000002E-2</v>
          </cell>
          <cell r="AC401">
            <v>2.4924999999999996E-2</v>
          </cell>
        </row>
        <row r="402">
          <cell r="T402">
            <v>39488</v>
          </cell>
          <cell r="U402">
            <v>2.273E-2</v>
          </cell>
          <cell r="V402">
            <v>2.358E-2</v>
          </cell>
          <cell r="W402">
            <v>2.1899999999999999E-2</v>
          </cell>
          <cell r="X402">
            <v>2.1900000000000003E-2</v>
          </cell>
          <cell r="Y402">
            <v>2.215E-2</v>
          </cell>
          <cell r="Z402">
            <v>2.2599999999999999E-2</v>
          </cell>
          <cell r="AA402">
            <v>2.3049999999999998E-2</v>
          </cell>
          <cell r="AB402">
            <v>2.3700000000000002E-2</v>
          </cell>
          <cell r="AC402">
            <v>2.4924999999999996E-2</v>
          </cell>
        </row>
        <row r="403">
          <cell r="T403">
            <v>39487</v>
          </cell>
          <cell r="U403">
            <v>2.273E-2</v>
          </cell>
          <cell r="V403">
            <v>2.358E-2</v>
          </cell>
          <cell r="W403">
            <v>2.1899999999999999E-2</v>
          </cell>
          <cell r="X403">
            <v>2.1900000000000003E-2</v>
          </cell>
          <cell r="Y403">
            <v>2.215E-2</v>
          </cell>
          <cell r="Z403">
            <v>2.2599999999999999E-2</v>
          </cell>
          <cell r="AA403">
            <v>2.3049999999999998E-2</v>
          </cell>
          <cell r="AB403">
            <v>2.3700000000000002E-2</v>
          </cell>
          <cell r="AC403">
            <v>2.4924999999999996E-2</v>
          </cell>
        </row>
        <row r="404">
          <cell r="T404">
            <v>39486</v>
          </cell>
          <cell r="U404">
            <v>2.273E-2</v>
          </cell>
          <cell r="V404">
            <v>2.358E-2</v>
          </cell>
          <cell r="W404">
            <v>2.1899999999999999E-2</v>
          </cell>
          <cell r="X404">
            <v>2.1900000000000003E-2</v>
          </cell>
          <cell r="Y404">
            <v>2.215E-2</v>
          </cell>
          <cell r="Z404">
            <v>2.2599999999999999E-2</v>
          </cell>
          <cell r="AA404">
            <v>2.3049999999999998E-2</v>
          </cell>
          <cell r="AB404">
            <v>2.3700000000000002E-2</v>
          </cell>
          <cell r="AC404">
            <v>2.4924999999999996E-2</v>
          </cell>
        </row>
        <row r="405">
          <cell r="T405">
            <v>39485</v>
          </cell>
          <cell r="U405">
            <v>2.273E-2</v>
          </cell>
          <cell r="V405">
            <v>2.358E-2</v>
          </cell>
          <cell r="W405">
            <v>2.1899999999999999E-2</v>
          </cell>
          <cell r="X405">
            <v>2.1900000000000003E-2</v>
          </cell>
          <cell r="Y405">
            <v>2.215E-2</v>
          </cell>
          <cell r="Z405">
            <v>2.2599999999999999E-2</v>
          </cell>
          <cell r="AA405">
            <v>2.3049999999999998E-2</v>
          </cell>
          <cell r="AB405">
            <v>2.3700000000000002E-2</v>
          </cell>
          <cell r="AC405">
            <v>2.4924999999999996E-2</v>
          </cell>
        </row>
        <row r="406">
          <cell r="T406">
            <v>39484</v>
          </cell>
          <cell r="U406">
            <v>2.2799999999999997E-2</v>
          </cell>
          <cell r="V406">
            <v>2.367E-2</v>
          </cell>
          <cell r="W406">
            <v>2.2250000000000002E-2</v>
          </cell>
          <cell r="X406">
            <v>2.2250000000000002E-2</v>
          </cell>
          <cell r="Y406">
            <v>2.2550000000000001E-2</v>
          </cell>
          <cell r="Z406">
            <v>2.2749999999999999E-2</v>
          </cell>
          <cell r="AA406">
            <v>2.3099999999999999E-2</v>
          </cell>
          <cell r="AB406">
            <v>2.3849999999999996E-2</v>
          </cell>
          <cell r="AC406">
            <v>2.5099999999999997E-2</v>
          </cell>
        </row>
        <row r="407">
          <cell r="T407">
            <v>39483</v>
          </cell>
          <cell r="U407">
            <v>2.2799999999999997E-2</v>
          </cell>
          <cell r="V407">
            <v>2.367E-2</v>
          </cell>
          <cell r="W407">
            <v>2.2250000000000002E-2</v>
          </cell>
          <cell r="X407">
            <v>2.2250000000000002E-2</v>
          </cell>
          <cell r="Y407">
            <v>2.2550000000000001E-2</v>
          </cell>
          <cell r="Z407">
            <v>2.2749999999999999E-2</v>
          </cell>
          <cell r="AA407">
            <v>2.3099999999999999E-2</v>
          </cell>
          <cell r="AB407">
            <v>2.3849999999999996E-2</v>
          </cell>
          <cell r="AC407">
            <v>2.5099999999999997E-2</v>
          </cell>
        </row>
        <row r="408">
          <cell r="T408">
            <v>39482</v>
          </cell>
          <cell r="U408">
            <v>2.2799999999999997E-2</v>
          </cell>
          <cell r="V408">
            <v>2.367E-2</v>
          </cell>
          <cell r="W408">
            <v>2.2250000000000002E-2</v>
          </cell>
          <cell r="X408">
            <v>2.2250000000000002E-2</v>
          </cell>
          <cell r="Y408">
            <v>2.2550000000000001E-2</v>
          </cell>
          <cell r="Z408">
            <v>2.2749999999999999E-2</v>
          </cell>
          <cell r="AA408">
            <v>2.3099999999999999E-2</v>
          </cell>
          <cell r="AB408">
            <v>2.3849999999999996E-2</v>
          </cell>
          <cell r="AC408">
            <v>2.5099999999999997E-2</v>
          </cell>
        </row>
        <row r="409">
          <cell r="T409">
            <v>39481</v>
          </cell>
          <cell r="U409">
            <v>2.2799999999999997E-2</v>
          </cell>
          <cell r="V409">
            <v>2.367E-2</v>
          </cell>
          <cell r="W409">
            <v>2.2250000000000002E-2</v>
          </cell>
          <cell r="X409">
            <v>2.2250000000000002E-2</v>
          </cell>
          <cell r="Y409">
            <v>2.2550000000000001E-2</v>
          </cell>
          <cell r="Z409">
            <v>2.2749999999999999E-2</v>
          </cell>
          <cell r="AA409">
            <v>2.3099999999999999E-2</v>
          </cell>
          <cell r="AB409">
            <v>2.3849999999999996E-2</v>
          </cell>
          <cell r="AC409">
            <v>2.5099999999999997E-2</v>
          </cell>
        </row>
        <row r="410">
          <cell r="T410">
            <v>39480</v>
          </cell>
          <cell r="U410">
            <v>2.2799999999999997E-2</v>
          </cell>
          <cell r="V410">
            <v>2.367E-2</v>
          </cell>
          <cell r="W410">
            <v>2.2250000000000002E-2</v>
          </cell>
          <cell r="X410">
            <v>2.2250000000000002E-2</v>
          </cell>
          <cell r="Y410">
            <v>2.2550000000000001E-2</v>
          </cell>
          <cell r="Z410">
            <v>2.2749999999999999E-2</v>
          </cell>
          <cell r="AA410">
            <v>2.3099999999999999E-2</v>
          </cell>
          <cell r="AB410">
            <v>2.3849999999999996E-2</v>
          </cell>
          <cell r="AC410">
            <v>2.5099999999999997E-2</v>
          </cell>
        </row>
        <row r="411">
          <cell r="T411">
            <v>39479</v>
          </cell>
          <cell r="U411">
            <v>2.2799999999999997E-2</v>
          </cell>
          <cell r="V411">
            <v>2.367E-2</v>
          </cell>
          <cell r="W411">
            <v>2.2250000000000002E-2</v>
          </cell>
          <cell r="X411">
            <v>2.2250000000000002E-2</v>
          </cell>
          <cell r="Y411">
            <v>2.2550000000000001E-2</v>
          </cell>
          <cell r="Z411">
            <v>2.2749999999999999E-2</v>
          </cell>
          <cell r="AA411">
            <v>2.3099999999999999E-2</v>
          </cell>
          <cell r="AB411">
            <v>2.3849999999999996E-2</v>
          </cell>
          <cell r="AC411">
            <v>2.5099999999999997E-2</v>
          </cell>
        </row>
        <row r="412">
          <cell r="T412">
            <v>39478</v>
          </cell>
          <cell r="U412">
            <v>2.2669999999999999E-2</v>
          </cell>
          <cell r="V412">
            <v>2.3530000000000002E-2</v>
          </cell>
          <cell r="W412">
            <v>2.2099999999999998E-2</v>
          </cell>
          <cell r="X412">
            <v>2.215E-2</v>
          </cell>
          <cell r="Y412">
            <v>2.2550000000000001E-2</v>
          </cell>
          <cell r="Z412">
            <v>2.2800000000000001E-2</v>
          </cell>
          <cell r="AA412">
            <v>2.3125E-2</v>
          </cell>
          <cell r="AB412">
            <v>2.3949999999999999E-2</v>
          </cell>
          <cell r="AC412">
            <v>2.5049999999999999E-2</v>
          </cell>
        </row>
        <row r="413">
          <cell r="T413">
            <v>39477</v>
          </cell>
          <cell r="U413">
            <v>2.2669999999999999E-2</v>
          </cell>
          <cell r="V413">
            <v>2.3550000000000001E-2</v>
          </cell>
          <cell r="W413">
            <v>2.2300000000000004E-2</v>
          </cell>
          <cell r="X413">
            <v>2.2400000000000003E-2</v>
          </cell>
          <cell r="Y413">
            <v>2.2699999999999994E-2</v>
          </cell>
          <cell r="Z413">
            <v>2.29E-2</v>
          </cell>
          <cell r="AA413">
            <v>2.3349999999999999E-2</v>
          </cell>
          <cell r="AB413">
            <v>2.4150000000000001E-2</v>
          </cell>
          <cell r="AC413">
            <v>2.5149999999999995E-2</v>
          </cell>
        </row>
        <row r="414">
          <cell r="T414">
            <v>39476</v>
          </cell>
          <cell r="U414">
            <v>2.2620000000000001E-2</v>
          </cell>
          <cell r="V414">
            <v>2.3599999999999999E-2</v>
          </cell>
          <cell r="W414">
            <v>2.2099999999999998E-2</v>
          </cell>
          <cell r="X414">
            <v>2.2099999999999998E-2</v>
          </cell>
          <cell r="Y414">
            <v>2.2450000000000001E-2</v>
          </cell>
          <cell r="Z414">
            <v>2.2649999999999997E-2</v>
          </cell>
          <cell r="AA414">
            <v>2.2949999999999998E-2</v>
          </cell>
          <cell r="AB414">
            <v>2.375E-2</v>
          </cell>
          <cell r="AC414">
            <v>2.4874999999999998E-2</v>
          </cell>
        </row>
        <row r="415">
          <cell r="T415">
            <v>39475</v>
          </cell>
          <cell r="U415">
            <v>2.2700000000000001E-2</v>
          </cell>
          <cell r="V415">
            <v>2.3479999999999997E-2</v>
          </cell>
          <cell r="W415">
            <v>2.205E-2</v>
          </cell>
          <cell r="X415">
            <v>2.215E-2</v>
          </cell>
          <cell r="Y415">
            <v>2.2400000000000003E-2</v>
          </cell>
          <cell r="Z415">
            <v>2.2599999999999999E-2</v>
          </cell>
          <cell r="AA415">
            <v>2.2949999999999998E-2</v>
          </cell>
          <cell r="AB415">
            <v>2.3650000000000001E-2</v>
          </cell>
          <cell r="AC415">
            <v>2.4874999999999998E-2</v>
          </cell>
        </row>
        <row r="416">
          <cell r="T416">
            <v>39474</v>
          </cell>
          <cell r="U416">
            <v>2.2700000000000001E-2</v>
          </cell>
          <cell r="V416">
            <v>2.35E-2</v>
          </cell>
          <cell r="W416">
            <v>2.2250000000000002E-2</v>
          </cell>
          <cell r="X416">
            <v>2.2499999999999999E-2</v>
          </cell>
          <cell r="Y416">
            <v>2.2649999999999997E-2</v>
          </cell>
          <cell r="Z416">
            <v>2.3E-2</v>
          </cell>
          <cell r="AA416">
            <v>2.3349999999999999E-2</v>
          </cell>
          <cell r="AB416">
            <v>2.4150000000000001E-2</v>
          </cell>
          <cell r="AC416">
            <v>2.5274999999999999E-2</v>
          </cell>
        </row>
        <row r="417">
          <cell r="T417">
            <v>39473</v>
          </cell>
          <cell r="U417">
            <v>2.2700000000000001E-2</v>
          </cell>
          <cell r="V417">
            <v>2.35E-2</v>
          </cell>
          <cell r="W417">
            <v>2.2250000000000002E-2</v>
          </cell>
          <cell r="X417">
            <v>2.2499999999999999E-2</v>
          </cell>
          <cell r="Y417">
            <v>2.2649999999999997E-2</v>
          </cell>
          <cell r="Z417">
            <v>2.3E-2</v>
          </cell>
          <cell r="AA417">
            <v>2.3349999999999999E-2</v>
          </cell>
          <cell r="AB417">
            <v>2.4150000000000001E-2</v>
          </cell>
          <cell r="AC417">
            <v>2.5274999999999999E-2</v>
          </cell>
        </row>
        <row r="418">
          <cell r="T418">
            <v>39472</v>
          </cell>
          <cell r="U418">
            <v>2.2700000000000001E-2</v>
          </cell>
          <cell r="V418">
            <v>2.35E-2</v>
          </cell>
          <cell r="W418">
            <v>2.2250000000000002E-2</v>
          </cell>
          <cell r="X418">
            <v>2.2499999999999999E-2</v>
          </cell>
          <cell r="Y418">
            <v>2.2649999999999997E-2</v>
          </cell>
          <cell r="Z418">
            <v>2.3E-2</v>
          </cell>
          <cell r="AA418">
            <v>2.3349999999999999E-2</v>
          </cell>
          <cell r="AB418">
            <v>2.4150000000000001E-2</v>
          </cell>
          <cell r="AC418">
            <v>2.5274999999999999E-2</v>
          </cell>
        </row>
        <row r="419">
          <cell r="T419">
            <v>39471</v>
          </cell>
          <cell r="U419">
            <v>2.2869999999999998E-2</v>
          </cell>
          <cell r="V419">
            <v>2.3620000000000002E-2</v>
          </cell>
          <cell r="W419">
            <v>2.205E-2</v>
          </cell>
          <cell r="X419">
            <v>2.215E-2</v>
          </cell>
          <cell r="Y419">
            <v>2.2550000000000001E-2</v>
          </cell>
          <cell r="Z419">
            <v>2.2700000000000001E-2</v>
          </cell>
          <cell r="AA419">
            <v>2.3025000000000004E-2</v>
          </cell>
          <cell r="AB419">
            <v>2.3949999999999999E-2</v>
          </cell>
          <cell r="AC419">
            <v>2.5024999999999999E-2</v>
          </cell>
        </row>
        <row r="420">
          <cell r="T420">
            <v>39470</v>
          </cell>
          <cell r="U420">
            <v>2.2799999999999997E-2</v>
          </cell>
          <cell r="V420">
            <v>2.3620000000000002E-2</v>
          </cell>
          <cell r="W420">
            <v>2.1700000000000001E-2</v>
          </cell>
          <cell r="X420">
            <v>2.1900000000000003E-2</v>
          </cell>
          <cell r="Y420">
            <v>2.2000000000000002E-2</v>
          </cell>
          <cell r="Z420">
            <v>2.2450000000000001E-2</v>
          </cell>
          <cell r="AA420">
            <v>2.2699999999999994E-2</v>
          </cell>
          <cell r="AB420">
            <v>2.3399999999999997E-2</v>
          </cell>
          <cell r="AC420">
            <v>2.4150000000000001E-2</v>
          </cell>
        </row>
        <row r="421">
          <cell r="T421">
            <v>39469</v>
          </cell>
          <cell r="U421">
            <v>2.283E-2</v>
          </cell>
          <cell r="V421">
            <v>2.359E-2</v>
          </cell>
          <cell r="W421">
            <v>2.2850000000000002E-2</v>
          </cell>
          <cell r="X421">
            <v>2.3049999999999998E-2</v>
          </cell>
          <cell r="Y421">
            <v>2.3250000000000003E-2</v>
          </cell>
          <cell r="Z421">
            <v>2.375E-2</v>
          </cell>
          <cell r="AA421">
            <v>2.435E-2</v>
          </cell>
          <cell r="AB421">
            <v>2.5225000000000001E-2</v>
          </cell>
          <cell r="AC421">
            <v>2.6000000000000002E-2</v>
          </cell>
        </row>
        <row r="422">
          <cell r="T422">
            <v>39468</v>
          </cell>
          <cell r="U422">
            <v>2.2780000000000002E-2</v>
          </cell>
          <cell r="V422">
            <v>2.359E-2</v>
          </cell>
          <cell r="W422">
            <v>2.3300000000000001E-2</v>
          </cell>
          <cell r="X422">
            <v>2.3399999999999997E-2</v>
          </cell>
          <cell r="Y422">
            <v>2.3724999999999996E-2</v>
          </cell>
          <cell r="Z422">
            <v>2.4199999999999999E-2</v>
          </cell>
          <cell r="AA422">
            <v>2.4775000000000002E-2</v>
          </cell>
          <cell r="AB422">
            <v>2.5575000000000001E-2</v>
          </cell>
          <cell r="AC422">
            <v>2.6399999999999996E-2</v>
          </cell>
        </row>
        <row r="423">
          <cell r="T423">
            <v>39467</v>
          </cell>
          <cell r="U423">
            <v>2.281E-2</v>
          </cell>
          <cell r="V423">
            <v>2.359E-2</v>
          </cell>
          <cell r="W423">
            <v>2.3099999999999999E-2</v>
          </cell>
          <cell r="X423">
            <v>2.3399999999999997E-2</v>
          </cell>
          <cell r="Y423">
            <v>2.375E-2</v>
          </cell>
          <cell r="Z423">
            <v>2.4150000000000001E-2</v>
          </cell>
          <cell r="AA423">
            <v>2.4649999999999998E-2</v>
          </cell>
          <cell r="AB423">
            <v>2.54875E-2</v>
          </cell>
          <cell r="AC423">
            <v>2.63E-2</v>
          </cell>
        </row>
        <row r="424">
          <cell r="T424">
            <v>39466</v>
          </cell>
          <cell r="U424">
            <v>2.281E-2</v>
          </cell>
          <cell r="V424">
            <v>2.359E-2</v>
          </cell>
          <cell r="W424">
            <v>2.3099999999999999E-2</v>
          </cell>
          <cell r="X424">
            <v>2.3399999999999997E-2</v>
          </cell>
          <cell r="Y424">
            <v>2.375E-2</v>
          </cell>
          <cell r="Z424">
            <v>2.4150000000000001E-2</v>
          </cell>
          <cell r="AA424">
            <v>2.4649999999999998E-2</v>
          </cell>
          <cell r="AB424">
            <v>2.54875E-2</v>
          </cell>
          <cell r="AC424">
            <v>2.63E-2</v>
          </cell>
        </row>
        <row r="425">
          <cell r="T425">
            <v>39465</v>
          </cell>
          <cell r="U425">
            <v>2.281E-2</v>
          </cell>
          <cell r="V425">
            <v>2.359E-2</v>
          </cell>
          <cell r="W425">
            <v>2.3099999999999999E-2</v>
          </cell>
          <cell r="X425">
            <v>2.3399999999999997E-2</v>
          </cell>
          <cell r="Y425">
            <v>2.375E-2</v>
          </cell>
          <cell r="Z425">
            <v>2.4150000000000001E-2</v>
          </cell>
          <cell r="AA425">
            <v>2.4649999999999998E-2</v>
          </cell>
          <cell r="AB425">
            <v>2.54875E-2</v>
          </cell>
          <cell r="AC425">
            <v>2.63E-2</v>
          </cell>
        </row>
        <row r="426">
          <cell r="T426">
            <v>39464</v>
          </cell>
          <cell r="U426">
            <v>2.281E-2</v>
          </cell>
          <cell r="V426">
            <v>2.359E-2</v>
          </cell>
          <cell r="W426">
            <v>2.3449999999999999E-2</v>
          </cell>
          <cell r="X426">
            <v>2.3574999999999999E-2</v>
          </cell>
          <cell r="Y426">
            <v>2.3775000000000001E-2</v>
          </cell>
          <cell r="Z426">
            <v>2.4299999999999999E-2</v>
          </cell>
          <cell r="AA426">
            <v>2.4800000000000003E-2</v>
          </cell>
          <cell r="AB426">
            <v>2.5599999999999998E-2</v>
          </cell>
          <cell r="AC426">
            <v>2.6550000000000004E-2</v>
          </cell>
        </row>
        <row r="427">
          <cell r="T427">
            <v>39463</v>
          </cell>
          <cell r="U427">
            <v>2.265E-2</v>
          </cell>
          <cell r="V427">
            <v>2.359E-2</v>
          </cell>
          <cell r="W427">
            <v>2.3650000000000001E-2</v>
          </cell>
          <cell r="X427">
            <v>2.3849999999999996E-2</v>
          </cell>
          <cell r="Y427">
            <v>2.4050000000000002E-2</v>
          </cell>
          <cell r="Z427">
            <v>2.4500000000000001E-2</v>
          </cell>
          <cell r="AA427">
            <v>2.5099999999999997E-2</v>
          </cell>
          <cell r="AB427">
            <v>2.5949999999999997E-2</v>
          </cell>
          <cell r="AC427">
            <v>2.6624999999999996E-2</v>
          </cell>
        </row>
        <row r="428">
          <cell r="T428">
            <v>39462</v>
          </cell>
          <cell r="U428">
            <v>2.281E-2</v>
          </cell>
          <cell r="V428">
            <v>2.376E-2</v>
          </cell>
          <cell r="W428">
            <v>2.3600000000000003E-2</v>
          </cell>
          <cell r="X428">
            <v>2.3799999999999998E-2</v>
          </cell>
          <cell r="Y428">
            <v>2.3975E-2</v>
          </cell>
          <cell r="Z428">
            <v>2.4400000000000005E-2</v>
          </cell>
          <cell r="AA428">
            <v>2.495E-2</v>
          </cell>
          <cell r="AB428">
            <v>2.58E-2</v>
          </cell>
          <cell r="AC428">
            <v>2.6525E-2</v>
          </cell>
        </row>
        <row r="429">
          <cell r="T429">
            <v>39461</v>
          </cell>
          <cell r="U429">
            <v>2.283E-2</v>
          </cell>
          <cell r="V429">
            <v>2.375E-2</v>
          </cell>
          <cell r="W429">
            <v>2.3600000000000003E-2</v>
          </cell>
          <cell r="X429">
            <v>2.3799999999999998E-2</v>
          </cell>
          <cell r="Y429">
            <v>2.4000000000000004E-2</v>
          </cell>
          <cell r="Z429">
            <v>2.4450000000000003E-2</v>
          </cell>
          <cell r="AA429">
            <v>2.5000000000000001E-2</v>
          </cell>
          <cell r="AB429">
            <v>2.5750000000000002E-2</v>
          </cell>
          <cell r="AC429">
            <v>2.6550000000000004E-2</v>
          </cell>
        </row>
        <row r="430">
          <cell r="T430">
            <v>39460</v>
          </cell>
          <cell r="U430">
            <v>2.2890000000000001E-2</v>
          </cell>
          <cell r="V430">
            <v>2.3719999999999998E-2</v>
          </cell>
          <cell r="W430">
            <v>2.3600000000000003E-2</v>
          </cell>
          <cell r="X430">
            <v>2.3799999999999998E-2</v>
          </cell>
          <cell r="Y430">
            <v>2.3925000000000002E-2</v>
          </cell>
          <cell r="Z430">
            <v>2.4500000000000001E-2</v>
          </cell>
          <cell r="AA430">
            <v>2.4900000000000002E-2</v>
          </cell>
          <cell r="AB430">
            <v>2.5750000000000002E-2</v>
          </cell>
          <cell r="AC430">
            <v>2.6699999999999998E-2</v>
          </cell>
        </row>
        <row r="431">
          <cell r="T431">
            <v>39459</v>
          </cell>
          <cell r="U431">
            <v>2.2890000000000001E-2</v>
          </cell>
          <cell r="V431">
            <v>2.3719999999999998E-2</v>
          </cell>
          <cell r="W431">
            <v>2.3600000000000003E-2</v>
          </cell>
          <cell r="X431">
            <v>2.3799999999999998E-2</v>
          </cell>
          <cell r="Y431">
            <v>2.3925000000000002E-2</v>
          </cell>
          <cell r="Z431">
            <v>2.4500000000000001E-2</v>
          </cell>
          <cell r="AA431">
            <v>2.4900000000000002E-2</v>
          </cell>
          <cell r="AB431">
            <v>2.5750000000000002E-2</v>
          </cell>
          <cell r="AC431">
            <v>2.6699999999999998E-2</v>
          </cell>
        </row>
        <row r="432">
          <cell r="T432">
            <v>39458</v>
          </cell>
          <cell r="U432">
            <v>2.2890000000000001E-2</v>
          </cell>
          <cell r="V432">
            <v>2.3719999999999998E-2</v>
          </cell>
          <cell r="W432">
            <v>2.3600000000000003E-2</v>
          </cell>
          <cell r="X432">
            <v>2.3799999999999998E-2</v>
          </cell>
          <cell r="Y432">
            <v>2.3925000000000002E-2</v>
          </cell>
          <cell r="Z432">
            <v>2.4500000000000001E-2</v>
          </cell>
          <cell r="AA432">
            <v>2.4900000000000002E-2</v>
          </cell>
          <cell r="AB432">
            <v>2.5750000000000002E-2</v>
          </cell>
          <cell r="AC432">
            <v>2.6699999999999998E-2</v>
          </cell>
        </row>
        <row r="433">
          <cell r="T433">
            <v>39457</v>
          </cell>
          <cell r="U433">
            <v>2.2780000000000002E-2</v>
          </cell>
          <cell r="V433">
            <v>2.3900000000000001E-2</v>
          </cell>
          <cell r="W433">
            <v>2.3700000000000002E-2</v>
          </cell>
          <cell r="X433">
            <v>2.4000000000000004E-2</v>
          </cell>
          <cell r="Y433">
            <v>2.4249999999999997E-2</v>
          </cell>
          <cell r="Z433">
            <v>2.4900000000000002E-2</v>
          </cell>
          <cell r="AA433">
            <v>2.5399999999999999E-2</v>
          </cell>
          <cell r="AB433">
            <v>2.63E-2</v>
          </cell>
          <cell r="AC433">
            <v>2.7099999999999999E-2</v>
          </cell>
        </row>
        <row r="434">
          <cell r="T434">
            <v>39456</v>
          </cell>
          <cell r="U434">
            <v>2.2839999999999999E-2</v>
          </cell>
          <cell r="V434">
            <v>2.3869999999999999E-2</v>
          </cell>
          <cell r="W434">
            <v>2.3799999999999998E-2</v>
          </cell>
          <cell r="X434">
            <v>2.4000000000000004E-2</v>
          </cell>
          <cell r="Y434">
            <v>2.4400000000000005E-2</v>
          </cell>
          <cell r="Z434">
            <v>2.4900000000000002E-2</v>
          </cell>
          <cell r="AA434">
            <v>2.5499999999999998E-2</v>
          </cell>
          <cell r="AB434">
            <v>2.6349999999999998E-2</v>
          </cell>
          <cell r="AC434">
            <v>2.7149999999999997E-2</v>
          </cell>
        </row>
        <row r="435">
          <cell r="T435">
            <v>39455</v>
          </cell>
          <cell r="U435">
            <v>2.2949999999999998E-2</v>
          </cell>
          <cell r="V435">
            <v>2.384E-2</v>
          </cell>
          <cell r="W435">
            <v>2.375E-2</v>
          </cell>
          <cell r="X435">
            <v>2.4000000000000004E-2</v>
          </cell>
          <cell r="Y435">
            <v>2.4299999999999999E-2</v>
          </cell>
          <cell r="Z435">
            <v>2.4800000000000003E-2</v>
          </cell>
          <cell r="AA435">
            <v>2.5350000000000001E-2</v>
          </cell>
          <cell r="AB435">
            <v>2.6150000000000003E-2</v>
          </cell>
          <cell r="AC435">
            <v>2.6950000000000002E-2</v>
          </cell>
        </row>
        <row r="436">
          <cell r="T436">
            <v>39454</v>
          </cell>
          <cell r="U436">
            <v>2.274E-2</v>
          </cell>
          <cell r="V436">
            <v>2.3730000000000001E-2</v>
          </cell>
          <cell r="W436">
            <v>2.3700000000000002E-2</v>
          </cell>
          <cell r="X436">
            <v>2.3949999999999999E-2</v>
          </cell>
          <cell r="Y436">
            <v>2.4300000000000002E-2</v>
          </cell>
          <cell r="Z436">
            <v>2.4750000000000001E-2</v>
          </cell>
          <cell r="AA436">
            <v>2.53E-2</v>
          </cell>
          <cell r="AB436">
            <v>2.6150000000000003E-2</v>
          </cell>
          <cell r="AC436">
            <v>2.6900000000000004E-2</v>
          </cell>
        </row>
        <row r="437">
          <cell r="T437">
            <v>39453</v>
          </cell>
          <cell r="U437">
            <v>2.2719999999999997E-2</v>
          </cell>
          <cell r="V437">
            <v>2.3730000000000001E-2</v>
          </cell>
          <cell r="W437">
            <v>2.3700000000000002E-2</v>
          </cell>
          <cell r="X437">
            <v>2.4000000000000004E-2</v>
          </cell>
          <cell r="Y437">
            <v>2.435E-2</v>
          </cell>
          <cell r="Z437">
            <v>2.4850000000000004E-2</v>
          </cell>
          <cell r="AA437">
            <v>2.5350000000000001E-2</v>
          </cell>
          <cell r="AB437">
            <v>2.6249999999999999E-2</v>
          </cell>
          <cell r="AC437">
            <v>2.7000000000000003E-2</v>
          </cell>
        </row>
        <row r="438">
          <cell r="T438">
            <v>39452</v>
          </cell>
          <cell r="U438">
            <v>2.2719999999999997E-2</v>
          </cell>
          <cell r="V438">
            <v>2.3730000000000001E-2</v>
          </cell>
          <cell r="W438">
            <v>2.3700000000000002E-2</v>
          </cell>
          <cell r="X438">
            <v>2.4000000000000004E-2</v>
          </cell>
          <cell r="Y438">
            <v>2.435E-2</v>
          </cell>
          <cell r="Z438">
            <v>2.4850000000000004E-2</v>
          </cell>
          <cell r="AA438">
            <v>2.5350000000000001E-2</v>
          </cell>
          <cell r="AB438">
            <v>2.6249999999999999E-2</v>
          </cell>
          <cell r="AC438">
            <v>2.7000000000000003E-2</v>
          </cell>
        </row>
        <row r="439">
          <cell r="T439">
            <v>39451</v>
          </cell>
          <cell r="U439">
            <v>2.2719999999999997E-2</v>
          </cell>
          <cell r="V439">
            <v>2.3730000000000001E-2</v>
          </cell>
          <cell r="W439">
            <v>2.3700000000000002E-2</v>
          </cell>
          <cell r="X439">
            <v>2.4000000000000004E-2</v>
          </cell>
          <cell r="Y439">
            <v>2.435E-2</v>
          </cell>
          <cell r="Z439">
            <v>2.4850000000000004E-2</v>
          </cell>
          <cell r="AA439">
            <v>2.5350000000000001E-2</v>
          </cell>
          <cell r="AB439">
            <v>2.6249999999999999E-2</v>
          </cell>
          <cell r="AC439">
            <v>2.7000000000000003E-2</v>
          </cell>
        </row>
        <row r="440">
          <cell r="T440">
            <v>39450</v>
          </cell>
          <cell r="U440">
            <v>2.2579999999999999E-2</v>
          </cell>
          <cell r="V440">
            <v>2.3730000000000001E-2</v>
          </cell>
          <cell r="W440">
            <v>2.375E-2</v>
          </cell>
          <cell r="X440">
            <v>2.3949999999999999E-2</v>
          </cell>
          <cell r="Y440">
            <v>2.4225000000000003E-2</v>
          </cell>
          <cell r="Z440">
            <v>2.4649999999999998E-2</v>
          </cell>
          <cell r="AA440">
            <v>2.5099999999999997E-2</v>
          </cell>
          <cell r="AB440">
            <v>2.5899999999999999E-2</v>
          </cell>
          <cell r="AC440">
            <v>2.6399999999999996E-2</v>
          </cell>
        </row>
        <row r="441">
          <cell r="T441">
            <v>39449</v>
          </cell>
          <cell r="U441">
            <v>2.2719999999999997E-2</v>
          </cell>
          <cell r="V441">
            <v>2.3730000000000001E-2</v>
          </cell>
          <cell r="W441">
            <v>2.3799999999999998E-2</v>
          </cell>
          <cell r="X441">
            <v>2.4E-2</v>
          </cell>
          <cell r="Y441">
            <v>2.4399999999999998E-2</v>
          </cell>
          <cell r="Z441">
            <v>2.4800000000000003E-2</v>
          </cell>
          <cell r="AA441">
            <v>2.5300000000000003E-2</v>
          </cell>
          <cell r="AB441">
            <v>2.6099999999999998E-2</v>
          </cell>
          <cell r="AC441">
            <v>2.6799999999999997E-2</v>
          </cell>
        </row>
        <row r="442">
          <cell r="T442">
            <v>39448</v>
          </cell>
          <cell r="U442">
            <v>2.283E-2</v>
          </cell>
          <cell r="V442">
            <v>2.384E-2</v>
          </cell>
          <cell r="W442">
            <v>2.3799999999999998E-2</v>
          </cell>
          <cell r="X442">
            <v>2.4E-2</v>
          </cell>
          <cell r="Y442">
            <v>2.4399999999999998E-2</v>
          </cell>
          <cell r="Z442">
            <v>2.5000000000000001E-2</v>
          </cell>
          <cell r="AA442">
            <v>2.5350000000000001E-2</v>
          </cell>
          <cell r="AB442">
            <v>2.6150000000000003E-2</v>
          </cell>
          <cell r="AC442">
            <v>2.6849999999999999E-2</v>
          </cell>
        </row>
        <row r="443">
          <cell r="T443">
            <v>39447</v>
          </cell>
          <cell r="U443">
            <v>2.283E-2</v>
          </cell>
          <cell r="V443">
            <v>2.384E-2</v>
          </cell>
          <cell r="W443">
            <v>2.3799999999999998E-2</v>
          </cell>
          <cell r="X443">
            <v>2.4E-2</v>
          </cell>
          <cell r="Y443">
            <v>2.4399999999999998E-2</v>
          </cell>
          <cell r="Z443">
            <v>2.5000000000000001E-2</v>
          </cell>
          <cell r="AA443">
            <v>2.5350000000000001E-2</v>
          </cell>
          <cell r="AB443">
            <v>2.6150000000000003E-2</v>
          </cell>
          <cell r="AC443">
            <v>2.6849999999999999E-2</v>
          </cell>
        </row>
        <row r="444">
          <cell r="T444">
            <v>39446</v>
          </cell>
          <cell r="U444">
            <v>2.2759999999999999E-2</v>
          </cell>
          <cell r="V444">
            <v>2.3690000000000003E-2</v>
          </cell>
          <cell r="W444">
            <v>2.3849999999999996E-2</v>
          </cell>
          <cell r="X444">
            <v>2.4050000000000002E-2</v>
          </cell>
          <cell r="Y444">
            <v>2.4500000000000001E-2</v>
          </cell>
          <cell r="Z444">
            <v>2.5000000000000001E-2</v>
          </cell>
          <cell r="AA444">
            <v>2.5499999999999998E-2</v>
          </cell>
          <cell r="AB444">
            <v>2.6150000000000003E-2</v>
          </cell>
          <cell r="AC444">
            <v>2.7050000000000001E-2</v>
          </cell>
        </row>
        <row r="445">
          <cell r="T445">
            <v>39445</v>
          </cell>
          <cell r="U445">
            <v>2.2759999999999999E-2</v>
          </cell>
          <cell r="V445">
            <v>2.3690000000000003E-2</v>
          </cell>
          <cell r="W445">
            <v>2.3849999999999996E-2</v>
          </cell>
          <cell r="X445">
            <v>2.4050000000000002E-2</v>
          </cell>
          <cell r="Y445">
            <v>2.4500000000000001E-2</v>
          </cell>
          <cell r="Z445">
            <v>2.5000000000000001E-2</v>
          </cell>
          <cell r="AA445">
            <v>2.5499999999999998E-2</v>
          </cell>
          <cell r="AB445">
            <v>2.6150000000000003E-2</v>
          </cell>
          <cell r="AC445">
            <v>2.7050000000000001E-2</v>
          </cell>
        </row>
        <row r="446">
          <cell r="T446">
            <v>39444</v>
          </cell>
          <cell r="U446">
            <v>2.2759999999999999E-2</v>
          </cell>
          <cell r="V446">
            <v>2.3690000000000003E-2</v>
          </cell>
          <cell r="W446">
            <v>2.3849999999999996E-2</v>
          </cell>
          <cell r="X446">
            <v>2.4050000000000002E-2</v>
          </cell>
          <cell r="Y446">
            <v>2.4500000000000001E-2</v>
          </cell>
          <cell r="Z446">
            <v>2.5000000000000001E-2</v>
          </cell>
          <cell r="AA446">
            <v>2.5499999999999998E-2</v>
          </cell>
          <cell r="AB446">
            <v>2.6150000000000003E-2</v>
          </cell>
          <cell r="AC446">
            <v>2.7050000000000001E-2</v>
          </cell>
        </row>
        <row r="447">
          <cell r="T447">
            <v>39443</v>
          </cell>
          <cell r="U447">
            <v>2.283E-2</v>
          </cell>
          <cell r="V447">
            <v>2.3719999999999998E-2</v>
          </cell>
          <cell r="W447">
            <v>2.375E-2</v>
          </cell>
          <cell r="X447">
            <v>2.4150000000000001E-2</v>
          </cell>
          <cell r="Y447">
            <v>2.4400000000000005E-2</v>
          </cell>
          <cell r="Z447">
            <v>2.495E-2</v>
          </cell>
          <cell r="AA447">
            <v>2.5350000000000001E-2</v>
          </cell>
          <cell r="AB447">
            <v>2.6150000000000003E-2</v>
          </cell>
          <cell r="AC447">
            <v>2.69E-2</v>
          </cell>
        </row>
        <row r="448">
          <cell r="T448">
            <v>39442</v>
          </cell>
          <cell r="U448">
            <v>2.2690000000000002E-2</v>
          </cell>
          <cell r="V448">
            <v>2.3700000000000002E-2</v>
          </cell>
          <cell r="W448">
            <v>2.3700000000000002E-2</v>
          </cell>
          <cell r="X448">
            <v>2.41E-2</v>
          </cell>
          <cell r="Y448">
            <v>2.435E-2</v>
          </cell>
          <cell r="Z448">
            <v>2.4850000000000004E-2</v>
          </cell>
          <cell r="AA448">
            <v>2.5300000000000003E-2</v>
          </cell>
          <cell r="AB448">
            <v>2.605E-2</v>
          </cell>
          <cell r="AC448">
            <v>2.6749999999999999E-2</v>
          </cell>
        </row>
        <row r="449">
          <cell r="T449">
            <v>39441</v>
          </cell>
          <cell r="U449">
            <v>2.2709999999999998E-2</v>
          </cell>
          <cell r="V449">
            <v>2.3700000000000002E-2</v>
          </cell>
          <cell r="W449">
            <v>2.3600000000000003E-2</v>
          </cell>
          <cell r="X449">
            <v>2.4E-2</v>
          </cell>
          <cell r="Y449">
            <v>2.445E-2</v>
          </cell>
          <cell r="Z449">
            <v>2.4900000000000002E-2</v>
          </cell>
          <cell r="AA449">
            <v>2.5399999999999999E-2</v>
          </cell>
          <cell r="AB449">
            <v>2.6150000000000003E-2</v>
          </cell>
          <cell r="AC449">
            <v>2.7000000000000003E-2</v>
          </cell>
        </row>
        <row r="450">
          <cell r="T450">
            <v>39440</v>
          </cell>
          <cell r="U450">
            <v>2.2709999999999998E-2</v>
          </cell>
          <cell r="V450">
            <v>2.358E-2</v>
          </cell>
          <cell r="W450">
            <v>2.3550000000000001E-2</v>
          </cell>
          <cell r="X450">
            <v>2.3799999999999998E-2</v>
          </cell>
          <cell r="Y450">
            <v>2.41E-2</v>
          </cell>
          <cell r="Z450">
            <v>2.4550000000000002E-2</v>
          </cell>
          <cell r="AA450">
            <v>2.5049999999999999E-2</v>
          </cell>
          <cell r="AB450">
            <v>2.5849999999999998E-2</v>
          </cell>
          <cell r="AC450">
            <v>2.6499999999999999E-2</v>
          </cell>
        </row>
        <row r="451">
          <cell r="T451">
            <v>39439</v>
          </cell>
          <cell r="U451">
            <v>2.2599999999999999E-2</v>
          </cell>
          <cell r="V451">
            <v>2.3530000000000002E-2</v>
          </cell>
          <cell r="W451">
            <v>2.3550000000000001E-2</v>
          </cell>
          <cell r="X451">
            <v>2.3724999999999996E-2</v>
          </cell>
          <cell r="Y451">
            <v>2.4E-2</v>
          </cell>
          <cell r="Z451">
            <v>2.4399999999999998E-2</v>
          </cell>
          <cell r="AA451">
            <v>2.4850000000000004E-2</v>
          </cell>
          <cell r="AB451">
            <v>2.5649999999999999E-2</v>
          </cell>
          <cell r="AC451">
            <v>2.6200000000000001E-2</v>
          </cell>
        </row>
        <row r="452">
          <cell r="T452">
            <v>39438</v>
          </cell>
          <cell r="U452">
            <v>2.2599999999999999E-2</v>
          </cell>
          <cell r="V452">
            <v>2.3530000000000002E-2</v>
          </cell>
          <cell r="W452">
            <v>2.3550000000000001E-2</v>
          </cell>
          <cell r="X452">
            <v>2.3724999999999996E-2</v>
          </cell>
          <cell r="Y452">
            <v>2.4E-2</v>
          </cell>
          <cell r="Z452">
            <v>2.4399999999999998E-2</v>
          </cell>
          <cell r="AA452">
            <v>2.4850000000000004E-2</v>
          </cell>
          <cell r="AB452">
            <v>2.5649999999999999E-2</v>
          </cell>
          <cell r="AC452">
            <v>2.6200000000000001E-2</v>
          </cell>
        </row>
        <row r="453">
          <cell r="T453">
            <v>39437</v>
          </cell>
          <cell r="U453">
            <v>2.2599999999999999E-2</v>
          </cell>
          <cell r="V453">
            <v>2.3530000000000002E-2</v>
          </cell>
          <cell r="W453">
            <v>2.3550000000000001E-2</v>
          </cell>
          <cell r="X453">
            <v>2.3724999999999996E-2</v>
          </cell>
          <cell r="Y453">
            <v>2.4E-2</v>
          </cell>
          <cell r="Z453">
            <v>2.4399999999999998E-2</v>
          </cell>
          <cell r="AA453">
            <v>2.4850000000000004E-2</v>
          </cell>
          <cell r="AB453">
            <v>2.5649999999999999E-2</v>
          </cell>
          <cell r="AC453">
            <v>2.6200000000000001E-2</v>
          </cell>
        </row>
        <row r="454">
          <cell r="T454">
            <v>39436</v>
          </cell>
          <cell r="U454">
            <v>2.239E-2</v>
          </cell>
          <cell r="V454">
            <v>2.3450000000000002E-2</v>
          </cell>
          <cell r="W454">
            <v>2.3399999999999997E-2</v>
          </cell>
          <cell r="X454">
            <v>2.3600000000000003E-2</v>
          </cell>
          <cell r="Y454">
            <v>2.3799999999999998E-2</v>
          </cell>
          <cell r="Z454">
            <v>2.4199999999999999E-2</v>
          </cell>
          <cell r="AA454">
            <v>2.4624999999999998E-2</v>
          </cell>
          <cell r="AB454">
            <v>2.5374999999999995E-2</v>
          </cell>
          <cell r="AC454">
            <v>2.6000000000000002E-2</v>
          </cell>
        </row>
        <row r="455">
          <cell r="T455">
            <v>39435</v>
          </cell>
          <cell r="U455">
            <v>2.2370000000000001E-2</v>
          </cell>
          <cell r="V455">
            <v>2.3390000000000001E-2</v>
          </cell>
          <cell r="W455">
            <v>2.3449999999999999E-2</v>
          </cell>
          <cell r="X455">
            <v>2.3650000000000001E-2</v>
          </cell>
          <cell r="Y455">
            <v>2.3849999999999996E-2</v>
          </cell>
          <cell r="Z455">
            <v>2.4300000000000002E-2</v>
          </cell>
          <cell r="AA455">
            <v>2.4700000000000003E-2</v>
          </cell>
          <cell r="AB455">
            <v>2.5350000000000001E-2</v>
          </cell>
          <cell r="AC455">
            <v>2.63E-2</v>
          </cell>
        </row>
        <row r="456">
          <cell r="T456">
            <v>39434</v>
          </cell>
          <cell r="U456">
            <v>2.2360000000000001E-2</v>
          </cell>
          <cell r="V456">
            <v>2.3359999999999999E-2</v>
          </cell>
          <cell r="W456">
            <v>2.3499999999999997E-2</v>
          </cell>
          <cell r="X456">
            <v>2.375E-2</v>
          </cell>
          <cell r="Y456">
            <v>2.3949999999999999E-2</v>
          </cell>
          <cell r="Z456">
            <v>2.435E-2</v>
          </cell>
          <cell r="AA456">
            <v>2.4750000000000001E-2</v>
          </cell>
          <cell r="AB456">
            <v>2.5499999999999998E-2</v>
          </cell>
          <cell r="AC456">
            <v>2.63E-2</v>
          </cell>
        </row>
        <row r="457">
          <cell r="T457">
            <v>39433</v>
          </cell>
          <cell r="U457">
            <v>2.2360000000000001E-2</v>
          </cell>
          <cell r="V457">
            <v>2.3349999999999999E-2</v>
          </cell>
          <cell r="W457">
            <v>2.3499999999999997E-2</v>
          </cell>
          <cell r="X457">
            <v>2.375E-2</v>
          </cell>
          <cell r="Y457">
            <v>2.4E-2</v>
          </cell>
          <cell r="Z457">
            <v>2.4300000000000002E-2</v>
          </cell>
          <cell r="AA457">
            <v>2.4750000000000001E-2</v>
          </cell>
          <cell r="AB457">
            <v>2.5499999999999998E-2</v>
          </cell>
          <cell r="AC457">
            <v>2.6249999999999999E-2</v>
          </cell>
        </row>
        <row r="458">
          <cell r="T458">
            <v>39432</v>
          </cell>
          <cell r="U458">
            <v>2.231E-2</v>
          </cell>
          <cell r="V458">
            <v>2.3349999999999999E-2</v>
          </cell>
          <cell r="W458">
            <v>2.3550000000000001E-2</v>
          </cell>
          <cell r="X458">
            <v>2.3799999999999998E-2</v>
          </cell>
          <cell r="Y458">
            <v>2.4150000000000001E-2</v>
          </cell>
          <cell r="Z458">
            <v>2.4500000000000001E-2</v>
          </cell>
          <cell r="AA458">
            <v>2.4850000000000004E-2</v>
          </cell>
          <cell r="AB458">
            <v>2.5549999999999996E-2</v>
          </cell>
          <cell r="AC458">
            <v>2.6349999999999998E-2</v>
          </cell>
        </row>
        <row r="459">
          <cell r="T459">
            <v>39431</v>
          </cell>
          <cell r="U459">
            <v>2.231E-2</v>
          </cell>
          <cell r="V459">
            <v>2.3349999999999999E-2</v>
          </cell>
          <cell r="W459">
            <v>2.3550000000000001E-2</v>
          </cell>
          <cell r="X459">
            <v>2.3799999999999998E-2</v>
          </cell>
          <cell r="Y459">
            <v>2.4150000000000001E-2</v>
          </cell>
          <cell r="Z459">
            <v>2.4500000000000001E-2</v>
          </cell>
          <cell r="AA459">
            <v>2.4850000000000004E-2</v>
          </cell>
          <cell r="AB459">
            <v>2.5549999999999996E-2</v>
          </cell>
          <cell r="AC459">
            <v>2.6349999999999998E-2</v>
          </cell>
        </row>
        <row r="460">
          <cell r="T460">
            <v>39430</v>
          </cell>
          <cell r="U460">
            <v>2.231E-2</v>
          </cell>
          <cell r="V460">
            <v>2.3349999999999999E-2</v>
          </cell>
          <cell r="W460">
            <v>2.3550000000000001E-2</v>
          </cell>
          <cell r="X460">
            <v>2.3799999999999998E-2</v>
          </cell>
          <cell r="Y460">
            <v>2.4150000000000001E-2</v>
          </cell>
          <cell r="Z460">
            <v>2.4500000000000001E-2</v>
          </cell>
          <cell r="AA460">
            <v>2.4850000000000004E-2</v>
          </cell>
          <cell r="AB460">
            <v>2.5549999999999996E-2</v>
          </cell>
          <cell r="AC460">
            <v>2.6349999999999998E-2</v>
          </cell>
        </row>
        <row r="461">
          <cell r="T461">
            <v>39429</v>
          </cell>
          <cell r="U461">
            <v>2.2540000000000001E-2</v>
          </cell>
          <cell r="V461">
            <v>2.3540000000000002E-2</v>
          </cell>
          <cell r="W461">
            <v>2.3499999999999997E-2</v>
          </cell>
          <cell r="X461">
            <v>2.3849999999999996E-2</v>
          </cell>
          <cell r="Y461">
            <v>2.4150000000000001E-2</v>
          </cell>
          <cell r="Z461">
            <v>2.4550000000000002E-2</v>
          </cell>
          <cell r="AA461">
            <v>2.4850000000000004E-2</v>
          </cell>
          <cell r="AB461">
            <v>2.5549999999999996E-2</v>
          </cell>
          <cell r="AC461">
            <v>2.6550000000000004E-2</v>
          </cell>
        </row>
        <row r="462">
          <cell r="T462">
            <v>39428</v>
          </cell>
          <cell r="U462">
            <v>2.2280000000000001E-2</v>
          </cell>
          <cell r="V462">
            <v>2.3380000000000001E-2</v>
          </cell>
          <cell r="W462">
            <v>2.3550000000000001E-2</v>
          </cell>
          <cell r="X462">
            <v>2.3799999999999998E-2</v>
          </cell>
          <cell r="Y462">
            <v>2.3949999999999999E-2</v>
          </cell>
          <cell r="Z462">
            <v>2.4399999999999998E-2</v>
          </cell>
          <cell r="AA462">
            <v>2.4800000000000003E-2</v>
          </cell>
          <cell r="AB462">
            <v>2.5499999999999998E-2</v>
          </cell>
          <cell r="AC462">
            <v>2.6500000000000003E-2</v>
          </cell>
        </row>
        <row r="463">
          <cell r="T463">
            <v>39427</v>
          </cell>
          <cell r="U463">
            <v>2.2349999999999998E-2</v>
          </cell>
          <cell r="V463">
            <v>2.3380000000000001E-2</v>
          </cell>
          <cell r="W463">
            <v>2.3600000000000003E-2</v>
          </cell>
          <cell r="X463">
            <v>2.3849999999999996E-2</v>
          </cell>
          <cell r="Y463">
            <v>2.4050000000000002E-2</v>
          </cell>
          <cell r="Z463">
            <v>2.4550000000000002E-2</v>
          </cell>
          <cell r="AA463">
            <v>2.5000000000000001E-2</v>
          </cell>
          <cell r="AB463">
            <v>2.5750000000000002E-2</v>
          </cell>
          <cell r="AC463">
            <v>2.6600000000000002E-2</v>
          </cell>
        </row>
        <row r="464">
          <cell r="T464">
            <v>39426</v>
          </cell>
          <cell r="U464">
            <v>2.2509999999999999E-2</v>
          </cell>
          <cell r="V464">
            <v>2.349E-2</v>
          </cell>
          <cell r="W464">
            <v>2.3650000000000001E-2</v>
          </cell>
          <cell r="X464">
            <v>2.4E-2</v>
          </cell>
          <cell r="Y464">
            <v>2.4300000000000002E-2</v>
          </cell>
          <cell r="Z464">
            <v>2.4700000000000003E-2</v>
          </cell>
          <cell r="AA464">
            <v>2.5099999999999997E-2</v>
          </cell>
          <cell r="AB464">
            <v>2.5849999999999998E-2</v>
          </cell>
          <cell r="AC464">
            <v>2.6450000000000001E-2</v>
          </cell>
        </row>
        <row r="465">
          <cell r="T465">
            <v>39425</v>
          </cell>
          <cell r="U465">
            <v>2.266E-2</v>
          </cell>
          <cell r="V465">
            <v>2.3650000000000001E-2</v>
          </cell>
          <cell r="W465">
            <v>2.3600000000000003E-2</v>
          </cell>
          <cell r="X465">
            <v>2.3899999999999998E-2</v>
          </cell>
          <cell r="Y465">
            <v>2.4199999999999999E-2</v>
          </cell>
          <cell r="Z465">
            <v>2.4550000000000002E-2</v>
          </cell>
          <cell r="AA465">
            <v>2.5000000000000001E-2</v>
          </cell>
          <cell r="AB465">
            <v>2.5700000000000004E-2</v>
          </cell>
          <cell r="AC465">
            <v>2.665E-2</v>
          </cell>
        </row>
        <row r="466">
          <cell r="T466">
            <v>39424</v>
          </cell>
          <cell r="U466">
            <v>2.266E-2</v>
          </cell>
          <cell r="V466">
            <v>2.3650000000000001E-2</v>
          </cell>
          <cell r="W466">
            <v>2.3600000000000003E-2</v>
          </cell>
          <cell r="X466">
            <v>2.3899999999999998E-2</v>
          </cell>
          <cell r="Y466">
            <v>2.4199999999999999E-2</v>
          </cell>
          <cell r="Z466">
            <v>2.4550000000000002E-2</v>
          </cell>
          <cell r="AA466">
            <v>2.5000000000000001E-2</v>
          </cell>
          <cell r="AB466">
            <v>2.5700000000000004E-2</v>
          </cell>
          <cell r="AC466">
            <v>2.665E-2</v>
          </cell>
        </row>
        <row r="467">
          <cell r="T467">
            <v>39423</v>
          </cell>
          <cell r="U467">
            <v>2.266E-2</v>
          </cell>
          <cell r="V467">
            <v>2.3650000000000001E-2</v>
          </cell>
          <cell r="W467">
            <v>2.3600000000000003E-2</v>
          </cell>
          <cell r="X467">
            <v>2.3899999999999998E-2</v>
          </cell>
          <cell r="Y467">
            <v>2.4199999999999999E-2</v>
          </cell>
          <cell r="Z467">
            <v>2.4550000000000002E-2</v>
          </cell>
          <cell r="AA467">
            <v>2.5000000000000001E-2</v>
          </cell>
          <cell r="AB467">
            <v>2.5700000000000004E-2</v>
          </cell>
          <cell r="AC467">
            <v>2.665E-2</v>
          </cell>
        </row>
        <row r="468">
          <cell r="T468">
            <v>39422</v>
          </cell>
          <cell r="U468">
            <v>2.2589999999999999E-2</v>
          </cell>
          <cell r="V468">
            <v>2.3570000000000001E-2</v>
          </cell>
          <cell r="W468">
            <v>2.3600000000000003E-2</v>
          </cell>
          <cell r="X468">
            <v>2.3949999999999999E-2</v>
          </cell>
          <cell r="Y468">
            <v>2.4299999999999999E-2</v>
          </cell>
          <cell r="Z468">
            <v>2.4649999999999998E-2</v>
          </cell>
          <cell r="AA468">
            <v>2.5000000000000001E-2</v>
          </cell>
          <cell r="AB468">
            <v>2.58E-2</v>
          </cell>
          <cell r="AC468">
            <v>2.665E-2</v>
          </cell>
        </row>
        <row r="469">
          <cell r="T469">
            <v>39421</v>
          </cell>
          <cell r="U469">
            <v>2.2589999999999999E-2</v>
          </cell>
          <cell r="V469">
            <v>2.3570000000000001E-2</v>
          </cell>
          <cell r="W469">
            <v>2.3700000000000002E-2</v>
          </cell>
          <cell r="X469">
            <v>2.4050000000000002E-2</v>
          </cell>
          <cell r="Y469">
            <v>2.4450000000000003E-2</v>
          </cell>
          <cell r="Z469">
            <v>2.4900000000000002E-2</v>
          </cell>
          <cell r="AA469">
            <v>2.5300000000000003E-2</v>
          </cell>
          <cell r="AB469">
            <v>2.6000000000000002E-2</v>
          </cell>
          <cell r="AC469">
            <v>2.6950000000000002E-2</v>
          </cell>
        </row>
        <row r="470">
          <cell r="T470">
            <v>39420</v>
          </cell>
          <cell r="U470">
            <v>2.247E-2</v>
          </cell>
          <cell r="V470">
            <v>2.3570000000000001E-2</v>
          </cell>
          <cell r="W470">
            <v>2.3550000000000001E-2</v>
          </cell>
          <cell r="X470">
            <v>2.3900000000000001E-2</v>
          </cell>
          <cell r="Y470">
            <v>2.4199999999999999E-2</v>
          </cell>
          <cell r="Z470">
            <v>2.4649999999999998E-2</v>
          </cell>
          <cell r="AA470">
            <v>2.5125000000000001E-2</v>
          </cell>
          <cell r="AB470">
            <v>2.5875000000000002E-2</v>
          </cell>
          <cell r="AC470">
            <v>2.6775000000000004E-2</v>
          </cell>
        </row>
        <row r="471">
          <cell r="T471">
            <v>39419</v>
          </cell>
          <cell r="U471">
            <v>2.2440000000000002E-2</v>
          </cell>
          <cell r="V471">
            <v>2.351E-2</v>
          </cell>
          <cell r="W471">
            <v>2.3599999999999999E-2</v>
          </cell>
          <cell r="X471">
            <v>2.3849999999999996E-2</v>
          </cell>
          <cell r="Y471">
            <v>2.4150000000000001E-2</v>
          </cell>
          <cell r="Z471">
            <v>2.4550000000000002E-2</v>
          </cell>
          <cell r="AA471">
            <v>2.5099999999999997E-2</v>
          </cell>
          <cell r="AB471">
            <v>2.58E-2</v>
          </cell>
          <cell r="AC471">
            <v>2.6724999999999999E-2</v>
          </cell>
        </row>
        <row r="472">
          <cell r="T472">
            <v>39418</v>
          </cell>
          <cell r="U472">
            <v>2.2450000000000001E-2</v>
          </cell>
          <cell r="V472">
            <v>2.3380000000000001E-2</v>
          </cell>
          <cell r="W472">
            <v>2.3650000000000001E-2</v>
          </cell>
          <cell r="X472">
            <v>2.41E-2</v>
          </cell>
          <cell r="Y472">
            <v>2.4500000000000001E-2</v>
          </cell>
          <cell r="Z472">
            <v>2.495E-2</v>
          </cell>
          <cell r="AA472">
            <v>2.53E-2</v>
          </cell>
          <cell r="AB472">
            <v>2.6150000000000003E-2</v>
          </cell>
          <cell r="AC472">
            <v>2.6900000000000004E-2</v>
          </cell>
        </row>
        <row r="473">
          <cell r="T473">
            <v>39417</v>
          </cell>
          <cell r="U473">
            <v>2.2450000000000001E-2</v>
          </cell>
          <cell r="V473">
            <v>2.3380000000000001E-2</v>
          </cell>
          <cell r="W473">
            <v>2.3650000000000001E-2</v>
          </cell>
          <cell r="X473">
            <v>2.41E-2</v>
          </cell>
          <cell r="Y473">
            <v>2.4500000000000001E-2</v>
          </cell>
          <cell r="Z473">
            <v>2.495E-2</v>
          </cell>
          <cell r="AA473">
            <v>2.53E-2</v>
          </cell>
          <cell r="AB473">
            <v>2.6150000000000003E-2</v>
          </cell>
          <cell r="AC473">
            <v>2.6900000000000004E-2</v>
          </cell>
        </row>
        <row r="474">
          <cell r="T474">
            <v>39416</v>
          </cell>
          <cell r="U474">
            <v>2.2450000000000001E-2</v>
          </cell>
          <cell r="V474">
            <v>2.3380000000000001E-2</v>
          </cell>
          <cell r="W474">
            <v>2.3650000000000001E-2</v>
          </cell>
          <cell r="X474">
            <v>2.41E-2</v>
          </cell>
          <cell r="Y474">
            <v>2.4500000000000001E-2</v>
          </cell>
          <cell r="Z474">
            <v>2.495E-2</v>
          </cell>
          <cell r="AA474">
            <v>2.53E-2</v>
          </cell>
          <cell r="AB474">
            <v>2.6150000000000003E-2</v>
          </cell>
          <cell r="AC474">
            <v>2.6900000000000004E-2</v>
          </cell>
        </row>
        <row r="475">
          <cell r="T475">
            <v>39415</v>
          </cell>
          <cell r="U475">
            <v>2.2409999999999999E-2</v>
          </cell>
          <cell r="V475">
            <v>2.3540000000000002E-2</v>
          </cell>
          <cell r="W475">
            <v>2.3599999999999999E-2</v>
          </cell>
          <cell r="X475">
            <v>2.3949999999999999E-2</v>
          </cell>
          <cell r="Y475">
            <v>2.4249999999999997E-2</v>
          </cell>
          <cell r="Z475">
            <v>2.46E-2</v>
          </cell>
          <cell r="AA475">
            <v>2.5000000000000001E-2</v>
          </cell>
          <cell r="AB475">
            <v>2.5700000000000004E-2</v>
          </cell>
          <cell r="AC475">
            <v>2.7199999999999998E-2</v>
          </cell>
        </row>
        <row r="476">
          <cell r="T476">
            <v>39414</v>
          </cell>
          <cell r="U476">
            <v>2.2540000000000001E-2</v>
          </cell>
          <cell r="V476">
            <v>2.3540000000000002E-2</v>
          </cell>
          <cell r="W476">
            <v>2.3600000000000003E-2</v>
          </cell>
          <cell r="X476">
            <v>2.4150000000000001E-2</v>
          </cell>
          <cell r="Y476">
            <v>2.4450000000000003E-2</v>
          </cell>
          <cell r="Z476">
            <v>2.4962499999999999E-2</v>
          </cell>
          <cell r="AA476">
            <v>2.53E-2</v>
          </cell>
          <cell r="AB476">
            <v>2.6124999999999999E-2</v>
          </cell>
          <cell r="AC476">
            <v>2.7099999999999999E-2</v>
          </cell>
        </row>
        <row r="477">
          <cell r="T477">
            <v>39413</v>
          </cell>
          <cell r="U477">
            <v>2.2370000000000001E-2</v>
          </cell>
          <cell r="V477">
            <v>2.3370000000000002E-2</v>
          </cell>
          <cell r="W477">
            <v>2.3600000000000003E-2</v>
          </cell>
          <cell r="X477">
            <v>2.41E-2</v>
          </cell>
          <cell r="Y477">
            <v>2.4450000000000003E-2</v>
          </cell>
          <cell r="Z477">
            <v>2.4900000000000002E-2</v>
          </cell>
          <cell r="AA477">
            <v>2.5350000000000001E-2</v>
          </cell>
          <cell r="AB477">
            <v>2.6000000000000002E-2</v>
          </cell>
          <cell r="AC477">
            <v>2.6675000000000001E-2</v>
          </cell>
        </row>
        <row r="478">
          <cell r="T478">
            <v>39412</v>
          </cell>
          <cell r="U478">
            <v>2.2370000000000001E-2</v>
          </cell>
          <cell r="V478">
            <v>2.3439999999999999E-2</v>
          </cell>
          <cell r="W478">
            <v>2.3399999999999997E-2</v>
          </cell>
          <cell r="X478">
            <v>2.375E-2</v>
          </cell>
          <cell r="Y478">
            <v>2.41E-2</v>
          </cell>
          <cell r="Z478">
            <v>2.4649999999999998E-2</v>
          </cell>
          <cell r="AA478">
            <v>2.5099999999999997E-2</v>
          </cell>
          <cell r="AB478">
            <v>2.58E-2</v>
          </cell>
          <cell r="AC478">
            <v>2.6699999999999998E-2</v>
          </cell>
        </row>
        <row r="479">
          <cell r="T479">
            <v>39411</v>
          </cell>
          <cell r="U479">
            <v>2.2610000000000002E-2</v>
          </cell>
          <cell r="V479">
            <v>2.3479999999999997E-2</v>
          </cell>
          <cell r="W479">
            <v>2.3449999999999999E-2</v>
          </cell>
          <cell r="X479">
            <v>2.3700000000000002E-2</v>
          </cell>
          <cell r="Y479">
            <v>2.3849999999999996E-2</v>
          </cell>
          <cell r="Z479">
            <v>2.435E-2</v>
          </cell>
          <cell r="AA479">
            <v>2.4649999999999998E-2</v>
          </cell>
          <cell r="AB479">
            <v>2.5399999999999999E-2</v>
          </cell>
          <cell r="AC479">
            <v>2.6399999999999996E-2</v>
          </cell>
        </row>
        <row r="480">
          <cell r="T480">
            <v>39410</v>
          </cell>
          <cell r="U480">
            <v>2.2610000000000002E-2</v>
          </cell>
          <cell r="V480">
            <v>2.3479999999999997E-2</v>
          </cell>
          <cell r="W480">
            <v>2.3449999999999999E-2</v>
          </cell>
          <cell r="X480">
            <v>2.3700000000000002E-2</v>
          </cell>
          <cell r="Y480">
            <v>2.3849999999999996E-2</v>
          </cell>
          <cell r="Z480">
            <v>2.435E-2</v>
          </cell>
          <cell r="AA480">
            <v>2.4649999999999998E-2</v>
          </cell>
          <cell r="AB480">
            <v>2.5399999999999999E-2</v>
          </cell>
          <cell r="AC480">
            <v>2.6399999999999996E-2</v>
          </cell>
        </row>
        <row r="481">
          <cell r="T481">
            <v>39409</v>
          </cell>
          <cell r="U481">
            <v>2.2610000000000002E-2</v>
          </cell>
          <cell r="V481">
            <v>2.3479999999999997E-2</v>
          </cell>
          <cell r="W481">
            <v>2.3449999999999999E-2</v>
          </cell>
          <cell r="X481">
            <v>2.3700000000000002E-2</v>
          </cell>
          <cell r="Y481">
            <v>2.3849999999999996E-2</v>
          </cell>
          <cell r="Z481">
            <v>2.435E-2</v>
          </cell>
          <cell r="AA481">
            <v>2.4649999999999998E-2</v>
          </cell>
          <cell r="AB481">
            <v>2.5399999999999999E-2</v>
          </cell>
          <cell r="AC481">
            <v>2.6399999999999996E-2</v>
          </cell>
        </row>
        <row r="482">
          <cell r="T482">
            <v>39408</v>
          </cell>
          <cell r="U482">
            <v>2.2620000000000001E-2</v>
          </cell>
          <cell r="V482">
            <v>2.3479999999999997E-2</v>
          </cell>
          <cell r="W482">
            <v>2.3E-2</v>
          </cell>
          <cell r="X482">
            <v>2.3349999999999999E-2</v>
          </cell>
          <cell r="Y482">
            <v>2.4E-2</v>
          </cell>
          <cell r="Z482">
            <v>2.4550000000000002E-2</v>
          </cell>
          <cell r="AA482">
            <v>2.4850000000000004E-2</v>
          </cell>
          <cell r="AB482">
            <v>2.5499999999999998E-2</v>
          </cell>
          <cell r="AC482">
            <v>2.605E-2</v>
          </cell>
        </row>
        <row r="483">
          <cell r="T483">
            <v>39407</v>
          </cell>
          <cell r="U483">
            <v>2.2519999999999998E-2</v>
          </cell>
          <cell r="V483">
            <v>2.3479999999999997E-2</v>
          </cell>
          <cell r="W483">
            <v>2.4000000000000004E-2</v>
          </cell>
          <cell r="X483">
            <v>2.4649999999999998E-2</v>
          </cell>
          <cell r="Y483">
            <v>2.52E-2</v>
          </cell>
          <cell r="Z483">
            <v>2.5600000000000001E-2</v>
          </cell>
          <cell r="AA483">
            <v>2.5999999999999995E-2</v>
          </cell>
          <cell r="AB483">
            <v>2.6550000000000004E-2</v>
          </cell>
          <cell r="AC483">
            <v>2.75E-2</v>
          </cell>
        </row>
        <row r="484">
          <cell r="T484">
            <v>39406</v>
          </cell>
          <cell r="U484">
            <v>2.2480000000000003E-2</v>
          </cell>
          <cell r="V484">
            <v>2.3429999999999999E-2</v>
          </cell>
          <cell r="W484">
            <v>2.3899999999999998E-2</v>
          </cell>
          <cell r="X484">
            <v>2.4500000000000001E-2</v>
          </cell>
          <cell r="Y484">
            <v>2.4750000000000001E-2</v>
          </cell>
          <cell r="Z484">
            <v>2.5324999999999997E-2</v>
          </cell>
          <cell r="AA484">
            <v>2.5750000000000002E-2</v>
          </cell>
          <cell r="AB484">
            <v>2.6450000000000001E-2</v>
          </cell>
          <cell r="AC484">
            <v>2.7400000000000001E-2</v>
          </cell>
        </row>
        <row r="485">
          <cell r="T485">
            <v>39405</v>
          </cell>
          <cell r="U485">
            <v>2.265E-2</v>
          </cell>
          <cell r="V485">
            <v>2.3620000000000002E-2</v>
          </cell>
          <cell r="W485">
            <v>2.41E-2</v>
          </cell>
          <cell r="X485">
            <v>2.4799999999999999E-2</v>
          </cell>
          <cell r="Y485">
            <v>2.52E-2</v>
          </cell>
          <cell r="Z485">
            <v>2.5649999999999999E-2</v>
          </cell>
          <cell r="AA485">
            <v>2.63E-2</v>
          </cell>
          <cell r="AB485">
            <v>2.7099999999999999E-2</v>
          </cell>
          <cell r="AC485">
            <v>2.7949999999999999E-2</v>
          </cell>
        </row>
        <row r="486">
          <cell r="T486">
            <v>39404</v>
          </cell>
          <cell r="U486">
            <v>2.2589999999999999E-2</v>
          </cell>
          <cell r="V486">
            <v>2.368E-2</v>
          </cell>
          <cell r="W486">
            <v>2.4050000000000002E-2</v>
          </cell>
          <cell r="X486">
            <v>2.4799999999999999E-2</v>
          </cell>
          <cell r="Y486">
            <v>2.52E-2</v>
          </cell>
          <cell r="Z486">
            <v>2.5649999999999999E-2</v>
          </cell>
          <cell r="AA486">
            <v>2.6200000000000001E-2</v>
          </cell>
          <cell r="AB486">
            <v>2.7099999999999999E-2</v>
          </cell>
          <cell r="AC486">
            <v>2.775E-2</v>
          </cell>
        </row>
        <row r="487">
          <cell r="T487">
            <v>39403</v>
          </cell>
          <cell r="U487">
            <v>2.2589999999999999E-2</v>
          </cell>
          <cell r="V487">
            <v>2.368E-2</v>
          </cell>
          <cell r="W487">
            <v>2.4050000000000002E-2</v>
          </cell>
          <cell r="X487">
            <v>2.4799999999999999E-2</v>
          </cell>
          <cell r="Y487">
            <v>2.52E-2</v>
          </cell>
          <cell r="Z487">
            <v>2.5649999999999999E-2</v>
          </cell>
          <cell r="AA487">
            <v>2.6200000000000001E-2</v>
          </cell>
          <cell r="AB487">
            <v>2.7099999999999999E-2</v>
          </cell>
          <cell r="AC487">
            <v>2.775E-2</v>
          </cell>
        </row>
        <row r="488">
          <cell r="T488">
            <v>39402</v>
          </cell>
          <cell r="U488">
            <v>2.2589999999999999E-2</v>
          </cell>
          <cell r="V488">
            <v>2.368E-2</v>
          </cell>
          <cell r="W488">
            <v>2.4050000000000002E-2</v>
          </cell>
          <cell r="X488">
            <v>2.4799999999999999E-2</v>
          </cell>
          <cell r="Y488">
            <v>2.52E-2</v>
          </cell>
          <cell r="Z488">
            <v>2.5649999999999999E-2</v>
          </cell>
          <cell r="AA488">
            <v>2.6200000000000001E-2</v>
          </cell>
          <cell r="AB488">
            <v>2.7099999999999999E-2</v>
          </cell>
          <cell r="AC488">
            <v>2.775E-2</v>
          </cell>
        </row>
        <row r="489">
          <cell r="T489">
            <v>39401</v>
          </cell>
          <cell r="U489">
            <v>2.2610000000000002E-2</v>
          </cell>
          <cell r="V489">
            <v>2.3620000000000002E-2</v>
          </cell>
          <cell r="W489">
            <v>2.4150000000000001E-2</v>
          </cell>
          <cell r="X489">
            <v>2.495E-2</v>
          </cell>
          <cell r="Y489">
            <v>2.5599999999999998E-2</v>
          </cell>
          <cell r="Z489">
            <v>2.605E-2</v>
          </cell>
          <cell r="AA489">
            <v>2.6600000000000002E-2</v>
          </cell>
          <cell r="AB489">
            <v>2.7300000000000001E-2</v>
          </cell>
          <cell r="AC489">
            <v>2.8300000000000002E-2</v>
          </cell>
        </row>
        <row r="490">
          <cell r="T490">
            <v>39400</v>
          </cell>
          <cell r="U490">
            <v>2.2700000000000001E-2</v>
          </cell>
          <cell r="V490">
            <v>2.3730000000000001E-2</v>
          </cell>
          <cell r="W490">
            <v>2.4150000000000001E-2</v>
          </cell>
          <cell r="X490">
            <v>2.4900000000000002E-2</v>
          </cell>
          <cell r="Y490">
            <v>2.5499999999999998E-2</v>
          </cell>
          <cell r="Z490">
            <v>2.6099999999999998E-2</v>
          </cell>
          <cell r="AA490">
            <v>2.6550000000000004E-2</v>
          </cell>
          <cell r="AB490">
            <v>2.7149999999999997E-2</v>
          </cell>
          <cell r="AC490">
            <v>2.8199999999999999E-2</v>
          </cell>
        </row>
        <row r="491">
          <cell r="T491">
            <v>39399</v>
          </cell>
          <cell r="U491">
            <v>2.2759999999999999E-2</v>
          </cell>
          <cell r="V491">
            <v>2.376E-2</v>
          </cell>
          <cell r="W491">
            <v>2.4150000000000001E-2</v>
          </cell>
          <cell r="X491">
            <v>2.4900000000000002E-2</v>
          </cell>
          <cell r="Y491">
            <v>2.545E-2</v>
          </cell>
          <cell r="Z491">
            <v>2.5949999999999997E-2</v>
          </cell>
          <cell r="AA491">
            <v>2.6365E-2</v>
          </cell>
          <cell r="AB491">
            <v>2.7099999999999999E-2</v>
          </cell>
          <cell r="AC491">
            <v>2.7999999999999997E-2</v>
          </cell>
        </row>
        <row r="492">
          <cell r="T492">
            <v>39398</v>
          </cell>
          <cell r="U492">
            <v>2.2759999999999999E-2</v>
          </cell>
          <cell r="V492">
            <v>2.3719999999999998E-2</v>
          </cell>
          <cell r="W492">
            <v>2.41E-2</v>
          </cell>
          <cell r="X492">
            <v>2.4900000000000002E-2</v>
          </cell>
          <cell r="Y492">
            <v>2.5250000000000005E-2</v>
          </cell>
          <cell r="Z492">
            <v>2.5899999999999999E-2</v>
          </cell>
          <cell r="AA492">
            <v>2.64E-2</v>
          </cell>
          <cell r="AB492">
            <v>2.7050000000000001E-2</v>
          </cell>
          <cell r="AC492">
            <v>2.7999999999999997E-2</v>
          </cell>
        </row>
        <row r="493">
          <cell r="T493">
            <v>39397</v>
          </cell>
          <cell r="U493">
            <v>2.2770000000000002E-2</v>
          </cell>
          <cell r="V493">
            <v>2.3690000000000003E-2</v>
          </cell>
          <cell r="W493">
            <v>2.4300000000000002E-2</v>
          </cell>
          <cell r="X493">
            <v>2.5114999999999998E-2</v>
          </cell>
          <cell r="Y493">
            <v>2.5699999999999997E-2</v>
          </cell>
          <cell r="Z493">
            <v>2.6249999999999999E-2</v>
          </cell>
          <cell r="AA493">
            <v>2.6799999999999997E-2</v>
          </cell>
          <cell r="AB493">
            <v>2.76E-2</v>
          </cell>
          <cell r="AC493">
            <v>2.8849999999999997E-2</v>
          </cell>
        </row>
        <row r="494">
          <cell r="T494">
            <v>39396</v>
          </cell>
          <cell r="U494">
            <v>2.2770000000000002E-2</v>
          </cell>
          <cell r="V494">
            <v>2.3690000000000003E-2</v>
          </cell>
          <cell r="W494">
            <v>2.4300000000000002E-2</v>
          </cell>
          <cell r="X494">
            <v>2.5114999999999998E-2</v>
          </cell>
          <cell r="Y494">
            <v>2.5699999999999997E-2</v>
          </cell>
          <cell r="Z494">
            <v>2.6249999999999999E-2</v>
          </cell>
          <cell r="AA494">
            <v>2.6799999999999997E-2</v>
          </cell>
          <cell r="AB494">
            <v>2.76E-2</v>
          </cell>
          <cell r="AC494">
            <v>2.8849999999999997E-2</v>
          </cell>
        </row>
        <row r="495">
          <cell r="T495">
            <v>39395</v>
          </cell>
          <cell r="U495">
            <v>2.2770000000000002E-2</v>
          </cell>
          <cell r="V495">
            <v>2.3690000000000003E-2</v>
          </cell>
          <cell r="W495">
            <v>2.4300000000000002E-2</v>
          </cell>
          <cell r="X495">
            <v>2.5114999999999998E-2</v>
          </cell>
          <cell r="Y495">
            <v>2.5699999999999997E-2</v>
          </cell>
          <cell r="Z495">
            <v>2.6249999999999999E-2</v>
          </cell>
          <cell r="AA495">
            <v>2.6799999999999997E-2</v>
          </cell>
          <cell r="AB495">
            <v>2.76E-2</v>
          </cell>
          <cell r="AC495">
            <v>2.8849999999999997E-2</v>
          </cell>
        </row>
        <row r="496">
          <cell r="T496">
            <v>39394</v>
          </cell>
          <cell r="U496">
            <v>2.266E-2</v>
          </cell>
          <cell r="V496">
            <v>2.3690000000000003E-2</v>
          </cell>
          <cell r="W496">
            <v>2.4299999999999999E-2</v>
          </cell>
          <cell r="X496">
            <v>2.5300000000000003E-2</v>
          </cell>
          <cell r="Y496">
            <v>2.5949999999999997E-2</v>
          </cell>
          <cell r="Z496">
            <v>2.6499999999999999E-2</v>
          </cell>
          <cell r="AA496">
            <v>2.7149999999999997E-2</v>
          </cell>
          <cell r="AB496">
            <v>2.7999999999999997E-2</v>
          </cell>
          <cell r="AC496">
            <v>2.8899999999999995E-2</v>
          </cell>
        </row>
        <row r="497">
          <cell r="T497">
            <v>39393</v>
          </cell>
          <cell r="U497">
            <v>2.2530000000000001E-2</v>
          </cell>
          <cell r="V497">
            <v>2.358E-2</v>
          </cell>
          <cell r="W497">
            <v>2.4299999999999999E-2</v>
          </cell>
          <cell r="X497">
            <v>2.5399999999999999E-2</v>
          </cell>
          <cell r="Y497">
            <v>2.6249999999999999E-2</v>
          </cell>
          <cell r="Z497">
            <v>2.7099999999999999E-2</v>
          </cell>
          <cell r="AA497">
            <v>2.76E-2</v>
          </cell>
          <cell r="AB497">
            <v>2.8549999999999999E-2</v>
          </cell>
          <cell r="AC497">
            <v>2.9500000000000002E-2</v>
          </cell>
        </row>
        <row r="498">
          <cell r="T498">
            <v>39392</v>
          </cell>
          <cell r="U498">
            <v>2.2450000000000001E-2</v>
          </cell>
          <cell r="V498">
            <v>2.3559999999999998E-2</v>
          </cell>
          <cell r="W498">
            <v>2.4299999999999999E-2</v>
          </cell>
          <cell r="X498">
            <v>2.5399999999999999E-2</v>
          </cell>
          <cell r="Y498">
            <v>2.6249999999999999E-2</v>
          </cell>
          <cell r="Z498">
            <v>2.6950000000000002E-2</v>
          </cell>
          <cell r="AA498">
            <v>2.76E-2</v>
          </cell>
          <cell r="AB498">
            <v>2.8500000000000001E-2</v>
          </cell>
          <cell r="AC498">
            <v>2.9500000000000002E-2</v>
          </cell>
        </row>
        <row r="499">
          <cell r="T499">
            <v>39391</v>
          </cell>
          <cell r="U499">
            <v>2.2360000000000001E-2</v>
          </cell>
          <cell r="V499">
            <v>2.349E-2</v>
          </cell>
          <cell r="W499">
            <v>2.435E-2</v>
          </cell>
          <cell r="X499">
            <v>2.5399999999999999E-2</v>
          </cell>
          <cell r="Y499">
            <v>2.6200000000000001E-2</v>
          </cell>
          <cell r="Z499">
            <v>2.6950000000000002E-2</v>
          </cell>
          <cell r="AA499">
            <v>2.7549999999999998E-2</v>
          </cell>
          <cell r="AB499">
            <v>2.835E-2</v>
          </cell>
          <cell r="AC499">
            <v>2.9450000000000004E-2</v>
          </cell>
        </row>
        <row r="500">
          <cell r="T500">
            <v>39390</v>
          </cell>
          <cell r="U500">
            <v>2.2179999999999998E-2</v>
          </cell>
          <cell r="V500">
            <v>2.3470000000000001E-2</v>
          </cell>
          <cell r="W500">
            <v>2.3949999999999999E-2</v>
          </cell>
          <cell r="X500">
            <v>2.4850000000000004E-2</v>
          </cell>
          <cell r="Y500">
            <v>2.5549999999999996E-2</v>
          </cell>
          <cell r="Z500">
            <v>2.63E-2</v>
          </cell>
          <cell r="AA500">
            <v>2.6950000000000002E-2</v>
          </cell>
          <cell r="AB500">
            <v>2.775E-2</v>
          </cell>
          <cell r="AC500">
            <v>2.8750000000000001E-2</v>
          </cell>
        </row>
        <row r="501">
          <cell r="T501">
            <v>39389</v>
          </cell>
          <cell r="U501">
            <v>2.2179999999999998E-2</v>
          </cell>
          <cell r="V501">
            <v>2.3470000000000001E-2</v>
          </cell>
          <cell r="W501">
            <v>2.3949999999999999E-2</v>
          </cell>
          <cell r="X501">
            <v>2.4850000000000004E-2</v>
          </cell>
          <cell r="Y501">
            <v>2.5549999999999996E-2</v>
          </cell>
          <cell r="Z501">
            <v>2.63E-2</v>
          </cell>
          <cell r="AA501">
            <v>2.6950000000000002E-2</v>
          </cell>
          <cell r="AB501">
            <v>2.775E-2</v>
          </cell>
          <cell r="AC501">
            <v>2.8750000000000001E-2</v>
          </cell>
        </row>
        <row r="502">
          <cell r="T502">
            <v>39388</v>
          </cell>
          <cell r="U502">
            <v>2.2179999999999998E-2</v>
          </cell>
          <cell r="V502">
            <v>2.3470000000000001E-2</v>
          </cell>
          <cell r="W502">
            <v>2.3949999999999999E-2</v>
          </cell>
          <cell r="X502">
            <v>2.4850000000000004E-2</v>
          </cell>
          <cell r="Y502">
            <v>2.5549999999999996E-2</v>
          </cell>
          <cell r="Z502">
            <v>2.63E-2</v>
          </cell>
          <cell r="AA502">
            <v>2.6950000000000002E-2</v>
          </cell>
          <cell r="AB502">
            <v>2.775E-2</v>
          </cell>
          <cell r="AC502">
            <v>2.8750000000000001E-2</v>
          </cell>
        </row>
        <row r="503">
          <cell r="T503">
            <v>39387</v>
          </cell>
          <cell r="U503">
            <v>2.2179999999999998E-2</v>
          </cell>
          <cell r="V503">
            <v>2.341E-2</v>
          </cell>
          <cell r="W503">
            <v>2.3900000000000001E-2</v>
          </cell>
          <cell r="X503">
            <v>2.4700000000000003E-2</v>
          </cell>
          <cell r="Y503">
            <v>2.5549999999999996E-2</v>
          </cell>
          <cell r="Z503">
            <v>2.6099999999999998E-2</v>
          </cell>
          <cell r="AA503">
            <v>2.6799999999999997E-2</v>
          </cell>
          <cell r="AB503">
            <v>2.75E-2</v>
          </cell>
          <cell r="AC503">
            <v>2.8674999999999996E-2</v>
          </cell>
        </row>
        <row r="504">
          <cell r="T504">
            <v>39386</v>
          </cell>
          <cell r="U504">
            <v>2.2280000000000001E-2</v>
          </cell>
          <cell r="V504">
            <v>2.3330000000000004E-2</v>
          </cell>
          <cell r="W504">
            <v>2.4000000000000004E-2</v>
          </cell>
          <cell r="X504">
            <v>2.4750000000000001E-2</v>
          </cell>
          <cell r="Y504">
            <v>2.5475000000000005E-2</v>
          </cell>
          <cell r="Z504">
            <v>2.6150000000000003E-2</v>
          </cell>
          <cell r="AA504">
            <v>2.665E-2</v>
          </cell>
          <cell r="AB504">
            <v>2.7300000000000001E-2</v>
          </cell>
          <cell r="AC504">
            <v>2.8624999999999998E-2</v>
          </cell>
        </row>
        <row r="505">
          <cell r="T505">
            <v>39385</v>
          </cell>
          <cell r="U505">
            <v>2.2160000000000003E-2</v>
          </cell>
          <cell r="V505">
            <v>2.3330000000000004E-2</v>
          </cell>
          <cell r="W505">
            <v>2.41E-2</v>
          </cell>
          <cell r="X505">
            <v>2.4850000000000004E-2</v>
          </cell>
          <cell r="Y505">
            <v>2.5549999999999996E-2</v>
          </cell>
          <cell r="Z505">
            <v>2.6099999999999998E-2</v>
          </cell>
          <cell r="AA505">
            <v>2.6699999999999998E-2</v>
          </cell>
          <cell r="AB505">
            <v>2.7400000000000001E-2</v>
          </cell>
          <cell r="AC505">
            <v>2.8300000000000002E-2</v>
          </cell>
        </row>
        <row r="506">
          <cell r="T506">
            <v>39384</v>
          </cell>
          <cell r="U506">
            <v>2.214E-2</v>
          </cell>
          <cell r="V506">
            <v>2.3390000000000001E-2</v>
          </cell>
          <cell r="W506">
            <v>2.3899999999999998E-2</v>
          </cell>
          <cell r="X506">
            <v>2.4799999999999999E-2</v>
          </cell>
          <cell r="Y506">
            <v>2.5499999999999998E-2</v>
          </cell>
          <cell r="Z506">
            <v>2.6100000000000002E-2</v>
          </cell>
          <cell r="AA506">
            <v>2.6699999999999998E-2</v>
          </cell>
          <cell r="AB506">
            <v>2.7649999999999997E-2</v>
          </cell>
          <cell r="AC506">
            <v>2.835E-2</v>
          </cell>
        </row>
        <row r="507">
          <cell r="T507">
            <v>39383</v>
          </cell>
          <cell r="U507">
            <v>2.2259999999999999E-2</v>
          </cell>
          <cell r="V507">
            <v>2.3370000000000002E-2</v>
          </cell>
          <cell r="W507">
            <v>2.3899999999999998E-2</v>
          </cell>
          <cell r="X507">
            <v>2.46E-2</v>
          </cell>
          <cell r="Y507">
            <v>2.53E-2</v>
          </cell>
          <cell r="Z507">
            <v>2.5750000000000002E-2</v>
          </cell>
          <cell r="AA507">
            <v>2.6349999999999998E-2</v>
          </cell>
          <cell r="AB507">
            <v>2.7050000000000001E-2</v>
          </cell>
          <cell r="AC507">
            <v>2.7999999999999997E-2</v>
          </cell>
        </row>
        <row r="508">
          <cell r="T508">
            <v>39382</v>
          </cell>
          <cell r="U508">
            <v>2.2259999999999999E-2</v>
          </cell>
          <cell r="V508">
            <v>2.3370000000000002E-2</v>
          </cell>
          <cell r="W508">
            <v>2.3899999999999998E-2</v>
          </cell>
          <cell r="X508">
            <v>2.46E-2</v>
          </cell>
          <cell r="Y508">
            <v>2.53E-2</v>
          </cell>
          <cell r="Z508">
            <v>2.5750000000000002E-2</v>
          </cell>
          <cell r="AA508">
            <v>2.6349999999999998E-2</v>
          </cell>
          <cell r="AB508">
            <v>2.7050000000000001E-2</v>
          </cell>
          <cell r="AC508">
            <v>2.7999999999999997E-2</v>
          </cell>
        </row>
        <row r="509">
          <cell r="T509">
            <v>39381</v>
          </cell>
          <cell r="U509">
            <v>2.2259999999999999E-2</v>
          </cell>
          <cell r="V509">
            <v>2.3370000000000002E-2</v>
          </cell>
          <cell r="W509">
            <v>2.3899999999999998E-2</v>
          </cell>
          <cell r="X509">
            <v>2.46E-2</v>
          </cell>
          <cell r="Y509">
            <v>2.53E-2</v>
          </cell>
          <cell r="Z509">
            <v>2.5750000000000002E-2</v>
          </cell>
          <cell r="AA509">
            <v>2.6349999999999998E-2</v>
          </cell>
          <cell r="AB509">
            <v>2.7050000000000001E-2</v>
          </cell>
          <cell r="AC509">
            <v>2.7999999999999997E-2</v>
          </cell>
        </row>
        <row r="510">
          <cell r="T510">
            <v>39380</v>
          </cell>
          <cell r="U510">
            <v>2.23E-2</v>
          </cell>
          <cell r="V510">
            <v>2.3429999999999999E-2</v>
          </cell>
          <cell r="W510">
            <v>2.3899999999999998E-2</v>
          </cell>
          <cell r="X510">
            <v>2.4550000000000002E-2</v>
          </cell>
          <cell r="Y510">
            <v>2.5024999999999999E-2</v>
          </cell>
          <cell r="Z510">
            <v>2.545E-2</v>
          </cell>
          <cell r="AA510">
            <v>2.6075000000000001E-2</v>
          </cell>
          <cell r="AB510">
            <v>2.6800000000000001E-2</v>
          </cell>
          <cell r="AC510">
            <v>2.7699999999999999E-2</v>
          </cell>
        </row>
        <row r="511">
          <cell r="T511">
            <v>39379</v>
          </cell>
          <cell r="U511">
            <v>2.2259999999999999E-2</v>
          </cell>
          <cell r="V511">
            <v>2.3370000000000002E-2</v>
          </cell>
          <cell r="W511">
            <v>2.3799999999999998E-2</v>
          </cell>
          <cell r="X511">
            <v>2.435E-2</v>
          </cell>
          <cell r="Y511">
            <v>2.4750000000000001E-2</v>
          </cell>
          <cell r="Z511">
            <v>2.5350000000000001E-2</v>
          </cell>
          <cell r="AA511">
            <v>2.58E-2</v>
          </cell>
          <cell r="AB511">
            <v>2.6450000000000001E-2</v>
          </cell>
          <cell r="AC511">
            <v>2.75E-2</v>
          </cell>
        </row>
        <row r="512">
          <cell r="T512">
            <v>39378</v>
          </cell>
          <cell r="U512">
            <v>2.2259999999999999E-2</v>
          </cell>
          <cell r="V512">
            <v>2.3399999999999997E-2</v>
          </cell>
          <cell r="W512">
            <v>2.3925000000000002E-2</v>
          </cell>
          <cell r="X512">
            <v>2.4575E-2</v>
          </cell>
          <cell r="Y512">
            <v>2.5099999999999997E-2</v>
          </cell>
          <cell r="Z512">
            <v>2.5649999999999999E-2</v>
          </cell>
          <cell r="AA512">
            <v>2.6175E-2</v>
          </cell>
          <cell r="AB512">
            <v>2.6950000000000002E-2</v>
          </cell>
          <cell r="AC512">
            <v>2.7650000000000001E-2</v>
          </cell>
        </row>
        <row r="513">
          <cell r="T513">
            <v>39377</v>
          </cell>
          <cell r="U513">
            <v>2.2360000000000001E-2</v>
          </cell>
          <cell r="V513">
            <v>2.3450000000000002E-2</v>
          </cell>
          <cell r="W513">
            <v>2.3864999999999997E-2</v>
          </cell>
          <cell r="X513">
            <v>2.4474999999999997E-2</v>
          </cell>
          <cell r="Y513">
            <v>2.5000000000000001E-2</v>
          </cell>
          <cell r="Z513">
            <v>2.5499999999999998E-2</v>
          </cell>
          <cell r="AA513">
            <v>2.5899999999999999E-2</v>
          </cell>
          <cell r="AB513">
            <v>2.665E-2</v>
          </cell>
          <cell r="AC513">
            <v>2.7799999999999998E-2</v>
          </cell>
        </row>
        <row r="514">
          <cell r="T514">
            <v>39376</v>
          </cell>
          <cell r="U514">
            <v>2.206E-2</v>
          </cell>
          <cell r="V514">
            <v>2.3230000000000001E-2</v>
          </cell>
          <cell r="W514">
            <v>2.3949999999999999E-2</v>
          </cell>
          <cell r="X514">
            <v>2.4750000000000001E-2</v>
          </cell>
          <cell r="Y514">
            <v>2.5374999999999995E-2</v>
          </cell>
          <cell r="Z514">
            <v>2.5899999999999999E-2</v>
          </cell>
          <cell r="AA514">
            <v>2.6500000000000003E-2</v>
          </cell>
          <cell r="AB514">
            <v>2.7149999999999997E-2</v>
          </cell>
          <cell r="AC514">
            <v>2.8149999999999998E-2</v>
          </cell>
        </row>
        <row r="515">
          <cell r="T515">
            <v>39375</v>
          </cell>
          <cell r="U515">
            <v>2.206E-2</v>
          </cell>
          <cell r="V515">
            <v>2.3230000000000001E-2</v>
          </cell>
          <cell r="W515">
            <v>2.3949999999999999E-2</v>
          </cell>
          <cell r="X515">
            <v>2.4750000000000001E-2</v>
          </cell>
          <cell r="Y515">
            <v>2.5374999999999995E-2</v>
          </cell>
          <cell r="Z515">
            <v>2.5899999999999999E-2</v>
          </cell>
          <cell r="AA515">
            <v>2.6500000000000003E-2</v>
          </cell>
          <cell r="AB515">
            <v>2.7149999999999997E-2</v>
          </cell>
          <cell r="AC515">
            <v>2.8149999999999998E-2</v>
          </cell>
        </row>
        <row r="516">
          <cell r="T516">
            <v>39374</v>
          </cell>
          <cell r="U516">
            <v>2.206E-2</v>
          </cell>
          <cell r="V516">
            <v>2.3230000000000001E-2</v>
          </cell>
          <cell r="W516">
            <v>2.3949999999999999E-2</v>
          </cell>
          <cell r="X516">
            <v>2.4750000000000001E-2</v>
          </cell>
          <cell r="Y516">
            <v>2.5374999999999995E-2</v>
          </cell>
          <cell r="Z516">
            <v>2.5899999999999999E-2</v>
          </cell>
          <cell r="AA516">
            <v>2.6500000000000003E-2</v>
          </cell>
          <cell r="AB516">
            <v>2.7149999999999997E-2</v>
          </cell>
          <cell r="AC516">
            <v>2.8149999999999998E-2</v>
          </cell>
        </row>
        <row r="517">
          <cell r="T517">
            <v>39373</v>
          </cell>
          <cell r="U517">
            <v>2.213E-2</v>
          </cell>
          <cell r="V517">
            <v>2.3380000000000001E-2</v>
          </cell>
          <cell r="W517">
            <v>2.4000000000000004E-2</v>
          </cell>
          <cell r="X517">
            <v>2.4799999999999999E-2</v>
          </cell>
          <cell r="Y517">
            <v>2.5350000000000001E-2</v>
          </cell>
          <cell r="Z517">
            <v>2.6000000000000002E-2</v>
          </cell>
          <cell r="AA517">
            <v>2.6600000000000002E-2</v>
          </cell>
          <cell r="AB517">
            <v>2.7300000000000001E-2</v>
          </cell>
          <cell r="AC517">
            <v>2.8399999999999998E-2</v>
          </cell>
        </row>
        <row r="518">
          <cell r="T518">
            <v>39372</v>
          </cell>
          <cell r="U518">
            <v>2.2189999999999998E-2</v>
          </cell>
          <cell r="V518">
            <v>2.3380000000000001E-2</v>
          </cell>
          <cell r="W518">
            <v>2.4199999999999999E-2</v>
          </cell>
          <cell r="X518">
            <v>2.495E-2</v>
          </cell>
          <cell r="Y518">
            <v>2.545E-2</v>
          </cell>
          <cell r="Z518">
            <v>2.6349999999999998E-2</v>
          </cell>
          <cell r="AA518">
            <v>2.6800000000000001E-2</v>
          </cell>
          <cell r="AB518">
            <v>2.75E-2</v>
          </cell>
          <cell r="AC518">
            <v>2.8650000000000002E-2</v>
          </cell>
        </row>
        <row r="519">
          <cell r="T519">
            <v>39371</v>
          </cell>
          <cell r="U519">
            <v>2.2189999999999998E-2</v>
          </cell>
          <cell r="V519">
            <v>2.3380000000000001E-2</v>
          </cell>
          <cell r="W519">
            <v>2.4199999999999999E-2</v>
          </cell>
          <cell r="X519">
            <v>2.5000000000000001E-2</v>
          </cell>
          <cell r="Y519">
            <v>2.5699999999999997E-2</v>
          </cell>
          <cell r="Z519">
            <v>2.6349999999999998E-2</v>
          </cell>
          <cell r="AA519">
            <v>2.6950000000000002E-2</v>
          </cell>
          <cell r="AB519">
            <v>2.7649999999999997E-2</v>
          </cell>
          <cell r="AC519">
            <v>2.87E-2</v>
          </cell>
        </row>
        <row r="520">
          <cell r="T520">
            <v>39370</v>
          </cell>
          <cell r="U520">
            <v>2.223E-2</v>
          </cell>
          <cell r="V520">
            <v>2.349E-2</v>
          </cell>
          <cell r="W520">
            <v>2.4000000000000004E-2</v>
          </cell>
          <cell r="X520">
            <v>2.4699999999999996E-2</v>
          </cell>
          <cell r="Y520">
            <v>2.5399999999999999E-2</v>
          </cell>
          <cell r="Z520">
            <v>2.5999999999999995E-2</v>
          </cell>
          <cell r="AA520">
            <v>2.6600000000000002E-2</v>
          </cell>
          <cell r="AB520">
            <v>2.7300000000000001E-2</v>
          </cell>
          <cell r="AC520">
            <v>2.835E-2</v>
          </cell>
        </row>
        <row r="521">
          <cell r="T521">
            <v>39369</v>
          </cell>
          <cell r="U521">
            <v>2.223E-2</v>
          </cell>
          <cell r="V521">
            <v>2.349E-2</v>
          </cell>
          <cell r="W521">
            <v>2.3849999999999996E-2</v>
          </cell>
          <cell r="X521">
            <v>2.4675000000000002E-2</v>
          </cell>
          <cell r="Y521">
            <v>2.5399999999999999E-2</v>
          </cell>
          <cell r="Z521">
            <v>2.6150000000000003E-2</v>
          </cell>
          <cell r="AA521">
            <v>2.6610000000000002E-2</v>
          </cell>
          <cell r="AB521">
            <v>2.7374999999999997E-2</v>
          </cell>
          <cell r="AC521">
            <v>2.8324999999999999E-2</v>
          </cell>
        </row>
        <row r="522">
          <cell r="T522">
            <v>39368</v>
          </cell>
          <cell r="U522">
            <v>2.223E-2</v>
          </cell>
          <cell r="V522">
            <v>2.349E-2</v>
          </cell>
          <cell r="W522">
            <v>2.3849999999999996E-2</v>
          </cell>
          <cell r="X522">
            <v>2.4675000000000002E-2</v>
          </cell>
          <cell r="Y522">
            <v>2.5399999999999999E-2</v>
          </cell>
          <cell r="Z522">
            <v>2.6150000000000003E-2</v>
          </cell>
          <cell r="AA522">
            <v>2.6610000000000002E-2</v>
          </cell>
          <cell r="AB522">
            <v>2.7374999999999997E-2</v>
          </cell>
          <cell r="AC522">
            <v>2.8324999999999999E-2</v>
          </cell>
        </row>
        <row r="523">
          <cell r="T523">
            <v>39367</v>
          </cell>
          <cell r="U523">
            <v>2.223E-2</v>
          </cell>
          <cell r="V523">
            <v>2.349E-2</v>
          </cell>
          <cell r="W523">
            <v>2.3849999999999996E-2</v>
          </cell>
          <cell r="X523">
            <v>2.4675000000000002E-2</v>
          </cell>
          <cell r="Y523">
            <v>2.5399999999999999E-2</v>
          </cell>
          <cell r="Z523">
            <v>2.6150000000000003E-2</v>
          </cell>
          <cell r="AA523">
            <v>2.6610000000000002E-2</v>
          </cell>
          <cell r="AB523">
            <v>2.7374999999999997E-2</v>
          </cell>
          <cell r="AC523">
            <v>2.8324999999999999E-2</v>
          </cell>
        </row>
        <row r="524">
          <cell r="T524">
            <v>39366</v>
          </cell>
          <cell r="U524">
            <v>2.223E-2</v>
          </cell>
          <cell r="V524">
            <v>2.3470000000000001E-2</v>
          </cell>
          <cell r="W524">
            <v>2.4050000000000002E-2</v>
          </cell>
          <cell r="X524">
            <v>2.495E-2</v>
          </cell>
          <cell r="Y524">
            <v>2.5699999999999997E-2</v>
          </cell>
          <cell r="Z524">
            <v>2.6249999999999999E-2</v>
          </cell>
          <cell r="AA524">
            <v>2.6849999999999999E-2</v>
          </cell>
          <cell r="AB524">
            <v>2.7699999999999999E-2</v>
          </cell>
          <cell r="AC524">
            <v>2.8549999999999999E-2</v>
          </cell>
        </row>
        <row r="525">
          <cell r="T525">
            <v>39365</v>
          </cell>
          <cell r="U525">
            <v>2.2200000000000001E-2</v>
          </cell>
          <cell r="V525">
            <v>2.3479999999999997E-2</v>
          </cell>
          <cell r="W525">
            <v>2.41E-2</v>
          </cell>
          <cell r="X525">
            <v>2.5099999999999997E-2</v>
          </cell>
          <cell r="Y525">
            <v>2.5825000000000001E-2</v>
          </cell>
          <cell r="Z525">
            <v>2.6375000000000003E-2</v>
          </cell>
          <cell r="AA525">
            <v>2.7225000000000003E-2</v>
          </cell>
          <cell r="AB525">
            <v>2.7900000000000001E-2</v>
          </cell>
          <cell r="AC525">
            <v>2.8799999999999999E-2</v>
          </cell>
        </row>
        <row r="526">
          <cell r="T526">
            <v>39364</v>
          </cell>
          <cell r="U526">
            <v>2.2200000000000001E-2</v>
          </cell>
          <cell r="V526">
            <v>2.3479999999999997E-2</v>
          </cell>
          <cell r="W526">
            <v>2.41E-2</v>
          </cell>
          <cell r="X526">
            <v>2.5099999999999997E-2</v>
          </cell>
          <cell r="Y526">
            <v>2.5825000000000001E-2</v>
          </cell>
          <cell r="Z526">
            <v>2.6375000000000003E-2</v>
          </cell>
          <cell r="AA526">
            <v>2.7225000000000003E-2</v>
          </cell>
          <cell r="AB526">
            <v>2.7900000000000001E-2</v>
          </cell>
          <cell r="AC526">
            <v>2.8799999999999999E-2</v>
          </cell>
        </row>
        <row r="527">
          <cell r="T527">
            <v>39363</v>
          </cell>
          <cell r="U527">
            <v>2.2200000000000001E-2</v>
          </cell>
          <cell r="V527">
            <v>2.3479999999999997E-2</v>
          </cell>
          <cell r="W527">
            <v>2.4199999999999999E-2</v>
          </cell>
          <cell r="X527">
            <v>2.52E-2</v>
          </cell>
          <cell r="Y527">
            <v>2.5849999999999998E-2</v>
          </cell>
          <cell r="Z527">
            <v>2.6749999999999999E-2</v>
          </cell>
          <cell r="AA527">
            <v>2.7314999999999999E-2</v>
          </cell>
          <cell r="AB527">
            <v>2.7999999999999997E-2</v>
          </cell>
          <cell r="AC527">
            <v>2.8900000000000002E-2</v>
          </cell>
        </row>
        <row r="528">
          <cell r="T528">
            <v>39362</v>
          </cell>
          <cell r="U528">
            <v>2.2189999999999998E-2</v>
          </cell>
          <cell r="V528">
            <v>2.3479999999999997E-2</v>
          </cell>
          <cell r="W528">
            <v>2.3550000000000001E-2</v>
          </cell>
          <cell r="X528">
            <v>2.4300000000000002E-2</v>
          </cell>
          <cell r="Y528">
            <v>2.4799999999999999E-2</v>
          </cell>
          <cell r="Z528">
            <v>2.5499999999999998E-2</v>
          </cell>
          <cell r="AA528">
            <v>2.6150000000000003E-2</v>
          </cell>
          <cell r="AB528">
            <v>2.6699999999999998E-2</v>
          </cell>
          <cell r="AC528">
            <v>2.7900000000000001E-2</v>
          </cell>
        </row>
        <row r="529">
          <cell r="T529">
            <v>39361</v>
          </cell>
          <cell r="U529">
            <v>2.2189999999999998E-2</v>
          </cell>
          <cell r="V529">
            <v>2.3479999999999997E-2</v>
          </cell>
          <cell r="W529">
            <v>2.3550000000000001E-2</v>
          </cell>
          <cell r="X529">
            <v>2.4300000000000002E-2</v>
          </cell>
          <cell r="Y529">
            <v>2.4799999999999999E-2</v>
          </cell>
          <cell r="Z529">
            <v>2.5499999999999998E-2</v>
          </cell>
          <cell r="AA529">
            <v>2.6150000000000003E-2</v>
          </cell>
          <cell r="AB529">
            <v>2.6699999999999998E-2</v>
          </cell>
          <cell r="AC529">
            <v>2.7900000000000001E-2</v>
          </cell>
        </row>
        <row r="530">
          <cell r="T530">
            <v>39360</v>
          </cell>
          <cell r="U530">
            <v>2.2189999999999998E-2</v>
          </cell>
          <cell r="V530">
            <v>2.3479999999999997E-2</v>
          </cell>
          <cell r="W530">
            <v>2.3550000000000001E-2</v>
          </cell>
          <cell r="X530">
            <v>2.4300000000000002E-2</v>
          </cell>
          <cell r="Y530">
            <v>2.4799999999999999E-2</v>
          </cell>
          <cell r="Z530">
            <v>2.5499999999999998E-2</v>
          </cell>
          <cell r="AA530">
            <v>2.6150000000000003E-2</v>
          </cell>
          <cell r="AB530">
            <v>2.6699999999999998E-2</v>
          </cell>
          <cell r="AC530">
            <v>2.7900000000000001E-2</v>
          </cell>
        </row>
        <row r="531">
          <cell r="T531">
            <v>39359</v>
          </cell>
          <cell r="U531">
            <v>2.2189999999999998E-2</v>
          </cell>
          <cell r="V531">
            <v>2.3479999999999997E-2</v>
          </cell>
          <cell r="W531">
            <v>2.3700000000000002E-2</v>
          </cell>
          <cell r="X531">
            <v>2.4500000000000001E-2</v>
          </cell>
          <cell r="Y531">
            <v>2.5149999999999995E-2</v>
          </cell>
          <cell r="Z531">
            <v>2.5999999999999995E-2</v>
          </cell>
          <cell r="AA531">
            <v>2.6550000000000004E-2</v>
          </cell>
          <cell r="AB531">
            <v>2.7400000000000001E-2</v>
          </cell>
          <cell r="AC531">
            <v>2.8149999999999998E-2</v>
          </cell>
        </row>
        <row r="532">
          <cell r="T532">
            <v>39358</v>
          </cell>
          <cell r="U532">
            <v>2.2189999999999998E-2</v>
          </cell>
          <cell r="V532">
            <v>2.3479999999999997E-2</v>
          </cell>
          <cell r="W532">
            <v>2.3700000000000002E-2</v>
          </cell>
          <cell r="X532">
            <v>2.4524999999999998E-2</v>
          </cell>
          <cell r="Y532">
            <v>2.5099999999999997E-2</v>
          </cell>
          <cell r="Z532">
            <v>2.58E-2</v>
          </cell>
          <cell r="AA532">
            <v>2.6425000000000001E-2</v>
          </cell>
          <cell r="AB532">
            <v>2.7300000000000001E-2</v>
          </cell>
          <cell r="AC532">
            <v>2.7900000000000001E-2</v>
          </cell>
        </row>
        <row r="533">
          <cell r="T533">
            <v>39357</v>
          </cell>
          <cell r="U533">
            <v>2.223E-2</v>
          </cell>
          <cell r="V533">
            <v>2.3620000000000002E-2</v>
          </cell>
          <cell r="W533">
            <v>2.3449999999999999E-2</v>
          </cell>
          <cell r="X533">
            <v>2.4199999999999999E-2</v>
          </cell>
          <cell r="Y533">
            <v>2.4900000000000002E-2</v>
          </cell>
          <cell r="Z533">
            <v>2.5399999999999999E-2</v>
          </cell>
          <cell r="AA533">
            <v>2.5999999999999995E-2</v>
          </cell>
          <cell r="AB533">
            <v>2.6849999999999999E-2</v>
          </cell>
          <cell r="AC533">
            <v>2.76E-2</v>
          </cell>
        </row>
        <row r="534">
          <cell r="T534">
            <v>39356</v>
          </cell>
          <cell r="U534">
            <v>2.223E-2</v>
          </cell>
          <cell r="V534">
            <v>2.3570000000000001E-2</v>
          </cell>
          <cell r="W534">
            <v>2.3600000000000003E-2</v>
          </cell>
          <cell r="X534">
            <v>2.4450000000000003E-2</v>
          </cell>
          <cell r="Y534">
            <v>2.4800000000000003E-2</v>
          </cell>
          <cell r="Z534">
            <v>2.5699999999999997E-2</v>
          </cell>
          <cell r="AA534">
            <v>2.6450000000000001E-2</v>
          </cell>
          <cell r="AB534">
            <v>2.6900000000000004E-2</v>
          </cell>
          <cell r="AC534">
            <v>2.7999999999999997E-2</v>
          </cell>
        </row>
        <row r="535">
          <cell r="T535">
            <v>39355</v>
          </cell>
          <cell r="U535">
            <v>2.2120000000000001E-2</v>
          </cell>
          <cell r="V535">
            <v>2.3460000000000002E-2</v>
          </cell>
          <cell r="W535">
            <v>2.3349999999999999E-2</v>
          </cell>
          <cell r="X535">
            <v>2.3949999999999999E-2</v>
          </cell>
          <cell r="Y535">
            <v>2.4450000000000003E-2</v>
          </cell>
          <cell r="Z535">
            <v>2.5150000000000002E-2</v>
          </cell>
          <cell r="AA535">
            <v>2.5750000000000002E-2</v>
          </cell>
          <cell r="AB535">
            <v>2.6339999999999999E-2</v>
          </cell>
          <cell r="AC535">
            <v>2.724E-2</v>
          </cell>
        </row>
        <row r="536">
          <cell r="T536">
            <v>39354</v>
          </cell>
          <cell r="U536">
            <v>2.2120000000000001E-2</v>
          </cell>
          <cell r="V536">
            <v>2.3460000000000002E-2</v>
          </cell>
          <cell r="W536">
            <v>2.3349999999999999E-2</v>
          </cell>
          <cell r="X536">
            <v>2.3949999999999999E-2</v>
          </cell>
          <cell r="Y536">
            <v>2.4450000000000003E-2</v>
          </cell>
          <cell r="Z536">
            <v>2.5150000000000002E-2</v>
          </cell>
          <cell r="AA536">
            <v>2.5750000000000002E-2</v>
          </cell>
          <cell r="AB536">
            <v>2.6339999999999999E-2</v>
          </cell>
          <cell r="AC536">
            <v>2.724E-2</v>
          </cell>
        </row>
        <row r="537">
          <cell r="T537">
            <v>39353</v>
          </cell>
          <cell r="U537">
            <v>2.2069999999999999E-2</v>
          </cell>
          <cell r="V537">
            <v>2.342E-2</v>
          </cell>
          <cell r="W537">
            <v>2.3349999999999999E-2</v>
          </cell>
          <cell r="X537">
            <v>2.3975E-2</v>
          </cell>
          <cell r="Y537">
            <v>2.4500000000000001E-2</v>
          </cell>
          <cell r="Z537">
            <v>2.52E-2</v>
          </cell>
          <cell r="AA537">
            <v>2.5789999999999997E-2</v>
          </cell>
          <cell r="AB537">
            <v>2.649E-2</v>
          </cell>
          <cell r="AC537">
            <v>2.7424999999999998E-2</v>
          </cell>
        </row>
        <row r="538">
          <cell r="T538">
            <v>39352</v>
          </cell>
          <cell r="U538">
            <v>2.2170000000000002E-2</v>
          </cell>
          <cell r="V538">
            <v>2.3530000000000002E-2</v>
          </cell>
          <cell r="W538">
            <v>2.3300000000000001E-2</v>
          </cell>
          <cell r="X538">
            <v>2.4050000000000002E-2</v>
          </cell>
          <cell r="Y538">
            <v>2.4649999999999998E-2</v>
          </cell>
          <cell r="Z538">
            <v>2.545E-2</v>
          </cell>
          <cell r="AA538">
            <v>2.6000000000000002E-2</v>
          </cell>
          <cell r="AB538">
            <v>2.6849999999999999E-2</v>
          </cell>
          <cell r="AC538">
            <v>2.7649999999999997E-2</v>
          </cell>
        </row>
        <row r="539">
          <cell r="T539">
            <v>39351</v>
          </cell>
          <cell r="U539">
            <v>2.223E-2</v>
          </cell>
          <cell r="V539">
            <v>2.3690000000000003E-2</v>
          </cell>
          <cell r="W539">
            <v>2.3250000000000003E-2</v>
          </cell>
          <cell r="X539">
            <v>2.3849999999999996E-2</v>
          </cell>
          <cell r="Y539">
            <v>2.4399999999999998E-2</v>
          </cell>
          <cell r="Z539">
            <v>2.5099999999999997E-2</v>
          </cell>
          <cell r="AA539">
            <v>2.5700000000000004E-2</v>
          </cell>
          <cell r="AB539">
            <v>2.6450000000000001E-2</v>
          </cell>
          <cell r="AC539">
            <v>2.75E-2</v>
          </cell>
        </row>
        <row r="540">
          <cell r="T540">
            <v>39350</v>
          </cell>
          <cell r="U540">
            <v>2.2339999999999999E-2</v>
          </cell>
          <cell r="V540">
            <v>2.3730000000000001E-2</v>
          </cell>
          <cell r="W540">
            <v>2.2599999999999999E-2</v>
          </cell>
          <cell r="X540">
            <v>2.2949999999999998E-2</v>
          </cell>
          <cell r="Y540">
            <v>2.3300000000000001E-2</v>
          </cell>
          <cell r="Z540">
            <v>2.3849999999999996E-2</v>
          </cell>
          <cell r="AA540">
            <v>2.4299999999999999E-2</v>
          </cell>
          <cell r="AB540">
            <v>2.495E-2</v>
          </cell>
          <cell r="AC540">
            <v>2.5975000000000002E-2</v>
          </cell>
        </row>
        <row r="541">
          <cell r="T541">
            <v>39349</v>
          </cell>
          <cell r="U541">
            <v>2.2339999999999999E-2</v>
          </cell>
          <cell r="V541">
            <v>2.3730000000000001E-2</v>
          </cell>
          <cell r="W541">
            <v>2.2599999999999999E-2</v>
          </cell>
          <cell r="X541">
            <v>2.2949999999999998E-2</v>
          </cell>
          <cell r="Y541">
            <v>2.3300000000000001E-2</v>
          </cell>
          <cell r="Z541">
            <v>2.3849999999999996E-2</v>
          </cell>
          <cell r="AA541">
            <v>2.4299999999999999E-2</v>
          </cell>
          <cell r="AB541">
            <v>2.495E-2</v>
          </cell>
          <cell r="AC541">
            <v>2.5975000000000002E-2</v>
          </cell>
        </row>
        <row r="542">
          <cell r="T542">
            <v>39348</v>
          </cell>
          <cell r="U542">
            <v>2.2339999999999999E-2</v>
          </cell>
          <cell r="V542">
            <v>2.3730000000000001E-2</v>
          </cell>
          <cell r="W542">
            <v>2.2599999999999999E-2</v>
          </cell>
          <cell r="X542">
            <v>2.2949999999999998E-2</v>
          </cell>
          <cell r="Y542">
            <v>2.3300000000000001E-2</v>
          </cell>
          <cell r="Z542">
            <v>2.3849999999999996E-2</v>
          </cell>
          <cell r="AA542">
            <v>2.4299999999999999E-2</v>
          </cell>
          <cell r="AB542">
            <v>2.495E-2</v>
          </cell>
          <cell r="AC542">
            <v>2.5975000000000002E-2</v>
          </cell>
        </row>
        <row r="543">
          <cell r="T543">
            <v>39347</v>
          </cell>
          <cell r="U543">
            <v>2.2339999999999999E-2</v>
          </cell>
          <cell r="V543">
            <v>2.3730000000000001E-2</v>
          </cell>
          <cell r="W543">
            <v>2.2599999999999999E-2</v>
          </cell>
          <cell r="X543">
            <v>2.2949999999999998E-2</v>
          </cell>
          <cell r="Y543">
            <v>2.3300000000000001E-2</v>
          </cell>
          <cell r="Z543">
            <v>2.3849999999999996E-2</v>
          </cell>
          <cell r="AA543">
            <v>2.4299999999999999E-2</v>
          </cell>
          <cell r="AB543">
            <v>2.495E-2</v>
          </cell>
          <cell r="AC543">
            <v>2.5975000000000002E-2</v>
          </cell>
        </row>
        <row r="544">
          <cell r="T544">
            <v>39346</v>
          </cell>
          <cell r="U544">
            <v>2.2339999999999999E-2</v>
          </cell>
          <cell r="V544">
            <v>2.3730000000000001E-2</v>
          </cell>
          <cell r="W544">
            <v>2.2599999999999999E-2</v>
          </cell>
          <cell r="X544">
            <v>2.2949999999999998E-2</v>
          </cell>
          <cell r="Y544">
            <v>2.3300000000000001E-2</v>
          </cell>
          <cell r="Z544">
            <v>2.3849999999999996E-2</v>
          </cell>
          <cell r="AA544">
            <v>2.4299999999999999E-2</v>
          </cell>
          <cell r="AB544">
            <v>2.495E-2</v>
          </cell>
          <cell r="AC544">
            <v>2.5975000000000002E-2</v>
          </cell>
        </row>
        <row r="545">
          <cell r="T545">
            <v>39345</v>
          </cell>
          <cell r="U545">
            <v>2.2000000000000002E-2</v>
          </cell>
          <cell r="V545">
            <v>2.3479999999999997E-2</v>
          </cell>
          <cell r="W545">
            <v>2.2550000000000001E-2</v>
          </cell>
          <cell r="X545">
            <v>2.2850000000000002E-2</v>
          </cell>
          <cell r="Y545">
            <v>2.3199999999999998E-2</v>
          </cell>
          <cell r="Z545">
            <v>2.3799999999999998E-2</v>
          </cell>
          <cell r="AA545">
            <v>2.4249999999999997E-2</v>
          </cell>
          <cell r="AB545">
            <v>2.5000000000000001E-2</v>
          </cell>
          <cell r="AC545">
            <v>2.5925000000000004E-2</v>
          </cell>
        </row>
        <row r="546">
          <cell r="T546">
            <v>39344</v>
          </cell>
          <cell r="U546">
            <v>2.2040000000000001E-2</v>
          </cell>
          <cell r="V546">
            <v>2.3530000000000002E-2</v>
          </cell>
          <cell r="W546">
            <v>2.2350000000000002E-2</v>
          </cell>
          <cell r="X546">
            <v>2.2749999999999999E-2</v>
          </cell>
          <cell r="Y546">
            <v>2.3049999999999998E-2</v>
          </cell>
          <cell r="Z546">
            <v>2.3600000000000003E-2</v>
          </cell>
          <cell r="AA546">
            <v>2.4050000000000002E-2</v>
          </cell>
          <cell r="AB546">
            <v>2.4799999999999999E-2</v>
          </cell>
          <cell r="AC546">
            <v>2.5600000000000001E-2</v>
          </cell>
        </row>
        <row r="547">
          <cell r="T547">
            <v>39343</v>
          </cell>
          <cell r="U547">
            <v>2.2090000000000002E-2</v>
          </cell>
          <cell r="V547">
            <v>2.3559999999999998E-2</v>
          </cell>
          <cell r="W547">
            <v>2.2699999999999994E-2</v>
          </cell>
          <cell r="X547">
            <v>2.2949999999999998E-2</v>
          </cell>
          <cell r="Y547">
            <v>2.3349999999999999E-2</v>
          </cell>
          <cell r="Z547">
            <v>2.3799999999999998E-2</v>
          </cell>
          <cell r="AA547">
            <v>2.4375000000000001E-2</v>
          </cell>
          <cell r="AB547">
            <v>2.5174999999999999E-2</v>
          </cell>
          <cell r="AC547">
            <v>2.5825000000000001E-2</v>
          </cell>
        </row>
        <row r="548">
          <cell r="T548">
            <v>39342</v>
          </cell>
          <cell r="U548">
            <v>2.2090000000000002E-2</v>
          </cell>
          <cell r="V548">
            <v>2.3559999999999998E-2</v>
          </cell>
          <cell r="W548">
            <v>2.2699999999999994E-2</v>
          </cell>
          <cell r="X548">
            <v>2.2949999999999998E-2</v>
          </cell>
          <cell r="Y548">
            <v>2.3349999999999999E-2</v>
          </cell>
          <cell r="Z548">
            <v>2.3799999999999998E-2</v>
          </cell>
          <cell r="AA548">
            <v>2.4375000000000001E-2</v>
          </cell>
          <cell r="AB548">
            <v>2.5174999999999999E-2</v>
          </cell>
          <cell r="AC548">
            <v>2.5825000000000001E-2</v>
          </cell>
        </row>
        <row r="549">
          <cell r="T549">
            <v>39341</v>
          </cell>
          <cell r="U549">
            <v>2.1850000000000001E-2</v>
          </cell>
          <cell r="V549">
            <v>2.3370000000000002E-2</v>
          </cell>
          <cell r="W549">
            <v>2.2599999999999999E-2</v>
          </cell>
          <cell r="X549">
            <v>2.3E-2</v>
          </cell>
          <cell r="Y549">
            <v>2.3250000000000003E-2</v>
          </cell>
          <cell r="Z549">
            <v>2.3700000000000002E-2</v>
          </cell>
          <cell r="AA549">
            <v>2.4249999999999997E-2</v>
          </cell>
          <cell r="AB549">
            <v>2.495E-2</v>
          </cell>
          <cell r="AC549">
            <v>2.5649999999999999E-2</v>
          </cell>
        </row>
        <row r="550">
          <cell r="T550">
            <v>39340</v>
          </cell>
          <cell r="U550">
            <v>2.1850000000000001E-2</v>
          </cell>
          <cell r="V550">
            <v>2.3370000000000002E-2</v>
          </cell>
          <cell r="W550">
            <v>2.2599999999999999E-2</v>
          </cell>
          <cell r="X550">
            <v>2.3E-2</v>
          </cell>
          <cell r="Y550">
            <v>2.3250000000000003E-2</v>
          </cell>
          <cell r="Z550">
            <v>2.3700000000000002E-2</v>
          </cell>
          <cell r="AA550">
            <v>2.4249999999999997E-2</v>
          </cell>
          <cell r="AB550">
            <v>2.495E-2</v>
          </cell>
          <cell r="AC550">
            <v>2.5649999999999999E-2</v>
          </cell>
        </row>
        <row r="551">
          <cell r="T551">
            <v>39339</v>
          </cell>
          <cell r="U551">
            <v>2.1850000000000001E-2</v>
          </cell>
          <cell r="V551">
            <v>2.3370000000000002E-2</v>
          </cell>
          <cell r="W551">
            <v>2.2599999999999999E-2</v>
          </cell>
          <cell r="X551">
            <v>2.3E-2</v>
          </cell>
          <cell r="Y551">
            <v>2.3250000000000003E-2</v>
          </cell>
          <cell r="Z551">
            <v>2.3700000000000002E-2</v>
          </cell>
          <cell r="AA551">
            <v>2.4249999999999997E-2</v>
          </cell>
          <cell r="AB551">
            <v>2.495E-2</v>
          </cell>
          <cell r="AC551">
            <v>2.5649999999999999E-2</v>
          </cell>
        </row>
        <row r="552">
          <cell r="T552">
            <v>39338</v>
          </cell>
          <cell r="U552">
            <v>2.1940000000000001E-2</v>
          </cell>
          <cell r="V552">
            <v>2.3319999999999997E-2</v>
          </cell>
          <cell r="W552">
            <v>2.2374999999999999E-2</v>
          </cell>
          <cell r="X552">
            <v>2.2550000000000001E-2</v>
          </cell>
          <cell r="Y552">
            <v>2.29E-2</v>
          </cell>
          <cell r="Z552">
            <v>2.3349999999999999E-2</v>
          </cell>
          <cell r="AA552">
            <v>2.3825000000000002E-2</v>
          </cell>
          <cell r="AB552">
            <v>2.46E-2</v>
          </cell>
          <cell r="AC552">
            <v>2.5399999999999999E-2</v>
          </cell>
        </row>
        <row r="553">
          <cell r="T553">
            <v>39337</v>
          </cell>
          <cell r="U553">
            <v>2.2069999999999999E-2</v>
          </cell>
          <cell r="V553">
            <v>2.3479999999999997E-2</v>
          </cell>
          <cell r="W553">
            <v>2.2300000000000004E-2</v>
          </cell>
          <cell r="X553">
            <v>2.2499999999999999E-2</v>
          </cell>
          <cell r="Y553">
            <v>2.2799999999999997E-2</v>
          </cell>
          <cell r="Z553">
            <v>2.3349999999999999E-2</v>
          </cell>
          <cell r="AA553">
            <v>2.3700000000000002E-2</v>
          </cell>
          <cell r="AB553">
            <v>2.4299999999999999E-2</v>
          </cell>
          <cell r="AC553">
            <v>2.5249999999999998E-2</v>
          </cell>
        </row>
        <row r="554">
          <cell r="T554">
            <v>39336</v>
          </cell>
          <cell r="U554">
            <v>2.1930000000000002E-2</v>
          </cell>
          <cell r="V554">
            <v>2.349E-2</v>
          </cell>
          <cell r="W554">
            <v>2.23E-2</v>
          </cell>
          <cell r="X554">
            <v>2.2450000000000001E-2</v>
          </cell>
          <cell r="Y554">
            <v>2.2799999999999997E-2</v>
          </cell>
          <cell r="Z554">
            <v>2.3349999999999999E-2</v>
          </cell>
          <cell r="AA554">
            <v>2.3650000000000001E-2</v>
          </cell>
          <cell r="AB554">
            <v>2.4450000000000003E-2</v>
          </cell>
          <cell r="AC554">
            <v>2.545E-2</v>
          </cell>
        </row>
        <row r="555">
          <cell r="T555">
            <v>39335</v>
          </cell>
          <cell r="U555">
            <v>2.1930000000000002E-2</v>
          </cell>
          <cell r="V555">
            <v>2.3370000000000002E-2</v>
          </cell>
          <cell r="W555">
            <v>2.215E-2</v>
          </cell>
          <cell r="X555">
            <v>2.2450000000000001E-2</v>
          </cell>
          <cell r="Y555">
            <v>2.2700000000000001E-2</v>
          </cell>
          <cell r="Z555">
            <v>2.3199999999999998E-2</v>
          </cell>
          <cell r="AA555">
            <v>2.3700000000000002E-2</v>
          </cell>
          <cell r="AB555">
            <v>2.4299999999999999E-2</v>
          </cell>
          <cell r="AC555">
            <v>2.5499999999999998E-2</v>
          </cell>
        </row>
        <row r="556">
          <cell r="T556">
            <v>39334</v>
          </cell>
          <cell r="U556">
            <v>2.205E-2</v>
          </cell>
          <cell r="V556">
            <v>2.3460000000000002E-2</v>
          </cell>
          <cell r="W556">
            <v>2.2824999999999998E-2</v>
          </cell>
          <cell r="X556">
            <v>2.315E-2</v>
          </cell>
          <cell r="Y556">
            <v>2.3799999999999998E-2</v>
          </cell>
          <cell r="Z556">
            <v>2.435E-2</v>
          </cell>
          <cell r="AA556">
            <v>2.4750000000000001E-2</v>
          </cell>
          <cell r="AB556">
            <v>2.5599999999999998E-2</v>
          </cell>
          <cell r="AC556">
            <v>2.6500000000000003E-2</v>
          </cell>
        </row>
        <row r="557">
          <cell r="T557">
            <v>39333</v>
          </cell>
          <cell r="U557">
            <v>2.205E-2</v>
          </cell>
          <cell r="V557">
            <v>2.3460000000000002E-2</v>
          </cell>
          <cell r="W557">
            <v>2.2824999999999998E-2</v>
          </cell>
          <cell r="X557">
            <v>2.315E-2</v>
          </cell>
          <cell r="Y557">
            <v>2.3799999999999998E-2</v>
          </cell>
          <cell r="Z557">
            <v>2.435E-2</v>
          </cell>
          <cell r="AA557">
            <v>2.4750000000000001E-2</v>
          </cell>
          <cell r="AB557">
            <v>2.5599999999999998E-2</v>
          </cell>
          <cell r="AC557">
            <v>2.6500000000000003E-2</v>
          </cell>
        </row>
        <row r="558">
          <cell r="T558">
            <v>39332</v>
          </cell>
          <cell r="U558">
            <v>2.205E-2</v>
          </cell>
          <cell r="V558">
            <v>2.3460000000000002E-2</v>
          </cell>
          <cell r="W558">
            <v>2.2824999999999998E-2</v>
          </cell>
          <cell r="X558">
            <v>2.315E-2</v>
          </cell>
          <cell r="Y558">
            <v>2.3799999999999998E-2</v>
          </cell>
          <cell r="Z558">
            <v>2.435E-2</v>
          </cell>
          <cell r="AA558">
            <v>2.4750000000000001E-2</v>
          </cell>
          <cell r="AB558">
            <v>2.5599999999999998E-2</v>
          </cell>
          <cell r="AC558">
            <v>2.6500000000000003E-2</v>
          </cell>
        </row>
        <row r="559">
          <cell r="T559">
            <v>39331</v>
          </cell>
          <cell r="U559">
            <v>2.2170000000000002E-2</v>
          </cell>
          <cell r="V559">
            <v>2.3570000000000001E-2</v>
          </cell>
          <cell r="W559">
            <v>2.29E-2</v>
          </cell>
          <cell r="X559">
            <v>2.3300000000000001E-2</v>
          </cell>
          <cell r="Y559">
            <v>2.3849999999999996E-2</v>
          </cell>
          <cell r="Z559">
            <v>2.4424999999999999E-2</v>
          </cell>
          <cell r="AA559">
            <v>2.4900000000000002E-2</v>
          </cell>
          <cell r="AB559">
            <v>2.5750000000000002E-2</v>
          </cell>
          <cell r="AC559">
            <v>2.6500000000000003E-2</v>
          </cell>
        </row>
        <row r="560">
          <cell r="T560">
            <v>39330</v>
          </cell>
          <cell r="U560">
            <v>2.222E-2</v>
          </cell>
          <cell r="V560">
            <v>2.3629999999999998E-2</v>
          </cell>
          <cell r="W560">
            <v>2.2599999999999999E-2</v>
          </cell>
          <cell r="X560">
            <v>2.3300000000000001E-2</v>
          </cell>
          <cell r="Y560">
            <v>2.3650000000000001E-2</v>
          </cell>
          <cell r="Z560">
            <v>2.4249999999999997E-2</v>
          </cell>
          <cell r="AA560">
            <v>2.4900000000000002E-2</v>
          </cell>
          <cell r="AB560">
            <v>2.5399999999999999E-2</v>
          </cell>
          <cell r="AC560">
            <v>2.6450000000000001E-2</v>
          </cell>
        </row>
        <row r="561">
          <cell r="T561">
            <v>39329</v>
          </cell>
          <cell r="U561">
            <v>2.222E-2</v>
          </cell>
          <cell r="V561">
            <v>2.3650000000000001E-2</v>
          </cell>
          <cell r="W561">
            <v>2.2850000000000002E-2</v>
          </cell>
          <cell r="X561">
            <v>2.3399999999999997E-2</v>
          </cell>
          <cell r="Y561">
            <v>2.3700000000000002E-2</v>
          </cell>
          <cell r="Z561">
            <v>2.4249999999999997E-2</v>
          </cell>
          <cell r="AA561">
            <v>2.4550000000000002E-2</v>
          </cell>
          <cell r="AB561">
            <v>2.5499999999999998E-2</v>
          </cell>
          <cell r="AC561">
            <v>2.6500000000000003E-2</v>
          </cell>
        </row>
        <row r="562">
          <cell r="T562">
            <v>39328</v>
          </cell>
          <cell r="U562">
            <v>2.213E-2</v>
          </cell>
          <cell r="V562">
            <v>2.367E-2</v>
          </cell>
          <cell r="W562">
            <v>2.2799999999999997E-2</v>
          </cell>
          <cell r="X562">
            <v>2.3349999999999999E-2</v>
          </cell>
          <cell r="Y562">
            <v>2.3949999999999999E-2</v>
          </cell>
          <cell r="Z562">
            <v>2.4500000000000001E-2</v>
          </cell>
          <cell r="AA562">
            <v>2.4849999999999997E-2</v>
          </cell>
          <cell r="AB562">
            <v>2.5700000000000004E-2</v>
          </cell>
          <cell r="AC562">
            <v>2.6399999999999996E-2</v>
          </cell>
        </row>
        <row r="563">
          <cell r="T563">
            <v>39327</v>
          </cell>
          <cell r="U563">
            <v>2.2179999999999998E-2</v>
          </cell>
          <cell r="V563">
            <v>2.366E-2</v>
          </cell>
          <cell r="W563">
            <v>2.3E-2</v>
          </cell>
          <cell r="X563">
            <v>2.3449999999999999E-2</v>
          </cell>
          <cell r="Y563">
            <v>2.4E-2</v>
          </cell>
          <cell r="Z563">
            <v>2.4699999999999996E-2</v>
          </cell>
          <cell r="AA563">
            <v>2.5099999999999997E-2</v>
          </cell>
          <cell r="AB563">
            <v>2.5750000000000002E-2</v>
          </cell>
          <cell r="AC563">
            <v>2.6699999999999998E-2</v>
          </cell>
        </row>
        <row r="564">
          <cell r="T564">
            <v>39326</v>
          </cell>
          <cell r="U564">
            <v>2.2179999999999998E-2</v>
          </cell>
          <cell r="V564">
            <v>2.366E-2</v>
          </cell>
          <cell r="W564">
            <v>2.3E-2</v>
          </cell>
          <cell r="X564">
            <v>2.3449999999999999E-2</v>
          </cell>
          <cell r="Y564">
            <v>2.4E-2</v>
          </cell>
          <cell r="Z564">
            <v>2.4699999999999996E-2</v>
          </cell>
          <cell r="AA564">
            <v>2.5099999999999997E-2</v>
          </cell>
          <cell r="AB564">
            <v>2.5750000000000002E-2</v>
          </cell>
          <cell r="AC564">
            <v>2.6699999999999998E-2</v>
          </cell>
        </row>
        <row r="565">
          <cell r="T565">
            <v>39325</v>
          </cell>
          <cell r="U565">
            <v>2.2179999999999998E-2</v>
          </cell>
          <cell r="V565">
            <v>2.366E-2</v>
          </cell>
          <cell r="W565">
            <v>2.3E-2</v>
          </cell>
          <cell r="X565">
            <v>2.3449999999999999E-2</v>
          </cell>
          <cell r="Y565">
            <v>2.4E-2</v>
          </cell>
          <cell r="Z565">
            <v>2.4699999999999996E-2</v>
          </cell>
          <cell r="AA565">
            <v>2.5099999999999997E-2</v>
          </cell>
          <cell r="AB565">
            <v>2.5750000000000002E-2</v>
          </cell>
          <cell r="AC565">
            <v>2.6699999999999998E-2</v>
          </cell>
        </row>
        <row r="566">
          <cell r="T566">
            <v>39324</v>
          </cell>
          <cell r="U566">
            <v>2.2109999999999998E-2</v>
          </cell>
          <cell r="V566">
            <v>2.3559999999999998E-2</v>
          </cell>
          <cell r="W566">
            <v>2.2749999999999999E-2</v>
          </cell>
          <cell r="X566">
            <v>2.3E-2</v>
          </cell>
          <cell r="Y566">
            <v>2.3449999999999999E-2</v>
          </cell>
          <cell r="Z566">
            <v>2.41E-2</v>
          </cell>
          <cell r="AA566">
            <v>2.4450000000000003E-2</v>
          </cell>
          <cell r="AB566">
            <v>2.5149999999999995E-2</v>
          </cell>
          <cell r="AC566">
            <v>2.6100000000000002E-2</v>
          </cell>
        </row>
        <row r="567">
          <cell r="T567">
            <v>39323</v>
          </cell>
          <cell r="U567">
            <v>2.2109999999999998E-2</v>
          </cell>
          <cell r="V567">
            <v>2.3559999999999998E-2</v>
          </cell>
          <cell r="W567">
            <v>2.265E-2</v>
          </cell>
          <cell r="X567">
            <v>2.29E-2</v>
          </cell>
          <cell r="Y567">
            <v>2.3349999999999999E-2</v>
          </cell>
          <cell r="Z567">
            <v>2.3849999999999996E-2</v>
          </cell>
          <cell r="AA567">
            <v>2.4249999999999997E-2</v>
          </cell>
          <cell r="AB567">
            <v>2.4900000000000002E-2</v>
          </cell>
          <cell r="AC567">
            <v>2.5849999999999998E-2</v>
          </cell>
        </row>
        <row r="568">
          <cell r="T568">
            <v>39322</v>
          </cell>
          <cell r="U568">
            <v>2.223E-2</v>
          </cell>
          <cell r="V568">
            <v>2.3709999999999998E-2</v>
          </cell>
          <cell r="W568">
            <v>2.2700000000000001E-2</v>
          </cell>
          <cell r="X568">
            <v>2.2949999999999998E-2</v>
          </cell>
          <cell r="Y568">
            <v>2.3449999999999999E-2</v>
          </cell>
          <cell r="Z568">
            <v>2.3949999999999999E-2</v>
          </cell>
          <cell r="AA568">
            <v>2.435E-2</v>
          </cell>
          <cell r="AB568">
            <v>2.5000000000000001E-2</v>
          </cell>
          <cell r="AC568">
            <v>2.6249999999999999E-2</v>
          </cell>
        </row>
        <row r="569">
          <cell r="T569">
            <v>39321</v>
          </cell>
          <cell r="U569">
            <v>2.2179999999999998E-2</v>
          </cell>
          <cell r="V569">
            <v>2.366E-2</v>
          </cell>
          <cell r="W569">
            <v>2.2649999999999997E-2</v>
          </cell>
          <cell r="X569">
            <v>2.315E-2</v>
          </cell>
          <cell r="Y569">
            <v>2.3449999999999999E-2</v>
          </cell>
          <cell r="Z569">
            <v>2.4050000000000002E-2</v>
          </cell>
          <cell r="AA569">
            <v>2.445E-2</v>
          </cell>
          <cell r="AB569">
            <v>2.495E-2</v>
          </cell>
          <cell r="AC569">
            <v>2.605E-2</v>
          </cell>
        </row>
        <row r="570">
          <cell r="T570">
            <v>39320</v>
          </cell>
          <cell r="U570">
            <v>2.2160000000000003E-2</v>
          </cell>
          <cell r="V570">
            <v>2.3879999999999998E-2</v>
          </cell>
          <cell r="W570">
            <v>2.2550000000000001E-2</v>
          </cell>
          <cell r="X570">
            <v>2.2700000000000001E-2</v>
          </cell>
          <cell r="Y570">
            <v>2.3099999999999996E-2</v>
          </cell>
          <cell r="Z570">
            <v>2.3550000000000001E-2</v>
          </cell>
          <cell r="AA570">
            <v>2.3899999999999998E-2</v>
          </cell>
          <cell r="AB570">
            <v>2.4450000000000003E-2</v>
          </cell>
          <cell r="AC570">
            <v>2.53E-2</v>
          </cell>
        </row>
        <row r="571">
          <cell r="T571">
            <v>39319</v>
          </cell>
          <cell r="U571">
            <v>2.2160000000000003E-2</v>
          </cell>
          <cell r="V571">
            <v>2.3879999999999998E-2</v>
          </cell>
          <cell r="W571">
            <v>2.2550000000000001E-2</v>
          </cell>
          <cell r="X571">
            <v>2.2700000000000001E-2</v>
          </cell>
          <cell r="Y571">
            <v>2.3099999999999996E-2</v>
          </cell>
          <cell r="Z571">
            <v>2.3550000000000001E-2</v>
          </cell>
          <cell r="AA571">
            <v>2.3899999999999998E-2</v>
          </cell>
          <cell r="AB571">
            <v>2.4450000000000003E-2</v>
          </cell>
          <cell r="AC571">
            <v>2.53E-2</v>
          </cell>
        </row>
        <row r="572">
          <cell r="T572">
            <v>39318</v>
          </cell>
          <cell r="U572">
            <v>2.2160000000000003E-2</v>
          </cell>
          <cell r="V572">
            <v>2.3879999999999998E-2</v>
          </cell>
          <cell r="W572">
            <v>2.2550000000000001E-2</v>
          </cell>
          <cell r="X572">
            <v>2.2700000000000001E-2</v>
          </cell>
          <cell r="Y572">
            <v>2.3099999999999996E-2</v>
          </cell>
          <cell r="Z572">
            <v>2.3550000000000001E-2</v>
          </cell>
          <cell r="AA572">
            <v>2.3899999999999998E-2</v>
          </cell>
          <cell r="AB572">
            <v>2.4450000000000003E-2</v>
          </cell>
          <cell r="AC572">
            <v>2.53E-2</v>
          </cell>
        </row>
        <row r="573">
          <cell r="T573">
            <v>39317</v>
          </cell>
          <cell r="U573">
            <v>2.2259999999999999E-2</v>
          </cell>
          <cell r="V573">
            <v>2.3879999999999998E-2</v>
          </cell>
          <cell r="W573">
            <v>2.2400000000000003E-2</v>
          </cell>
          <cell r="X573">
            <v>2.2749999999999999E-2</v>
          </cell>
          <cell r="Y573">
            <v>2.3250000000000003E-2</v>
          </cell>
          <cell r="Z573">
            <v>2.3599999999999999E-2</v>
          </cell>
          <cell r="AA573">
            <v>2.4E-2</v>
          </cell>
          <cell r="AB573">
            <v>2.4349999999999997E-2</v>
          </cell>
          <cell r="AC573">
            <v>2.5750000000000002E-2</v>
          </cell>
        </row>
        <row r="574">
          <cell r="T574">
            <v>39316</v>
          </cell>
          <cell r="U574">
            <v>2.23E-2</v>
          </cell>
          <cell r="V574">
            <v>2.3929999999999996E-2</v>
          </cell>
          <cell r="W574">
            <v>2.2349999999999998E-2</v>
          </cell>
          <cell r="X574">
            <v>2.2600000000000002E-2</v>
          </cell>
          <cell r="Y574">
            <v>2.2850000000000002E-2</v>
          </cell>
          <cell r="Z574">
            <v>2.3250000000000003E-2</v>
          </cell>
          <cell r="AA574">
            <v>2.3550000000000001E-2</v>
          </cell>
          <cell r="AB574">
            <v>2.4150000000000001E-2</v>
          </cell>
          <cell r="AC574">
            <v>2.5199999999999997E-2</v>
          </cell>
        </row>
        <row r="575">
          <cell r="T575">
            <v>39315</v>
          </cell>
          <cell r="U575">
            <v>2.214E-2</v>
          </cell>
          <cell r="V575">
            <v>2.3910000000000001E-2</v>
          </cell>
          <cell r="W575">
            <v>2.1900000000000003E-2</v>
          </cell>
          <cell r="X575">
            <v>2.205E-2</v>
          </cell>
          <cell r="Y575">
            <v>2.2550000000000001E-2</v>
          </cell>
          <cell r="Z575">
            <v>2.2850000000000002E-2</v>
          </cell>
          <cell r="AA575">
            <v>2.3099999999999999E-2</v>
          </cell>
          <cell r="AB575">
            <v>2.375E-2</v>
          </cell>
          <cell r="AC575">
            <v>2.4699999999999996E-2</v>
          </cell>
        </row>
        <row r="576">
          <cell r="T576">
            <v>39314</v>
          </cell>
          <cell r="U576">
            <v>2.2320000000000003E-2</v>
          </cell>
          <cell r="V576">
            <v>2.3990000000000001E-2</v>
          </cell>
          <cell r="W576">
            <v>2.2350000000000002E-2</v>
          </cell>
          <cell r="X576">
            <v>2.2799999999999997E-2</v>
          </cell>
          <cell r="Y576">
            <v>2.3099999999999999E-2</v>
          </cell>
          <cell r="Z576">
            <v>2.3399999999999997E-2</v>
          </cell>
          <cell r="AA576">
            <v>2.3849999999999996E-2</v>
          </cell>
          <cell r="AB576">
            <v>2.4450000000000003E-2</v>
          </cell>
          <cell r="AC576">
            <v>2.5149999999999995E-2</v>
          </cell>
        </row>
        <row r="577">
          <cell r="T577">
            <v>39313</v>
          </cell>
          <cell r="U577">
            <v>2.239E-2</v>
          </cell>
          <cell r="V577">
            <v>2.4080000000000001E-2</v>
          </cell>
          <cell r="W577">
            <v>2.2000000000000002E-2</v>
          </cell>
          <cell r="X577">
            <v>2.2400000000000003E-2</v>
          </cell>
          <cell r="Y577">
            <v>2.2400000000000003E-2</v>
          </cell>
          <cell r="Z577">
            <v>2.2749999999999999E-2</v>
          </cell>
          <cell r="AA577">
            <v>2.3050000000000001E-2</v>
          </cell>
          <cell r="AB577">
            <v>2.375E-2</v>
          </cell>
          <cell r="AC577">
            <v>2.46E-2</v>
          </cell>
        </row>
        <row r="578">
          <cell r="T578">
            <v>39312</v>
          </cell>
          <cell r="U578">
            <v>2.239E-2</v>
          </cell>
          <cell r="V578">
            <v>2.4080000000000001E-2</v>
          </cell>
          <cell r="W578">
            <v>2.2000000000000002E-2</v>
          </cell>
          <cell r="X578">
            <v>2.2400000000000003E-2</v>
          </cell>
          <cell r="Y578">
            <v>2.2400000000000003E-2</v>
          </cell>
          <cell r="Z578">
            <v>2.2749999999999999E-2</v>
          </cell>
          <cell r="AA578">
            <v>2.3050000000000001E-2</v>
          </cell>
          <cell r="AB578">
            <v>2.375E-2</v>
          </cell>
          <cell r="AC578">
            <v>2.46E-2</v>
          </cell>
        </row>
        <row r="579">
          <cell r="T579">
            <v>39311</v>
          </cell>
          <cell r="U579">
            <v>2.239E-2</v>
          </cell>
          <cell r="V579">
            <v>2.4080000000000001E-2</v>
          </cell>
          <cell r="W579">
            <v>2.2000000000000002E-2</v>
          </cell>
          <cell r="X579">
            <v>2.2400000000000003E-2</v>
          </cell>
          <cell r="Y579">
            <v>2.2400000000000003E-2</v>
          </cell>
          <cell r="Z579">
            <v>2.2749999999999999E-2</v>
          </cell>
          <cell r="AA579">
            <v>2.3050000000000001E-2</v>
          </cell>
          <cell r="AB579">
            <v>2.375E-2</v>
          </cell>
          <cell r="AC579">
            <v>2.46E-2</v>
          </cell>
        </row>
        <row r="580">
          <cell r="T580">
            <v>39310</v>
          </cell>
          <cell r="U580">
            <v>2.257E-2</v>
          </cell>
          <cell r="V580">
            <v>2.418E-2</v>
          </cell>
          <cell r="W580">
            <v>2.2250000000000002E-2</v>
          </cell>
          <cell r="X580">
            <v>2.2450000000000001E-2</v>
          </cell>
          <cell r="Y580">
            <v>2.2499999999999999E-2</v>
          </cell>
          <cell r="Z580">
            <v>2.2749999999999999E-2</v>
          </cell>
          <cell r="AA580">
            <v>2.29E-2</v>
          </cell>
          <cell r="AB580">
            <v>2.3600000000000003E-2</v>
          </cell>
          <cell r="AC580">
            <v>2.4399999999999998E-2</v>
          </cell>
        </row>
        <row r="581">
          <cell r="T581">
            <v>39309</v>
          </cell>
          <cell r="U581">
            <v>2.2559999999999997E-2</v>
          </cell>
          <cell r="V581">
            <v>2.4129999999999999E-2</v>
          </cell>
          <cell r="W581">
            <v>2.29E-2</v>
          </cell>
          <cell r="X581">
            <v>2.2949999999999998E-2</v>
          </cell>
          <cell r="Y581">
            <v>2.3499999999999997E-2</v>
          </cell>
          <cell r="Z581">
            <v>2.3849999999999996E-2</v>
          </cell>
          <cell r="AA581">
            <v>2.41E-2</v>
          </cell>
          <cell r="AB581">
            <v>2.4850000000000004E-2</v>
          </cell>
          <cell r="AC581">
            <v>2.5549999999999996E-2</v>
          </cell>
        </row>
        <row r="582">
          <cell r="T582">
            <v>39308</v>
          </cell>
          <cell r="U582">
            <v>2.2409999999999999E-2</v>
          </cell>
          <cell r="V582">
            <v>2.4080000000000001E-2</v>
          </cell>
          <cell r="W582">
            <v>2.3349999999999999E-2</v>
          </cell>
          <cell r="X582">
            <v>2.3600000000000003E-2</v>
          </cell>
          <cell r="Y582">
            <v>2.41E-2</v>
          </cell>
          <cell r="Z582">
            <v>2.4500000000000001E-2</v>
          </cell>
          <cell r="AA582">
            <v>2.4900000000000002E-2</v>
          </cell>
          <cell r="AB582">
            <v>2.545E-2</v>
          </cell>
          <cell r="AC582">
            <v>2.6450000000000001E-2</v>
          </cell>
        </row>
        <row r="583">
          <cell r="T583">
            <v>39307</v>
          </cell>
          <cell r="U583">
            <v>2.223E-2</v>
          </cell>
          <cell r="V583">
            <v>2.3959999999999999E-2</v>
          </cell>
          <cell r="W583">
            <v>2.3200000000000002E-2</v>
          </cell>
          <cell r="X583">
            <v>2.3599999999999999E-2</v>
          </cell>
          <cell r="Y583">
            <v>2.4000000000000004E-2</v>
          </cell>
          <cell r="Z583">
            <v>2.4275000000000001E-2</v>
          </cell>
          <cell r="AA583">
            <v>2.4750000000000001E-2</v>
          </cell>
          <cell r="AB583">
            <v>2.5300000000000003E-2</v>
          </cell>
          <cell r="AC583">
            <v>2.6349999999999998E-2</v>
          </cell>
        </row>
        <row r="584">
          <cell r="T584">
            <v>39306</v>
          </cell>
          <cell r="U584">
            <v>2.2109999999999998E-2</v>
          </cell>
          <cell r="V584">
            <v>2.3879999999999998E-2</v>
          </cell>
          <cell r="W584">
            <v>2.3849999999999996E-2</v>
          </cell>
          <cell r="X584">
            <v>2.46E-2</v>
          </cell>
          <cell r="Y584">
            <v>2.495E-2</v>
          </cell>
          <cell r="Z584">
            <v>2.5350000000000001E-2</v>
          </cell>
          <cell r="AA584">
            <v>2.605E-2</v>
          </cell>
          <cell r="AB584">
            <v>2.6600000000000002E-2</v>
          </cell>
          <cell r="AC584">
            <v>2.7699999999999999E-2</v>
          </cell>
        </row>
        <row r="585">
          <cell r="T585">
            <v>39305</v>
          </cell>
          <cell r="U585">
            <v>2.2109999999999998E-2</v>
          </cell>
          <cell r="V585">
            <v>2.3879999999999998E-2</v>
          </cell>
          <cell r="W585">
            <v>2.3849999999999996E-2</v>
          </cell>
          <cell r="X585">
            <v>2.46E-2</v>
          </cell>
          <cell r="Y585">
            <v>2.495E-2</v>
          </cell>
          <cell r="Z585">
            <v>2.5350000000000001E-2</v>
          </cell>
          <cell r="AA585">
            <v>2.605E-2</v>
          </cell>
          <cell r="AB585">
            <v>2.6600000000000002E-2</v>
          </cell>
          <cell r="AC585">
            <v>2.7699999999999999E-2</v>
          </cell>
        </row>
        <row r="586">
          <cell r="T586">
            <v>39304</v>
          </cell>
          <cell r="U586">
            <v>2.2109999999999998E-2</v>
          </cell>
          <cell r="V586">
            <v>2.3879999999999998E-2</v>
          </cell>
          <cell r="W586">
            <v>2.3849999999999996E-2</v>
          </cell>
          <cell r="X586">
            <v>2.46E-2</v>
          </cell>
          <cell r="Y586">
            <v>2.495E-2</v>
          </cell>
          <cell r="Z586">
            <v>2.5350000000000001E-2</v>
          </cell>
          <cell r="AA586">
            <v>2.605E-2</v>
          </cell>
          <cell r="AB586">
            <v>2.6600000000000002E-2</v>
          </cell>
          <cell r="AC586">
            <v>2.7699999999999999E-2</v>
          </cell>
        </row>
        <row r="587">
          <cell r="T587">
            <v>39303</v>
          </cell>
          <cell r="U587">
            <v>2.2240000000000003E-2</v>
          </cell>
          <cell r="V587">
            <v>2.4009999999999997E-2</v>
          </cell>
          <cell r="W587">
            <v>2.46E-2</v>
          </cell>
          <cell r="X587">
            <v>2.5350000000000001E-2</v>
          </cell>
          <cell r="Y587">
            <v>2.5849999999999998E-2</v>
          </cell>
          <cell r="Z587">
            <v>2.6349999999999998E-2</v>
          </cell>
          <cell r="AA587">
            <v>2.6749999999999999E-2</v>
          </cell>
          <cell r="AB587">
            <v>2.75E-2</v>
          </cell>
          <cell r="AC587">
            <v>2.8650000000000002E-2</v>
          </cell>
        </row>
        <row r="588">
          <cell r="T588">
            <v>39302</v>
          </cell>
          <cell r="U588">
            <v>2.2269999999999998E-2</v>
          </cell>
          <cell r="V588">
            <v>2.3980000000000001E-2</v>
          </cell>
          <cell r="W588">
            <v>2.4300000000000002E-2</v>
          </cell>
          <cell r="X588">
            <v>2.5049999999999999E-2</v>
          </cell>
          <cell r="Y588">
            <v>2.545E-2</v>
          </cell>
          <cell r="Z588">
            <v>2.5949999999999997E-2</v>
          </cell>
          <cell r="AA588">
            <v>2.6399999999999996E-2</v>
          </cell>
          <cell r="AB588">
            <v>2.7149999999999997E-2</v>
          </cell>
          <cell r="AC588">
            <v>2.8049999999999999E-2</v>
          </cell>
        </row>
        <row r="589">
          <cell r="T589">
            <v>39301</v>
          </cell>
          <cell r="U589">
            <v>2.206E-2</v>
          </cell>
          <cell r="V589">
            <v>2.3789999999999999E-2</v>
          </cell>
          <cell r="W589">
            <v>2.4249999999999997E-2</v>
          </cell>
          <cell r="X589">
            <v>2.4799999999999999E-2</v>
          </cell>
          <cell r="Y589">
            <v>2.5249999999999998E-2</v>
          </cell>
          <cell r="Z589">
            <v>2.58E-2</v>
          </cell>
          <cell r="AA589">
            <v>2.6000000000000002E-2</v>
          </cell>
          <cell r="AB589">
            <v>2.69E-2</v>
          </cell>
          <cell r="AC589">
            <v>2.7900000000000001E-2</v>
          </cell>
        </row>
        <row r="590">
          <cell r="T590">
            <v>39300</v>
          </cell>
          <cell r="U590">
            <v>2.206E-2</v>
          </cell>
          <cell r="V590">
            <v>2.3789999999999999E-2</v>
          </cell>
          <cell r="W590">
            <v>2.4249999999999997E-2</v>
          </cell>
          <cell r="X590">
            <v>2.5049999999999999E-2</v>
          </cell>
          <cell r="Y590">
            <v>2.545E-2</v>
          </cell>
          <cell r="Z590">
            <v>2.5849999999999998E-2</v>
          </cell>
          <cell r="AA590">
            <v>2.6349999999999998E-2</v>
          </cell>
          <cell r="AB590">
            <v>2.725E-2</v>
          </cell>
          <cell r="AC590">
            <v>2.8250000000000001E-2</v>
          </cell>
        </row>
        <row r="591">
          <cell r="T591">
            <v>39299</v>
          </cell>
          <cell r="U591">
            <v>2.213E-2</v>
          </cell>
          <cell r="V591">
            <v>2.384E-2</v>
          </cell>
          <cell r="W591">
            <v>2.4550000000000002E-2</v>
          </cell>
          <cell r="X591">
            <v>2.5549999999999996E-2</v>
          </cell>
          <cell r="Y591">
            <v>2.5949999999999997E-2</v>
          </cell>
          <cell r="Z591">
            <v>2.6500000000000003E-2</v>
          </cell>
          <cell r="AA591">
            <v>2.6849999999999999E-2</v>
          </cell>
          <cell r="AB591">
            <v>2.7900000000000001E-2</v>
          </cell>
          <cell r="AC591">
            <v>2.9249999999999998E-2</v>
          </cell>
        </row>
        <row r="592">
          <cell r="T592">
            <v>39298</v>
          </cell>
          <cell r="U592">
            <v>2.213E-2</v>
          </cell>
          <cell r="V592">
            <v>2.384E-2</v>
          </cell>
          <cell r="W592">
            <v>2.4550000000000002E-2</v>
          </cell>
          <cell r="X592">
            <v>2.5549999999999996E-2</v>
          </cell>
          <cell r="Y592">
            <v>2.5949999999999997E-2</v>
          </cell>
          <cell r="Z592">
            <v>2.6500000000000003E-2</v>
          </cell>
          <cell r="AA592">
            <v>2.6849999999999999E-2</v>
          </cell>
          <cell r="AB592">
            <v>2.7900000000000001E-2</v>
          </cell>
          <cell r="AC592">
            <v>2.9249999999999998E-2</v>
          </cell>
        </row>
        <row r="593">
          <cell r="T593">
            <v>39297</v>
          </cell>
          <cell r="U593">
            <v>2.213E-2</v>
          </cell>
          <cell r="V593">
            <v>2.384E-2</v>
          </cell>
          <cell r="W593">
            <v>2.4550000000000002E-2</v>
          </cell>
          <cell r="X593">
            <v>2.5549999999999996E-2</v>
          </cell>
          <cell r="Y593">
            <v>2.5949999999999997E-2</v>
          </cell>
          <cell r="Z593">
            <v>2.6500000000000003E-2</v>
          </cell>
          <cell r="AA593">
            <v>2.6849999999999999E-2</v>
          </cell>
          <cell r="AB593">
            <v>2.7900000000000001E-2</v>
          </cell>
          <cell r="AC593">
            <v>2.9249999999999998E-2</v>
          </cell>
        </row>
        <row r="594">
          <cell r="T594">
            <v>39296</v>
          </cell>
          <cell r="U594">
            <v>2.2099999999999998E-2</v>
          </cell>
          <cell r="V594">
            <v>2.3860000000000003E-2</v>
          </cell>
          <cell r="W594">
            <v>2.4700000000000003E-2</v>
          </cell>
          <cell r="X594">
            <v>2.5549999999999996E-2</v>
          </cell>
          <cell r="Y594">
            <v>2.6150000000000003E-2</v>
          </cell>
          <cell r="Z594">
            <v>2.665E-2</v>
          </cell>
          <cell r="AA594">
            <v>2.6950000000000002E-2</v>
          </cell>
          <cell r="AB594">
            <v>2.7999999999999997E-2</v>
          </cell>
          <cell r="AC594">
            <v>2.8849999999999997E-2</v>
          </cell>
        </row>
        <row r="595">
          <cell r="T595">
            <v>39295</v>
          </cell>
          <cell r="U595">
            <v>2.2189999999999998E-2</v>
          </cell>
          <cell r="V595">
            <v>2.3889999999999998E-2</v>
          </cell>
          <cell r="W595">
            <v>2.4649999999999998E-2</v>
          </cell>
          <cell r="X595">
            <v>2.5599999999999998E-2</v>
          </cell>
          <cell r="Y595">
            <v>2.6249999999999999E-2</v>
          </cell>
          <cell r="Z595">
            <v>2.6699999999999998E-2</v>
          </cell>
          <cell r="AA595">
            <v>2.7074999999999995E-2</v>
          </cell>
          <cell r="AB595">
            <v>2.7800000000000002E-2</v>
          </cell>
          <cell r="AC595">
            <v>2.895E-2</v>
          </cell>
        </row>
        <row r="596">
          <cell r="T596">
            <v>39294</v>
          </cell>
          <cell r="U596">
            <v>2.2360000000000001E-2</v>
          </cell>
          <cell r="V596">
            <v>2.3709999999999998E-2</v>
          </cell>
          <cell r="W596">
            <v>2.5150000000000002E-2</v>
          </cell>
          <cell r="X596">
            <v>2.6349999999999998E-2</v>
          </cell>
          <cell r="Y596">
            <v>2.7000000000000003E-2</v>
          </cell>
          <cell r="Z596">
            <v>2.7699999999999999E-2</v>
          </cell>
          <cell r="AA596">
            <v>2.8199999999999999E-2</v>
          </cell>
          <cell r="AB596">
            <v>2.9100000000000001E-2</v>
          </cell>
          <cell r="AC596">
            <v>3.0099999999999998E-2</v>
          </cell>
        </row>
        <row r="597">
          <cell r="T597">
            <v>39293</v>
          </cell>
          <cell r="U597">
            <v>2.2179999999999998E-2</v>
          </cell>
          <cell r="V597">
            <v>2.3789999999999999E-2</v>
          </cell>
          <cell r="W597">
            <v>2.5099999999999997E-2</v>
          </cell>
          <cell r="X597">
            <v>2.6150000000000003E-2</v>
          </cell>
          <cell r="Y597">
            <v>2.6849999999999999E-2</v>
          </cell>
          <cell r="Z597">
            <v>2.7400000000000001E-2</v>
          </cell>
          <cell r="AA597">
            <v>2.7900000000000001E-2</v>
          </cell>
          <cell r="AB597">
            <v>2.8900000000000002E-2</v>
          </cell>
          <cell r="AC597">
            <v>2.9750000000000002E-2</v>
          </cell>
        </row>
        <row r="598">
          <cell r="T598">
            <v>39292</v>
          </cell>
          <cell r="U598">
            <v>2.2120000000000001E-2</v>
          </cell>
          <cell r="V598">
            <v>2.3780000000000003E-2</v>
          </cell>
          <cell r="W598">
            <v>2.5100000000000001E-2</v>
          </cell>
          <cell r="X598">
            <v>2.545E-2</v>
          </cell>
          <cell r="Y598">
            <v>2.63E-2</v>
          </cell>
          <cell r="Z598">
            <v>2.6800000000000001E-2</v>
          </cell>
          <cell r="AA598">
            <v>2.7300000000000001E-2</v>
          </cell>
          <cell r="AB598">
            <v>2.81E-2</v>
          </cell>
          <cell r="AC598">
            <v>2.8999999999999998E-2</v>
          </cell>
        </row>
        <row r="599">
          <cell r="T599">
            <v>39291</v>
          </cell>
          <cell r="U599">
            <v>2.2120000000000001E-2</v>
          </cell>
          <cell r="V599">
            <v>2.3780000000000003E-2</v>
          </cell>
          <cell r="W599">
            <v>2.5100000000000001E-2</v>
          </cell>
          <cell r="X599">
            <v>2.545E-2</v>
          </cell>
          <cell r="Y599">
            <v>2.63E-2</v>
          </cell>
          <cell r="Z599">
            <v>2.6800000000000001E-2</v>
          </cell>
          <cell r="AA599">
            <v>2.7300000000000001E-2</v>
          </cell>
          <cell r="AB599">
            <v>2.81E-2</v>
          </cell>
          <cell r="AC599">
            <v>2.8999999999999998E-2</v>
          </cell>
        </row>
        <row r="600">
          <cell r="T600">
            <v>39290</v>
          </cell>
          <cell r="U600">
            <v>2.2120000000000001E-2</v>
          </cell>
          <cell r="V600">
            <v>2.3780000000000003E-2</v>
          </cell>
          <cell r="W600">
            <v>2.5100000000000001E-2</v>
          </cell>
          <cell r="X600">
            <v>2.545E-2</v>
          </cell>
          <cell r="Y600">
            <v>2.63E-2</v>
          </cell>
          <cell r="Z600">
            <v>2.6800000000000001E-2</v>
          </cell>
          <cell r="AA600">
            <v>2.7300000000000001E-2</v>
          </cell>
          <cell r="AB600">
            <v>2.81E-2</v>
          </cell>
          <cell r="AC600">
            <v>2.8999999999999998E-2</v>
          </cell>
        </row>
        <row r="601">
          <cell r="T601">
            <v>39289</v>
          </cell>
          <cell r="U601">
            <v>2.231E-2</v>
          </cell>
          <cell r="V601">
            <v>2.3910000000000001E-2</v>
          </cell>
          <cell r="W601">
            <v>2.5249999999999998E-2</v>
          </cell>
          <cell r="X601">
            <v>2.6150000000000003E-2</v>
          </cell>
          <cell r="Y601">
            <v>2.7000000000000003E-2</v>
          </cell>
          <cell r="Z601">
            <v>2.7450000000000002E-2</v>
          </cell>
          <cell r="AA601">
            <v>2.7999999999999997E-2</v>
          </cell>
          <cell r="AB601">
            <v>2.8849999999999997E-2</v>
          </cell>
          <cell r="AC601">
            <v>2.98E-2</v>
          </cell>
        </row>
        <row r="602">
          <cell r="T602">
            <v>39288</v>
          </cell>
          <cell r="U602">
            <v>2.2259999999999999E-2</v>
          </cell>
          <cell r="V602">
            <v>2.3809999999999998E-2</v>
          </cell>
          <cell r="W602">
            <v>2.5599999999999998E-2</v>
          </cell>
          <cell r="X602">
            <v>2.6500000000000003E-2</v>
          </cell>
          <cell r="Y602">
            <v>2.7300000000000001E-2</v>
          </cell>
          <cell r="Z602">
            <v>2.785E-2</v>
          </cell>
          <cell r="AA602">
            <v>2.8449999999999996E-2</v>
          </cell>
          <cell r="AB602">
            <v>2.9350000000000001E-2</v>
          </cell>
          <cell r="AC602">
            <v>3.04E-2</v>
          </cell>
        </row>
        <row r="603">
          <cell r="T603">
            <v>39287</v>
          </cell>
          <cell r="U603">
            <v>2.2370000000000001E-2</v>
          </cell>
          <cell r="V603">
            <v>2.3869999999999999E-2</v>
          </cell>
          <cell r="W603">
            <v>2.5399999999999999E-2</v>
          </cell>
          <cell r="X603">
            <v>2.6499999999999999E-2</v>
          </cell>
          <cell r="Y603">
            <v>2.7200000000000002E-2</v>
          </cell>
          <cell r="Z603">
            <v>2.785E-2</v>
          </cell>
          <cell r="AA603">
            <v>2.8399999999999998E-2</v>
          </cell>
          <cell r="AB603">
            <v>2.9399999999999999E-2</v>
          </cell>
          <cell r="AC603">
            <v>3.04E-2</v>
          </cell>
        </row>
        <row r="604">
          <cell r="T604">
            <v>39286</v>
          </cell>
          <cell r="U604">
            <v>2.2259999999999999E-2</v>
          </cell>
          <cell r="V604">
            <v>2.368E-2</v>
          </cell>
          <cell r="W604">
            <v>2.5150000000000002E-2</v>
          </cell>
          <cell r="X604">
            <v>2.63E-2</v>
          </cell>
          <cell r="Y604">
            <v>2.6799999999999997E-2</v>
          </cell>
          <cell r="Z604">
            <v>2.7600000000000003E-2</v>
          </cell>
          <cell r="AA604">
            <v>2.8099999999999997E-2</v>
          </cell>
          <cell r="AB604">
            <v>2.8999999999999998E-2</v>
          </cell>
          <cell r="AC604">
            <v>3.0099999999999998E-2</v>
          </cell>
        </row>
        <row r="605">
          <cell r="T605">
            <v>39285</v>
          </cell>
          <cell r="U605">
            <v>2.2240000000000003E-2</v>
          </cell>
          <cell r="V605">
            <v>2.3719999999999998E-2</v>
          </cell>
          <cell r="W605">
            <v>2.5000000000000001E-2</v>
          </cell>
          <cell r="X605">
            <v>2.5750000000000002E-2</v>
          </cell>
          <cell r="Y605">
            <v>2.6100000000000002E-2</v>
          </cell>
          <cell r="Z605">
            <v>2.7000000000000003E-2</v>
          </cell>
          <cell r="AA605">
            <v>2.7450000000000002E-2</v>
          </cell>
          <cell r="AB605">
            <v>2.8250000000000001E-2</v>
          </cell>
          <cell r="AC605">
            <v>2.9500000000000002E-2</v>
          </cell>
        </row>
        <row r="606">
          <cell r="T606">
            <v>39284</v>
          </cell>
          <cell r="U606">
            <v>2.2240000000000003E-2</v>
          </cell>
          <cell r="V606">
            <v>2.3719999999999998E-2</v>
          </cell>
          <cell r="W606">
            <v>2.5000000000000001E-2</v>
          </cell>
          <cell r="X606">
            <v>2.5750000000000002E-2</v>
          </cell>
          <cell r="Y606">
            <v>2.6100000000000002E-2</v>
          </cell>
          <cell r="Z606">
            <v>2.7000000000000003E-2</v>
          </cell>
          <cell r="AA606">
            <v>2.7450000000000002E-2</v>
          </cell>
          <cell r="AB606">
            <v>2.8250000000000001E-2</v>
          </cell>
          <cell r="AC606">
            <v>2.9500000000000002E-2</v>
          </cell>
        </row>
        <row r="607">
          <cell r="T607">
            <v>39283</v>
          </cell>
          <cell r="U607">
            <v>2.2240000000000003E-2</v>
          </cell>
          <cell r="V607">
            <v>2.3719999999999998E-2</v>
          </cell>
          <cell r="W607">
            <v>2.5000000000000001E-2</v>
          </cell>
          <cell r="X607">
            <v>2.5750000000000002E-2</v>
          </cell>
          <cell r="Y607">
            <v>2.6100000000000002E-2</v>
          </cell>
          <cell r="Z607">
            <v>2.7000000000000003E-2</v>
          </cell>
          <cell r="AA607">
            <v>2.7450000000000002E-2</v>
          </cell>
          <cell r="AB607">
            <v>2.8250000000000001E-2</v>
          </cell>
          <cell r="AC607">
            <v>2.9500000000000002E-2</v>
          </cell>
        </row>
        <row r="608">
          <cell r="T608">
            <v>39282</v>
          </cell>
          <cell r="U608">
            <v>2.2210000000000001E-2</v>
          </cell>
          <cell r="V608">
            <v>2.3610000000000003E-2</v>
          </cell>
          <cell r="W608">
            <v>2.4399999999999998E-2</v>
          </cell>
          <cell r="X608">
            <v>2.5100000000000001E-2</v>
          </cell>
          <cell r="Y608">
            <v>2.5499999999999998E-2</v>
          </cell>
          <cell r="Z608">
            <v>2.5949999999999997E-2</v>
          </cell>
          <cell r="AA608">
            <v>2.6499999999999999E-2</v>
          </cell>
          <cell r="AB608">
            <v>2.7450000000000002E-2</v>
          </cell>
          <cell r="AC608">
            <v>2.8549999999999999E-2</v>
          </cell>
        </row>
        <row r="609">
          <cell r="T609">
            <v>39281</v>
          </cell>
          <cell r="U609">
            <v>2.1829999999999999E-2</v>
          </cell>
          <cell r="V609">
            <v>2.334E-2</v>
          </cell>
          <cell r="W609">
            <v>2.4199999999999999E-2</v>
          </cell>
          <cell r="X609">
            <v>2.4740000000000002E-2</v>
          </cell>
          <cell r="Y609">
            <v>2.5225000000000001E-2</v>
          </cell>
          <cell r="Z609">
            <v>2.5700000000000004E-2</v>
          </cell>
          <cell r="AA609">
            <v>2.6349999999999998E-2</v>
          </cell>
          <cell r="AB609">
            <v>2.7000000000000003E-2</v>
          </cell>
          <cell r="AC609">
            <v>2.7949999999999999E-2</v>
          </cell>
        </row>
        <row r="610">
          <cell r="T610">
            <v>39280</v>
          </cell>
          <cell r="U610">
            <v>2.1819999999999999E-2</v>
          </cell>
          <cell r="V610">
            <v>2.3359999999999999E-2</v>
          </cell>
          <cell r="W610">
            <v>2.4150000000000001E-2</v>
          </cell>
          <cell r="X610">
            <v>2.4750000000000001E-2</v>
          </cell>
          <cell r="Y610">
            <v>2.5249999999999998E-2</v>
          </cell>
          <cell r="Z610">
            <v>2.58E-2</v>
          </cell>
          <cell r="AA610">
            <v>2.63E-2</v>
          </cell>
          <cell r="AB610">
            <v>2.7149999999999997E-2</v>
          </cell>
          <cell r="AC610">
            <v>2.8050000000000002E-2</v>
          </cell>
        </row>
        <row r="611">
          <cell r="T611">
            <v>39279</v>
          </cell>
          <cell r="U611">
            <v>2.1940000000000001E-2</v>
          </cell>
          <cell r="V611">
            <v>2.3429999999999999E-2</v>
          </cell>
          <cell r="W611">
            <v>2.4299999999999999E-2</v>
          </cell>
          <cell r="X611">
            <v>2.4699999999999996E-2</v>
          </cell>
          <cell r="Y611">
            <v>2.5049999999999999E-2</v>
          </cell>
          <cell r="Z611">
            <v>2.5549999999999996E-2</v>
          </cell>
          <cell r="AA611">
            <v>2.5899999999999999E-2</v>
          </cell>
          <cell r="AB611">
            <v>2.69E-2</v>
          </cell>
          <cell r="AC611">
            <v>2.81E-2</v>
          </cell>
        </row>
        <row r="612">
          <cell r="T612">
            <v>39278</v>
          </cell>
          <cell r="U612">
            <v>2.206E-2</v>
          </cell>
          <cell r="V612">
            <v>2.366E-2</v>
          </cell>
          <cell r="W612">
            <v>2.4550000000000002E-2</v>
          </cell>
          <cell r="X612">
            <v>2.5049999999999999E-2</v>
          </cell>
          <cell r="Y612">
            <v>2.5599999999999998E-2</v>
          </cell>
          <cell r="Z612">
            <v>2.6099999999999998E-2</v>
          </cell>
          <cell r="AA612">
            <v>2.665E-2</v>
          </cell>
          <cell r="AB612">
            <v>2.7400000000000001E-2</v>
          </cell>
          <cell r="AC612">
            <v>2.8499999999999998E-2</v>
          </cell>
        </row>
        <row r="613">
          <cell r="T613">
            <v>39277</v>
          </cell>
          <cell r="U613">
            <v>2.206E-2</v>
          </cell>
          <cell r="V613">
            <v>2.366E-2</v>
          </cell>
          <cell r="W613">
            <v>2.4550000000000002E-2</v>
          </cell>
          <cell r="X613">
            <v>2.5049999999999999E-2</v>
          </cell>
          <cell r="Y613">
            <v>2.5599999999999998E-2</v>
          </cell>
          <cell r="Z613">
            <v>2.6099999999999998E-2</v>
          </cell>
          <cell r="AA613">
            <v>2.665E-2</v>
          </cell>
          <cell r="AB613">
            <v>2.7400000000000001E-2</v>
          </cell>
          <cell r="AC613">
            <v>2.8499999999999998E-2</v>
          </cell>
        </row>
        <row r="614">
          <cell r="T614">
            <v>39276</v>
          </cell>
          <cell r="U614">
            <v>2.206E-2</v>
          </cell>
          <cell r="V614">
            <v>2.366E-2</v>
          </cell>
          <cell r="W614">
            <v>2.4550000000000002E-2</v>
          </cell>
          <cell r="X614">
            <v>2.5049999999999999E-2</v>
          </cell>
          <cell r="Y614">
            <v>2.5599999999999998E-2</v>
          </cell>
          <cell r="Z614">
            <v>2.6099999999999998E-2</v>
          </cell>
          <cell r="AA614">
            <v>2.665E-2</v>
          </cell>
          <cell r="AB614">
            <v>2.7400000000000001E-2</v>
          </cell>
          <cell r="AC614">
            <v>2.8499999999999998E-2</v>
          </cell>
        </row>
        <row r="615">
          <cell r="T615">
            <v>39275</v>
          </cell>
          <cell r="U615">
            <v>2.2090000000000002E-2</v>
          </cell>
          <cell r="V615">
            <v>2.3530000000000002E-2</v>
          </cell>
          <cell r="W615">
            <v>2.4750000000000001E-2</v>
          </cell>
          <cell r="X615">
            <v>2.5150000000000002E-2</v>
          </cell>
          <cell r="Y615">
            <v>2.5499999999999998E-2</v>
          </cell>
          <cell r="Z615">
            <v>2.6150000000000003E-2</v>
          </cell>
          <cell r="AA615">
            <v>2.665E-2</v>
          </cell>
          <cell r="AB615">
            <v>2.7699999999999999E-2</v>
          </cell>
          <cell r="AC615">
            <v>2.8650000000000002E-2</v>
          </cell>
        </row>
        <row r="616">
          <cell r="T616">
            <v>39274</v>
          </cell>
          <cell r="U616">
            <v>2.206E-2</v>
          </cell>
          <cell r="V616">
            <v>2.358E-2</v>
          </cell>
          <cell r="W616">
            <v>2.4550000000000002E-2</v>
          </cell>
          <cell r="X616">
            <v>2.5049999999999999E-2</v>
          </cell>
          <cell r="Y616">
            <v>2.545E-2</v>
          </cell>
          <cell r="Z616">
            <v>2.6000000000000002E-2</v>
          </cell>
          <cell r="AA616">
            <v>2.6550000000000004E-2</v>
          </cell>
          <cell r="AB616">
            <v>2.7450000000000002E-2</v>
          </cell>
          <cell r="AC616">
            <v>2.8399999999999998E-2</v>
          </cell>
        </row>
        <row r="617">
          <cell r="T617">
            <v>39273</v>
          </cell>
          <cell r="U617">
            <v>2.2099999999999998E-2</v>
          </cell>
          <cell r="V617">
            <v>2.358E-2</v>
          </cell>
          <cell r="W617">
            <v>2.4649999999999998E-2</v>
          </cell>
          <cell r="X617">
            <v>2.4975000000000001E-2</v>
          </cell>
          <cell r="Y617">
            <v>2.5375000000000002E-2</v>
          </cell>
          <cell r="Z617">
            <v>2.6000000000000002E-2</v>
          </cell>
          <cell r="AA617">
            <v>2.6499999999999999E-2</v>
          </cell>
          <cell r="AB617">
            <v>2.7450000000000002E-2</v>
          </cell>
          <cell r="AC617">
            <v>2.8600000000000004E-2</v>
          </cell>
        </row>
        <row r="618">
          <cell r="T618">
            <v>39272</v>
          </cell>
          <cell r="U618">
            <v>2.214E-2</v>
          </cell>
          <cell r="V618">
            <v>2.358E-2</v>
          </cell>
          <cell r="W618">
            <v>2.435E-2</v>
          </cell>
          <cell r="X618">
            <v>2.4750000000000001E-2</v>
          </cell>
          <cell r="Y618">
            <v>2.5300000000000003E-2</v>
          </cell>
          <cell r="Z618">
            <v>2.5750000000000002E-2</v>
          </cell>
          <cell r="AA618">
            <v>2.6349999999999998E-2</v>
          </cell>
          <cell r="AB618">
            <v>2.7300000000000001E-2</v>
          </cell>
          <cell r="AC618">
            <v>2.8250000000000001E-2</v>
          </cell>
        </row>
        <row r="619">
          <cell r="T619">
            <v>39271</v>
          </cell>
          <cell r="U619">
            <v>2.2259999999999999E-2</v>
          </cell>
          <cell r="V619">
            <v>2.366E-2</v>
          </cell>
          <cell r="W619">
            <v>2.46E-2</v>
          </cell>
          <cell r="X619">
            <v>2.5099999999999997E-2</v>
          </cell>
          <cell r="Y619">
            <v>2.5599999999999998E-2</v>
          </cell>
          <cell r="Z619">
            <v>2.63E-2</v>
          </cell>
          <cell r="AA619">
            <v>2.6799999999999997E-2</v>
          </cell>
          <cell r="AB619">
            <v>2.775E-2</v>
          </cell>
          <cell r="AC619">
            <v>2.8600000000000004E-2</v>
          </cell>
        </row>
        <row r="620">
          <cell r="T620">
            <v>39270</v>
          </cell>
          <cell r="U620">
            <v>2.2259999999999999E-2</v>
          </cell>
          <cell r="V620">
            <v>2.366E-2</v>
          </cell>
          <cell r="W620">
            <v>2.46E-2</v>
          </cell>
          <cell r="X620">
            <v>2.5099999999999997E-2</v>
          </cell>
          <cell r="Y620">
            <v>2.5599999999999998E-2</v>
          </cell>
          <cell r="Z620">
            <v>2.63E-2</v>
          </cell>
          <cell r="AA620">
            <v>2.6799999999999997E-2</v>
          </cell>
          <cell r="AB620">
            <v>2.775E-2</v>
          </cell>
          <cell r="AC620">
            <v>2.8600000000000004E-2</v>
          </cell>
        </row>
        <row r="621">
          <cell r="T621">
            <v>39269</v>
          </cell>
          <cell r="U621">
            <v>2.2259999999999999E-2</v>
          </cell>
          <cell r="V621">
            <v>2.366E-2</v>
          </cell>
          <cell r="W621">
            <v>2.46E-2</v>
          </cell>
          <cell r="X621">
            <v>2.5099999999999997E-2</v>
          </cell>
          <cell r="Y621">
            <v>2.5599999999999998E-2</v>
          </cell>
          <cell r="Z621">
            <v>2.63E-2</v>
          </cell>
          <cell r="AA621">
            <v>2.6799999999999997E-2</v>
          </cell>
          <cell r="AB621">
            <v>2.775E-2</v>
          </cell>
          <cell r="AC621">
            <v>2.8600000000000004E-2</v>
          </cell>
        </row>
        <row r="622">
          <cell r="T622">
            <v>39268</v>
          </cell>
          <cell r="U622">
            <v>2.2360000000000001E-2</v>
          </cell>
          <cell r="V622">
            <v>2.3740000000000001E-2</v>
          </cell>
          <cell r="W622">
            <v>2.4249999999999997E-2</v>
          </cell>
          <cell r="X622">
            <v>2.4550000000000002E-2</v>
          </cell>
          <cell r="Y622">
            <v>2.5000000000000001E-2</v>
          </cell>
          <cell r="Z622">
            <v>2.545E-2</v>
          </cell>
          <cell r="AA622">
            <v>2.6100000000000002E-2</v>
          </cell>
          <cell r="AB622">
            <v>2.7149999999999997E-2</v>
          </cell>
          <cell r="AC622">
            <v>2.8049999999999999E-2</v>
          </cell>
        </row>
        <row r="623">
          <cell r="T623">
            <v>39267</v>
          </cell>
          <cell r="U623">
            <v>2.2360000000000001E-2</v>
          </cell>
          <cell r="V623">
            <v>2.3799999999999998E-2</v>
          </cell>
          <cell r="W623">
            <v>2.4300000000000002E-2</v>
          </cell>
          <cell r="X623">
            <v>2.4500000000000001E-2</v>
          </cell>
          <cell r="Y623">
            <v>2.4899999999999999E-2</v>
          </cell>
          <cell r="Z623">
            <v>2.545E-2</v>
          </cell>
          <cell r="AA623">
            <v>2.5999999999999995E-2</v>
          </cell>
          <cell r="AB623">
            <v>2.6849999999999995E-2</v>
          </cell>
          <cell r="AC623">
            <v>2.7699999999999999E-2</v>
          </cell>
        </row>
        <row r="624">
          <cell r="T624">
            <v>39266</v>
          </cell>
          <cell r="U624">
            <v>2.2090000000000002E-2</v>
          </cell>
          <cell r="V624">
            <v>2.3470000000000001E-2</v>
          </cell>
          <cell r="W624">
            <v>2.3550000000000001E-2</v>
          </cell>
          <cell r="X624">
            <v>2.4050000000000002E-2</v>
          </cell>
          <cell r="Y624">
            <v>2.4500000000000001E-2</v>
          </cell>
          <cell r="Z624">
            <v>2.495E-2</v>
          </cell>
          <cell r="AA624">
            <v>2.545E-2</v>
          </cell>
          <cell r="AB624">
            <v>2.63E-2</v>
          </cell>
          <cell r="AC624">
            <v>2.7450000000000002E-2</v>
          </cell>
        </row>
        <row r="625">
          <cell r="T625">
            <v>39265</v>
          </cell>
          <cell r="U625">
            <v>2.196E-2</v>
          </cell>
          <cell r="V625">
            <v>2.349E-2</v>
          </cell>
          <cell r="W625">
            <v>2.3300000000000001E-2</v>
          </cell>
          <cell r="X625">
            <v>2.3650000000000001E-2</v>
          </cell>
          <cell r="Y625">
            <v>2.4E-2</v>
          </cell>
          <cell r="Z625">
            <v>2.4500000000000001E-2</v>
          </cell>
          <cell r="AA625">
            <v>2.5000000000000001E-2</v>
          </cell>
          <cell r="AB625">
            <v>2.58E-2</v>
          </cell>
          <cell r="AC625">
            <v>2.6799999999999997E-2</v>
          </cell>
        </row>
        <row r="626">
          <cell r="T626">
            <v>39264</v>
          </cell>
          <cell r="U626">
            <v>2.196E-2</v>
          </cell>
          <cell r="V626">
            <v>2.349E-2</v>
          </cell>
          <cell r="W626">
            <v>2.3250000000000003E-2</v>
          </cell>
          <cell r="X626">
            <v>2.3449999999999999E-2</v>
          </cell>
          <cell r="Y626">
            <v>2.3849999999999996E-2</v>
          </cell>
          <cell r="Z626">
            <v>2.435E-2</v>
          </cell>
          <cell r="AA626">
            <v>2.4799999999999999E-2</v>
          </cell>
          <cell r="AB626">
            <v>2.5499999999999998E-2</v>
          </cell>
          <cell r="AC626">
            <v>2.6500000000000003E-2</v>
          </cell>
        </row>
        <row r="627">
          <cell r="T627">
            <v>39263</v>
          </cell>
          <cell r="U627">
            <v>2.196E-2</v>
          </cell>
          <cell r="V627">
            <v>2.349E-2</v>
          </cell>
          <cell r="W627">
            <v>2.3250000000000003E-2</v>
          </cell>
          <cell r="X627">
            <v>2.3449999999999999E-2</v>
          </cell>
          <cell r="Y627">
            <v>2.3849999999999996E-2</v>
          </cell>
          <cell r="Z627">
            <v>2.435E-2</v>
          </cell>
          <cell r="AA627">
            <v>2.4799999999999999E-2</v>
          </cell>
          <cell r="AB627">
            <v>2.5499999999999998E-2</v>
          </cell>
          <cell r="AC627">
            <v>2.6500000000000003E-2</v>
          </cell>
        </row>
        <row r="628">
          <cell r="T628">
            <v>39262</v>
          </cell>
          <cell r="U628">
            <v>2.1899999999999999E-2</v>
          </cell>
          <cell r="V628">
            <v>2.3380000000000001E-2</v>
          </cell>
          <cell r="W628">
            <v>2.315E-2</v>
          </cell>
          <cell r="X628">
            <v>2.3499999999999997E-2</v>
          </cell>
          <cell r="Y628">
            <v>2.3849999999999996E-2</v>
          </cell>
          <cell r="Z628">
            <v>2.4500000000000001E-2</v>
          </cell>
          <cell r="AA628">
            <v>2.4900000000000002E-2</v>
          </cell>
          <cell r="AB628">
            <v>2.5499999999999998E-2</v>
          </cell>
          <cell r="AC628">
            <v>2.665E-2</v>
          </cell>
        </row>
        <row r="629">
          <cell r="T629">
            <v>39261</v>
          </cell>
          <cell r="U629">
            <v>2.2069999999999999E-2</v>
          </cell>
          <cell r="V629">
            <v>2.3460000000000002E-2</v>
          </cell>
          <cell r="W629">
            <v>2.2949999999999998E-2</v>
          </cell>
          <cell r="X629">
            <v>2.3250000000000003E-2</v>
          </cell>
          <cell r="Y629">
            <v>2.3600000000000003E-2</v>
          </cell>
          <cell r="Z629">
            <v>2.4199999999999999E-2</v>
          </cell>
          <cell r="AA629">
            <v>2.4649999999999998E-2</v>
          </cell>
          <cell r="AB629">
            <v>2.5350000000000001E-2</v>
          </cell>
          <cell r="AC629">
            <v>2.63E-2</v>
          </cell>
        </row>
        <row r="630">
          <cell r="T630">
            <v>39260</v>
          </cell>
          <cell r="U630">
            <v>2.196E-2</v>
          </cell>
          <cell r="V630">
            <v>2.3290000000000002E-2</v>
          </cell>
          <cell r="W630">
            <v>2.2800000000000001E-2</v>
          </cell>
          <cell r="X630">
            <v>2.2949999999999998E-2</v>
          </cell>
          <cell r="Y630">
            <v>2.3199999999999998E-2</v>
          </cell>
          <cell r="Z630">
            <v>2.4000000000000004E-2</v>
          </cell>
          <cell r="AA630">
            <v>2.4450000000000003E-2</v>
          </cell>
          <cell r="AB630">
            <v>2.5049999999999999E-2</v>
          </cell>
          <cell r="AC630">
            <v>2.605E-2</v>
          </cell>
        </row>
        <row r="631">
          <cell r="T631">
            <v>39259</v>
          </cell>
          <cell r="U631">
            <v>2.1940000000000001E-2</v>
          </cell>
          <cell r="V631">
            <v>2.3319999999999997E-2</v>
          </cell>
          <cell r="W631">
            <v>2.2499999999999999E-2</v>
          </cell>
          <cell r="X631">
            <v>2.265E-2</v>
          </cell>
          <cell r="Y631">
            <v>2.3E-2</v>
          </cell>
          <cell r="Z631">
            <v>2.375E-2</v>
          </cell>
          <cell r="AA631">
            <v>2.4150000000000001E-2</v>
          </cell>
          <cell r="AB631">
            <v>2.4750000000000001E-2</v>
          </cell>
          <cell r="AC631">
            <v>2.5700000000000004E-2</v>
          </cell>
        </row>
        <row r="632">
          <cell r="T632">
            <v>39258</v>
          </cell>
          <cell r="U632">
            <v>2.2280000000000001E-2</v>
          </cell>
          <cell r="V632">
            <v>2.367E-2</v>
          </cell>
          <cell r="W632">
            <v>2.3199999999999998E-2</v>
          </cell>
          <cell r="X632">
            <v>2.3050000000000001E-2</v>
          </cell>
          <cell r="Y632">
            <v>2.3349999999999999E-2</v>
          </cell>
          <cell r="Z632">
            <v>2.4E-2</v>
          </cell>
          <cell r="AA632">
            <v>2.4300000000000002E-2</v>
          </cell>
          <cell r="AB632">
            <v>2.495E-2</v>
          </cell>
          <cell r="AC632">
            <v>2.5700000000000004E-2</v>
          </cell>
        </row>
        <row r="633">
          <cell r="T633">
            <v>39257</v>
          </cell>
          <cell r="U633">
            <v>2.2869999999999998E-2</v>
          </cell>
          <cell r="V633">
            <v>2.426E-2</v>
          </cell>
          <cell r="W633">
            <v>2.35E-2</v>
          </cell>
          <cell r="X633">
            <v>2.3499999999999997E-2</v>
          </cell>
          <cell r="Y633">
            <v>2.3849999999999996E-2</v>
          </cell>
          <cell r="Z633">
            <v>2.4500000000000001E-2</v>
          </cell>
          <cell r="AA633">
            <v>2.5000000000000001E-2</v>
          </cell>
          <cell r="AB633">
            <v>2.5649999999999999E-2</v>
          </cell>
          <cell r="AC633">
            <v>2.665E-2</v>
          </cell>
        </row>
        <row r="634">
          <cell r="T634">
            <v>39256</v>
          </cell>
          <cell r="U634">
            <v>2.2869999999999998E-2</v>
          </cell>
          <cell r="V634">
            <v>2.426E-2</v>
          </cell>
          <cell r="W634">
            <v>2.35E-2</v>
          </cell>
          <cell r="X634">
            <v>2.3499999999999997E-2</v>
          </cell>
          <cell r="Y634">
            <v>2.3849999999999996E-2</v>
          </cell>
          <cell r="Z634">
            <v>2.4500000000000001E-2</v>
          </cell>
          <cell r="AA634">
            <v>2.5000000000000001E-2</v>
          </cell>
          <cell r="AB634">
            <v>2.5649999999999999E-2</v>
          </cell>
          <cell r="AC634">
            <v>2.665E-2</v>
          </cell>
        </row>
        <row r="635">
          <cell r="T635">
            <v>39255</v>
          </cell>
          <cell r="U635">
            <v>2.3730000000000001E-2</v>
          </cell>
          <cell r="V635">
            <v>2.4840000000000001E-2</v>
          </cell>
          <cell r="W635">
            <v>2.3449999999999999E-2</v>
          </cell>
          <cell r="X635">
            <v>2.3550000000000001E-2</v>
          </cell>
          <cell r="Y635">
            <v>2.3949999999999999E-2</v>
          </cell>
          <cell r="Z635">
            <v>2.4699999999999996E-2</v>
          </cell>
          <cell r="AA635">
            <v>2.5099999999999997E-2</v>
          </cell>
          <cell r="AB635">
            <v>2.5899999999999999E-2</v>
          </cell>
          <cell r="AC635">
            <v>2.6450000000000001E-2</v>
          </cell>
        </row>
        <row r="636">
          <cell r="T636">
            <v>39254</v>
          </cell>
          <cell r="U636">
            <v>2.4750000000000001E-2</v>
          </cell>
          <cell r="V636">
            <v>2.571E-2</v>
          </cell>
          <cell r="W636">
            <v>2.3700000000000002E-2</v>
          </cell>
          <cell r="X636">
            <v>2.3449999999999999E-2</v>
          </cell>
          <cell r="Y636">
            <v>2.3574999999999999E-2</v>
          </cell>
          <cell r="Z636">
            <v>2.4150000000000001E-2</v>
          </cell>
          <cell r="AA636">
            <v>2.4500000000000001E-2</v>
          </cell>
          <cell r="AB636">
            <v>2.5249999999999998E-2</v>
          </cell>
          <cell r="AC636">
            <v>2.5999999999999995E-2</v>
          </cell>
        </row>
        <row r="637">
          <cell r="T637">
            <v>39253</v>
          </cell>
          <cell r="U637">
            <v>2.5569999999999999E-2</v>
          </cell>
          <cell r="V637">
            <v>2.6329999999999999E-2</v>
          </cell>
          <cell r="W637">
            <v>2.4050000000000002E-2</v>
          </cell>
          <cell r="X637">
            <v>2.3599999999999999E-2</v>
          </cell>
          <cell r="Y637">
            <v>2.3900000000000001E-2</v>
          </cell>
          <cell r="Z637">
            <v>2.4450000000000003E-2</v>
          </cell>
          <cell r="AA637">
            <v>2.4750000000000001E-2</v>
          </cell>
          <cell r="AB637">
            <v>2.5099999999999997E-2</v>
          </cell>
          <cell r="AC637">
            <v>2.6150000000000003E-2</v>
          </cell>
        </row>
        <row r="638">
          <cell r="T638">
            <v>39252</v>
          </cell>
          <cell r="U638">
            <v>2.649E-2</v>
          </cell>
          <cell r="V638">
            <v>2.6949999999999998E-2</v>
          </cell>
          <cell r="W638">
            <v>2.4550000000000002E-2</v>
          </cell>
          <cell r="X638">
            <v>2.4450000000000003E-2</v>
          </cell>
          <cell r="Y638">
            <v>2.4750000000000001E-2</v>
          </cell>
          <cell r="Z638">
            <v>2.5150000000000002E-2</v>
          </cell>
          <cell r="AA638">
            <v>2.545E-2</v>
          </cell>
          <cell r="AB638">
            <v>2.63E-2</v>
          </cell>
          <cell r="AC638">
            <v>2.6799999999999997E-2</v>
          </cell>
        </row>
        <row r="639">
          <cell r="T639">
            <v>39251</v>
          </cell>
          <cell r="U639">
            <v>2.649E-2</v>
          </cell>
          <cell r="V639">
            <v>2.6949999999999998E-2</v>
          </cell>
          <cell r="W639">
            <v>2.4550000000000002E-2</v>
          </cell>
          <cell r="X639">
            <v>2.4450000000000003E-2</v>
          </cell>
          <cell r="Y639">
            <v>2.4750000000000001E-2</v>
          </cell>
          <cell r="Z639">
            <v>2.5150000000000002E-2</v>
          </cell>
          <cell r="AA639">
            <v>2.545E-2</v>
          </cell>
          <cell r="AB639">
            <v>2.63E-2</v>
          </cell>
          <cell r="AC639">
            <v>2.6799999999999997E-2</v>
          </cell>
        </row>
        <row r="640">
          <cell r="T640">
            <v>39250</v>
          </cell>
          <cell r="U640">
            <v>2.649E-2</v>
          </cell>
          <cell r="V640">
            <v>2.6949999999999998E-2</v>
          </cell>
          <cell r="W640">
            <v>2.4550000000000002E-2</v>
          </cell>
          <cell r="X640">
            <v>2.4450000000000003E-2</v>
          </cell>
          <cell r="Y640">
            <v>2.4750000000000001E-2</v>
          </cell>
          <cell r="Z640">
            <v>2.5150000000000002E-2</v>
          </cell>
          <cell r="AA640">
            <v>2.545E-2</v>
          </cell>
          <cell r="AB640">
            <v>2.63E-2</v>
          </cell>
          <cell r="AC640">
            <v>2.6799999999999997E-2</v>
          </cell>
        </row>
        <row r="641">
          <cell r="T641">
            <v>39249</v>
          </cell>
          <cell r="U641">
            <v>2.649E-2</v>
          </cell>
          <cell r="V641">
            <v>2.6949999999999998E-2</v>
          </cell>
          <cell r="W641">
            <v>2.4550000000000002E-2</v>
          </cell>
          <cell r="X641">
            <v>2.4450000000000003E-2</v>
          </cell>
          <cell r="Y641">
            <v>2.4750000000000001E-2</v>
          </cell>
          <cell r="Z641">
            <v>2.5150000000000002E-2</v>
          </cell>
          <cell r="AA641">
            <v>2.545E-2</v>
          </cell>
          <cell r="AB641">
            <v>2.63E-2</v>
          </cell>
          <cell r="AC641">
            <v>2.6799999999999997E-2</v>
          </cell>
        </row>
        <row r="642">
          <cell r="T642">
            <v>39248</v>
          </cell>
          <cell r="U642">
            <v>2.649E-2</v>
          </cell>
          <cell r="V642">
            <v>2.6949999999999998E-2</v>
          </cell>
          <cell r="W642">
            <v>2.4550000000000002E-2</v>
          </cell>
          <cell r="X642">
            <v>2.4450000000000003E-2</v>
          </cell>
          <cell r="Y642">
            <v>2.4750000000000001E-2</v>
          </cell>
          <cell r="Z642">
            <v>2.5150000000000002E-2</v>
          </cell>
          <cell r="AA642">
            <v>2.545E-2</v>
          </cell>
          <cell r="AB642">
            <v>2.63E-2</v>
          </cell>
          <cell r="AC642">
            <v>2.6799999999999997E-2</v>
          </cell>
        </row>
        <row r="643">
          <cell r="T643">
            <v>39247</v>
          </cell>
          <cell r="U643">
            <v>2.6069999999999996E-2</v>
          </cell>
          <cell r="V643">
            <v>2.6839999999999996E-2</v>
          </cell>
          <cell r="W643">
            <v>2.46E-2</v>
          </cell>
          <cell r="X643">
            <v>2.4400000000000005E-2</v>
          </cell>
          <cell r="Y643">
            <v>2.4749999999999998E-2</v>
          </cell>
          <cell r="Z643">
            <v>2.5150000000000002E-2</v>
          </cell>
          <cell r="AA643">
            <v>2.5599999999999998E-2</v>
          </cell>
          <cell r="AB643">
            <v>2.6349999999999998E-2</v>
          </cell>
          <cell r="AC643">
            <v>2.7199999999999998E-2</v>
          </cell>
        </row>
        <row r="644">
          <cell r="T644">
            <v>39246</v>
          </cell>
          <cell r="U644">
            <v>2.6380000000000001E-2</v>
          </cell>
          <cell r="V644">
            <v>2.7160000000000004E-2</v>
          </cell>
          <cell r="W644">
            <v>2.4700000000000003E-2</v>
          </cell>
          <cell r="X644">
            <v>2.4400000000000005E-2</v>
          </cell>
          <cell r="Y644">
            <v>2.4749999999999998E-2</v>
          </cell>
          <cell r="Z644">
            <v>2.52E-2</v>
          </cell>
          <cell r="AA644">
            <v>2.5399999999999999E-2</v>
          </cell>
          <cell r="AB644">
            <v>2.6150000000000003E-2</v>
          </cell>
          <cell r="AC644">
            <v>2.6699999999999998E-2</v>
          </cell>
        </row>
        <row r="645">
          <cell r="T645">
            <v>39245</v>
          </cell>
          <cell r="U645">
            <v>2.666E-2</v>
          </cell>
          <cell r="V645">
            <v>2.7179999999999999E-2</v>
          </cell>
          <cell r="W645">
            <v>2.4850000000000004E-2</v>
          </cell>
          <cell r="X645">
            <v>2.4550000000000002E-2</v>
          </cell>
          <cell r="Y645">
            <v>2.4550000000000002E-2</v>
          </cell>
          <cell r="Z645">
            <v>2.5000000000000001E-2</v>
          </cell>
          <cell r="AA645">
            <v>2.5099999999999997E-2</v>
          </cell>
          <cell r="AB645">
            <v>2.58E-2</v>
          </cell>
          <cell r="AC645">
            <v>2.63E-2</v>
          </cell>
        </row>
        <row r="646">
          <cell r="T646">
            <v>39244</v>
          </cell>
          <cell r="U646">
            <v>2.6690000000000002E-2</v>
          </cell>
          <cell r="V646">
            <v>2.7130000000000001E-2</v>
          </cell>
          <cell r="W646">
            <v>2.52E-2</v>
          </cell>
          <cell r="X646">
            <v>2.5350000000000001E-2</v>
          </cell>
          <cell r="Y646">
            <v>2.53E-2</v>
          </cell>
          <cell r="Z646">
            <v>2.5649999999999999E-2</v>
          </cell>
          <cell r="AA646">
            <v>2.5849999999999998E-2</v>
          </cell>
          <cell r="AB646">
            <v>2.6500000000000003E-2</v>
          </cell>
          <cell r="AC646">
            <v>2.725E-2</v>
          </cell>
        </row>
        <row r="647">
          <cell r="T647">
            <v>39243</v>
          </cell>
          <cell r="U647">
            <v>2.597E-2</v>
          </cell>
          <cell r="V647">
            <v>2.6440000000000002E-2</v>
          </cell>
          <cell r="W647">
            <v>2.4300000000000002E-2</v>
          </cell>
          <cell r="X647">
            <v>2.4874999999999998E-2</v>
          </cell>
          <cell r="Y647">
            <v>2.495E-2</v>
          </cell>
          <cell r="Z647">
            <v>2.5750000000000002E-2</v>
          </cell>
          <cell r="AA647">
            <v>2.6200000000000001E-2</v>
          </cell>
          <cell r="AB647">
            <v>2.6950000000000002E-2</v>
          </cell>
          <cell r="AC647">
            <v>2.7799999999999998E-2</v>
          </cell>
        </row>
        <row r="648">
          <cell r="T648">
            <v>39242</v>
          </cell>
          <cell r="U648">
            <v>2.597E-2</v>
          </cell>
          <cell r="V648">
            <v>2.6440000000000002E-2</v>
          </cell>
          <cell r="W648">
            <v>2.4300000000000002E-2</v>
          </cell>
          <cell r="X648">
            <v>2.4874999999999998E-2</v>
          </cell>
          <cell r="Y648">
            <v>2.495E-2</v>
          </cell>
          <cell r="Z648">
            <v>2.5750000000000002E-2</v>
          </cell>
          <cell r="AA648">
            <v>2.6200000000000001E-2</v>
          </cell>
          <cell r="AB648">
            <v>2.6950000000000002E-2</v>
          </cell>
          <cell r="AC648">
            <v>2.7799999999999998E-2</v>
          </cell>
        </row>
        <row r="649">
          <cell r="T649">
            <v>39241</v>
          </cell>
          <cell r="U649">
            <v>2.597E-2</v>
          </cell>
          <cell r="V649">
            <v>2.6440000000000002E-2</v>
          </cell>
          <cell r="W649">
            <v>2.4300000000000002E-2</v>
          </cell>
          <cell r="X649">
            <v>2.4874999999999998E-2</v>
          </cell>
          <cell r="Y649">
            <v>2.495E-2</v>
          </cell>
          <cell r="Z649">
            <v>2.5750000000000002E-2</v>
          </cell>
          <cell r="AA649">
            <v>2.6200000000000001E-2</v>
          </cell>
          <cell r="AB649">
            <v>2.6950000000000002E-2</v>
          </cell>
          <cell r="AC649">
            <v>2.7799999999999998E-2</v>
          </cell>
        </row>
        <row r="650">
          <cell r="T650">
            <v>39240</v>
          </cell>
          <cell r="U650">
            <v>2.5489999999999999E-2</v>
          </cell>
          <cell r="V650">
            <v>2.6069999999999996E-2</v>
          </cell>
          <cell r="W650">
            <v>2.4150000000000001E-2</v>
          </cell>
          <cell r="X650">
            <v>2.4199999999999999E-2</v>
          </cell>
          <cell r="Y650">
            <v>2.4400000000000005E-2</v>
          </cell>
          <cell r="Z650">
            <v>2.4975000000000001E-2</v>
          </cell>
          <cell r="AA650">
            <v>2.5399999999999999E-2</v>
          </cell>
          <cell r="AB650">
            <v>2.6249999999999999E-2</v>
          </cell>
          <cell r="AC650">
            <v>2.6849999999999995E-2</v>
          </cell>
        </row>
        <row r="651">
          <cell r="T651">
            <v>39239</v>
          </cell>
          <cell r="U651">
            <v>2.4340000000000001E-2</v>
          </cell>
          <cell r="V651">
            <v>2.4819999999999998E-2</v>
          </cell>
          <cell r="W651">
            <v>2.3799999999999998E-2</v>
          </cell>
          <cell r="X651">
            <v>2.3900000000000001E-2</v>
          </cell>
          <cell r="Y651">
            <v>2.41E-2</v>
          </cell>
          <cell r="Z651">
            <v>2.4799999999999999E-2</v>
          </cell>
          <cell r="AA651">
            <v>2.52E-2</v>
          </cell>
          <cell r="AB651">
            <v>2.6200000000000001E-2</v>
          </cell>
          <cell r="AC651">
            <v>2.6375000000000003E-2</v>
          </cell>
        </row>
        <row r="652">
          <cell r="T652">
            <v>39238</v>
          </cell>
          <cell r="U652">
            <v>2.436E-2</v>
          </cell>
          <cell r="V652">
            <v>2.4559999999999998E-2</v>
          </cell>
          <cell r="W652">
            <v>2.3600000000000003E-2</v>
          </cell>
          <cell r="X652">
            <v>2.3650000000000001E-2</v>
          </cell>
          <cell r="Y652">
            <v>2.3949999999999999E-2</v>
          </cell>
          <cell r="Z652">
            <v>2.4399999999999998E-2</v>
          </cell>
          <cell r="AA652">
            <v>2.4900000000000002E-2</v>
          </cell>
          <cell r="AB652">
            <v>2.5550000000000003E-2</v>
          </cell>
          <cell r="AC652">
            <v>2.6349999999999998E-2</v>
          </cell>
        </row>
        <row r="653">
          <cell r="T653">
            <v>39237</v>
          </cell>
          <cell r="U653">
            <v>2.3900000000000001E-2</v>
          </cell>
          <cell r="V653">
            <v>2.427E-2</v>
          </cell>
          <cell r="W653">
            <v>2.3200000000000002E-2</v>
          </cell>
          <cell r="X653">
            <v>2.3250000000000003E-2</v>
          </cell>
          <cell r="Y653">
            <v>2.3650000000000001E-2</v>
          </cell>
          <cell r="Z653">
            <v>2.4E-2</v>
          </cell>
          <cell r="AA653">
            <v>2.46E-2</v>
          </cell>
          <cell r="AB653">
            <v>2.5499999999999998E-2</v>
          </cell>
          <cell r="AC653">
            <v>2.6399999999999996E-2</v>
          </cell>
        </row>
        <row r="654">
          <cell r="T654">
            <v>39236</v>
          </cell>
          <cell r="U654">
            <v>2.504E-2</v>
          </cell>
          <cell r="V654">
            <v>2.503E-2</v>
          </cell>
          <cell r="W654">
            <v>2.35E-2</v>
          </cell>
          <cell r="X654">
            <v>2.3449999999999999E-2</v>
          </cell>
          <cell r="Y654">
            <v>2.3849999999999996E-2</v>
          </cell>
          <cell r="Z654">
            <v>2.4199999999999999E-2</v>
          </cell>
          <cell r="AA654">
            <v>2.4699999999999996E-2</v>
          </cell>
          <cell r="AB654">
            <v>2.5000000000000001E-2</v>
          </cell>
          <cell r="AC654">
            <v>2.6500000000000003E-2</v>
          </cell>
        </row>
        <row r="655">
          <cell r="T655">
            <v>39235</v>
          </cell>
          <cell r="U655">
            <v>2.504E-2</v>
          </cell>
          <cell r="V655">
            <v>2.503E-2</v>
          </cell>
          <cell r="W655">
            <v>2.35E-2</v>
          </cell>
          <cell r="X655">
            <v>2.3449999999999999E-2</v>
          </cell>
          <cell r="Y655">
            <v>2.3849999999999996E-2</v>
          </cell>
          <cell r="Z655">
            <v>2.4199999999999999E-2</v>
          </cell>
          <cell r="AA655">
            <v>2.4699999999999996E-2</v>
          </cell>
          <cell r="AB655">
            <v>2.5000000000000001E-2</v>
          </cell>
          <cell r="AC655">
            <v>2.6500000000000003E-2</v>
          </cell>
        </row>
        <row r="656">
          <cell r="T656">
            <v>39234</v>
          </cell>
          <cell r="U656">
            <v>2.504E-2</v>
          </cell>
          <cell r="V656">
            <v>2.503E-2</v>
          </cell>
          <cell r="W656">
            <v>2.35E-2</v>
          </cell>
          <cell r="X656">
            <v>2.3449999999999999E-2</v>
          </cell>
          <cell r="Y656">
            <v>2.3849999999999996E-2</v>
          </cell>
          <cell r="Z656">
            <v>2.4199999999999999E-2</v>
          </cell>
          <cell r="AA656">
            <v>2.4699999999999996E-2</v>
          </cell>
          <cell r="AB656">
            <v>2.5000000000000001E-2</v>
          </cell>
          <cell r="AC656">
            <v>2.6500000000000003E-2</v>
          </cell>
        </row>
        <row r="657">
          <cell r="T657">
            <v>39233</v>
          </cell>
          <cell r="U657">
            <v>2.5989999999999999E-2</v>
          </cell>
          <cell r="V657">
            <v>2.5739999999999999E-2</v>
          </cell>
          <cell r="W657">
            <v>2.3550000000000001E-2</v>
          </cell>
          <cell r="X657">
            <v>2.35E-2</v>
          </cell>
          <cell r="Y657">
            <v>2.3799999999999998E-2</v>
          </cell>
          <cell r="Z657">
            <v>2.3949999999999999E-2</v>
          </cell>
          <cell r="AA657">
            <v>2.4249999999999997E-2</v>
          </cell>
          <cell r="AB657">
            <v>2.495E-2</v>
          </cell>
          <cell r="AC657">
            <v>2.605E-2</v>
          </cell>
        </row>
        <row r="658">
          <cell r="T658">
            <v>39232</v>
          </cell>
          <cell r="U658">
            <v>2.5479999999999999E-2</v>
          </cell>
          <cell r="V658">
            <v>2.596E-2</v>
          </cell>
          <cell r="W658">
            <v>2.3200000000000002E-2</v>
          </cell>
          <cell r="X658">
            <v>2.3099999999999996E-2</v>
          </cell>
          <cell r="Y658">
            <v>2.2749999999999999E-2</v>
          </cell>
          <cell r="Z658">
            <v>2.315E-2</v>
          </cell>
          <cell r="AA658">
            <v>2.3849999999999996E-2</v>
          </cell>
          <cell r="AB658">
            <v>2.46E-2</v>
          </cell>
          <cell r="AC658">
            <v>2.5600000000000001E-2</v>
          </cell>
        </row>
        <row r="659">
          <cell r="T659">
            <v>39231</v>
          </cell>
          <cell r="U659">
            <v>2.3E-2</v>
          </cell>
          <cell r="V659">
            <v>2.1817000000000003E-2</v>
          </cell>
          <cell r="W659">
            <v>2.1349999999999997E-2</v>
          </cell>
          <cell r="X659">
            <v>2.1550000000000003E-2</v>
          </cell>
          <cell r="Y659">
            <v>2.2000000000000002E-2</v>
          </cell>
          <cell r="Z659">
            <v>2.265E-2</v>
          </cell>
          <cell r="AA659">
            <v>2.3300000000000001E-2</v>
          </cell>
          <cell r="AB659">
            <v>2.4450000000000003E-2</v>
          </cell>
          <cell r="AC659">
            <v>2.5700000000000004E-2</v>
          </cell>
        </row>
        <row r="660">
          <cell r="T660">
            <v>39230</v>
          </cell>
          <cell r="U660">
            <v>1.8249999999999999E-2</v>
          </cell>
          <cell r="V660">
            <v>1.8656000000000002E-2</v>
          </cell>
          <cell r="W660">
            <v>2.0099999999999996E-2</v>
          </cell>
          <cell r="X660">
            <v>2.1150000000000002E-2</v>
          </cell>
          <cell r="Y660">
            <v>2.2099999999999998E-2</v>
          </cell>
          <cell r="Z660">
            <v>2.2949999999999998E-2</v>
          </cell>
          <cell r="AA660">
            <v>2.3600000000000003E-2</v>
          </cell>
          <cell r="AB660">
            <v>2.4750000000000001E-2</v>
          </cell>
          <cell r="AC660">
            <v>2.6000000000000002E-2</v>
          </cell>
        </row>
        <row r="661">
          <cell r="T661">
            <v>39229</v>
          </cell>
          <cell r="U661">
            <v>1.7982999999999999E-2</v>
          </cell>
          <cell r="V661">
            <v>1.8433000000000001E-2</v>
          </cell>
          <cell r="W661">
            <v>1.9649999999999997E-2</v>
          </cell>
          <cell r="X661">
            <v>2.0724999999999997E-2</v>
          </cell>
          <cell r="Y661">
            <v>2.1724999999999998E-2</v>
          </cell>
          <cell r="Z661">
            <v>2.2499999999999999E-2</v>
          </cell>
          <cell r="AA661">
            <v>2.3199999999999998E-2</v>
          </cell>
          <cell r="AB661">
            <v>2.4399999999999998E-2</v>
          </cell>
          <cell r="AC661">
            <v>2.5399999999999999E-2</v>
          </cell>
        </row>
        <row r="662">
          <cell r="T662">
            <v>39228</v>
          </cell>
          <cell r="U662">
            <v>1.7982999999999999E-2</v>
          </cell>
          <cell r="V662">
            <v>1.8433000000000001E-2</v>
          </cell>
          <cell r="W662">
            <v>1.9649999999999997E-2</v>
          </cell>
          <cell r="X662">
            <v>2.0724999999999997E-2</v>
          </cell>
          <cell r="Y662">
            <v>2.1724999999999998E-2</v>
          </cell>
          <cell r="Z662">
            <v>2.2499999999999999E-2</v>
          </cell>
          <cell r="AA662">
            <v>2.3199999999999998E-2</v>
          </cell>
          <cell r="AB662">
            <v>2.4399999999999998E-2</v>
          </cell>
          <cell r="AC662">
            <v>2.5399999999999999E-2</v>
          </cell>
        </row>
        <row r="663">
          <cell r="T663">
            <v>39227</v>
          </cell>
          <cell r="U663">
            <v>1.7982999999999999E-2</v>
          </cell>
          <cell r="V663">
            <v>1.8433000000000001E-2</v>
          </cell>
          <cell r="W663">
            <v>1.9649999999999997E-2</v>
          </cell>
          <cell r="X663">
            <v>2.0724999999999997E-2</v>
          </cell>
          <cell r="Y663">
            <v>2.1724999999999998E-2</v>
          </cell>
          <cell r="Z663">
            <v>2.2499999999999999E-2</v>
          </cell>
          <cell r="AA663">
            <v>2.3199999999999998E-2</v>
          </cell>
          <cell r="AB663">
            <v>2.4399999999999998E-2</v>
          </cell>
          <cell r="AC663">
            <v>2.5399999999999999E-2</v>
          </cell>
        </row>
        <row r="664">
          <cell r="T664">
            <v>39226</v>
          </cell>
          <cell r="U664">
            <v>1.7825000000000001E-2</v>
          </cell>
          <cell r="V664">
            <v>1.8332999999999999E-2</v>
          </cell>
          <cell r="W664">
            <v>1.9349999999999999E-2</v>
          </cell>
          <cell r="X664">
            <v>2.0424999999999999E-2</v>
          </cell>
          <cell r="Y664">
            <v>2.129E-2</v>
          </cell>
          <cell r="Z664">
            <v>2.205E-2</v>
          </cell>
          <cell r="AA664">
            <v>2.2714999999999996E-2</v>
          </cell>
          <cell r="AB664">
            <v>2.3849999999999996E-2</v>
          </cell>
          <cell r="AC664">
            <v>2.5150000000000002E-2</v>
          </cell>
        </row>
        <row r="665">
          <cell r="T665">
            <v>39225</v>
          </cell>
          <cell r="U665">
            <v>1.7783E-2</v>
          </cell>
          <cell r="V665">
            <v>1.8357999999999999E-2</v>
          </cell>
          <cell r="W665">
            <v>1.925E-2</v>
          </cell>
          <cell r="X665">
            <v>2.0225E-2</v>
          </cell>
          <cell r="Y665">
            <v>2.1049999999999999E-2</v>
          </cell>
          <cell r="Z665">
            <v>2.1775000000000003E-2</v>
          </cell>
          <cell r="AA665">
            <v>2.2475000000000002E-2</v>
          </cell>
          <cell r="AB665">
            <v>2.3499999999999997E-2</v>
          </cell>
          <cell r="AC665">
            <v>2.4799999999999999E-2</v>
          </cell>
        </row>
        <row r="666">
          <cell r="T666">
            <v>39224</v>
          </cell>
          <cell r="U666">
            <v>1.7783E-2</v>
          </cell>
          <cell r="V666">
            <v>1.8357999999999999E-2</v>
          </cell>
          <cell r="W666">
            <v>1.915E-2</v>
          </cell>
          <cell r="X666">
            <v>2.0049999999999998E-2</v>
          </cell>
          <cell r="Y666">
            <v>2.085E-2</v>
          </cell>
          <cell r="Z666">
            <v>2.1600000000000001E-2</v>
          </cell>
          <cell r="AA666">
            <v>2.2275E-2</v>
          </cell>
          <cell r="AB666">
            <v>2.3399999999999997E-2</v>
          </cell>
          <cell r="AC666">
            <v>2.4649999999999998E-2</v>
          </cell>
        </row>
        <row r="667">
          <cell r="T667">
            <v>39223</v>
          </cell>
          <cell r="U667">
            <v>1.7783E-2</v>
          </cell>
          <cell r="V667">
            <v>1.8357999999999999E-2</v>
          </cell>
          <cell r="W667">
            <v>1.915E-2</v>
          </cell>
          <cell r="X667">
            <v>1.9950000000000002E-2</v>
          </cell>
          <cell r="Y667">
            <v>2.0750000000000001E-2</v>
          </cell>
          <cell r="Z667">
            <v>2.1500000000000005E-2</v>
          </cell>
          <cell r="AA667">
            <v>2.2199999999999998E-2</v>
          </cell>
          <cell r="AB667">
            <v>2.3349999999999999E-2</v>
          </cell>
          <cell r="AC667">
            <v>2.4249999999999997E-2</v>
          </cell>
        </row>
        <row r="668">
          <cell r="T668">
            <v>39222</v>
          </cell>
          <cell r="U668">
            <v>1.806E-2</v>
          </cell>
          <cell r="V668">
            <v>1.8349999999999998E-2</v>
          </cell>
          <cell r="W668">
            <v>1.9050000000000001E-2</v>
          </cell>
          <cell r="X668">
            <v>1.9799999999999998E-2</v>
          </cell>
          <cell r="Y668">
            <v>2.0525000000000002E-2</v>
          </cell>
          <cell r="Z668">
            <v>2.1274999999999999E-2</v>
          </cell>
          <cell r="AA668">
            <v>2.2000000000000002E-2</v>
          </cell>
          <cell r="AB668">
            <v>2.3049999999999998E-2</v>
          </cell>
          <cell r="AC668">
            <v>2.4249999999999997E-2</v>
          </cell>
        </row>
        <row r="669">
          <cell r="T669">
            <v>39221</v>
          </cell>
          <cell r="U669">
            <v>1.806E-2</v>
          </cell>
          <cell r="V669">
            <v>1.8349999999999998E-2</v>
          </cell>
          <cell r="W669">
            <v>1.9050000000000001E-2</v>
          </cell>
          <cell r="X669">
            <v>1.9799999999999998E-2</v>
          </cell>
          <cell r="Y669">
            <v>2.0525000000000002E-2</v>
          </cell>
          <cell r="Z669">
            <v>2.1274999999999999E-2</v>
          </cell>
          <cell r="AA669">
            <v>2.2000000000000002E-2</v>
          </cell>
          <cell r="AB669">
            <v>2.3049999999999998E-2</v>
          </cell>
          <cell r="AC669">
            <v>2.4249999999999997E-2</v>
          </cell>
        </row>
        <row r="670">
          <cell r="T670">
            <v>39220</v>
          </cell>
          <cell r="U670">
            <v>1.806E-2</v>
          </cell>
          <cell r="V670">
            <v>1.8349999999999998E-2</v>
          </cell>
          <cell r="W670">
            <v>1.9050000000000001E-2</v>
          </cell>
          <cell r="X670">
            <v>1.9799999999999998E-2</v>
          </cell>
          <cell r="Y670">
            <v>2.0525000000000002E-2</v>
          </cell>
          <cell r="Z670">
            <v>2.1274999999999999E-2</v>
          </cell>
          <cell r="AA670">
            <v>2.2000000000000002E-2</v>
          </cell>
          <cell r="AB670">
            <v>2.3049999999999998E-2</v>
          </cell>
          <cell r="AC670">
            <v>2.4249999999999997E-2</v>
          </cell>
        </row>
        <row r="671">
          <cell r="T671">
            <v>39219</v>
          </cell>
          <cell r="U671">
            <v>1.8000000000000002E-2</v>
          </cell>
          <cell r="V671">
            <v>1.8370000000000001E-2</v>
          </cell>
          <cell r="W671">
            <v>1.9000000000000003E-2</v>
          </cell>
          <cell r="X671">
            <v>1.975E-2</v>
          </cell>
          <cell r="Y671">
            <v>2.0449999999999999E-2</v>
          </cell>
          <cell r="Z671">
            <v>2.1174999999999996E-2</v>
          </cell>
          <cell r="AA671">
            <v>2.1799999999999996E-2</v>
          </cell>
          <cell r="AB671">
            <v>2.29E-2</v>
          </cell>
          <cell r="AC671">
            <v>2.4050000000000002E-2</v>
          </cell>
        </row>
        <row r="672">
          <cell r="T672">
            <v>39218</v>
          </cell>
          <cell r="U672">
            <v>1.8000000000000002E-2</v>
          </cell>
          <cell r="V672">
            <v>1.8349999999999998E-2</v>
          </cell>
          <cell r="W672">
            <v>1.9000000000000003E-2</v>
          </cell>
          <cell r="X672">
            <v>1.9675000000000002E-2</v>
          </cell>
          <cell r="Y672">
            <v>2.0385E-2</v>
          </cell>
          <cell r="Z672">
            <v>2.12E-2</v>
          </cell>
          <cell r="AA672">
            <v>2.1775000000000003E-2</v>
          </cell>
          <cell r="AB672">
            <v>2.2799999999999997E-2</v>
          </cell>
          <cell r="AC672">
            <v>2.4050000000000002E-2</v>
          </cell>
        </row>
        <row r="673">
          <cell r="T673">
            <v>39217</v>
          </cell>
          <cell r="U673">
            <v>1.805E-2</v>
          </cell>
          <cell r="V673">
            <v>1.83E-2</v>
          </cell>
          <cell r="W673">
            <v>1.8800000000000001E-2</v>
          </cell>
          <cell r="X673">
            <v>1.9550000000000001E-2</v>
          </cell>
          <cell r="Y673">
            <v>2.0074999999999999E-2</v>
          </cell>
          <cell r="Z673">
            <v>2.0649999999999998E-2</v>
          </cell>
          <cell r="AA673">
            <v>2.1299999999999999E-2</v>
          </cell>
          <cell r="AB673">
            <v>2.2400000000000003E-2</v>
          </cell>
          <cell r="AC673">
            <v>2.3550000000000001E-2</v>
          </cell>
        </row>
        <row r="674">
          <cell r="T674">
            <v>39216</v>
          </cell>
          <cell r="U674">
            <v>1.805E-2</v>
          </cell>
          <cell r="V674">
            <v>1.8349999999999998E-2</v>
          </cell>
          <cell r="W674">
            <v>1.8800000000000001E-2</v>
          </cell>
          <cell r="X674">
            <v>1.9349999999999999E-2</v>
          </cell>
          <cell r="Y674">
            <v>1.9900000000000001E-2</v>
          </cell>
          <cell r="Z674">
            <v>2.0449999999999999E-2</v>
          </cell>
          <cell r="AA674">
            <v>2.1049999999999999E-2</v>
          </cell>
          <cell r="AB674">
            <v>2.215E-2</v>
          </cell>
          <cell r="AC674">
            <v>2.3399999999999997E-2</v>
          </cell>
        </row>
        <row r="675">
          <cell r="T675">
            <v>39215</v>
          </cell>
          <cell r="U675">
            <v>1.8000000000000002E-2</v>
          </cell>
          <cell r="V675">
            <v>1.8342000000000001E-2</v>
          </cell>
          <cell r="W675">
            <v>1.8800000000000001E-2</v>
          </cell>
          <cell r="X675">
            <v>1.9299999999999998E-2</v>
          </cell>
          <cell r="Y675">
            <v>1.9899999999999998E-2</v>
          </cell>
          <cell r="Z675">
            <v>2.0499999999999997E-2</v>
          </cell>
          <cell r="AA675">
            <v>2.0999999999999998E-2</v>
          </cell>
          <cell r="AB675">
            <v>2.215E-2</v>
          </cell>
          <cell r="AC675">
            <v>2.3250000000000003E-2</v>
          </cell>
        </row>
        <row r="676">
          <cell r="T676">
            <v>39214</v>
          </cell>
          <cell r="U676">
            <v>1.8000000000000002E-2</v>
          </cell>
          <cell r="V676">
            <v>1.8342000000000001E-2</v>
          </cell>
          <cell r="W676">
            <v>1.8800000000000001E-2</v>
          </cell>
          <cell r="X676">
            <v>1.9299999999999998E-2</v>
          </cell>
          <cell r="Y676">
            <v>1.9899999999999998E-2</v>
          </cell>
          <cell r="Z676">
            <v>2.0499999999999997E-2</v>
          </cell>
          <cell r="AA676">
            <v>2.0999999999999998E-2</v>
          </cell>
          <cell r="AB676">
            <v>2.215E-2</v>
          </cell>
          <cell r="AC676">
            <v>2.3250000000000003E-2</v>
          </cell>
        </row>
        <row r="677">
          <cell r="T677">
            <v>39213</v>
          </cell>
          <cell r="U677">
            <v>1.8000000000000002E-2</v>
          </cell>
          <cell r="V677">
            <v>1.8342000000000001E-2</v>
          </cell>
          <cell r="W677">
            <v>1.8800000000000001E-2</v>
          </cell>
          <cell r="X677">
            <v>1.9299999999999998E-2</v>
          </cell>
          <cell r="Y677">
            <v>1.9899999999999998E-2</v>
          </cell>
          <cell r="Z677">
            <v>2.0499999999999997E-2</v>
          </cell>
          <cell r="AA677">
            <v>2.0999999999999998E-2</v>
          </cell>
          <cell r="AB677">
            <v>2.215E-2</v>
          </cell>
          <cell r="AC677">
            <v>2.3250000000000003E-2</v>
          </cell>
        </row>
        <row r="678">
          <cell r="T678">
            <v>39212</v>
          </cell>
          <cell r="U678">
            <v>1.805E-2</v>
          </cell>
          <cell r="V678">
            <v>1.8342000000000001E-2</v>
          </cell>
          <cell r="W678">
            <v>1.8800000000000001E-2</v>
          </cell>
          <cell r="X678">
            <v>1.9424999999999998E-2</v>
          </cell>
          <cell r="Y678">
            <v>1.9950000000000002E-2</v>
          </cell>
          <cell r="Z678">
            <v>2.0649999999999998E-2</v>
          </cell>
          <cell r="AA678">
            <v>2.1274999999999999E-2</v>
          </cell>
          <cell r="AB678">
            <v>2.2400000000000003E-2</v>
          </cell>
          <cell r="AC678">
            <v>2.3449999999999999E-2</v>
          </cell>
        </row>
        <row r="679">
          <cell r="T679">
            <v>39211</v>
          </cell>
          <cell r="U679">
            <v>1.8020000000000001E-2</v>
          </cell>
          <cell r="V679">
            <v>1.8090000000000002E-2</v>
          </cell>
          <cell r="W679">
            <v>1.8800000000000001E-2</v>
          </cell>
          <cell r="X679">
            <v>1.9400000000000001E-2</v>
          </cell>
          <cell r="Y679">
            <v>0.02</v>
          </cell>
          <cell r="Z679">
            <v>2.0625000000000001E-2</v>
          </cell>
          <cell r="AA679">
            <v>2.1299999999999999E-2</v>
          </cell>
          <cell r="AB679">
            <v>2.2450000000000001E-2</v>
          </cell>
          <cell r="AC679">
            <v>2.3550000000000001E-2</v>
          </cell>
        </row>
        <row r="680">
          <cell r="T680">
            <v>39210</v>
          </cell>
          <cell r="U680">
            <v>1.8009999999999998E-2</v>
          </cell>
          <cell r="V680">
            <v>1.8183000000000001E-2</v>
          </cell>
          <cell r="W680">
            <v>1.8749999999999999E-2</v>
          </cell>
          <cell r="X680">
            <v>1.95E-2</v>
          </cell>
          <cell r="Y680">
            <v>2.0199999999999996E-2</v>
          </cell>
          <cell r="Z680">
            <v>2.0899999999999998E-2</v>
          </cell>
          <cell r="AA680">
            <v>2.1624999999999995E-2</v>
          </cell>
          <cell r="AB680">
            <v>2.2700000000000001E-2</v>
          </cell>
          <cell r="AC680">
            <v>2.4050000000000002E-2</v>
          </cell>
        </row>
        <row r="681">
          <cell r="T681">
            <v>39209</v>
          </cell>
          <cell r="U681">
            <v>1.7989999999999999E-2</v>
          </cell>
          <cell r="V681">
            <v>1.8090000000000002E-2</v>
          </cell>
          <cell r="W681">
            <v>1.8800000000000001E-2</v>
          </cell>
          <cell r="X681">
            <v>1.9550000000000001E-2</v>
          </cell>
          <cell r="Y681">
            <v>2.0300000000000002E-2</v>
          </cell>
          <cell r="Z681">
            <v>2.1150000000000002E-2</v>
          </cell>
          <cell r="AA681">
            <v>2.1850000000000001E-2</v>
          </cell>
          <cell r="AB681">
            <v>2.2949999999999998E-2</v>
          </cell>
          <cell r="AC681">
            <v>2.4300000000000002E-2</v>
          </cell>
        </row>
        <row r="682">
          <cell r="T682">
            <v>39208</v>
          </cell>
          <cell r="U682">
            <v>1.7940000000000001E-2</v>
          </cell>
          <cell r="V682">
            <v>1.8200000000000001E-2</v>
          </cell>
          <cell r="W682">
            <v>1.89E-2</v>
          </cell>
          <cell r="X682">
            <v>1.9550000000000001E-2</v>
          </cell>
          <cell r="Y682">
            <v>2.035E-2</v>
          </cell>
          <cell r="Z682">
            <v>2.12E-2</v>
          </cell>
          <cell r="AA682">
            <v>2.1950000000000004E-2</v>
          </cell>
          <cell r="AB682">
            <v>2.2949999999999998E-2</v>
          </cell>
          <cell r="AC682">
            <v>2.435E-2</v>
          </cell>
        </row>
        <row r="683">
          <cell r="T683">
            <v>39207</v>
          </cell>
          <cell r="U683">
            <v>1.7940000000000001E-2</v>
          </cell>
          <cell r="V683">
            <v>1.8200000000000001E-2</v>
          </cell>
          <cell r="W683">
            <v>1.89E-2</v>
          </cell>
          <cell r="X683">
            <v>1.9550000000000001E-2</v>
          </cell>
          <cell r="Y683">
            <v>2.035E-2</v>
          </cell>
          <cell r="Z683">
            <v>2.12E-2</v>
          </cell>
          <cell r="AA683">
            <v>2.1950000000000004E-2</v>
          </cell>
          <cell r="AB683">
            <v>2.2949999999999998E-2</v>
          </cell>
          <cell r="AC683">
            <v>2.435E-2</v>
          </cell>
        </row>
        <row r="684">
          <cell r="T684">
            <v>39206</v>
          </cell>
          <cell r="U684">
            <v>1.7940000000000001E-2</v>
          </cell>
          <cell r="V684">
            <v>1.8200000000000001E-2</v>
          </cell>
          <cell r="W684">
            <v>1.89E-2</v>
          </cell>
          <cell r="X684">
            <v>1.9550000000000001E-2</v>
          </cell>
          <cell r="Y684">
            <v>2.035E-2</v>
          </cell>
          <cell r="Z684">
            <v>2.12E-2</v>
          </cell>
          <cell r="AA684">
            <v>2.1950000000000004E-2</v>
          </cell>
          <cell r="AB684">
            <v>2.2949999999999998E-2</v>
          </cell>
          <cell r="AC684">
            <v>2.435E-2</v>
          </cell>
        </row>
        <row r="685">
          <cell r="T685">
            <v>39205</v>
          </cell>
          <cell r="U685">
            <v>1.7950000000000001E-2</v>
          </cell>
          <cell r="V685">
            <v>1.8342000000000001E-2</v>
          </cell>
          <cell r="W685">
            <v>1.8849999999999999E-2</v>
          </cell>
          <cell r="X685">
            <v>1.9550000000000001E-2</v>
          </cell>
          <cell r="Y685">
            <v>2.035E-2</v>
          </cell>
          <cell r="Z685">
            <v>2.12E-2</v>
          </cell>
          <cell r="AA685">
            <v>2.1850000000000001E-2</v>
          </cell>
          <cell r="AB685">
            <v>2.2949999999999998E-2</v>
          </cell>
          <cell r="AC685">
            <v>2.4249999999999997E-2</v>
          </cell>
        </row>
        <row r="686">
          <cell r="T686">
            <v>39204</v>
          </cell>
          <cell r="U686">
            <v>1.7920000000000002E-2</v>
          </cell>
          <cell r="V686">
            <v>1.8342000000000001E-2</v>
          </cell>
          <cell r="W686">
            <v>1.8800000000000001E-2</v>
          </cell>
          <cell r="X686">
            <v>1.9400000000000001E-2</v>
          </cell>
          <cell r="Y686">
            <v>2.0149999999999998E-2</v>
          </cell>
          <cell r="Z686">
            <v>2.0899999999999998E-2</v>
          </cell>
          <cell r="AA686">
            <v>2.1550000000000003E-2</v>
          </cell>
          <cell r="AB686">
            <v>2.2700000000000001E-2</v>
          </cell>
          <cell r="AC686">
            <v>2.3799999999999998E-2</v>
          </cell>
        </row>
        <row r="687">
          <cell r="T687">
            <v>39203</v>
          </cell>
          <cell r="U687">
            <v>1.7899999999999999E-2</v>
          </cell>
          <cell r="V687">
            <v>1.8342000000000001E-2</v>
          </cell>
          <cell r="W687">
            <v>1.8700000000000001E-2</v>
          </cell>
          <cell r="X687">
            <v>1.9349999999999999E-2</v>
          </cell>
          <cell r="Y687">
            <v>2.0099999999999996E-2</v>
          </cell>
          <cell r="Z687">
            <v>2.0999999999999998E-2</v>
          </cell>
          <cell r="AA687">
            <v>2.1499999999999998E-2</v>
          </cell>
          <cell r="AB687">
            <v>2.2499999999999999E-2</v>
          </cell>
          <cell r="AC687">
            <v>2.3799999999999998E-2</v>
          </cell>
        </row>
        <row r="688">
          <cell r="T688">
            <v>39202</v>
          </cell>
          <cell r="U688">
            <v>1.7899999999999999E-2</v>
          </cell>
          <cell r="V688">
            <v>1.8342000000000001E-2</v>
          </cell>
          <cell r="W688">
            <v>1.8700000000000001E-2</v>
          </cell>
          <cell r="X688">
            <v>1.9349999999999999E-2</v>
          </cell>
          <cell r="Y688">
            <v>2.0099999999999996E-2</v>
          </cell>
          <cell r="Z688">
            <v>2.0999999999999998E-2</v>
          </cell>
          <cell r="AA688">
            <v>2.1499999999999998E-2</v>
          </cell>
          <cell r="AB688">
            <v>2.2499999999999999E-2</v>
          </cell>
          <cell r="AC688">
            <v>2.3799999999999998E-2</v>
          </cell>
        </row>
        <row r="689">
          <cell r="T689">
            <v>39201</v>
          </cell>
          <cell r="U689">
            <v>1.797E-2</v>
          </cell>
          <cell r="V689">
            <v>1.8342000000000001E-2</v>
          </cell>
          <cell r="W689">
            <v>1.8699999999999998E-2</v>
          </cell>
          <cell r="X689">
            <v>1.9400000000000001E-2</v>
          </cell>
          <cell r="Y689">
            <v>2.0199999999999996E-2</v>
          </cell>
          <cell r="Z689">
            <v>2.0999999999999998E-2</v>
          </cell>
          <cell r="AA689">
            <v>2.1600000000000001E-2</v>
          </cell>
          <cell r="AB689">
            <v>2.2700000000000001E-2</v>
          </cell>
          <cell r="AC689">
            <v>2.3799999999999998E-2</v>
          </cell>
        </row>
        <row r="690">
          <cell r="T690">
            <v>39200</v>
          </cell>
          <cell r="U690">
            <v>1.797E-2</v>
          </cell>
          <cell r="V690">
            <v>1.8342000000000001E-2</v>
          </cell>
          <cell r="W690">
            <v>1.8699999999999998E-2</v>
          </cell>
          <cell r="X690">
            <v>1.9400000000000001E-2</v>
          </cell>
          <cell r="Y690">
            <v>2.0199999999999996E-2</v>
          </cell>
          <cell r="Z690">
            <v>2.0999999999999998E-2</v>
          </cell>
          <cell r="AA690">
            <v>2.1600000000000001E-2</v>
          </cell>
          <cell r="AB690">
            <v>2.2700000000000001E-2</v>
          </cell>
          <cell r="AC690">
            <v>2.3799999999999998E-2</v>
          </cell>
        </row>
        <row r="691">
          <cell r="T691">
            <v>39199</v>
          </cell>
          <cell r="U691">
            <v>1.797E-2</v>
          </cell>
          <cell r="V691">
            <v>1.8342000000000001E-2</v>
          </cell>
          <cell r="W691">
            <v>1.8699999999999998E-2</v>
          </cell>
          <cell r="X691">
            <v>1.9400000000000001E-2</v>
          </cell>
          <cell r="Y691">
            <v>2.0199999999999996E-2</v>
          </cell>
          <cell r="Z691">
            <v>2.0999999999999998E-2</v>
          </cell>
          <cell r="AA691">
            <v>2.1600000000000001E-2</v>
          </cell>
          <cell r="AB691">
            <v>2.2700000000000001E-2</v>
          </cell>
          <cell r="AC691">
            <v>2.3799999999999998E-2</v>
          </cell>
        </row>
        <row r="692">
          <cell r="T692">
            <v>39198</v>
          </cell>
          <cell r="U692">
            <v>1.797E-2</v>
          </cell>
          <cell r="V692">
            <v>1.8359999999999998E-2</v>
          </cell>
          <cell r="W692">
            <v>1.8699999999999998E-2</v>
          </cell>
          <cell r="X692">
            <v>1.9349999999999999E-2</v>
          </cell>
          <cell r="Y692">
            <v>2.0149999999999998E-2</v>
          </cell>
          <cell r="Z692">
            <v>2.0899999999999998E-2</v>
          </cell>
          <cell r="AA692">
            <v>2.1500000000000005E-2</v>
          </cell>
          <cell r="AB692">
            <v>2.2600000000000002E-2</v>
          </cell>
          <cell r="AC692">
            <v>2.375E-2</v>
          </cell>
        </row>
        <row r="693">
          <cell r="T693">
            <v>39197</v>
          </cell>
          <cell r="U693">
            <v>1.7920000000000002E-2</v>
          </cell>
          <cell r="V693">
            <v>1.8374999999999999E-2</v>
          </cell>
          <cell r="W693">
            <v>1.8749999999999999E-2</v>
          </cell>
          <cell r="X693">
            <v>1.9400000000000001E-2</v>
          </cell>
          <cell r="Y693">
            <v>2.0149999999999998E-2</v>
          </cell>
          <cell r="Z693">
            <v>2.0999999999999998E-2</v>
          </cell>
          <cell r="AA693">
            <v>2.1649999999999999E-2</v>
          </cell>
          <cell r="AB693">
            <v>2.265E-2</v>
          </cell>
          <cell r="AC693">
            <v>2.3899999999999998E-2</v>
          </cell>
        </row>
        <row r="694">
          <cell r="T694">
            <v>39196</v>
          </cell>
          <cell r="U694">
            <v>1.7920000000000002E-2</v>
          </cell>
          <cell r="V694">
            <v>1.84E-2</v>
          </cell>
          <cell r="W694">
            <v>1.8699999999999998E-2</v>
          </cell>
          <cell r="X694">
            <v>1.925E-2</v>
          </cell>
          <cell r="Y694">
            <v>1.9900000000000001E-2</v>
          </cell>
          <cell r="Z694">
            <v>2.0549999999999999E-2</v>
          </cell>
          <cell r="AA694">
            <v>2.1150000000000002E-2</v>
          </cell>
          <cell r="AB694">
            <v>2.2300000000000004E-2</v>
          </cell>
          <cell r="AC694">
            <v>2.3550000000000001E-2</v>
          </cell>
        </row>
        <row r="695">
          <cell r="T695">
            <v>39195</v>
          </cell>
          <cell r="U695">
            <v>1.7979999999999999E-2</v>
          </cell>
          <cell r="V695">
            <v>1.8362E-2</v>
          </cell>
          <cell r="W695">
            <v>1.8699999999999998E-2</v>
          </cell>
          <cell r="X695">
            <v>1.9299999999999998E-2</v>
          </cell>
          <cell r="Y695">
            <v>1.9900000000000001E-2</v>
          </cell>
          <cell r="Z695">
            <v>2.0549999999999999E-2</v>
          </cell>
          <cell r="AA695">
            <v>2.1100000000000004E-2</v>
          </cell>
          <cell r="AB695">
            <v>2.2200000000000001E-2</v>
          </cell>
          <cell r="AC695">
            <v>2.3399999999999997E-2</v>
          </cell>
        </row>
        <row r="696">
          <cell r="T696">
            <v>39194</v>
          </cell>
          <cell r="U696">
            <v>1.8000000000000002E-2</v>
          </cell>
          <cell r="V696">
            <v>1.8420000000000002E-2</v>
          </cell>
          <cell r="W696">
            <v>1.8699999999999998E-2</v>
          </cell>
          <cell r="X696">
            <v>1.9299999999999998E-2</v>
          </cell>
          <cell r="Y696">
            <v>1.9949999999999999E-2</v>
          </cell>
          <cell r="Z696">
            <v>2.0549999999999999E-2</v>
          </cell>
          <cell r="AA696">
            <v>2.1150000000000002E-2</v>
          </cell>
          <cell r="AB696">
            <v>2.2250000000000002E-2</v>
          </cell>
          <cell r="AC696">
            <v>2.3449999999999999E-2</v>
          </cell>
        </row>
        <row r="697">
          <cell r="T697">
            <v>39193</v>
          </cell>
          <cell r="U697">
            <v>1.8000000000000002E-2</v>
          </cell>
          <cell r="V697">
            <v>1.8420000000000002E-2</v>
          </cell>
          <cell r="W697">
            <v>1.8699999999999998E-2</v>
          </cell>
          <cell r="X697">
            <v>1.9299999999999998E-2</v>
          </cell>
          <cell r="Y697">
            <v>1.9949999999999999E-2</v>
          </cell>
          <cell r="Z697">
            <v>2.0549999999999999E-2</v>
          </cell>
          <cell r="AA697">
            <v>2.1150000000000002E-2</v>
          </cell>
          <cell r="AB697">
            <v>2.2250000000000002E-2</v>
          </cell>
          <cell r="AC697">
            <v>2.3449999999999999E-2</v>
          </cell>
        </row>
        <row r="698">
          <cell r="T698">
            <v>39192</v>
          </cell>
          <cell r="U698">
            <v>1.8000000000000002E-2</v>
          </cell>
          <cell r="V698">
            <v>1.8420000000000002E-2</v>
          </cell>
          <cell r="W698">
            <v>1.8699999999999998E-2</v>
          </cell>
          <cell r="X698">
            <v>1.9299999999999998E-2</v>
          </cell>
          <cell r="Y698">
            <v>1.9949999999999999E-2</v>
          </cell>
          <cell r="Z698">
            <v>2.0549999999999999E-2</v>
          </cell>
          <cell r="AA698">
            <v>2.1150000000000002E-2</v>
          </cell>
          <cell r="AB698">
            <v>2.2250000000000002E-2</v>
          </cell>
          <cell r="AC698">
            <v>2.3449999999999999E-2</v>
          </cell>
        </row>
        <row r="699">
          <cell r="T699">
            <v>39191</v>
          </cell>
          <cell r="U699">
            <v>1.7950000000000001E-2</v>
          </cell>
          <cell r="V699">
            <v>1.8362E-2</v>
          </cell>
          <cell r="W699">
            <v>1.8699999999999998E-2</v>
          </cell>
          <cell r="X699">
            <v>1.9099999999999999E-2</v>
          </cell>
          <cell r="Y699">
            <v>1.975E-2</v>
          </cell>
          <cell r="Z699">
            <v>2.0400000000000001E-2</v>
          </cell>
          <cell r="AA699">
            <v>2.085E-2</v>
          </cell>
          <cell r="AB699">
            <v>2.2000000000000002E-2</v>
          </cell>
          <cell r="AC699">
            <v>2.3199999999999998E-2</v>
          </cell>
        </row>
        <row r="700">
          <cell r="T700">
            <v>39190</v>
          </cell>
          <cell r="U700">
            <v>1.7950000000000001E-2</v>
          </cell>
          <cell r="V700">
            <v>1.8420000000000002E-2</v>
          </cell>
          <cell r="W700">
            <v>1.8749999999999999E-2</v>
          </cell>
          <cell r="X700">
            <v>1.9599999999999999E-2</v>
          </cell>
          <cell r="Y700">
            <v>2.0199999999999996E-2</v>
          </cell>
          <cell r="Z700">
            <v>2.0875000000000005E-2</v>
          </cell>
          <cell r="AA700">
            <v>2.1500000000000005E-2</v>
          </cell>
          <cell r="AB700">
            <v>2.2600000000000002E-2</v>
          </cell>
          <cell r="AC700">
            <v>2.3799999999999998E-2</v>
          </cell>
        </row>
        <row r="701">
          <cell r="T701">
            <v>39189</v>
          </cell>
          <cell r="U701">
            <v>1.8000000000000002E-2</v>
          </cell>
          <cell r="V701">
            <v>1.8420000000000002E-2</v>
          </cell>
          <cell r="W701">
            <v>1.8800000000000001E-2</v>
          </cell>
          <cell r="X701">
            <v>1.9550000000000001E-2</v>
          </cell>
          <cell r="Y701">
            <v>2.0199999999999996E-2</v>
          </cell>
          <cell r="Z701">
            <v>2.0899999999999998E-2</v>
          </cell>
          <cell r="AA701">
            <v>2.1399999999999995E-2</v>
          </cell>
          <cell r="AB701">
            <v>2.2550000000000001E-2</v>
          </cell>
          <cell r="AC701">
            <v>2.3799999999999998E-2</v>
          </cell>
        </row>
        <row r="702">
          <cell r="T702">
            <v>39188</v>
          </cell>
          <cell r="U702">
            <v>1.7989999999999999E-2</v>
          </cell>
          <cell r="V702">
            <v>1.8342000000000001E-2</v>
          </cell>
          <cell r="W702">
            <v>1.8749999999999999E-2</v>
          </cell>
          <cell r="X702">
            <v>1.95E-2</v>
          </cell>
          <cell r="Y702">
            <v>2.0049999999999998E-2</v>
          </cell>
          <cell r="Z702">
            <v>2.0649999999999998E-2</v>
          </cell>
          <cell r="AA702">
            <v>2.1250000000000002E-2</v>
          </cell>
          <cell r="AB702">
            <v>2.2200000000000001E-2</v>
          </cell>
          <cell r="AC702">
            <v>2.3449999999999999E-2</v>
          </cell>
        </row>
        <row r="703">
          <cell r="T703">
            <v>39187</v>
          </cell>
          <cell r="U703">
            <v>1.7989999999999999E-2</v>
          </cell>
          <cell r="V703">
            <v>1.8359999999999998E-2</v>
          </cell>
          <cell r="W703">
            <v>1.8749999999999999E-2</v>
          </cell>
          <cell r="X703">
            <v>1.9299999999999998E-2</v>
          </cell>
          <cell r="Y703">
            <v>1.9799999999999998E-2</v>
          </cell>
          <cell r="Z703">
            <v>2.0400000000000001E-2</v>
          </cell>
          <cell r="AA703">
            <v>2.0899999999999998E-2</v>
          </cell>
          <cell r="AB703">
            <v>2.1900000000000003E-2</v>
          </cell>
          <cell r="AC703">
            <v>2.315E-2</v>
          </cell>
        </row>
        <row r="704">
          <cell r="T704">
            <v>39186</v>
          </cell>
          <cell r="U704">
            <v>1.7989999999999999E-2</v>
          </cell>
          <cell r="V704">
            <v>1.8359999999999998E-2</v>
          </cell>
          <cell r="W704">
            <v>1.8749999999999999E-2</v>
          </cell>
          <cell r="X704">
            <v>1.9299999999999998E-2</v>
          </cell>
          <cell r="Y704">
            <v>1.9799999999999998E-2</v>
          </cell>
          <cell r="Z704">
            <v>2.0400000000000001E-2</v>
          </cell>
          <cell r="AA704">
            <v>2.0899999999999998E-2</v>
          </cell>
          <cell r="AB704">
            <v>2.1900000000000003E-2</v>
          </cell>
          <cell r="AC704">
            <v>2.315E-2</v>
          </cell>
        </row>
        <row r="705">
          <cell r="T705">
            <v>39185</v>
          </cell>
          <cell r="U705">
            <v>1.7979999999999999E-2</v>
          </cell>
          <cell r="V705">
            <v>1.8359999999999998E-2</v>
          </cell>
          <cell r="W705">
            <v>1.8699999999999998E-2</v>
          </cell>
          <cell r="X705">
            <v>1.925E-2</v>
          </cell>
          <cell r="Y705">
            <v>1.9799999999999998E-2</v>
          </cell>
          <cell r="Z705">
            <v>2.0449999999999999E-2</v>
          </cell>
          <cell r="AA705">
            <v>2.085E-2</v>
          </cell>
          <cell r="AB705">
            <v>2.1900000000000003E-2</v>
          </cell>
          <cell r="AC705">
            <v>2.315E-2</v>
          </cell>
        </row>
        <row r="706">
          <cell r="T706">
            <v>39184</v>
          </cell>
          <cell r="U706">
            <v>1.7940000000000001E-2</v>
          </cell>
          <cell r="V706">
            <v>1.8342000000000001E-2</v>
          </cell>
          <cell r="W706">
            <v>1.8699999999999998E-2</v>
          </cell>
          <cell r="X706">
            <v>1.9299999999999998E-2</v>
          </cell>
          <cell r="Y706">
            <v>1.975E-2</v>
          </cell>
          <cell r="Z706">
            <v>2.035E-2</v>
          </cell>
          <cell r="AA706">
            <v>2.085E-2</v>
          </cell>
          <cell r="AB706">
            <v>2.1900000000000003E-2</v>
          </cell>
          <cell r="AC706">
            <v>2.3049999999999998E-2</v>
          </cell>
        </row>
        <row r="707">
          <cell r="T707">
            <v>39183</v>
          </cell>
          <cell r="U707">
            <v>1.7950000000000001E-2</v>
          </cell>
          <cell r="V707">
            <v>1.8370000000000001E-2</v>
          </cell>
          <cell r="W707">
            <v>1.8749999999999999E-2</v>
          </cell>
          <cell r="X707">
            <v>1.9200000000000002E-2</v>
          </cell>
          <cell r="Y707">
            <v>1.9599999999999999E-2</v>
          </cell>
          <cell r="Z707">
            <v>2.0199999999999996E-2</v>
          </cell>
          <cell r="AA707">
            <v>2.0700000000000003E-2</v>
          </cell>
          <cell r="AB707">
            <v>2.1799999999999996E-2</v>
          </cell>
          <cell r="AC707">
            <v>2.3E-2</v>
          </cell>
        </row>
        <row r="708">
          <cell r="T708">
            <v>39182</v>
          </cell>
          <cell r="U708">
            <v>1.797E-2</v>
          </cell>
          <cell r="V708">
            <v>1.8359999999999998E-2</v>
          </cell>
          <cell r="W708">
            <v>1.8600000000000002E-2</v>
          </cell>
          <cell r="X708">
            <v>1.9000000000000003E-2</v>
          </cell>
          <cell r="Y708">
            <v>1.9349999999999999E-2</v>
          </cell>
          <cell r="Z708">
            <v>1.985E-2</v>
          </cell>
          <cell r="AA708">
            <v>2.0400000000000001E-2</v>
          </cell>
          <cell r="AB708">
            <v>2.1299999999999999E-2</v>
          </cell>
          <cell r="AC708">
            <v>2.2499999999999999E-2</v>
          </cell>
        </row>
        <row r="709">
          <cell r="T709">
            <v>39181</v>
          </cell>
          <cell r="U709">
            <v>1.797E-2</v>
          </cell>
          <cell r="V709">
            <v>1.8349999999999998E-2</v>
          </cell>
          <cell r="W709">
            <v>1.8600000000000002E-2</v>
          </cell>
          <cell r="X709">
            <v>1.9000000000000003E-2</v>
          </cell>
          <cell r="Y709">
            <v>1.9400000000000001E-2</v>
          </cell>
          <cell r="Z709">
            <v>1.9900000000000001E-2</v>
          </cell>
          <cell r="AA709">
            <v>2.0400000000000001E-2</v>
          </cell>
          <cell r="AB709">
            <v>2.1399999999999995E-2</v>
          </cell>
          <cell r="AC709">
            <v>2.2499999999999999E-2</v>
          </cell>
        </row>
        <row r="710">
          <cell r="T710">
            <v>39180</v>
          </cell>
          <cell r="U710">
            <v>1.797E-2</v>
          </cell>
          <cell r="V710">
            <v>1.8349999999999998E-2</v>
          </cell>
          <cell r="W710">
            <v>1.8550000000000001E-2</v>
          </cell>
          <cell r="X710">
            <v>1.89E-2</v>
          </cell>
          <cell r="Y710">
            <v>1.9400000000000001E-2</v>
          </cell>
          <cell r="Z710">
            <v>1.985E-2</v>
          </cell>
          <cell r="AA710">
            <v>2.035E-2</v>
          </cell>
          <cell r="AB710">
            <v>2.1299999999999999E-2</v>
          </cell>
          <cell r="AC710">
            <v>2.2400000000000003E-2</v>
          </cell>
        </row>
        <row r="711">
          <cell r="T711">
            <v>39179</v>
          </cell>
          <cell r="U711">
            <v>1.797E-2</v>
          </cell>
          <cell r="V711">
            <v>1.8349999999999998E-2</v>
          </cell>
          <cell r="W711">
            <v>1.8550000000000001E-2</v>
          </cell>
          <cell r="X711">
            <v>1.89E-2</v>
          </cell>
          <cell r="Y711">
            <v>1.9400000000000001E-2</v>
          </cell>
          <cell r="Z711">
            <v>1.985E-2</v>
          </cell>
          <cell r="AA711">
            <v>2.035E-2</v>
          </cell>
          <cell r="AB711">
            <v>2.1299999999999999E-2</v>
          </cell>
          <cell r="AC711">
            <v>2.2400000000000003E-2</v>
          </cell>
        </row>
        <row r="712">
          <cell r="T712">
            <v>39178</v>
          </cell>
          <cell r="U712">
            <v>1.797E-2</v>
          </cell>
          <cell r="V712">
            <v>1.8349999999999998E-2</v>
          </cell>
          <cell r="W712">
            <v>1.8550000000000001E-2</v>
          </cell>
          <cell r="X712">
            <v>1.89E-2</v>
          </cell>
          <cell r="Y712">
            <v>1.9400000000000001E-2</v>
          </cell>
          <cell r="Z712">
            <v>1.985E-2</v>
          </cell>
          <cell r="AA712">
            <v>2.035E-2</v>
          </cell>
          <cell r="AB712">
            <v>2.1299999999999999E-2</v>
          </cell>
          <cell r="AC712">
            <v>2.2400000000000003E-2</v>
          </cell>
        </row>
        <row r="713">
          <cell r="T713">
            <v>39177</v>
          </cell>
          <cell r="U713">
            <v>1.797E-2</v>
          </cell>
          <cell r="V713">
            <v>1.8349999999999998E-2</v>
          </cell>
          <cell r="W713">
            <v>1.8550000000000001E-2</v>
          </cell>
          <cell r="X713">
            <v>1.89E-2</v>
          </cell>
          <cell r="Y713">
            <v>1.9400000000000001E-2</v>
          </cell>
          <cell r="Z713">
            <v>1.985E-2</v>
          </cell>
          <cell r="AA713">
            <v>2.035E-2</v>
          </cell>
          <cell r="AB713">
            <v>2.1299999999999999E-2</v>
          </cell>
          <cell r="AC713">
            <v>2.2400000000000003E-2</v>
          </cell>
        </row>
        <row r="714">
          <cell r="T714">
            <v>39176</v>
          </cell>
          <cell r="U714">
            <v>1.797E-2</v>
          </cell>
          <cell r="V714">
            <v>1.8349999999999998E-2</v>
          </cell>
          <cell r="W714">
            <v>1.8550000000000001E-2</v>
          </cell>
          <cell r="X714">
            <v>1.89E-2</v>
          </cell>
          <cell r="Y714">
            <v>1.9400000000000001E-2</v>
          </cell>
          <cell r="Z714">
            <v>1.985E-2</v>
          </cell>
          <cell r="AA714">
            <v>2.035E-2</v>
          </cell>
          <cell r="AB714">
            <v>2.1299999999999999E-2</v>
          </cell>
          <cell r="AC714">
            <v>2.2400000000000003E-2</v>
          </cell>
        </row>
        <row r="715">
          <cell r="T715">
            <v>39175</v>
          </cell>
          <cell r="U715">
            <v>1.797E-2</v>
          </cell>
          <cell r="V715">
            <v>1.83E-2</v>
          </cell>
          <cell r="W715">
            <v>1.8499999999999999E-2</v>
          </cell>
          <cell r="X715">
            <v>1.8849999999999999E-2</v>
          </cell>
          <cell r="Y715">
            <v>1.9200000000000002E-2</v>
          </cell>
          <cell r="Z715">
            <v>1.9699999999999999E-2</v>
          </cell>
          <cell r="AA715">
            <v>2.0199999999999996E-2</v>
          </cell>
          <cell r="AB715">
            <v>2.1100000000000004E-2</v>
          </cell>
          <cell r="AC715">
            <v>2.2300000000000004E-2</v>
          </cell>
        </row>
        <row r="716">
          <cell r="T716">
            <v>39174</v>
          </cell>
          <cell r="U716">
            <v>1.7979999999999999E-2</v>
          </cell>
          <cell r="V716">
            <v>1.8237999999999997E-2</v>
          </cell>
          <cell r="W716">
            <v>1.8450000000000001E-2</v>
          </cell>
          <cell r="X716">
            <v>1.8874999999999999E-2</v>
          </cell>
          <cell r="Y716">
            <v>1.9200000000000002E-2</v>
          </cell>
          <cell r="Z716">
            <v>1.9699999999999999E-2</v>
          </cell>
          <cell r="AA716">
            <v>2.0199999999999996E-2</v>
          </cell>
          <cell r="AB716">
            <v>2.1100000000000004E-2</v>
          </cell>
          <cell r="AC716">
            <v>2.2300000000000004E-2</v>
          </cell>
        </row>
        <row r="717">
          <cell r="T717">
            <v>39173</v>
          </cell>
          <cell r="U717">
            <v>1.7950000000000001E-2</v>
          </cell>
          <cell r="V717">
            <v>1.8260000000000002E-2</v>
          </cell>
          <cell r="W717">
            <v>1.8450000000000001E-2</v>
          </cell>
          <cell r="X717">
            <v>1.89E-2</v>
          </cell>
          <cell r="Y717">
            <v>1.9200000000000002E-2</v>
          </cell>
          <cell r="Z717">
            <v>1.9699999999999999E-2</v>
          </cell>
          <cell r="AA717">
            <v>2.0199999999999996E-2</v>
          </cell>
          <cell r="AB717">
            <v>2.1100000000000004E-2</v>
          </cell>
          <cell r="AC717">
            <v>2.2300000000000004E-2</v>
          </cell>
        </row>
        <row r="718">
          <cell r="T718">
            <v>39172</v>
          </cell>
          <cell r="U718">
            <v>1.7950000000000001E-2</v>
          </cell>
          <cell r="V718">
            <v>1.8260000000000002E-2</v>
          </cell>
          <cell r="W718">
            <v>1.8450000000000001E-2</v>
          </cell>
          <cell r="X718">
            <v>1.89E-2</v>
          </cell>
          <cell r="Y718">
            <v>1.9200000000000002E-2</v>
          </cell>
          <cell r="Z718">
            <v>1.9699999999999999E-2</v>
          </cell>
          <cell r="AA718">
            <v>2.0199999999999996E-2</v>
          </cell>
          <cell r="AB718">
            <v>2.1100000000000004E-2</v>
          </cell>
          <cell r="AC718">
            <v>2.2300000000000004E-2</v>
          </cell>
        </row>
        <row r="719">
          <cell r="T719">
            <v>39171</v>
          </cell>
          <cell r="U719">
            <v>1.7950000000000001E-2</v>
          </cell>
          <cell r="V719">
            <v>1.8260000000000002E-2</v>
          </cell>
          <cell r="W719">
            <v>1.8450000000000001E-2</v>
          </cell>
          <cell r="X719">
            <v>1.89E-2</v>
          </cell>
          <cell r="Y719">
            <v>1.9200000000000002E-2</v>
          </cell>
          <cell r="Z719">
            <v>1.9699999999999999E-2</v>
          </cell>
          <cell r="AA719">
            <v>2.0199999999999996E-2</v>
          </cell>
          <cell r="AB719">
            <v>2.1100000000000004E-2</v>
          </cell>
          <cell r="AC719">
            <v>2.2300000000000004E-2</v>
          </cell>
        </row>
        <row r="720">
          <cell r="T720">
            <v>39170</v>
          </cell>
          <cell r="U720">
            <v>1.789E-2</v>
          </cell>
          <cell r="V720">
            <v>1.8175E-2</v>
          </cell>
          <cell r="W720">
            <v>1.84E-2</v>
          </cell>
          <cell r="X720">
            <v>1.8799999999999997E-2</v>
          </cell>
          <cell r="Y720">
            <v>1.915E-2</v>
          </cell>
          <cell r="Z720">
            <v>1.9649999999999997E-2</v>
          </cell>
          <cell r="AA720">
            <v>2.0099999999999996E-2</v>
          </cell>
          <cell r="AB720">
            <v>2.0899999999999998E-2</v>
          </cell>
          <cell r="AC720">
            <v>2.215E-2</v>
          </cell>
        </row>
        <row r="721">
          <cell r="T721">
            <v>39169</v>
          </cell>
          <cell r="U721">
            <v>1.7909999999999999E-2</v>
          </cell>
          <cell r="V721">
            <v>1.8149999999999999E-2</v>
          </cell>
          <cell r="W721">
            <v>1.8349999999999998E-2</v>
          </cell>
          <cell r="X721">
            <v>1.8749999999999999E-2</v>
          </cell>
          <cell r="Y721">
            <v>1.915E-2</v>
          </cell>
          <cell r="Z721">
            <v>1.9649999999999997E-2</v>
          </cell>
          <cell r="AA721">
            <v>2.0099999999999996E-2</v>
          </cell>
          <cell r="AB721">
            <v>2.0899999999999998E-2</v>
          </cell>
          <cell r="AC721">
            <v>2.205E-2</v>
          </cell>
        </row>
        <row r="722">
          <cell r="T722">
            <v>39168</v>
          </cell>
          <cell r="U722">
            <v>1.7749999999999998E-2</v>
          </cell>
          <cell r="V722">
            <v>1.8175E-2</v>
          </cell>
          <cell r="W722">
            <v>1.8349999999999998E-2</v>
          </cell>
          <cell r="X722">
            <v>1.8699999999999998E-2</v>
          </cell>
          <cell r="Y722">
            <v>1.9099999999999999E-2</v>
          </cell>
          <cell r="Z722">
            <v>1.9599999999999999E-2</v>
          </cell>
          <cell r="AA722">
            <v>2.0099999999999996E-2</v>
          </cell>
          <cell r="AB722">
            <v>2.1000000000000001E-2</v>
          </cell>
          <cell r="AC722">
            <v>2.2000000000000002E-2</v>
          </cell>
        </row>
        <row r="723">
          <cell r="T723">
            <v>39167</v>
          </cell>
          <cell r="U723">
            <v>1.7739999999999999E-2</v>
          </cell>
          <cell r="V723">
            <v>1.8110000000000001E-2</v>
          </cell>
          <cell r="W723">
            <v>1.8349999999999998E-2</v>
          </cell>
          <cell r="X723">
            <v>1.8749999999999999E-2</v>
          </cell>
          <cell r="Y723">
            <v>1.9099999999999999E-2</v>
          </cell>
          <cell r="Z723">
            <v>1.9599999999999999E-2</v>
          </cell>
          <cell r="AA723">
            <v>2.0049999999999998E-2</v>
          </cell>
          <cell r="AB723">
            <v>2.085E-2</v>
          </cell>
          <cell r="AC723">
            <v>2.1799999999999996E-2</v>
          </cell>
        </row>
        <row r="724">
          <cell r="T724">
            <v>39166</v>
          </cell>
          <cell r="U724">
            <v>1.7739999999999999E-2</v>
          </cell>
          <cell r="V724">
            <v>1.8175E-2</v>
          </cell>
          <cell r="W724">
            <v>1.8349999999999998E-2</v>
          </cell>
          <cell r="X724">
            <v>1.8699999999999998E-2</v>
          </cell>
          <cell r="Y724">
            <v>1.9099999999999999E-2</v>
          </cell>
          <cell r="Z724">
            <v>1.9550000000000001E-2</v>
          </cell>
          <cell r="AA724">
            <v>0.02</v>
          </cell>
          <cell r="AB724">
            <v>2.0799999999999999E-2</v>
          </cell>
          <cell r="AC724">
            <v>2.1749999999999999E-2</v>
          </cell>
        </row>
        <row r="725">
          <cell r="T725">
            <v>39165</v>
          </cell>
          <cell r="U725">
            <v>1.7739999999999999E-2</v>
          </cell>
          <cell r="V725">
            <v>1.8175E-2</v>
          </cell>
          <cell r="W725">
            <v>1.8349999999999998E-2</v>
          </cell>
          <cell r="X725">
            <v>1.8699999999999998E-2</v>
          </cell>
          <cell r="Y725">
            <v>1.9099999999999999E-2</v>
          </cell>
          <cell r="Z725">
            <v>1.9550000000000001E-2</v>
          </cell>
          <cell r="AA725">
            <v>0.02</v>
          </cell>
          <cell r="AB725">
            <v>2.0799999999999999E-2</v>
          </cell>
          <cell r="AC725">
            <v>2.1749999999999999E-2</v>
          </cell>
        </row>
        <row r="726">
          <cell r="T726">
            <v>39164</v>
          </cell>
          <cell r="U726">
            <v>1.7739999999999999E-2</v>
          </cell>
          <cell r="V726">
            <v>1.8175E-2</v>
          </cell>
          <cell r="W726">
            <v>1.8349999999999998E-2</v>
          </cell>
          <cell r="X726">
            <v>1.8699999999999998E-2</v>
          </cell>
          <cell r="Y726">
            <v>1.9099999999999999E-2</v>
          </cell>
          <cell r="Z726">
            <v>1.9550000000000001E-2</v>
          </cell>
          <cell r="AA726">
            <v>0.02</v>
          </cell>
          <cell r="AB726">
            <v>2.0799999999999999E-2</v>
          </cell>
          <cell r="AC726">
            <v>2.1749999999999999E-2</v>
          </cell>
        </row>
        <row r="727">
          <cell r="T727">
            <v>39163</v>
          </cell>
          <cell r="U727">
            <v>1.779E-2</v>
          </cell>
          <cell r="V727">
            <v>1.8157999999999997E-2</v>
          </cell>
          <cell r="W727">
            <v>1.83E-2</v>
          </cell>
          <cell r="X727">
            <v>1.8600000000000002E-2</v>
          </cell>
          <cell r="Y727">
            <v>1.9025E-2</v>
          </cell>
          <cell r="Z727">
            <v>1.95E-2</v>
          </cell>
          <cell r="AA727">
            <v>1.9950000000000002E-2</v>
          </cell>
          <cell r="AB727">
            <v>2.0750000000000001E-2</v>
          </cell>
          <cell r="AC727">
            <v>2.1649999999999999E-2</v>
          </cell>
        </row>
        <row r="728">
          <cell r="T728">
            <v>39162</v>
          </cell>
          <cell r="U728">
            <v>1.7780000000000001E-2</v>
          </cell>
          <cell r="V728">
            <v>1.8157999999999997E-2</v>
          </cell>
          <cell r="W728">
            <v>1.8299999999999997E-2</v>
          </cell>
          <cell r="X728">
            <v>1.8600000000000002E-2</v>
          </cell>
          <cell r="Y728">
            <v>1.9000000000000003E-2</v>
          </cell>
          <cell r="Z728">
            <v>1.95E-2</v>
          </cell>
          <cell r="AA728">
            <v>1.9950000000000002E-2</v>
          </cell>
          <cell r="AB728">
            <v>2.085E-2</v>
          </cell>
          <cell r="AC728">
            <v>2.18E-2</v>
          </cell>
        </row>
        <row r="729">
          <cell r="T729">
            <v>39161</v>
          </cell>
          <cell r="U729">
            <v>1.7769999999999998E-2</v>
          </cell>
          <cell r="V729">
            <v>1.8287999999999999E-2</v>
          </cell>
          <cell r="W729">
            <v>1.8325000000000001E-2</v>
          </cell>
          <cell r="X729">
            <v>1.8699999999999998E-2</v>
          </cell>
          <cell r="Y729">
            <v>1.9050000000000001E-2</v>
          </cell>
          <cell r="Z729">
            <v>1.9550000000000001E-2</v>
          </cell>
          <cell r="AA729">
            <v>2.0049999999999998E-2</v>
          </cell>
          <cell r="AB729">
            <v>2.0799999999999999E-2</v>
          </cell>
          <cell r="AC729">
            <v>2.1850000000000001E-2</v>
          </cell>
        </row>
        <row r="730">
          <cell r="T730">
            <v>39160</v>
          </cell>
          <cell r="U730">
            <v>1.7760000000000001E-2</v>
          </cell>
          <cell r="V730">
            <v>1.8113999999999998E-2</v>
          </cell>
          <cell r="W730">
            <v>1.8299999999999997E-2</v>
          </cell>
          <cell r="X730">
            <v>1.8600000000000002E-2</v>
          </cell>
          <cell r="Y730">
            <v>1.9049999999999997E-2</v>
          </cell>
          <cell r="Z730">
            <v>1.95E-2</v>
          </cell>
          <cell r="AA730">
            <v>2.0049999999999998E-2</v>
          </cell>
          <cell r="AB730">
            <v>2.0799999999999999E-2</v>
          </cell>
          <cell r="AC730">
            <v>2.1749999999999999E-2</v>
          </cell>
        </row>
        <row r="731">
          <cell r="T731">
            <v>39159</v>
          </cell>
          <cell r="U731">
            <v>1.771E-2</v>
          </cell>
          <cell r="V731">
            <v>1.8189999999999998E-2</v>
          </cell>
          <cell r="W731">
            <v>1.8299999999999997E-2</v>
          </cell>
          <cell r="X731">
            <v>1.865E-2</v>
          </cell>
          <cell r="Y731">
            <v>1.9050000000000001E-2</v>
          </cell>
          <cell r="Z731">
            <v>1.9550000000000001E-2</v>
          </cell>
          <cell r="AA731">
            <v>2.0049999999999998E-2</v>
          </cell>
          <cell r="AB731">
            <v>2.0799999999999999E-2</v>
          </cell>
          <cell r="AC731">
            <v>2.1799999999999996E-2</v>
          </cell>
        </row>
        <row r="732">
          <cell r="T732">
            <v>39158</v>
          </cell>
          <cell r="U732">
            <v>1.771E-2</v>
          </cell>
          <cell r="V732">
            <v>1.8189999999999998E-2</v>
          </cell>
          <cell r="W732">
            <v>1.8299999999999997E-2</v>
          </cell>
          <cell r="X732">
            <v>1.865E-2</v>
          </cell>
          <cell r="Y732">
            <v>1.9050000000000001E-2</v>
          </cell>
          <cell r="Z732">
            <v>1.9550000000000001E-2</v>
          </cell>
          <cell r="AA732">
            <v>2.0049999999999998E-2</v>
          </cell>
          <cell r="AB732">
            <v>2.0799999999999999E-2</v>
          </cell>
          <cell r="AC732">
            <v>2.1799999999999996E-2</v>
          </cell>
        </row>
        <row r="733">
          <cell r="T733">
            <v>39157</v>
          </cell>
          <cell r="U733">
            <v>1.771E-2</v>
          </cell>
          <cell r="V733">
            <v>1.8189999999999998E-2</v>
          </cell>
          <cell r="W733">
            <v>1.8299999999999997E-2</v>
          </cell>
          <cell r="X733">
            <v>1.865E-2</v>
          </cell>
          <cell r="Y733">
            <v>1.9050000000000001E-2</v>
          </cell>
          <cell r="Z733">
            <v>1.9550000000000001E-2</v>
          </cell>
          <cell r="AA733">
            <v>2.0049999999999998E-2</v>
          </cell>
          <cell r="AB733">
            <v>2.0799999999999999E-2</v>
          </cell>
          <cell r="AC733">
            <v>2.1799999999999996E-2</v>
          </cell>
        </row>
        <row r="734">
          <cell r="T734">
            <v>39156</v>
          </cell>
          <cell r="U734">
            <v>1.771E-2</v>
          </cell>
          <cell r="V734">
            <v>1.8175E-2</v>
          </cell>
          <cell r="W734">
            <v>1.8200000000000001E-2</v>
          </cell>
          <cell r="X734">
            <v>1.8600000000000002E-2</v>
          </cell>
          <cell r="Y734">
            <v>1.9050000000000001E-2</v>
          </cell>
          <cell r="Z734">
            <v>1.95E-2</v>
          </cell>
          <cell r="AA734">
            <v>2.0049999999999998E-2</v>
          </cell>
          <cell r="AB734">
            <v>2.085E-2</v>
          </cell>
          <cell r="AC734">
            <v>2.1749999999999999E-2</v>
          </cell>
        </row>
        <row r="735">
          <cell r="T735">
            <v>39155</v>
          </cell>
          <cell r="U735">
            <v>1.779E-2</v>
          </cell>
          <cell r="V735">
            <v>1.8100000000000002E-2</v>
          </cell>
          <cell r="W735">
            <v>1.8200000000000001E-2</v>
          </cell>
          <cell r="X735">
            <v>1.8499999999999999E-2</v>
          </cell>
          <cell r="Y735">
            <v>1.89E-2</v>
          </cell>
          <cell r="Z735">
            <v>1.9400000000000001E-2</v>
          </cell>
          <cell r="AA735">
            <v>1.9799999999999998E-2</v>
          </cell>
          <cell r="AB735">
            <v>2.06E-2</v>
          </cell>
          <cell r="AC735">
            <v>2.1649999999999999E-2</v>
          </cell>
        </row>
        <row r="736">
          <cell r="T736">
            <v>39154</v>
          </cell>
          <cell r="U736">
            <v>1.7749999999999998E-2</v>
          </cell>
          <cell r="V736">
            <v>1.8100000000000002E-2</v>
          </cell>
          <cell r="W736">
            <v>1.8200000000000001E-2</v>
          </cell>
          <cell r="X736">
            <v>1.8550000000000001E-2</v>
          </cell>
          <cell r="Y736">
            <v>1.8950000000000002E-2</v>
          </cell>
          <cell r="Z736">
            <v>1.9450000000000002E-2</v>
          </cell>
          <cell r="AA736">
            <v>1.9900000000000001E-2</v>
          </cell>
          <cell r="AB736">
            <v>2.0649999999999998E-2</v>
          </cell>
          <cell r="AC736">
            <v>2.1749999999999999E-2</v>
          </cell>
        </row>
        <row r="737">
          <cell r="T737">
            <v>39153</v>
          </cell>
          <cell r="U737">
            <v>1.772E-2</v>
          </cell>
          <cell r="V737">
            <v>1.8133E-2</v>
          </cell>
          <cell r="W737">
            <v>1.8149999999999999E-2</v>
          </cell>
          <cell r="X737">
            <v>1.8499999999999999E-2</v>
          </cell>
          <cell r="Y737">
            <v>1.89E-2</v>
          </cell>
          <cell r="Z737">
            <v>1.9375E-2</v>
          </cell>
          <cell r="AA737">
            <v>1.985E-2</v>
          </cell>
          <cell r="AB737">
            <v>2.0599999999999997E-2</v>
          </cell>
          <cell r="AC737">
            <v>2.1749999999999999E-2</v>
          </cell>
        </row>
        <row r="738">
          <cell r="T738">
            <v>39152</v>
          </cell>
          <cell r="U738">
            <v>1.7749999999999998E-2</v>
          </cell>
          <cell r="V738">
            <v>1.8110000000000001E-2</v>
          </cell>
          <cell r="W738">
            <v>1.8200000000000001E-2</v>
          </cell>
          <cell r="X738">
            <v>1.8450000000000001E-2</v>
          </cell>
          <cell r="Y738">
            <v>1.89E-2</v>
          </cell>
          <cell r="Z738">
            <v>1.9400000000000001E-2</v>
          </cell>
          <cell r="AA738">
            <v>1.9799999999999998E-2</v>
          </cell>
          <cell r="AB738">
            <v>2.0549999999999999E-2</v>
          </cell>
          <cell r="AC738">
            <v>2.1649999999999999E-2</v>
          </cell>
        </row>
        <row r="739">
          <cell r="T739">
            <v>39151</v>
          </cell>
          <cell r="U739">
            <v>1.7749999999999998E-2</v>
          </cell>
          <cell r="V739">
            <v>1.8110000000000001E-2</v>
          </cell>
          <cell r="W739">
            <v>1.8200000000000001E-2</v>
          </cell>
          <cell r="X739">
            <v>1.8450000000000001E-2</v>
          </cell>
          <cell r="Y739">
            <v>1.89E-2</v>
          </cell>
          <cell r="Z739">
            <v>1.9400000000000001E-2</v>
          </cell>
          <cell r="AA739">
            <v>1.9799999999999998E-2</v>
          </cell>
          <cell r="AB739">
            <v>2.0549999999999999E-2</v>
          </cell>
          <cell r="AC739">
            <v>2.1649999999999999E-2</v>
          </cell>
        </row>
        <row r="740">
          <cell r="T740">
            <v>39150</v>
          </cell>
          <cell r="U740">
            <v>1.7749999999999998E-2</v>
          </cell>
          <cell r="V740">
            <v>1.8110000000000001E-2</v>
          </cell>
          <cell r="W740">
            <v>1.8200000000000001E-2</v>
          </cell>
          <cell r="X740">
            <v>1.8450000000000001E-2</v>
          </cell>
          <cell r="Y740">
            <v>1.89E-2</v>
          </cell>
          <cell r="Z740">
            <v>1.9400000000000001E-2</v>
          </cell>
          <cell r="AA740">
            <v>1.9799999999999998E-2</v>
          </cell>
          <cell r="AB740">
            <v>2.0549999999999999E-2</v>
          </cell>
          <cell r="AC740">
            <v>2.1649999999999999E-2</v>
          </cell>
        </row>
        <row r="741">
          <cell r="T741">
            <v>39149</v>
          </cell>
          <cell r="U741">
            <v>1.772E-2</v>
          </cell>
          <cell r="V741">
            <v>1.8069999999999999E-2</v>
          </cell>
          <cell r="W741">
            <v>1.8149999999999999E-2</v>
          </cell>
          <cell r="X741">
            <v>1.8450000000000001E-2</v>
          </cell>
          <cell r="Y741">
            <v>1.89E-2</v>
          </cell>
          <cell r="Z741">
            <v>1.9299999999999998E-2</v>
          </cell>
          <cell r="AA741">
            <v>1.975E-2</v>
          </cell>
          <cell r="AB741">
            <v>2.0499999999999997E-2</v>
          </cell>
          <cell r="AC741">
            <v>2.1550000000000003E-2</v>
          </cell>
        </row>
        <row r="742">
          <cell r="T742">
            <v>39148</v>
          </cell>
          <cell r="U742">
            <v>1.7749999999999998E-2</v>
          </cell>
          <cell r="V742">
            <v>1.8133E-2</v>
          </cell>
          <cell r="W742">
            <v>1.8149999999999999E-2</v>
          </cell>
          <cell r="X742">
            <v>1.8499999999999999E-2</v>
          </cell>
          <cell r="Y742">
            <v>1.89E-2</v>
          </cell>
          <cell r="Z742">
            <v>1.9349999999999999E-2</v>
          </cell>
          <cell r="AA742">
            <v>1.9824999999999999E-2</v>
          </cell>
          <cell r="AB742">
            <v>2.0549999999999999E-2</v>
          </cell>
          <cell r="AC742">
            <v>2.1600000000000001E-2</v>
          </cell>
        </row>
        <row r="743">
          <cell r="T743">
            <v>39147</v>
          </cell>
          <cell r="U743">
            <v>1.7729999999999999E-2</v>
          </cell>
          <cell r="V743">
            <v>1.8075000000000001E-2</v>
          </cell>
          <cell r="W743">
            <v>1.8100000000000002E-2</v>
          </cell>
          <cell r="X743">
            <v>1.8450000000000001E-2</v>
          </cell>
          <cell r="Y743">
            <v>1.89E-2</v>
          </cell>
          <cell r="Z743">
            <v>1.9299999999999998E-2</v>
          </cell>
          <cell r="AA743">
            <v>1.985E-2</v>
          </cell>
          <cell r="AB743">
            <v>2.0449999999999999E-2</v>
          </cell>
          <cell r="AC743">
            <v>2.145E-2</v>
          </cell>
        </row>
        <row r="744">
          <cell r="T744">
            <v>39146</v>
          </cell>
          <cell r="U744">
            <v>1.7729999999999999E-2</v>
          </cell>
          <cell r="V744">
            <v>1.8133E-2</v>
          </cell>
          <cell r="W744">
            <v>1.8100000000000002E-2</v>
          </cell>
          <cell r="X744">
            <v>1.84E-2</v>
          </cell>
          <cell r="Y744">
            <v>1.8799999999999997E-2</v>
          </cell>
          <cell r="Z744">
            <v>1.9400000000000001E-2</v>
          </cell>
          <cell r="AA744">
            <v>1.9900000000000001E-2</v>
          </cell>
          <cell r="AB744">
            <v>2.0499999999999997E-2</v>
          </cell>
          <cell r="AC744">
            <v>2.1349999999999997E-2</v>
          </cell>
        </row>
        <row r="745">
          <cell r="T745">
            <v>39145</v>
          </cell>
          <cell r="U745">
            <v>1.7729999999999999E-2</v>
          </cell>
          <cell r="V745">
            <v>1.8100000000000002E-2</v>
          </cell>
          <cell r="W745">
            <v>1.8100000000000002E-2</v>
          </cell>
          <cell r="X745">
            <v>1.8450000000000001E-2</v>
          </cell>
          <cell r="Y745">
            <v>1.8950000000000002E-2</v>
          </cell>
          <cell r="Z745">
            <v>1.9449999999999999E-2</v>
          </cell>
          <cell r="AA745">
            <v>1.9950000000000002E-2</v>
          </cell>
          <cell r="AB745">
            <v>2.0649999999999998E-2</v>
          </cell>
          <cell r="AC745">
            <v>2.1550000000000003E-2</v>
          </cell>
        </row>
        <row r="746">
          <cell r="T746">
            <v>39144</v>
          </cell>
          <cell r="U746">
            <v>1.7729999999999999E-2</v>
          </cell>
          <cell r="V746">
            <v>1.8100000000000002E-2</v>
          </cell>
          <cell r="W746">
            <v>1.8100000000000002E-2</v>
          </cell>
          <cell r="X746">
            <v>1.8450000000000001E-2</v>
          </cell>
          <cell r="Y746">
            <v>1.8950000000000002E-2</v>
          </cell>
          <cell r="Z746">
            <v>1.9449999999999999E-2</v>
          </cell>
          <cell r="AA746">
            <v>1.9950000000000002E-2</v>
          </cell>
          <cell r="AB746">
            <v>2.0649999999999998E-2</v>
          </cell>
          <cell r="AC746">
            <v>2.1550000000000003E-2</v>
          </cell>
        </row>
        <row r="747">
          <cell r="T747">
            <v>39143</v>
          </cell>
          <cell r="U747">
            <v>1.7760000000000001E-2</v>
          </cell>
          <cell r="V747">
            <v>1.8100000000000002E-2</v>
          </cell>
          <cell r="W747">
            <v>1.8100000000000002E-2</v>
          </cell>
          <cell r="X747">
            <v>1.84E-2</v>
          </cell>
          <cell r="Y747">
            <v>1.8950000000000002E-2</v>
          </cell>
          <cell r="Z747">
            <v>1.9449999999999999E-2</v>
          </cell>
          <cell r="AA747">
            <v>1.9950000000000002E-2</v>
          </cell>
          <cell r="AB747">
            <v>2.0649999999999998E-2</v>
          </cell>
          <cell r="AC747">
            <v>2.1550000000000003E-2</v>
          </cell>
        </row>
        <row r="748">
          <cell r="T748">
            <v>39142</v>
          </cell>
          <cell r="U748">
            <v>1.7729999999999999E-2</v>
          </cell>
          <cell r="V748">
            <v>1.8110000000000001E-2</v>
          </cell>
          <cell r="W748">
            <v>1.8100000000000002E-2</v>
          </cell>
          <cell r="X748">
            <v>1.84E-2</v>
          </cell>
          <cell r="Y748">
            <v>1.89E-2</v>
          </cell>
          <cell r="Z748">
            <v>1.9450000000000002E-2</v>
          </cell>
          <cell r="AA748">
            <v>1.9950000000000002E-2</v>
          </cell>
          <cell r="AB748">
            <v>2.0700000000000003E-2</v>
          </cell>
          <cell r="AC748">
            <v>2.1649999999999999E-2</v>
          </cell>
        </row>
        <row r="749">
          <cell r="T749">
            <v>39141</v>
          </cell>
          <cell r="U749">
            <v>1.772E-2</v>
          </cell>
          <cell r="V749">
            <v>1.8200000000000001E-2</v>
          </cell>
          <cell r="W749">
            <v>1.8149999999999999E-2</v>
          </cell>
          <cell r="X749">
            <v>1.8450000000000001E-2</v>
          </cell>
          <cell r="Y749">
            <v>1.9000000000000003E-2</v>
          </cell>
          <cell r="Z749">
            <v>1.9550000000000001E-2</v>
          </cell>
          <cell r="AA749">
            <v>2.0049999999999998E-2</v>
          </cell>
          <cell r="AB749">
            <v>2.07E-2</v>
          </cell>
          <cell r="AC749">
            <v>2.1700000000000001E-2</v>
          </cell>
        </row>
        <row r="750">
          <cell r="T750">
            <v>39140</v>
          </cell>
          <cell r="U750">
            <v>1.772E-2</v>
          </cell>
          <cell r="V750">
            <v>1.8200000000000001E-2</v>
          </cell>
          <cell r="W750">
            <v>1.8149999999999999E-2</v>
          </cell>
          <cell r="X750">
            <v>1.8450000000000001E-2</v>
          </cell>
          <cell r="Y750">
            <v>1.9000000000000003E-2</v>
          </cell>
          <cell r="Z750">
            <v>1.9550000000000001E-2</v>
          </cell>
          <cell r="AA750">
            <v>2.0049999999999998E-2</v>
          </cell>
          <cell r="AB750">
            <v>2.07E-2</v>
          </cell>
          <cell r="AC750">
            <v>2.1700000000000001E-2</v>
          </cell>
        </row>
        <row r="751">
          <cell r="T751">
            <v>39139</v>
          </cell>
          <cell r="U751">
            <v>1.772E-2</v>
          </cell>
          <cell r="V751">
            <v>1.8133E-2</v>
          </cell>
          <cell r="W751">
            <v>1.8100000000000002E-2</v>
          </cell>
          <cell r="X751">
            <v>1.84E-2</v>
          </cell>
          <cell r="Y751">
            <v>1.9000000000000003E-2</v>
          </cell>
          <cell r="Z751">
            <v>1.9550000000000001E-2</v>
          </cell>
          <cell r="AA751">
            <v>0.02</v>
          </cell>
          <cell r="AB751">
            <v>2.0499999999999997E-2</v>
          </cell>
          <cell r="AC751">
            <v>2.1749999999999999E-2</v>
          </cell>
        </row>
        <row r="752">
          <cell r="T752">
            <v>39138</v>
          </cell>
          <cell r="U752">
            <v>1.772E-2</v>
          </cell>
          <cell r="V752">
            <v>1.8069999999999999E-2</v>
          </cell>
          <cell r="W752">
            <v>1.8100000000000002E-2</v>
          </cell>
          <cell r="X752">
            <v>1.8499999999999999E-2</v>
          </cell>
          <cell r="Y752">
            <v>1.9000000000000003E-2</v>
          </cell>
          <cell r="Z752">
            <v>1.95E-2</v>
          </cell>
          <cell r="AA752">
            <v>2.0049999999999998E-2</v>
          </cell>
          <cell r="AB752">
            <v>2.085E-2</v>
          </cell>
          <cell r="AC752">
            <v>2.1700000000000001E-2</v>
          </cell>
        </row>
        <row r="753">
          <cell r="T753">
            <v>39137</v>
          </cell>
          <cell r="U753">
            <v>1.772E-2</v>
          </cell>
          <cell r="V753">
            <v>1.8069999999999999E-2</v>
          </cell>
          <cell r="W753">
            <v>1.8100000000000002E-2</v>
          </cell>
          <cell r="X753">
            <v>1.8499999999999999E-2</v>
          </cell>
          <cell r="Y753">
            <v>1.9000000000000003E-2</v>
          </cell>
          <cell r="Z753">
            <v>1.95E-2</v>
          </cell>
          <cell r="AA753">
            <v>2.0049999999999998E-2</v>
          </cell>
          <cell r="AB753">
            <v>2.085E-2</v>
          </cell>
          <cell r="AC753">
            <v>2.1700000000000001E-2</v>
          </cell>
        </row>
        <row r="754">
          <cell r="T754">
            <v>39136</v>
          </cell>
          <cell r="U754">
            <v>1.772E-2</v>
          </cell>
          <cell r="V754">
            <v>1.8069999999999999E-2</v>
          </cell>
          <cell r="W754">
            <v>1.8100000000000002E-2</v>
          </cell>
          <cell r="X754">
            <v>1.8499999999999999E-2</v>
          </cell>
          <cell r="Y754">
            <v>1.9000000000000003E-2</v>
          </cell>
          <cell r="Z754">
            <v>1.95E-2</v>
          </cell>
          <cell r="AA754">
            <v>2.0049999999999998E-2</v>
          </cell>
          <cell r="AB754">
            <v>2.085E-2</v>
          </cell>
          <cell r="AC754">
            <v>2.1700000000000001E-2</v>
          </cell>
        </row>
        <row r="755">
          <cell r="T755">
            <v>39135</v>
          </cell>
          <cell r="U755">
            <v>1.772E-2</v>
          </cell>
          <cell r="V755">
            <v>1.8069999999999999E-2</v>
          </cell>
          <cell r="W755">
            <v>1.8100000000000002E-2</v>
          </cell>
          <cell r="X755">
            <v>1.8499999999999999E-2</v>
          </cell>
          <cell r="Y755">
            <v>1.9000000000000003E-2</v>
          </cell>
          <cell r="Z755">
            <v>1.95E-2</v>
          </cell>
          <cell r="AA755">
            <v>2.0049999999999998E-2</v>
          </cell>
          <cell r="AB755">
            <v>2.085E-2</v>
          </cell>
          <cell r="AC755">
            <v>2.1700000000000001E-2</v>
          </cell>
        </row>
        <row r="756">
          <cell r="T756">
            <v>39134</v>
          </cell>
          <cell r="U756">
            <v>1.772E-2</v>
          </cell>
          <cell r="V756">
            <v>1.8069999999999999E-2</v>
          </cell>
          <cell r="W756">
            <v>1.8100000000000002E-2</v>
          </cell>
          <cell r="X756">
            <v>1.8499999999999999E-2</v>
          </cell>
          <cell r="Y756">
            <v>1.9000000000000003E-2</v>
          </cell>
          <cell r="Z756">
            <v>1.95E-2</v>
          </cell>
          <cell r="AA756">
            <v>2.0049999999999998E-2</v>
          </cell>
          <cell r="AB756">
            <v>2.085E-2</v>
          </cell>
          <cell r="AC756">
            <v>2.1700000000000001E-2</v>
          </cell>
        </row>
        <row r="757">
          <cell r="T757">
            <v>39133</v>
          </cell>
          <cell r="U757">
            <v>1.772E-2</v>
          </cell>
          <cell r="V757">
            <v>1.8069999999999999E-2</v>
          </cell>
          <cell r="W757">
            <v>1.8100000000000002E-2</v>
          </cell>
          <cell r="X757">
            <v>1.8499999999999999E-2</v>
          </cell>
          <cell r="Y757">
            <v>1.9000000000000003E-2</v>
          </cell>
          <cell r="Z757">
            <v>1.95E-2</v>
          </cell>
          <cell r="AA757">
            <v>2.0049999999999998E-2</v>
          </cell>
          <cell r="AB757">
            <v>2.085E-2</v>
          </cell>
          <cell r="AC757">
            <v>2.1700000000000001E-2</v>
          </cell>
        </row>
        <row r="758">
          <cell r="T758">
            <v>39132</v>
          </cell>
          <cell r="U758">
            <v>1.772E-2</v>
          </cell>
          <cell r="V758">
            <v>1.8069999999999999E-2</v>
          </cell>
          <cell r="W758">
            <v>1.8100000000000002E-2</v>
          </cell>
          <cell r="X758">
            <v>1.8499999999999999E-2</v>
          </cell>
          <cell r="Y758">
            <v>1.9000000000000003E-2</v>
          </cell>
          <cell r="Z758">
            <v>1.95E-2</v>
          </cell>
          <cell r="AA758">
            <v>2.0049999999999998E-2</v>
          </cell>
          <cell r="AB758">
            <v>2.085E-2</v>
          </cell>
          <cell r="AC758">
            <v>2.1700000000000001E-2</v>
          </cell>
        </row>
        <row r="759">
          <cell r="T759">
            <v>39131</v>
          </cell>
          <cell r="U759">
            <v>1.772E-2</v>
          </cell>
          <cell r="V759">
            <v>1.8069999999999999E-2</v>
          </cell>
          <cell r="W759">
            <v>1.8100000000000002E-2</v>
          </cell>
          <cell r="X759">
            <v>1.8499999999999999E-2</v>
          </cell>
          <cell r="Y759">
            <v>1.9000000000000003E-2</v>
          </cell>
          <cell r="Z759">
            <v>1.95E-2</v>
          </cell>
          <cell r="AA759">
            <v>2.0049999999999998E-2</v>
          </cell>
          <cell r="AB759">
            <v>2.085E-2</v>
          </cell>
          <cell r="AC759">
            <v>2.1700000000000001E-2</v>
          </cell>
        </row>
        <row r="760">
          <cell r="T760">
            <v>39130</v>
          </cell>
          <cell r="U760">
            <v>1.772E-2</v>
          </cell>
          <cell r="V760">
            <v>1.8069999999999999E-2</v>
          </cell>
          <cell r="W760">
            <v>1.8100000000000002E-2</v>
          </cell>
          <cell r="X760">
            <v>1.8499999999999999E-2</v>
          </cell>
          <cell r="Y760">
            <v>1.9000000000000003E-2</v>
          </cell>
          <cell r="Z760">
            <v>1.95E-2</v>
          </cell>
          <cell r="AA760">
            <v>2.0049999999999998E-2</v>
          </cell>
          <cell r="AB760">
            <v>2.085E-2</v>
          </cell>
          <cell r="AC760">
            <v>2.1700000000000001E-2</v>
          </cell>
        </row>
        <row r="761">
          <cell r="T761">
            <v>39129</v>
          </cell>
          <cell r="U761">
            <v>1.772E-2</v>
          </cell>
          <cell r="V761">
            <v>1.8069999999999999E-2</v>
          </cell>
          <cell r="W761">
            <v>1.8100000000000002E-2</v>
          </cell>
          <cell r="X761">
            <v>1.8499999999999999E-2</v>
          </cell>
          <cell r="Y761">
            <v>1.9000000000000003E-2</v>
          </cell>
          <cell r="Z761">
            <v>1.95E-2</v>
          </cell>
          <cell r="AA761">
            <v>2.0049999999999998E-2</v>
          </cell>
          <cell r="AB761">
            <v>2.085E-2</v>
          </cell>
          <cell r="AC761">
            <v>2.1700000000000001E-2</v>
          </cell>
        </row>
        <row r="762">
          <cell r="T762">
            <v>39128</v>
          </cell>
          <cell r="U762">
            <v>1.772E-2</v>
          </cell>
          <cell r="V762">
            <v>1.8069999999999999E-2</v>
          </cell>
          <cell r="W762">
            <v>1.8100000000000002E-2</v>
          </cell>
          <cell r="X762">
            <v>1.8499999999999999E-2</v>
          </cell>
          <cell r="Y762">
            <v>1.9000000000000003E-2</v>
          </cell>
          <cell r="Z762">
            <v>1.95E-2</v>
          </cell>
          <cell r="AA762">
            <v>2.0049999999999998E-2</v>
          </cell>
          <cell r="AB762">
            <v>2.085E-2</v>
          </cell>
          <cell r="AC762">
            <v>2.1700000000000001E-2</v>
          </cell>
        </row>
        <row r="763">
          <cell r="T763">
            <v>39127</v>
          </cell>
          <cell r="U763">
            <v>1.7749999999999998E-2</v>
          </cell>
          <cell r="V763">
            <v>1.8133E-2</v>
          </cell>
          <cell r="W763">
            <v>1.8100000000000002E-2</v>
          </cell>
          <cell r="X763">
            <v>1.8450000000000001E-2</v>
          </cell>
          <cell r="Y763">
            <v>1.9050000000000001E-2</v>
          </cell>
          <cell r="Z763">
            <v>1.95E-2</v>
          </cell>
          <cell r="AA763">
            <v>2.0099999999999996E-2</v>
          </cell>
          <cell r="AB763">
            <v>2.085E-2</v>
          </cell>
          <cell r="AC763">
            <v>2.1700000000000001E-2</v>
          </cell>
        </row>
        <row r="764">
          <cell r="T764">
            <v>39126</v>
          </cell>
          <cell r="U764">
            <v>1.7729999999999999E-2</v>
          </cell>
          <cell r="V764">
            <v>1.8200000000000001E-2</v>
          </cell>
          <cell r="W764">
            <v>1.8075000000000001E-2</v>
          </cell>
          <cell r="X764">
            <v>1.8450000000000001E-2</v>
          </cell>
          <cell r="Y764">
            <v>1.9000000000000003E-2</v>
          </cell>
          <cell r="Z764">
            <v>1.95E-2</v>
          </cell>
          <cell r="AA764">
            <v>2.0049999999999998E-2</v>
          </cell>
          <cell r="AB764">
            <v>2.0799999999999999E-2</v>
          </cell>
          <cell r="AC764">
            <v>2.1850000000000001E-2</v>
          </cell>
        </row>
        <row r="765">
          <cell r="T765">
            <v>39125</v>
          </cell>
          <cell r="U765">
            <v>1.7760000000000001E-2</v>
          </cell>
          <cell r="V765">
            <v>1.814E-2</v>
          </cell>
          <cell r="W765">
            <v>1.8149999999999999E-2</v>
          </cell>
          <cell r="X765">
            <v>1.8450000000000001E-2</v>
          </cell>
          <cell r="Y765">
            <v>1.9000000000000003E-2</v>
          </cell>
          <cell r="Z765">
            <v>1.95E-2</v>
          </cell>
          <cell r="AA765">
            <v>2.0099999999999996E-2</v>
          </cell>
          <cell r="AB765">
            <v>2.085E-2</v>
          </cell>
          <cell r="AC765">
            <v>2.1799999999999996E-2</v>
          </cell>
        </row>
        <row r="766">
          <cell r="T766">
            <v>39124</v>
          </cell>
          <cell r="U766">
            <v>1.7739999999999999E-2</v>
          </cell>
          <cell r="V766">
            <v>1.8133E-2</v>
          </cell>
          <cell r="W766">
            <v>1.8100000000000002E-2</v>
          </cell>
          <cell r="X766">
            <v>1.8499999999999999E-2</v>
          </cell>
          <cell r="Y766">
            <v>1.9099999999999999E-2</v>
          </cell>
          <cell r="Z766">
            <v>1.9599999999999999E-2</v>
          </cell>
          <cell r="AA766">
            <v>2.0149999999999998E-2</v>
          </cell>
          <cell r="AB766">
            <v>2.1000000000000001E-2</v>
          </cell>
          <cell r="AC766">
            <v>2.1950000000000004E-2</v>
          </cell>
        </row>
        <row r="767">
          <cell r="T767">
            <v>39123</v>
          </cell>
          <cell r="U767">
            <v>1.7739999999999999E-2</v>
          </cell>
          <cell r="V767">
            <v>1.8133E-2</v>
          </cell>
          <cell r="W767">
            <v>1.8100000000000002E-2</v>
          </cell>
          <cell r="X767">
            <v>1.8499999999999999E-2</v>
          </cell>
          <cell r="Y767">
            <v>1.9099999999999999E-2</v>
          </cell>
          <cell r="Z767">
            <v>1.9599999999999999E-2</v>
          </cell>
          <cell r="AA767">
            <v>2.0149999999999998E-2</v>
          </cell>
          <cell r="AB767">
            <v>2.1000000000000001E-2</v>
          </cell>
          <cell r="AC767">
            <v>2.1950000000000004E-2</v>
          </cell>
        </row>
        <row r="768">
          <cell r="T768">
            <v>39122</v>
          </cell>
          <cell r="U768">
            <v>1.7739999999999999E-2</v>
          </cell>
          <cell r="V768">
            <v>1.8133E-2</v>
          </cell>
          <cell r="W768">
            <v>1.8100000000000002E-2</v>
          </cell>
          <cell r="X768">
            <v>1.8499999999999999E-2</v>
          </cell>
          <cell r="Y768">
            <v>1.9099999999999999E-2</v>
          </cell>
          <cell r="Z768">
            <v>1.9599999999999999E-2</v>
          </cell>
          <cell r="AA768">
            <v>2.0149999999999998E-2</v>
          </cell>
          <cell r="AB768">
            <v>2.1000000000000001E-2</v>
          </cell>
          <cell r="AC768">
            <v>2.1950000000000004E-2</v>
          </cell>
        </row>
        <row r="769">
          <cell r="T769">
            <v>39121</v>
          </cell>
          <cell r="U769">
            <v>1.77E-2</v>
          </cell>
          <cell r="V769">
            <v>1.8133E-2</v>
          </cell>
          <cell r="W769">
            <v>1.8149999999999999E-2</v>
          </cell>
          <cell r="X769">
            <v>1.8550000000000001E-2</v>
          </cell>
          <cell r="Y769">
            <v>1.9099999999999999E-2</v>
          </cell>
          <cell r="Z769">
            <v>1.9599999999999999E-2</v>
          </cell>
          <cell r="AA769">
            <v>2.0149999999999998E-2</v>
          </cell>
          <cell r="AB769">
            <v>2.1000000000000001E-2</v>
          </cell>
          <cell r="AC769">
            <v>2.1900000000000003E-2</v>
          </cell>
        </row>
        <row r="770">
          <cell r="T770">
            <v>39120</v>
          </cell>
          <cell r="U770">
            <v>1.7689999999999997E-2</v>
          </cell>
          <cell r="V770">
            <v>1.8225000000000002E-2</v>
          </cell>
          <cell r="W770">
            <v>1.8100000000000002E-2</v>
          </cell>
          <cell r="X770">
            <v>1.8550000000000001E-2</v>
          </cell>
          <cell r="Y770">
            <v>1.9050000000000001E-2</v>
          </cell>
          <cell r="Z770">
            <v>1.9699999999999999E-2</v>
          </cell>
          <cell r="AA770">
            <v>2.0149999999999998E-2</v>
          </cell>
          <cell r="AB770">
            <v>2.1000000000000001E-2</v>
          </cell>
          <cell r="AC770">
            <v>2.2099999999999998E-2</v>
          </cell>
        </row>
        <row r="771">
          <cell r="T771">
            <v>39119</v>
          </cell>
          <cell r="U771">
            <v>1.7689999999999997E-2</v>
          </cell>
          <cell r="V771">
            <v>1.8000000000000002E-2</v>
          </cell>
          <cell r="W771">
            <v>1.8100000000000002E-2</v>
          </cell>
          <cell r="X771">
            <v>1.8550000000000001E-2</v>
          </cell>
          <cell r="Y771">
            <v>1.9099999999999999E-2</v>
          </cell>
          <cell r="Z771">
            <v>1.9649999999999997E-2</v>
          </cell>
          <cell r="AA771">
            <v>2.0149999999999998E-2</v>
          </cell>
          <cell r="AB771">
            <v>2.0949999999999996E-2</v>
          </cell>
          <cell r="AC771">
            <v>2.205E-2</v>
          </cell>
        </row>
        <row r="772">
          <cell r="T772">
            <v>39118</v>
          </cell>
          <cell r="U772">
            <v>1.7659999999999999E-2</v>
          </cell>
          <cell r="V772">
            <v>1.814E-2</v>
          </cell>
          <cell r="W772">
            <v>1.8100000000000002E-2</v>
          </cell>
          <cell r="X772">
            <v>1.8550000000000001E-2</v>
          </cell>
          <cell r="Y772">
            <v>1.9074999999999998E-2</v>
          </cell>
          <cell r="Z772">
            <v>1.9625E-2</v>
          </cell>
          <cell r="AA772">
            <v>2.0149999999999998E-2</v>
          </cell>
          <cell r="AB772">
            <v>2.0999999999999998E-2</v>
          </cell>
          <cell r="AC772">
            <v>2.1899999999999999E-2</v>
          </cell>
        </row>
        <row r="773">
          <cell r="T773">
            <v>39117</v>
          </cell>
          <cell r="U773">
            <v>1.7659999999999999E-2</v>
          </cell>
          <cell r="V773">
            <v>1.8083000000000002E-2</v>
          </cell>
          <cell r="W773">
            <v>1.8100000000000002E-2</v>
          </cell>
          <cell r="X773">
            <v>1.8550000000000001E-2</v>
          </cell>
          <cell r="Y773">
            <v>1.9099999999999999E-2</v>
          </cell>
          <cell r="Z773">
            <v>1.9599999999999999E-2</v>
          </cell>
          <cell r="AA773">
            <v>2.0199999999999996E-2</v>
          </cell>
          <cell r="AB773">
            <v>2.0899999999999998E-2</v>
          </cell>
          <cell r="AC773">
            <v>2.205E-2</v>
          </cell>
        </row>
        <row r="774">
          <cell r="T774">
            <v>39116</v>
          </cell>
          <cell r="U774">
            <v>1.7659999999999999E-2</v>
          </cell>
          <cell r="V774">
            <v>1.8083000000000002E-2</v>
          </cell>
          <cell r="W774">
            <v>1.8100000000000002E-2</v>
          </cell>
          <cell r="X774">
            <v>1.8550000000000001E-2</v>
          </cell>
          <cell r="Y774">
            <v>1.9099999999999999E-2</v>
          </cell>
          <cell r="Z774">
            <v>1.9599999999999999E-2</v>
          </cell>
          <cell r="AA774">
            <v>2.0199999999999996E-2</v>
          </cell>
          <cell r="AB774">
            <v>2.0899999999999998E-2</v>
          </cell>
          <cell r="AC774">
            <v>2.205E-2</v>
          </cell>
        </row>
        <row r="775">
          <cell r="T775">
            <v>39115</v>
          </cell>
          <cell r="U775">
            <v>1.7659999999999999E-2</v>
          </cell>
          <cell r="V775">
            <v>1.8083000000000002E-2</v>
          </cell>
          <cell r="W775">
            <v>1.8100000000000002E-2</v>
          </cell>
          <cell r="X775">
            <v>1.8550000000000001E-2</v>
          </cell>
          <cell r="Y775">
            <v>1.9099999999999999E-2</v>
          </cell>
          <cell r="Z775">
            <v>1.9599999999999999E-2</v>
          </cell>
          <cell r="AA775">
            <v>2.0199999999999996E-2</v>
          </cell>
          <cell r="AB775">
            <v>2.0899999999999998E-2</v>
          </cell>
          <cell r="AC775">
            <v>2.205E-2</v>
          </cell>
        </row>
        <row r="776">
          <cell r="T776">
            <v>39114</v>
          </cell>
          <cell r="U776">
            <v>1.762E-2</v>
          </cell>
          <cell r="V776">
            <v>1.805E-2</v>
          </cell>
          <cell r="W776">
            <v>1.8100000000000002E-2</v>
          </cell>
          <cell r="X776">
            <v>1.8600000000000002E-2</v>
          </cell>
          <cell r="Y776">
            <v>1.9099999999999999E-2</v>
          </cell>
          <cell r="Z776">
            <v>1.9574999999999999E-2</v>
          </cell>
          <cell r="AA776">
            <v>2.0149999999999998E-2</v>
          </cell>
          <cell r="AB776">
            <v>2.0899999999999998E-2</v>
          </cell>
          <cell r="AC776">
            <v>2.1700000000000001E-2</v>
          </cell>
        </row>
        <row r="777">
          <cell r="T777">
            <v>39113</v>
          </cell>
          <cell r="U777">
            <v>1.7649999999999999E-2</v>
          </cell>
          <cell r="V777">
            <v>1.8083000000000002E-2</v>
          </cell>
          <cell r="W777">
            <v>1.8100000000000002E-2</v>
          </cell>
          <cell r="X777">
            <v>1.8550000000000001E-2</v>
          </cell>
          <cell r="Y777">
            <v>1.9099999999999999E-2</v>
          </cell>
          <cell r="Z777">
            <v>1.9599999999999999E-2</v>
          </cell>
          <cell r="AA777">
            <v>2.0199999999999996E-2</v>
          </cell>
          <cell r="AB777">
            <v>2.0999999999999998E-2</v>
          </cell>
          <cell r="AC777">
            <v>2.1899999999999999E-2</v>
          </cell>
        </row>
        <row r="778">
          <cell r="T778">
            <v>39112</v>
          </cell>
          <cell r="U778">
            <v>1.7600000000000001E-2</v>
          </cell>
          <cell r="V778">
            <v>1.805E-2</v>
          </cell>
          <cell r="W778">
            <v>1.8100000000000002E-2</v>
          </cell>
          <cell r="X778">
            <v>1.8550000000000001E-2</v>
          </cell>
          <cell r="Y778">
            <v>1.9100000000000002E-2</v>
          </cell>
          <cell r="Z778">
            <v>1.9699999999999999E-2</v>
          </cell>
          <cell r="AA778">
            <v>2.0250000000000001E-2</v>
          </cell>
          <cell r="AB778">
            <v>2.1049999999999999E-2</v>
          </cell>
          <cell r="AC778">
            <v>2.1950000000000004E-2</v>
          </cell>
        </row>
        <row r="779">
          <cell r="T779">
            <v>39111</v>
          </cell>
          <cell r="U779">
            <v>1.7600000000000001E-2</v>
          </cell>
          <cell r="V779">
            <v>1.8112E-2</v>
          </cell>
          <cell r="W779">
            <v>1.8100000000000002E-2</v>
          </cell>
          <cell r="X779">
            <v>1.8550000000000001E-2</v>
          </cell>
          <cell r="Y779">
            <v>1.9099999999999999E-2</v>
          </cell>
          <cell r="Z779">
            <v>1.9650000000000001E-2</v>
          </cell>
          <cell r="AA779">
            <v>2.0199999999999996E-2</v>
          </cell>
          <cell r="AB779">
            <v>2.0999999999999998E-2</v>
          </cell>
          <cell r="AC779">
            <v>2.2000000000000002E-2</v>
          </cell>
        </row>
        <row r="780">
          <cell r="T780">
            <v>39110</v>
          </cell>
          <cell r="U780">
            <v>1.7589999999999998E-2</v>
          </cell>
          <cell r="V780">
            <v>1.8083000000000002E-2</v>
          </cell>
          <cell r="W780">
            <v>1.8100000000000002E-2</v>
          </cell>
          <cell r="X780">
            <v>1.8600000000000002E-2</v>
          </cell>
          <cell r="Y780">
            <v>1.9199999999999998E-2</v>
          </cell>
          <cell r="Z780">
            <v>1.9799999999999998E-2</v>
          </cell>
          <cell r="AA780">
            <v>2.0299999999999999E-2</v>
          </cell>
          <cell r="AB780">
            <v>2.12E-2</v>
          </cell>
          <cell r="AC780">
            <v>2.2000000000000002E-2</v>
          </cell>
        </row>
        <row r="781">
          <cell r="T781">
            <v>39109</v>
          </cell>
          <cell r="U781">
            <v>1.7589999999999998E-2</v>
          </cell>
          <cell r="V781">
            <v>1.8083000000000002E-2</v>
          </cell>
          <cell r="W781">
            <v>1.8100000000000002E-2</v>
          </cell>
          <cell r="X781">
            <v>1.8600000000000002E-2</v>
          </cell>
          <cell r="Y781">
            <v>1.9199999999999998E-2</v>
          </cell>
          <cell r="Z781">
            <v>1.9799999999999998E-2</v>
          </cell>
          <cell r="AA781">
            <v>2.0299999999999999E-2</v>
          </cell>
          <cell r="AB781">
            <v>2.12E-2</v>
          </cell>
          <cell r="AC781">
            <v>2.2000000000000002E-2</v>
          </cell>
        </row>
        <row r="782">
          <cell r="T782">
            <v>39108</v>
          </cell>
          <cell r="U782">
            <v>1.7589999999999998E-2</v>
          </cell>
          <cell r="V782">
            <v>1.8083000000000002E-2</v>
          </cell>
          <cell r="W782">
            <v>1.8100000000000002E-2</v>
          </cell>
          <cell r="X782">
            <v>1.8600000000000002E-2</v>
          </cell>
          <cell r="Y782">
            <v>1.9199999999999998E-2</v>
          </cell>
          <cell r="Z782">
            <v>1.9799999999999998E-2</v>
          </cell>
          <cell r="AA782">
            <v>2.0299999999999999E-2</v>
          </cell>
          <cell r="AB782">
            <v>2.12E-2</v>
          </cell>
          <cell r="AC782">
            <v>2.2000000000000002E-2</v>
          </cell>
        </row>
        <row r="783">
          <cell r="T783">
            <v>39107</v>
          </cell>
          <cell r="U783">
            <v>1.7589999999999998E-2</v>
          </cell>
          <cell r="V783">
            <v>1.805E-2</v>
          </cell>
          <cell r="W783">
            <v>1.8100000000000002E-2</v>
          </cell>
          <cell r="X783">
            <v>1.865E-2</v>
          </cell>
          <cell r="Y783">
            <v>1.9200000000000002E-2</v>
          </cell>
          <cell r="Z783">
            <v>1.975E-2</v>
          </cell>
          <cell r="AA783">
            <v>2.035E-2</v>
          </cell>
          <cell r="AB783">
            <v>2.12E-2</v>
          </cell>
          <cell r="AC783">
            <v>2.2200000000000001E-2</v>
          </cell>
        </row>
        <row r="784">
          <cell r="T784">
            <v>39106</v>
          </cell>
          <cell r="U784">
            <v>1.7589999999999998E-2</v>
          </cell>
          <cell r="V784">
            <v>1.805E-2</v>
          </cell>
          <cell r="W784">
            <v>1.8149999999999999E-2</v>
          </cell>
          <cell r="X784">
            <v>1.865E-2</v>
          </cell>
          <cell r="Y784">
            <v>1.9200000000000002E-2</v>
          </cell>
          <cell r="Z784">
            <v>1.9799999999999998E-2</v>
          </cell>
          <cell r="AA784">
            <v>2.0400000000000001E-2</v>
          </cell>
          <cell r="AB784">
            <v>2.1299999999999999E-2</v>
          </cell>
          <cell r="AC784">
            <v>2.2250000000000002E-2</v>
          </cell>
        </row>
        <row r="785">
          <cell r="T785">
            <v>39105</v>
          </cell>
          <cell r="U785">
            <v>1.7589999999999998E-2</v>
          </cell>
          <cell r="V785">
            <v>1.8083000000000002E-2</v>
          </cell>
          <cell r="W785">
            <v>1.8200000000000001E-2</v>
          </cell>
          <cell r="X785">
            <v>1.8600000000000002E-2</v>
          </cell>
          <cell r="Y785">
            <v>1.9200000000000002E-2</v>
          </cell>
          <cell r="Z785">
            <v>1.9799999999999998E-2</v>
          </cell>
          <cell r="AA785">
            <v>2.035E-2</v>
          </cell>
          <cell r="AB785">
            <v>2.12E-2</v>
          </cell>
          <cell r="AC785">
            <v>2.2250000000000002E-2</v>
          </cell>
        </row>
        <row r="786">
          <cell r="T786">
            <v>39104</v>
          </cell>
          <cell r="U786">
            <v>1.7589999999999998E-2</v>
          </cell>
          <cell r="V786">
            <v>1.805E-2</v>
          </cell>
          <cell r="W786">
            <v>1.8100000000000002E-2</v>
          </cell>
          <cell r="X786">
            <v>1.8600000000000002E-2</v>
          </cell>
          <cell r="Y786">
            <v>1.9099999999999999E-2</v>
          </cell>
          <cell r="Z786">
            <v>1.975E-2</v>
          </cell>
          <cell r="AA786">
            <v>2.0400000000000001E-2</v>
          </cell>
          <cell r="AB786">
            <v>2.1150000000000002E-2</v>
          </cell>
          <cell r="AC786">
            <v>2.2250000000000002E-2</v>
          </cell>
        </row>
        <row r="787">
          <cell r="T787">
            <v>39103</v>
          </cell>
          <cell r="U787">
            <v>1.7569999999999999E-2</v>
          </cell>
          <cell r="V787">
            <v>1.814E-2</v>
          </cell>
          <cell r="W787">
            <v>1.8075000000000001E-2</v>
          </cell>
          <cell r="X787">
            <v>1.8600000000000002E-2</v>
          </cell>
          <cell r="Y787">
            <v>1.9175000000000001E-2</v>
          </cell>
          <cell r="Z787">
            <v>1.9775000000000001E-2</v>
          </cell>
          <cell r="AA787">
            <v>2.035E-2</v>
          </cell>
          <cell r="AB787">
            <v>2.1150000000000002E-2</v>
          </cell>
          <cell r="AC787">
            <v>2.2250000000000002E-2</v>
          </cell>
        </row>
        <row r="788">
          <cell r="T788">
            <v>39102</v>
          </cell>
          <cell r="U788">
            <v>1.7569999999999999E-2</v>
          </cell>
          <cell r="V788">
            <v>1.814E-2</v>
          </cell>
          <cell r="W788">
            <v>1.8075000000000001E-2</v>
          </cell>
          <cell r="X788">
            <v>1.8600000000000002E-2</v>
          </cell>
          <cell r="Y788">
            <v>1.9175000000000001E-2</v>
          </cell>
          <cell r="Z788">
            <v>1.9775000000000001E-2</v>
          </cell>
          <cell r="AA788">
            <v>2.035E-2</v>
          </cell>
          <cell r="AB788">
            <v>2.1150000000000002E-2</v>
          </cell>
          <cell r="AC788">
            <v>2.2250000000000002E-2</v>
          </cell>
        </row>
        <row r="789">
          <cell r="T789">
            <v>39101</v>
          </cell>
          <cell r="U789">
            <v>1.7569999999999999E-2</v>
          </cell>
          <cell r="V789">
            <v>1.814E-2</v>
          </cell>
          <cell r="W789">
            <v>1.8075000000000001E-2</v>
          </cell>
          <cell r="X789">
            <v>1.8600000000000002E-2</v>
          </cell>
          <cell r="Y789">
            <v>1.9175000000000001E-2</v>
          </cell>
          <cell r="Z789">
            <v>1.9775000000000001E-2</v>
          </cell>
          <cell r="AA789">
            <v>2.035E-2</v>
          </cell>
          <cell r="AB789">
            <v>2.1150000000000002E-2</v>
          </cell>
          <cell r="AC789">
            <v>2.2250000000000002E-2</v>
          </cell>
        </row>
        <row r="790">
          <cell r="T790">
            <v>39100</v>
          </cell>
          <cell r="U790">
            <v>1.7569999999999999E-2</v>
          </cell>
          <cell r="V790">
            <v>1.8083000000000002E-2</v>
          </cell>
          <cell r="W790">
            <v>1.8149999999999999E-2</v>
          </cell>
          <cell r="X790">
            <v>1.8600000000000002E-2</v>
          </cell>
          <cell r="Y790">
            <v>1.9200000000000002E-2</v>
          </cell>
          <cell r="Z790">
            <v>1.985E-2</v>
          </cell>
          <cell r="AA790">
            <v>2.0400000000000001E-2</v>
          </cell>
          <cell r="AB790">
            <v>2.1100000000000004E-2</v>
          </cell>
          <cell r="AC790">
            <v>2.2250000000000002E-2</v>
          </cell>
        </row>
        <row r="791">
          <cell r="T791">
            <v>39099</v>
          </cell>
          <cell r="U791">
            <v>1.7579999999999998E-2</v>
          </cell>
          <cell r="V791">
            <v>1.805E-2</v>
          </cell>
          <cell r="W791">
            <v>1.8075000000000001E-2</v>
          </cell>
          <cell r="X791">
            <v>1.8574999999999998E-2</v>
          </cell>
          <cell r="Y791">
            <v>1.915E-2</v>
          </cell>
          <cell r="Z791">
            <v>1.9699999999999999E-2</v>
          </cell>
          <cell r="AA791">
            <v>2.0274999999999998E-2</v>
          </cell>
          <cell r="AB791">
            <v>2.0999999999999998E-2</v>
          </cell>
          <cell r="AC791">
            <v>2.2099999999999998E-2</v>
          </cell>
        </row>
        <row r="792">
          <cell r="T792">
            <v>39098</v>
          </cell>
          <cell r="U792">
            <v>1.7579999999999998E-2</v>
          </cell>
          <cell r="V792">
            <v>1.8083000000000002E-2</v>
          </cell>
          <cell r="W792">
            <v>1.805E-2</v>
          </cell>
          <cell r="X792">
            <v>1.8550000000000001E-2</v>
          </cell>
          <cell r="Y792">
            <v>1.9074999999999998E-2</v>
          </cell>
          <cell r="Z792">
            <v>1.9649999999999997E-2</v>
          </cell>
          <cell r="AA792">
            <v>2.0199999999999999E-2</v>
          </cell>
          <cell r="AB792">
            <v>2.085E-2</v>
          </cell>
          <cell r="AC792">
            <v>2.1899999999999999E-2</v>
          </cell>
        </row>
        <row r="793">
          <cell r="T793">
            <v>39097</v>
          </cell>
          <cell r="U793">
            <v>1.7569999999999999E-2</v>
          </cell>
          <cell r="V793">
            <v>1.8083000000000002E-2</v>
          </cell>
          <cell r="W793">
            <v>1.8100000000000002E-2</v>
          </cell>
          <cell r="X793">
            <v>1.8600000000000002E-2</v>
          </cell>
          <cell r="Y793">
            <v>1.9099999999999999E-2</v>
          </cell>
          <cell r="Z793">
            <v>1.9699999999999999E-2</v>
          </cell>
          <cell r="AA793">
            <v>2.0300000000000002E-2</v>
          </cell>
          <cell r="AB793">
            <v>2.1000000000000001E-2</v>
          </cell>
          <cell r="AC793">
            <v>2.1899999999999999E-2</v>
          </cell>
        </row>
        <row r="794">
          <cell r="T794">
            <v>39096</v>
          </cell>
          <cell r="U794">
            <v>1.7569999999999999E-2</v>
          </cell>
          <cell r="V794">
            <v>1.8083000000000002E-2</v>
          </cell>
          <cell r="W794">
            <v>1.805E-2</v>
          </cell>
          <cell r="X794">
            <v>1.8499999999999999E-2</v>
          </cell>
          <cell r="Y794">
            <v>1.8950000000000002E-2</v>
          </cell>
          <cell r="Z794">
            <v>1.95E-2</v>
          </cell>
          <cell r="AA794">
            <v>2.0049999999999998E-2</v>
          </cell>
          <cell r="AB794">
            <v>2.0700000000000003E-2</v>
          </cell>
          <cell r="AC794">
            <v>2.1649999999999999E-2</v>
          </cell>
        </row>
        <row r="795">
          <cell r="T795">
            <v>39095</v>
          </cell>
          <cell r="U795">
            <v>1.7569999999999999E-2</v>
          </cell>
          <cell r="V795">
            <v>1.8083000000000002E-2</v>
          </cell>
          <cell r="W795">
            <v>1.805E-2</v>
          </cell>
          <cell r="X795">
            <v>1.8499999999999999E-2</v>
          </cell>
          <cell r="Y795">
            <v>1.8950000000000002E-2</v>
          </cell>
          <cell r="Z795">
            <v>1.95E-2</v>
          </cell>
          <cell r="AA795">
            <v>2.0049999999999998E-2</v>
          </cell>
          <cell r="AB795">
            <v>2.0700000000000003E-2</v>
          </cell>
          <cell r="AC795">
            <v>2.1649999999999999E-2</v>
          </cell>
        </row>
        <row r="796">
          <cell r="T796">
            <v>39094</v>
          </cell>
          <cell r="U796">
            <v>1.7569999999999999E-2</v>
          </cell>
          <cell r="V796">
            <v>1.8083000000000002E-2</v>
          </cell>
          <cell r="W796">
            <v>1.805E-2</v>
          </cell>
          <cell r="X796">
            <v>1.8499999999999999E-2</v>
          </cell>
          <cell r="Y796">
            <v>1.8950000000000002E-2</v>
          </cell>
          <cell r="Z796">
            <v>1.95E-2</v>
          </cell>
          <cell r="AA796">
            <v>2.0049999999999998E-2</v>
          </cell>
          <cell r="AB796">
            <v>2.0700000000000003E-2</v>
          </cell>
          <cell r="AC796">
            <v>2.1649999999999999E-2</v>
          </cell>
        </row>
        <row r="797">
          <cell r="T797">
            <v>39093</v>
          </cell>
          <cell r="U797">
            <v>1.754E-2</v>
          </cell>
          <cell r="V797">
            <v>1.8113999999999998E-2</v>
          </cell>
          <cell r="W797">
            <v>1.8000000000000002E-2</v>
          </cell>
          <cell r="X797">
            <v>1.8474999999999998E-2</v>
          </cell>
          <cell r="Y797">
            <v>1.8950000000000002E-2</v>
          </cell>
          <cell r="Z797">
            <v>1.95E-2</v>
          </cell>
          <cell r="AA797">
            <v>2.0049999999999998E-2</v>
          </cell>
          <cell r="AB797">
            <v>2.0700000000000003E-2</v>
          </cell>
          <cell r="AC797">
            <v>2.1550000000000003E-2</v>
          </cell>
        </row>
        <row r="798">
          <cell r="T798">
            <v>39092</v>
          </cell>
          <cell r="U798">
            <v>1.7509999999999998E-2</v>
          </cell>
          <cell r="V798">
            <v>1.8113999999999998E-2</v>
          </cell>
          <cell r="W798">
            <v>1.8000000000000002E-2</v>
          </cell>
          <cell r="X798">
            <v>1.8450000000000001E-2</v>
          </cell>
          <cell r="Y798">
            <v>1.8950000000000002E-2</v>
          </cell>
          <cell r="Z798">
            <v>1.95E-2</v>
          </cell>
          <cell r="AA798">
            <v>0.02</v>
          </cell>
          <cell r="AB798">
            <v>2.06E-2</v>
          </cell>
          <cell r="AC798">
            <v>2.145E-2</v>
          </cell>
        </row>
        <row r="799">
          <cell r="T799">
            <v>39091</v>
          </cell>
          <cell r="U799">
            <v>1.7509999999999998E-2</v>
          </cell>
          <cell r="V799">
            <v>1.8092E-2</v>
          </cell>
          <cell r="W799">
            <v>1.8000000000000002E-2</v>
          </cell>
          <cell r="X799">
            <v>1.8450000000000001E-2</v>
          </cell>
          <cell r="Y799">
            <v>1.9000000000000003E-2</v>
          </cell>
          <cell r="Z799">
            <v>1.95E-2</v>
          </cell>
          <cell r="AA799">
            <v>2.0099999999999996E-2</v>
          </cell>
          <cell r="AB799">
            <v>2.0799999999999999E-2</v>
          </cell>
          <cell r="AC799">
            <v>2.1649999999999999E-2</v>
          </cell>
        </row>
        <row r="800">
          <cell r="T800">
            <v>39090</v>
          </cell>
          <cell r="U800">
            <v>1.7509999999999998E-2</v>
          </cell>
          <cell r="V800">
            <v>1.8113999999999998E-2</v>
          </cell>
          <cell r="W800">
            <v>1.805E-2</v>
          </cell>
          <cell r="X800">
            <v>1.84E-2</v>
          </cell>
          <cell r="Y800">
            <v>1.8950000000000002E-2</v>
          </cell>
          <cell r="Z800">
            <v>1.95E-2</v>
          </cell>
          <cell r="AA800">
            <v>2.0099999999999996E-2</v>
          </cell>
          <cell r="AB800">
            <v>2.0750000000000001E-2</v>
          </cell>
          <cell r="AC800">
            <v>2.1550000000000003E-2</v>
          </cell>
        </row>
        <row r="801">
          <cell r="T801">
            <v>39089</v>
          </cell>
          <cell r="U801">
            <v>1.7500000000000002E-2</v>
          </cell>
          <cell r="V801">
            <v>1.8166999999999999E-2</v>
          </cell>
          <cell r="W801">
            <v>1.805E-2</v>
          </cell>
          <cell r="X801">
            <v>1.8450000000000001E-2</v>
          </cell>
          <cell r="Y801">
            <v>1.8950000000000002E-2</v>
          </cell>
          <cell r="Z801">
            <v>1.95E-2</v>
          </cell>
          <cell r="AA801">
            <v>2.0075000000000003E-2</v>
          </cell>
          <cell r="AB801">
            <v>2.0799999999999999E-2</v>
          </cell>
          <cell r="AC801">
            <v>2.1550000000000003E-2</v>
          </cell>
        </row>
        <row r="802">
          <cell r="T802">
            <v>39088</v>
          </cell>
          <cell r="U802">
            <v>1.7500000000000002E-2</v>
          </cell>
          <cell r="V802">
            <v>1.8166999999999999E-2</v>
          </cell>
          <cell r="W802">
            <v>1.805E-2</v>
          </cell>
          <cell r="X802">
            <v>1.8450000000000001E-2</v>
          </cell>
          <cell r="Y802">
            <v>1.8950000000000002E-2</v>
          </cell>
          <cell r="Z802">
            <v>1.95E-2</v>
          </cell>
          <cell r="AA802">
            <v>2.0075000000000003E-2</v>
          </cell>
          <cell r="AB802">
            <v>2.0799999999999999E-2</v>
          </cell>
          <cell r="AC802">
            <v>2.1550000000000003E-2</v>
          </cell>
        </row>
        <row r="803">
          <cell r="T803">
            <v>39087</v>
          </cell>
          <cell r="U803">
            <v>1.7500000000000002E-2</v>
          </cell>
          <cell r="V803">
            <v>1.8166999999999999E-2</v>
          </cell>
          <cell r="W803">
            <v>1.805E-2</v>
          </cell>
          <cell r="X803">
            <v>1.8450000000000001E-2</v>
          </cell>
          <cell r="Y803">
            <v>1.8950000000000002E-2</v>
          </cell>
          <cell r="Z803">
            <v>1.95E-2</v>
          </cell>
          <cell r="AA803">
            <v>2.0075000000000003E-2</v>
          </cell>
          <cell r="AB803">
            <v>2.0799999999999999E-2</v>
          </cell>
          <cell r="AC803">
            <v>2.1550000000000003E-2</v>
          </cell>
        </row>
        <row r="804">
          <cell r="T804">
            <v>39086</v>
          </cell>
          <cell r="U804">
            <v>1.7490000000000002E-2</v>
          </cell>
          <cell r="V804">
            <v>1.8166999999999999E-2</v>
          </cell>
          <cell r="W804">
            <v>1.805E-2</v>
          </cell>
          <cell r="X804">
            <v>1.8499999999999999E-2</v>
          </cell>
          <cell r="Y804">
            <v>1.9000000000000003E-2</v>
          </cell>
          <cell r="Z804">
            <v>1.9550000000000001E-2</v>
          </cell>
          <cell r="AA804">
            <v>2.0049999999999998E-2</v>
          </cell>
          <cell r="AB804">
            <v>2.085E-2</v>
          </cell>
          <cell r="AC804">
            <v>2.1649999999999999E-2</v>
          </cell>
        </row>
        <row r="805">
          <cell r="T805">
            <v>39085</v>
          </cell>
          <cell r="U805">
            <v>1.7509999999999998E-2</v>
          </cell>
          <cell r="V805">
            <v>1.8117000000000001E-2</v>
          </cell>
          <cell r="W805">
            <v>1.8000000000000002E-2</v>
          </cell>
          <cell r="X805">
            <v>1.84E-2</v>
          </cell>
          <cell r="Y805">
            <v>1.89E-2</v>
          </cell>
          <cell r="Z805">
            <v>1.9550000000000001E-2</v>
          </cell>
          <cell r="AA805">
            <v>2.0049999999999998E-2</v>
          </cell>
          <cell r="AB805">
            <v>2.0750000000000001E-2</v>
          </cell>
          <cell r="AC805">
            <v>2.1649999999999999E-2</v>
          </cell>
        </row>
        <row r="806">
          <cell r="T806">
            <v>39084</v>
          </cell>
          <cell r="U806">
            <v>1.7479999999999999E-2</v>
          </cell>
          <cell r="V806">
            <v>1.8133E-2</v>
          </cell>
          <cell r="W806">
            <v>1.8100000000000002E-2</v>
          </cell>
          <cell r="X806">
            <v>1.8499999999999999E-2</v>
          </cell>
          <cell r="Y806">
            <v>1.9000000000000003E-2</v>
          </cell>
          <cell r="Z806">
            <v>1.9599999999999999E-2</v>
          </cell>
          <cell r="AA806">
            <v>2.0250000000000001E-2</v>
          </cell>
          <cell r="AB806">
            <v>2.1049999999999999E-2</v>
          </cell>
          <cell r="AC806">
            <v>2.205E-2</v>
          </cell>
        </row>
        <row r="807">
          <cell r="T807">
            <v>39083</v>
          </cell>
          <cell r="U807">
            <v>1.7479999999999999E-2</v>
          </cell>
          <cell r="V807">
            <v>1.8124999999999999E-2</v>
          </cell>
          <cell r="W807">
            <v>1.8100000000000002E-2</v>
          </cell>
          <cell r="X807">
            <v>1.8499999999999999E-2</v>
          </cell>
          <cell r="Y807">
            <v>1.915E-2</v>
          </cell>
          <cell r="Z807">
            <v>1.9699999999999999E-2</v>
          </cell>
          <cell r="AA807">
            <v>2.0300000000000002E-2</v>
          </cell>
          <cell r="AB807">
            <v>2.1100000000000004E-2</v>
          </cell>
          <cell r="AC807">
            <v>2.2000000000000002E-2</v>
          </cell>
        </row>
        <row r="808">
          <cell r="T808">
            <v>39082</v>
          </cell>
          <cell r="U808">
            <v>1.7479999999999999E-2</v>
          </cell>
          <cell r="V808">
            <v>1.8124999999999999E-2</v>
          </cell>
          <cell r="W808">
            <v>1.8100000000000002E-2</v>
          </cell>
          <cell r="X808">
            <v>1.8499999999999999E-2</v>
          </cell>
          <cell r="Y808">
            <v>1.915E-2</v>
          </cell>
          <cell r="Z808">
            <v>1.9699999999999999E-2</v>
          </cell>
          <cell r="AA808">
            <v>2.0300000000000002E-2</v>
          </cell>
          <cell r="AB808">
            <v>2.1100000000000004E-2</v>
          </cell>
          <cell r="AC808">
            <v>2.2000000000000002E-2</v>
          </cell>
        </row>
        <row r="809">
          <cell r="T809">
            <v>39081</v>
          </cell>
          <cell r="U809">
            <v>1.7479999999999999E-2</v>
          </cell>
          <cell r="V809">
            <v>1.8124999999999999E-2</v>
          </cell>
          <cell r="W809">
            <v>1.8100000000000002E-2</v>
          </cell>
          <cell r="X809">
            <v>1.8499999999999999E-2</v>
          </cell>
          <cell r="Y809">
            <v>1.915E-2</v>
          </cell>
          <cell r="Z809">
            <v>1.9699999999999999E-2</v>
          </cell>
          <cell r="AA809">
            <v>2.0300000000000002E-2</v>
          </cell>
          <cell r="AB809">
            <v>2.1100000000000004E-2</v>
          </cell>
          <cell r="AC809">
            <v>2.2000000000000002E-2</v>
          </cell>
        </row>
        <row r="810">
          <cell r="T810">
            <v>39080</v>
          </cell>
          <cell r="U810">
            <v>1.7479999999999999E-2</v>
          </cell>
          <cell r="V810">
            <v>1.8124999999999999E-2</v>
          </cell>
          <cell r="W810">
            <v>1.8100000000000002E-2</v>
          </cell>
          <cell r="X810">
            <v>1.8499999999999999E-2</v>
          </cell>
          <cell r="Y810">
            <v>1.915E-2</v>
          </cell>
          <cell r="Z810">
            <v>1.9699999999999999E-2</v>
          </cell>
          <cell r="AA810">
            <v>2.0300000000000002E-2</v>
          </cell>
          <cell r="AB810">
            <v>2.1100000000000004E-2</v>
          </cell>
          <cell r="AC810">
            <v>2.2000000000000002E-2</v>
          </cell>
        </row>
        <row r="811">
          <cell r="T811">
            <v>39079</v>
          </cell>
          <cell r="U811">
            <v>1.738E-2</v>
          </cell>
          <cell r="V811">
            <v>1.7600000000000001E-2</v>
          </cell>
          <cell r="W811">
            <v>1.805E-2</v>
          </cell>
          <cell r="X811">
            <v>1.8600000000000002E-2</v>
          </cell>
          <cell r="Y811">
            <v>1.925E-2</v>
          </cell>
          <cell r="Z811">
            <v>1.9775000000000001E-2</v>
          </cell>
          <cell r="AA811">
            <v>2.035E-2</v>
          </cell>
          <cell r="AB811">
            <v>2.1150000000000002E-2</v>
          </cell>
          <cell r="AC811">
            <v>2.215E-2</v>
          </cell>
        </row>
        <row r="812">
          <cell r="T812">
            <v>39078</v>
          </cell>
          <cell r="U812">
            <v>1.7310000000000002E-2</v>
          </cell>
          <cell r="V812">
            <v>1.7610000000000001E-2</v>
          </cell>
          <cell r="W812">
            <v>1.805E-2</v>
          </cell>
          <cell r="X812">
            <v>1.8550000000000001E-2</v>
          </cell>
          <cell r="Y812">
            <v>1.9E-2</v>
          </cell>
          <cell r="Z812">
            <v>1.985E-2</v>
          </cell>
          <cell r="AA812">
            <v>2.0400000000000001E-2</v>
          </cell>
          <cell r="AB812">
            <v>2.12E-2</v>
          </cell>
          <cell r="AC812">
            <v>2.2199999999999998E-2</v>
          </cell>
        </row>
        <row r="813">
          <cell r="T813">
            <v>39077</v>
          </cell>
          <cell r="U813">
            <v>1.711E-2</v>
          </cell>
          <cell r="V813">
            <v>1.7593000000000001E-2</v>
          </cell>
          <cell r="W813">
            <v>1.805E-2</v>
          </cell>
          <cell r="X813">
            <v>1.8599999999999998E-2</v>
          </cell>
          <cell r="Y813">
            <v>1.915E-2</v>
          </cell>
          <cell r="Z813">
            <v>1.975E-2</v>
          </cell>
          <cell r="AA813">
            <v>2.0400000000000001E-2</v>
          </cell>
          <cell r="AB813">
            <v>2.1225000000000001E-2</v>
          </cell>
          <cell r="AC813">
            <v>2.2199999999999998E-2</v>
          </cell>
        </row>
        <row r="814">
          <cell r="T814">
            <v>39076</v>
          </cell>
          <cell r="U814">
            <v>1.7100000000000001E-2</v>
          </cell>
          <cell r="V814">
            <v>1.7658E-2</v>
          </cell>
          <cell r="W814">
            <v>1.805E-2</v>
          </cell>
          <cell r="X814">
            <v>1.8599999999999998E-2</v>
          </cell>
          <cell r="Y814">
            <v>1.9199999999999998E-2</v>
          </cell>
          <cell r="Z814">
            <v>1.9799999999999998E-2</v>
          </cell>
          <cell r="AA814">
            <v>2.035E-2</v>
          </cell>
          <cell r="AB814">
            <v>2.1250000000000002E-2</v>
          </cell>
          <cell r="AC814">
            <v>2.205E-2</v>
          </cell>
        </row>
        <row r="815">
          <cell r="T815">
            <v>39075</v>
          </cell>
          <cell r="U815">
            <v>1.7090000000000001E-2</v>
          </cell>
          <cell r="V815">
            <v>1.7600000000000001E-2</v>
          </cell>
          <cell r="W815">
            <v>1.805E-2</v>
          </cell>
          <cell r="X815">
            <v>1.8700000000000001E-2</v>
          </cell>
          <cell r="Y815">
            <v>1.9300000000000001E-2</v>
          </cell>
          <cell r="Z815">
            <v>1.9824999999999999E-2</v>
          </cell>
          <cell r="AA815">
            <v>2.0374999999999997E-2</v>
          </cell>
          <cell r="AB815">
            <v>2.12E-2</v>
          </cell>
          <cell r="AC815">
            <v>2.2199999999999998E-2</v>
          </cell>
        </row>
        <row r="816">
          <cell r="T816">
            <v>39074</v>
          </cell>
          <cell r="U816">
            <v>1.7090000000000001E-2</v>
          </cell>
          <cell r="V816">
            <v>1.7600000000000001E-2</v>
          </cell>
          <cell r="W816">
            <v>1.805E-2</v>
          </cell>
          <cell r="X816">
            <v>1.8700000000000001E-2</v>
          </cell>
          <cell r="Y816">
            <v>1.9300000000000001E-2</v>
          </cell>
          <cell r="Z816">
            <v>1.9824999999999999E-2</v>
          </cell>
          <cell r="AA816">
            <v>2.0374999999999997E-2</v>
          </cell>
          <cell r="AB816">
            <v>2.12E-2</v>
          </cell>
          <cell r="AC816">
            <v>2.2199999999999998E-2</v>
          </cell>
        </row>
        <row r="817">
          <cell r="T817">
            <v>39073</v>
          </cell>
          <cell r="U817">
            <v>1.7090000000000001E-2</v>
          </cell>
          <cell r="V817">
            <v>1.7600000000000001E-2</v>
          </cell>
          <cell r="W817">
            <v>1.805E-2</v>
          </cell>
          <cell r="X817">
            <v>1.8700000000000001E-2</v>
          </cell>
          <cell r="Y817">
            <v>1.9300000000000001E-2</v>
          </cell>
          <cell r="Z817">
            <v>1.9824999999999999E-2</v>
          </cell>
          <cell r="AA817">
            <v>2.0374999999999997E-2</v>
          </cell>
          <cell r="AB817">
            <v>2.12E-2</v>
          </cell>
          <cell r="AC817">
            <v>2.2199999999999998E-2</v>
          </cell>
        </row>
        <row r="818">
          <cell r="T818">
            <v>39072</v>
          </cell>
          <cell r="U818">
            <v>1.7049999999999999E-2</v>
          </cell>
          <cell r="V818">
            <v>1.7667000000000002E-2</v>
          </cell>
          <cell r="W818">
            <v>1.8000000000000002E-2</v>
          </cell>
          <cell r="X818">
            <v>1.8749999999999999E-2</v>
          </cell>
          <cell r="Y818">
            <v>1.9349999999999999E-2</v>
          </cell>
          <cell r="Z818">
            <v>1.9900000000000001E-2</v>
          </cell>
          <cell r="AA818">
            <v>2.0499999999999997E-2</v>
          </cell>
          <cell r="AB818">
            <v>2.1349999999999997E-2</v>
          </cell>
          <cell r="AC818">
            <v>2.2199999999999998E-2</v>
          </cell>
        </row>
        <row r="819">
          <cell r="T819">
            <v>39071</v>
          </cell>
          <cell r="U819">
            <v>1.7049999999999999E-2</v>
          </cell>
          <cell r="V819">
            <v>1.7667000000000002E-2</v>
          </cell>
          <cell r="W819">
            <v>1.805E-2</v>
          </cell>
          <cell r="X819">
            <v>1.865E-2</v>
          </cell>
          <cell r="Y819">
            <v>1.9200000000000002E-2</v>
          </cell>
          <cell r="Z819">
            <v>1.985E-2</v>
          </cell>
          <cell r="AA819">
            <v>2.0400000000000001E-2</v>
          </cell>
          <cell r="AB819">
            <v>2.12E-2</v>
          </cell>
          <cell r="AC819">
            <v>2.2199999999999998E-2</v>
          </cell>
        </row>
        <row r="820">
          <cell r="T820">
            <v>39070</v>
          </cell>
          <cell r="U820">
            <v>1.7090000000000001E-2</v>
          </cell>
          <cell r="V820">
            <v>1.755E-2</v>
          </cell>
          <cell r="W820">
            <v>1.805E-2</v>
          </cell>
          <cell r="X820">
            <v>1.8499999999999999E-2</v>
          </cell>
          <cell r="Y820">
            <v>1.9099999999999999E-2</v>
          </cell>
          <cell r="Z820">
            <v>1.9649999999999997E-2</v>
          </cell>
          <cell r="AA820">
            <v>2.0300000000000002E-2</v>
          </cell>
          <cell r="AB820">
            <v>2.1100000000000004E-2</v>
          </cell>
          <cell r="AC820">
            <v>2.1950000000000004E-2</v>
          </cell>
        </row>
        <row r="821">
          <cell r="T821">
            <v>39069</v>
          </cell>
          <cell r="U821">
            <v>1.7150000000000002E-2</v>
          </cell>
          <cell r="V821">
            <v>1.7600000000000001E-2</v>
          </cell>
          <cell r="W821">
            <v>1.8024999999999999E-2</v>
          </cell>
          <cell r="X821">
            <v>1.8499999999999999E-2</v>
          </cell>
          <cell r="Y821">
            <v>1.9000000000000003E-2</v>
          </cell>
          <cell r="Z821">
            <v>1.9599999999999999E-2</v>
          </cell>
          <cell r="AA821">
            <v>2.0199999999999996E-2</v>
          </cell>
          <cell r="AB821">
            <v>2.1049999999999999E-2</v>
          </cell>
          <cell r="AC821">
            <v>2.1950000000000004E-2</v>
          </cell>
        </row>
        <row r="822">
          <cell r="T822">
            <v>39068</v>
          </cell>
          <cell r="U822">
            <v>1.7170000000000001E-2</v>
          </cell>
          <cell r="V822">
            <v>1.7593000000000001E-2</v>
          </cell>
          <cell r="W822">
            <v>1.8000000000000002E-2</v>
          </cell>
          <cell r="X822">
            <v>1.8450000000000001E-2</v>
          </cell>
          <cell r="Y822">
            <v>1.9000000000000003E-2</v>
          </cell>
          <cell r="Z822">
            <v>1.9599999999999999E-2</v>
          </cell>
          <cell r="AA822">
            <v>2.0300000000000002E-2</v>
          </cell>
          <cell r="AB822">
            <v>2.1150000000000002E-2</v>
          </cell>
          <cell r="AC822">
            <v>2.205E-2</v>
          </cell>
        </row>
        <row r="823">
          <cell r="T823">
            <v>39067</v>
          </cell>
          <cell r="U823">
            <v>1.7170000000000001E-2</v>
          </cell>
          <cell r="V823">
            <v>1.7593000000000001E-2</v>
          </cell>
          <cell r="W823">
            <v>1.8000000000000002E-2</v>
          </cell>
          <cell r="X823">
            <v>1.8450000000000001E-2</v>
          </cell>
          <cell r="Y823">
            <v>1.9000000000000003E-2</v>
          </cell>
          <cell r="Z823">
            <v>1.9599999999999999E-2</v>
          </cell>
          <cell r="AA823">
            <v>2.0300000000000002E-2</v>
          </cell>
          <cell r="AB823">
            <v>2.1150000000000002E-2</v>
          </cell>
          <cell r="AC823">
            <v>2.205E-2</v>
          </cell>
        </row>
        <row r="824">
          <cell r="T824">
            <v>39066</v>
          </cell>
          <cell r="U824">
            <v>1.7170000000000001E-2</v>
          </cell>
          <cell r="V824">
            <v>1.7593000000000001E-2</v>
          </cell>
          <cell r="W824">
            <v>1.8000000000000002E-2</v>
          </cell>
          <cell r="X824">
            <v>1.8450000000000001E-2</v>
          </cell>
          <cell r="Y824">
            <v>1.9000000000000003E-2</v>
          </cell>
          <cell r="Z824">
            <v>1.9599999999999999E-2</v>
          </cell>
          <cell r="AA824">
            <v>2.0300000000000002E-2</v>
          </cell>
          <cell r="AB824">
            <v>2.1150000000000002E-2</v>
          </cell>
          <cell r="AC824">
            <v>2.205E-2</v>
          </cell>
        </row>
        <row r="825">
          <cell r="T825">
            <v>39065</v>
          </cell>
          <cell r="U825">
            <v>1.7129999999999999E-2</v>
          </cell>
          <cell r="V825">
            <v>1.7658E-2</v>
          </cell>
          <cell r="W825">
            <v>1.805E-2</v>
          </cell>
          <cell r="X825">
            <v>1.8550000000000001E-2</v>
          </cell>
          <cell r="Y825">
            <v>1.9050000000000001E-2</v>
          </cell>
          <cell r="Z825">
            <v>1.9550000000000001E-2</v>
          </cell>
          <cell r="AA825">
            <v>2.0250000000000001E-2</v>
          </cell>
          <cell r="AB825">
            <v>2.12E-2</v>
          </cell>
          <cell r="AC825">
            <v>2.205E-2</v>
          </cell>
        </row>
        <row r="826">
          <cell r="T826">
            <v>39064</v>
          </cell>
          <cell r="U826">
            <v>1.712E-2</v>
          </cell>
          <cell r="V826">
            <v>1.7635999999999999E-2</v>
          </cell>
          <cell r="W826">
            <v>1.805E-2</v>
          </cell>
          <cell r="X826">
            <v>1.8499999999999999E-2</v>
          </cell>
          <cell r="Y826">
            <v>1.9050000000000001E-2</v>
          </cell>
          <cell r="Z826">
            <v>1.9550000000000001E-2</v>
          </cell>
          <cell r="AA826">
            <v>2.0199999999999996E-2</v>
          </cell>
          <cell r="AB826">
            <v>2.085E-2</v>
          </cell>
          <cell r="AC826">
            <v>2.1900000000000003E-2</v>
          </cell>
        </row>
        <row r="827">
          <cell r="T827">
            <v>39063</v>
          </cell>
          <cell r="U827">
            <v>1.7100000000000001E-2</v>
          </cell>
          <cell r="V827">
            <v>1.7639999999999999E-2</v>
          </cell>
          <cell r="W827">
            <v>1.8000000000000002E-2</v>
          </cell>
          <cell r="X827">
            <v>1.8499999999999999E-2</v>
          </cell>
          <cell r="Y827">
            <v>1.9000000000000003E-2</v>
          </cell>
          <cell r="Z827">
            <v>1.9599999999999999E-2</v>
          </cell>
          <cell r="AA827">
            <v>2.0199999999999996E-2</v>
          </cell>
          <cell r="AB827">
            <v>2.085E-2</v>
          </cell>
          <cell r="AC827">
            <v>2.1850000000000001E-2</v>
          </cell>
        </row>
        <row r="828">
          <cell r="T828">
            <v>39062</v>
          </cell>
          <cell r="U828">
            <v>1.7100000000000001E-2</v>
          </cell>
          <cell r="V828">
            <v>1.7639999999999999E-2</v>
          </cell>
          <cell r="W828">
            <v>1.8000000000000002E-2</v>
          </cell>
          <cell r="X828">
            <v>1.8550000000000001E-2</v>
          </cell>
          <cell r="Y828">
            <v>1.9000000000000003E-2</v>
          </cell>
          <cell r="Z828">
            <v>1.95E-2</v>
          </cell>
          <cell r="AA828">
            <v>2.0199999999999996E-2</v>
          </cell>
          <cell r="AB828">
            <v>2.0799999999999999E-2</v>
          </cell>
          <cell r="AC828">
            <v>2.1950000000000004E-2</v>
          </cell>
        </row>
        <row r="829">
          <cell r="T829">
            <v>39061</v>
          </cell>
          <cell r="U829">
            <v>1.7079999999999998E-2</v>
          </cell>
          <cell r="V829">
            <v>1.7624999999999998E-2</v>
          </cell>
          <cell r="W829">
            <v>1.8000000000000002E-2</v>
          </cell>
          <cell r="X829">
            <v>1.84E-2</v>
          </cell>
          <cell r="Y829">
            <v>1.8950000000000002E-2</v>
          </cell>
          <cell r="Z829">
            <v>1.95E-2</v>
          </cell>
          <cell r="AA829">
            <v>2.0199999999999996E-2</v>
          </cell>
          <cell r="AB829">
            <v>2.0799999999999999E-2</v>
          </cell>
          <cell r="AC829">
            <v>2.1749999999999999E-2</v>
          </cell>
        </row>
        <row r="830">
          <cell r="T830">
            <v>39060</v>
          </cell>
          <cell r="U830">
            <v>1.7079999999999998E-2</v>
          </cell>
          <cell r="V830">
            <v>1.7624999999999998E-2</v>
          </cell>
          <cell r="W830">
            <v>1.8000000000000002E-2</v>
          </cell>
          <cell r="X830">
            <v>1.84E-2</v>
          </cell>
          <cell r="Y830">
            <v>1.8950000000000002E-2</v>
          </cell>
          <cell r="Z830">
            <v>1.95E-2</v>
          </cell>
          <cell r="AA830">
            <v>2.0199999999999996E-2</v>
          </cell>
          <cell r="AB830">
            <v>2.0799999999999999E-2</v>
          </cell>
          <cell r="AC830">
            <v>2.1749999999999999E-2</v>
          </cell>
        </row>
        <row r="831">
          <cell r="T831">
            <v>39059</v>
          </cell>
          <cell r="U831">
            <v>1.7079999999999998E-2</v>
          </cell>
          <cell r="V831">
            <v>1.7624999999999998E-2</v>
          </cell>
          <cell r="W831">
            <v>1.8000000000000002E-2</v>
          </cell>
          <cell r="X831">
            <v>1.84E-2</v>
          </cell>
          <cell r="Y831">
            <v>1.8950000000000002E-2</v>
          </cell>
          <cell r="Z831">
            <v>1.95E-2</v>
          </cell>
          <cell r="AA831">
            <v>2.0199999999999996E-2</v>
          </cell>
          <cell r="AB831">
            <v>2.0799999999999999E-2</v>
          </cell>
          <cell r="AC831">
            <v>2.1749999999999999E-2</v>
          </cell>
        </row>
        <row r="832">
          <cell r="T832">
            <v>39058</v>
          </cell>
          <cell r="U832">
            <v>1.7139999999999999E-2</v>
          </cell>
          <cell r="V832">
            <v>1.7624999999999998E-2</v>
          </cell>
          <cell r="W832">
            <v>1.8000000000000002E-2</v>
          </cell>
          <cell r="X832">
            <v>1.8450000000000001E-2</v>
          </cell>
          <cell r="Y832">
            <v>1.8950000000000002E-2</v>
          </cell>
          <cell r="Z832">
            <v>1.9550000000000001E-2</v>
          </cell>
          <cell r="AA832">
            <v>2.0149999999999998E-2</v>
          </cell>
          <cell r="AB832">
            <v>2.0774999999999998E-2</v>
          </cell>
          <cell r="AC832">
            <v>2.1749999999999999E-2</v>
          </cell>
        </row>
        <row r="833">
          <cell r="T833">
            <v>39057</v>
          </cell>
          <cell r="U833">
            <v>1.7100000000000001E-2</v>
          </cell>
          <cell r="V833">
            <v>1.7621000000000001E-2</v>
          </cell>
          <cell r="W833">
            <v>1.8000000000000002E-2</v>
          </cell>
          <cell r="X833">
            <v>1.84E-2</v>
          </cell>
          <cell r="Y833">
            <v>1.8950000000000002E-2</v>
          </cell>
          <cell r="Z833">
            <v>1.9450000000000002E-2</v>
          </cell>
          <cell r="AA833">
            <v>2.0099999999999996E-2</v>
          </cell>
          <cell r="AB833">
            <v>2.0750000000000001E-2</v>
          </cell>
          <cell r="AC833">
            <v>2.1700000000000001E-2</v>
          </cell>
        </row>
        <row r="834">
          <cell r="T834">
            <v>39056</v>
          </cell>
          <cell r="U834">
            <v>1.7100000000000001E-2</v>
          </cell>
          <cell r="V834">
            <v>1.7621000000000001E-2</v>
          </cell>
          <cell r="W834">
            <v>1.8000000000000002E-2</v>
          </cell>
          <cell r="X834">
            <v>1.8450000000000001E-2</v>
          </cell>
          <cell r="Y834">
            <v>1.9000000000000003E-2</v>
          </cell>
          <cell r="Z834">
            <v>1.9525000000000001E-2</v>
          </cell>
          <cell r="AA834">
            <v>2.0149999999999998E-2</v>
          </cell>
          <cell r="AB834">
            <v>2.0750000000000001E-2</v>
          </cell>
          <cell r="AC834">
            <v>2.1649999999999999E-2</v>
          </cell>
        </row>
        <row r="835">
          <cell r="T835">
            <v>39055</v>
          </cell>
          <cell r="U835">
            <v>1.7139999999999999E-2</v>
          </cell>
          <cell r="V835">
            <v>1.7592E-2</v>
          </cell>
          <cell r="W835">
            <v>1.7950000000000001E-2</v>
          </cell>
          <cell r="X835">
            <v>1.84E-2</v>
          </cell>
          <cell r="Y835">
            <v>1.8849999999999999E-2</v>
          </cell>
          <cell r="Z835">
            <v>1.95E-2</v>
          </cell>
          <cell r="AA835">
            <v>2.0099999999999996E-2</v>
          </cell>
          <cell r="AB835">
            <v>2.0799999999999999E-2</v>
          </cell>
          <cell r="AC835">
            <v>2.1600000000000001E-2</v>
          </cell>
        </row>
        <row r="836">
          <cell r="T836">
            <v>39054</v>
          </cell>
          <cell r="U836">
            <v>1.7139999999999999E-2</v>
          </cell>
          <cell r="V836">
            <v>1.7592E-2</v>
          </cell>
          <cell r="W836">
            <v>1.7950000000000001E-2</v>
          </cell>
          <cell r="X836">
            <v>1.84E-2</v>
          </cell>
          <cell r="Y836">
            <v>1.8849999999999999E-2</v>
          </cell>
          <cell r="Z836">
            <v>1.95E-2</v>
          </cell>
          <cell r="AA836">
            <v>2.0099999999999996E-2</v>
          </cell>
          <cell r="AB836">
            <v>2.0799999999999999E-2</v>
          </cell>
          <cell r="AC836">
            <v>2.1600000000000001E-2</v>
          </cell>
        </row>
        <row r="837">
          <cell r="T837">
            <v>39053</v>
          </cell>
          <cell r="U837">
            <v>1.7139999999999999E-2</v>
          </cell>
          <cell r="V837">
            <v>1.7592E-2</v>
          </cell>
          <cell r="W837">
            <v>1.7950000000000001E-2</v>
          </cell>
          <cell r="X837">
            <v>1.84E-2</v>
          </cell>
          <cell r="Y837">
            <v>1.8849999999999999E-2</v>
          </cell>
          <cell r="Z837">
            <v>1.95E-2</v>
          </cell>
          <cell r="AA837">
            <v>2.0099999999999996E-2</v>
          </cell>
          <cell r="AB837">
            <v>2.0799999999999999E-2</v>
          </cell>
          <cell r="AC837">
            <v>2.1600000000000001E-2</v>
          </cell>
        </row>
        <row r="838">
          <cell r="T838">
            <v>39052</v>
          </cell>
          <cell r="U838">
            <v>1.7139999999999999E-2</v>
          </cell>
          <cell r="V838">
            <v>1.7658E-2</v>
          </cell>
          <cell r="W838">
            <v>1.7899999999999999E-2</v>
          </cell>
          <cell r="X838">
            <v>1.8450000000000001E-2</v>
          </cell>
          <cell r="Y838">
            <v>1.89E-2</v>
          </cell>
          <cell r="Z838">
            <v>1.9400000000000001E-2</v>
          </cell>
          <cell r="AA838">
            <v>2.0049999999999998E-2</v>
          </cell>
          <cell r="AB838">
            <v>2.0750000000000001E-2</v>
          </cell>
          <cell r="AC838">
            <v>2.1600000000000001E-2</v>
          </cell>
        </row>
        <row r="839">
          <cell r="T839">
            <v>39051</v>
          </cell>
          <cell r="U839">
            <v>1.7100000000000001E-2</v>
          </cell>
          <cell r="V839">
            <v>1.7658E-2</v>
          </cell>
          <cell r="W839">
            <v>1.8000000000000002E-2</v>
          </cell>
          <cell r="X839">
            <v>1.8450000000000001E-2</v>
          </cell>
          <cell r="Y839">
            <v>1.9000000000000003E-2</v>
          </cell>
          <cell r="Z839">
            <v>1.9599999999999999E-2</v>
          </cell>
          <cell r="AA839">
            <v>2.0199999999999996E-2</v>
          </cell>
          <cell r="AB839">
            <v>2.0750000000000001E-2</v>
          </cell>
          <cell r="AC839">
            <v>2.1600000000000001E-2</v>
          </cell>
        </row>
        <row r="840">
          <cell r="T840">
            <v>39050</v>
          </cell>
          <cell r="U840">
            <v>1.7079999999999998E-2</v>
          </cell>
          <cell r="V840">
            <v>1.7621000000000001E-2</v>
          </cell>
          <cell r="W840">
            <v>1.8000000000000002E-2</v>
          </cell>
          <cell r="X840">
            <v>1.8450000000000001E-2</v>
          </cell>
          <cell r="Y840">
            <v>1.8950000000000002E-2</v>
          </cell>
          <cell r="Z840">
            <v>1.95E-2</v>
          </cell>
          <cell r="AA840">
            <v>2.0099999999999996E-2</v>
          </cell>
          <cell r="AB840">
            <v>2.0750000000000001E-2</v>
          </cell>
          <cell r="AC840">
            <v>2.1499999999999998E-2</v>
          </cell>
        </row>
        <row r="841">
          <cell r="T841">
            <v>39049</v>
          </cell>
          <cell r="U841">
            <v>1.7079999999999998E-2</v>
          </cell>
          <cell r="V841">
            <v>1.7621000000000001E-2</v>
          </cell>
          <cell r="W841">
            <v>1.8000000000000002E-2</v>
          </cell>
          <cell r="X841">
            <v>1.8450000000000001E-2</v>
          </cell>
          <cell r="Y841">
            <v>1.89E-2</v>
          </cell>
          <cell r="Z841">
            <v>1.9599999999999999E-2</v>
          </cell>
          <cell r="AA841">
            <v>2.0149999999999998E-2</v>
          </cell>
          <cell r="AB841">
            <v>2.0700000000000003E-2</v>
          </cell>
          <cell r="AC841">
            <v>2.1600000000000001E-2</v>
          </cell>
        </row>
        <row r="842">
          <cell r="T842">
            <v>39048</v>
          </cell>
          <cell r="U842">
            <v>1.7070000000000002E-2</v>
          </cell>
          <cell r="V842">
            <v>1.7621000000000001E-2</v>
          </cell>
          <cell r="W842">
            <v>1.8000000000000002E-2</v>
          </cell>
          <cell r="X842">
            <v>1.8550000000000001E-2</v>
          </cell>
          <cell r="Y842">
            <v>1.9099999999999999E-2</v>
          </cell>
          <cell r="Z842">
            <v>1.9699999999999999E-2</v>
          </cell>
          <cell r="AA842">
            <v>2.0300000000000002E-2</v>
          </cell>
          <cell r="AB842">
            <v>2.085E-2</v>
          </cell>
          <cell r="AC842">
            <v>2.1649999999999999E-2</v>
          </cell>
        </row>
        <row r="843">
          <cell r="T843">
            <v>39047</v>
          </cell>
          <cell r="U843">
            <v>1.704E-2</v>
          </cell>
          <cell r="V843">
            <v>1.7617000000000001E-2</v>
          </cell>
          <cell r="W843">
            <v>1.7950000000000001E-2</v>
          </cell>
          <cell r="X843">
            <v>1.8499999999999999E-2</v>
          </cell>
          <cell r="Y843">
            <v>1.915E-2</v>
          </cell>
          <cell r="Z843">
            <v>1.9599999999999999E-2</v>
          </cell>
          <cell r="AA843">
            <v>2.0300000000000002E-2</v>
          </cell>
          <cell r="AB843">
            <v>2.085E-2</v>
          </cell>
          <cell r="AC843">
            <v>2.1700000000000001E-2</v>
          </cell>
        </row>
        <row r="844">
          <cell r="T844">
            <v>39046</v>
          </cell>
          <cell r="U844">
            <v>1.704E-2</v>
          </cell>
          <cell r="V844">
            <v>1.7617000000000001E-2</v>
          </cell>
          <cell r="W844">
            <v>1.7950000000000001E-2</v>
          </cell>
          <cell r="X844">
            <v>1.8499999999999999E-2</v>
          </cell>
          <cell r="Y844">
            <v>1.915E-2</v>
          </cell>
          <cell r="Z844">
            <v>1.9599999999999999E-2</v>
          </cell>
          <cell r="AA844">
            <v>2.0300000000000002E-2</v>
          </cell>
          <cell r="AB844">
            <v>2.085E-2</v>
          </cell>
          <cell r="AC844">
            <v>2.1700000000000001E-2</v>
          </cell>
        </row>
        <row r="845">
          <cell r="T845">
            <v>39045</v>
          </cell>
          <cell r="U845">
            <v>1.704E-2</v>
          </cell>
          <cell r="V845">
            <v>1.7617000000000001E-2</v>
          </cell>
          <cell r="W845">
            <v>1.7950000000000001E-2</v>
          </cell>
          <cell r="X845">
            <v>1.8499999999999999E-2</v>
          </cell>
          <cell r="Y845">
            <v>1.915E-2</v>
          </cell>
          <cell r="Z845">
            <v>1.9599999999999999E-2</v>
          </cell>
          <cell r="AA845">
            <v>2.0300000000000002E-2</v>
          </cell>
          <cell r="AB845">
            <v>2.085E-2</v>
          </cell>
          <cell r="AC845">
            <v>2.1700000000000001E-2</v>
          </cell>
        </row>
        <row r="846">
          <cell r="T846">
            <v>39044</v>
          </cell>
          <cell r="U846">
            <v>1.703E-2</v>
          </cell>
          <cell r="V846">
            <v>1.7642999999999999E-2</v>
          </cell>
          <cell r="W846">
            <v>1.7950000000000001E-2</v>
          </cell>
          <cell r="X846">
            <v>1.8450000000000001E-2</v>
          </cell>
          <cell r="Y846">
            <v>1.9000000000000003E-2</v>
          </cell>
          <cell r="Z846">
            <v>1.95E-2</v>
          </cell>
          <cell r="AA846">
            <v>2.0099999999999996E-2</v>
          </cell>
          <cell r="AB846">
            <v>2.085E-2</v>
          </cell>
          <cell r="AC846">
            <v>2.1649999999999999E-2</v>
          </cell>
        </row>
        <row r="847">
          <cell r="T847">
            <v>39043</v>
          </cell>
          <cell r="U847">
            <v>1.703E-2</v>
          </cell>
          <cell r="V847">
            <v>1.7614000000000001E-2</v>
          </cell>
          <cell r="W847">
            <v>1.7899999999999999E-2</v>
          </cell>
          <cell r="X847">
            <v>1.8349999999999998E-2</v>
          </cell>
          <cell r="Y847">
            <v>1.8849999999999999E-2</v>
          </cell>
          <cell r="Z847">
            <v>1.9325000000000002E-2</v>
          </cell>
          <cell r="AA847">
            <v>1.9924999999999998E-2</v>
          </cell>
          <cell r="AB847">
            <v>2.0549999999999999E-2</v>
          </cell>
          <cell r="AC847">
            <v>2.1349999999999997E-2</v>
          </cell>
        </row>
        <row r="848">
          <cell r="T848">
            <v>39042</v>
          </cell>
          <cell r="U848">
            <v>1.702E-2</v>
          </cell>
          <cell r="V848">
            <v>1.7614000000000001E-2</v>
          </cell>
          <cell r="W848">
            <v>1.7899999999999999E-2</v>
          </cell>
          <cell r="X848">
            <v>1.8450000000000001E-2</v>
          </cell>
          <cell r="Y848">
            <v>1.8950000000000002E-2</v>
          </cell>
          <cell r="Z848">
            <v>1.9400000000000001E-2</v>
          </cell>
          <cell r="AA848">
            <v>0.02</v>
          </cell>
          <cell r="AB848">
            <v>2.0750000000000001E-2</v>
          </cell>
          <cell r="AC848">
            <v>2.145E-2</v>
          </cell>
        </row>
        <row r="849">
          <cell r="T849">
            <v>39041</v>
          </cell>
          <cell r="U849">
            <v>1.7059999999999999E-2</v>
          </cell>
          <cell r="V849">
            <v>1.7600000000000001E-2</v>
          </cell>
          <cell r="W849">
            <v>1.7899999999999999E-2</v>
          </cell>
          <cell r="X849">
            <v>1.8500000000000003E-2</v>
          </cell>
          <cell r="Y849">
            <v>1.8950000000000002E-2</v>
          </cell>
          <cell r="Z849">
            <v>1.9500000000000003E-2</v>
          </cell>
          <cell r="AA849">
            <v>2.0049999999999998E-2</v>
          </cell>
          <cell r="AB849">
            <v>2.085E-2</v>
          </cell>
          <cell r="AC849">
            <v>2.1499999999999998E-2</v>
          </cell>
        </row>
        <row r="850">
          <cell r="T850">
            <v>39040</v>
          </cell>
          <cell r="U850">
            <v>1.7059999999999999E-2</v>
          </cell>
          <cell r="V850">
            <v>1.7600000000000001E-2</v>
          </cell>
          <cell r="W850">
            <v>1.8000000000000002E-2</v>
          </cell>
          <cell r="X850">
            <v>1.8499999999999999E-2</v>
          </cell>
          <cell r="Y850">
            <v>1.8950000000000002E-2</v>
          </cell>
          <cell r="Z850">
            <v>1.9599999999999999E-2</v>
          </cell>
          <cell r="AA850">
            <v>2.0099999999999996E-2</v>
          </cell>
          <cell r="AB850">
            <v>2.085E-2</v>
          </cell>
          <cell r="AC850">
            <v>2.1499999999999998E-2</v>
          </cell>
        </row>
        <row r="851">
          <cell r="T851">
            <v>39039</v>
          </cell>
          <cell r="U851">
            <v>1.7059999999999999E-2</v>
          </cell>
          <cell r="V851">
            <v>1.7600000000000001E-2</v>
          </cell>
          <cell r="W851">
            <v>1.8000000000000002E-2</v>
          </cell>
          <cell r="X851">
            <v>1.8499999999999999E-2</v>
          </cell>
          <cell r="Y851">
            <v>1.8950000000000002E-2</v>
          </cell>
          <cell r="Z851">
            <v>1.9599999999999999E-2</v>
          </cell>
          <cell r="AA851">
            <v>2.0099999999999996E-2</v>
          </cell>
          <cell r="AB851">
            <v>2.085E-2</v>
          </cell>
          <cell r="AC851">
            <v>2.1499999999999998E-2</v>
          </cell>
        </row>
        <row r="852">
          <cell r="T852">
            <v>39038</v>
          </cell>
          <cell r="U852">
            <v>1.7059999999999999E-2</v>
          </cell>
          <cell r="V852">
            <v>1.7600000000000001E-2</v>
          </cell>
          <cell r="W852">
            <v>1.8000000000000002E-2</v>
          </cell>
          <cell r="X852">
            <v>1.8499999999999999E-2</v>
          </cell>
          <cell r="Y852">
            <v>1.8950000000000002E-2</v>
          </cell>
          <cell r="Z852">
            <v>1.9599999999999999E-2</v>
          </cell>
          <cell r="AA852">
            <v>2.0099999999999996E-2</v>
          </cell>
          <cell r="AB852">
            <v>2.085E-2</v>
          </cell>
          <cell r="AC852">
            <v>2.1499999999999998E-2</v>
          </cell>
        </row>
        <row r="853">
          <cell r="T853">
            <v>39037</v>
          </cell>
          <cell r="U853">
            <v>1.7059999999999999E-2</v>
          </cell>
          <cell r="V853">
            <v>1.7608000000000002E-2</v>
          </cell>
          <cell r="W853">
            <v>1.7899999999999999E-2</v>
          </cell>
          <cell r="X853">
            <v>1.8499999999999999E-2</v>
          </cell>
          <cell r="Y853">
            <v>1.9099999999999999E-2</v>
          </cell>
          <cell r="Z853">
            <v>1.9649999999999997E-2</v>
          </cell>
          <cell r="AA853">
            <v>2.0199999999999996E-2</v>
          </cell>
          <cell r="AB853">
            <v>2.1000000000000001E-2</v>
          </cell>
          <cell r="AC853">
            <v>2.1600000000000001E-2</v>
          </cell>
        </row>
        <row r="854">
          <cell r="T854">
            <v>39036</v>
          </cell>
          <cell r="U854">
            <v>1.702E-2</v>
          </cell>
          <cell r="V854">
            <v>1.7570000000000002E-2</v>
          </cell>
          <cell r="W854">
            <v>1.8000000000000002E-2</v>
          </cell>
          <cell r="X854">
            <v>1.8499999999999999E-2</v>
          </cell>
          <cell r="Y854">
            <v>1.9050000000000001E-2</v>
          </cell>
          <cell r="Z854">
            <v>1.9649999999999997E-2</v>
          </cell>
          <cell r="AA854">
            <v>2.0250000000000001E-2</v>
          </cell>
          <cell r="AB854">
            <v>2.1000000000000001E-2</v>
          </cell>
          <cell r="AC854">
            <v>2.1649999999999999E-2</v>
          </cell>
        </row>
        <row r="855">
          <cell r="T855">
            <v>39035</v>
          </cell>
          <cell r="U855">
            <v>1.702E-2</v>
          </cell>
          <cell r="V855">
            <v>1.7608000000000002E-2</v>
          </cell>
          <cell r="W855">
            <v>1.8000000000000002E-2</v>
          </cell>
          <cell r="X855">
            <v>1.8550000000000001E-2</v>
          </cell>
          <cell r="Y855">
            <v>1.9099999999999999E-2</v>
          </cell>
          <cell r="Z855">
            <v>1.975E-2</v>
          </cell>
          <cell r="AA855">
            <v>2.0300000000000002E-2</v>
          </cell>
          <cell r="AB855">
            <v>2.1099999999999997E-2</v>
          </cell>
          <cell r="AC855">
            <v>2.1649999999999999E-2</v>
          </cell>
        </row>
        <row r="856">
          <cell r="T856">
            <v>39034</v>
          </cell>
          <cell r="U856">
            <v>1.704E-2</v>
          </cell>
          <cell r="V856">
            <v>1.7649999999999999E-2</v>
          </cell>
          <cell r="W856">
            <v>1.7950000000000001E-2</v>
          </cell>
          <cell r="X856">
            <v>1.8499999999999999E-2</v>
          </cell>
          <cell r="Y856">
            <v>1.9050000000000001E-2</v>
          </cell>
          <cell r="Z856">
            <v>1.9649999999999997E-2</v>
          </cell>
          <cell r="AA856">
            <v>2.0175000000000002E-2</v>
          </cell>
          <cell r="AB856">
            <v>2.0949999999999996E-2</v>
          </cell>
          <cell r="AC856">
            <v>2.1600000000000001E-2</v>
          </cell>
        </row>
        <row r="857">
          <cell r="T857">
            <v>39033</v>
          </cell>
          <cell r="U857">
            <v>1.7070000000000002E-2</v>
          </cell>
          <cell r="V857">
            <v>1.7600000000000001E-2</v>
          </cell>
          <cell r="W857">
            <v>1.7950000000000001E-2</v>
          </cell>
          <cell r="X857">
            <v>1.8499999999999999E-2</v>
          </cell>
          <cell r="Y857">
            <v>1.9099999999999999E-2</v>
          </cell>
          <cell r="Z857">
            <v>1.9799999999999998E-2</v>
          </cell>
          <cell r="AA857">
            <v>2.0300000000000002E-2</v>
          </cell>
          <cell r="AB857">
            <v>2.1700000000000001E-2</v>
          </cell>
          <cell r="AC857">
            <v>2.1649999999999999E-2</v>
          </cell>
        </row>
        <row r="858">
          <cell r="T858">
            <v>39032</v>
          </cell>
          <cell r="U858">
            <v>1.7070000000000002E-2</v>
          </cell>
          <cell r="V858">
            <v>1.7600000000000001E-2</v>
          </cell>
          <cell r="W858">
            <v>1.7950000000000001E-2</v>
          </cell>
          <cell r="X858">
            <v>1.8499999999999999E-2</v>
          </cell>
          <cell r="Y858">
            <v>1.9099999999999999E-2</v>
          </cell>
          <cell r="Z858">
            <v>1.9799999999999998E-2</v>
          </cell>
          <cell r="AA858">
            <v>2.0300000000000002E-2</v>
          </cell>
          <cell r="AB858">
            <v>2.1700000000000001E-2</v>
          </cell>
          <cell r="AC858">
            <v>2.1649999999999999E-2</v>
          </cell>
        </row>
        <row r="859">
          <cell r="T859">
            <v>39031</v>
          </cell>
          <cell r="U859">
            <v>1.7070000000000002E-2</v>
          </cell>
          <cell r="V859">
            <v>1.7600000000000001E-2</v>
          </cell>
          <cell r="W859">
            <v>1.7950000000000001E-2</v>
          </cell>
          <cell r="X859">
            <v>1.8499999999999999E-2</v>
          </cell>
          <cell r="Y859">
            <v>1.9099999999999999E-2</v>
          </cell>
          <cell r="Z859">
            <v>1.9799999999999998E-2</v>
          </cell>
          <cell r="AA859">
            <v>2.0300000000000002E-2</v>
          </cell>
          <cell r="AB859">
            <v>2.1700000000000001E-2</v>
          </cell>
          <cell r="AC859">
            <v>2.1649999999999999E-2</v>
          </cell>
        </row>
        <row r="860">
          <cell r="T860">
            <v>39030</v>
          </cell>
          <cell r="U860">
            <v>1.7049999999999999E-2</v>
          </cell>
          <cell r="V860">
            <v>1.7600000000000001E-2</v>
          </cell>
          <cell r="W860">
            <v>1.7950000000000001E-2</v>
          </cell>
          <cell r="X860">
            <v>1.8550000000000001E-2</v>
          </cell>
          <cell r="Y860">
            <v>1.9099999999999999E-2</v>
          </cell>
          <cell r="Z860">
            <v>1.9724999999999999E-2</v>
          </cell>
          <cell r="AA860">
            <v>2.0300000000000002E-2</v>
          </cell>
          <cell r="AB860">
            <v>2.1049999999999999E-2</v>
          </cell>
          <cell r="AC860">
            <v>2.1649999999999999E-2</v>
          </cell>
        </row>
        <row r="861">
          <cell r="T861">
            <v>39029</v>
          </cell>
          <cell r="U861">
            <v>1.7079999999999998E-2</v>
          </cell>
          <cell r="V861">
            <v>1.7642999999999999E-2</v>
          </cell>
          <cell r="W861">
            <v>1.7899999999999999E-2</v>
          </cell>
          <cell r="X861">
            <v>1.8450000000000001E-2</v>
          </cell>
          <cell r="Y861">
            <v>1.9000000000000003E-2</v>
          </cell>
          <cell r="Z861">
            <v>1.9649999999999997E-2</v>
          </cell>
          <cell r="AA861">
            <v>2.0199999999999996E-2</v>
          </cell>
          <cell r="AB861">
            <v>2.1049999999999999E-2</v>
          </cell>
          <cell r="AC861">
            <v>2.1649999999999999E-2</v>
          </cell>
        </row>
        <row r="862">
          <cell r="T862">
            <v>39028</v>
          </cell>
          <cell r="U862">
            <v>1.6979999999999999E-2</v>
          </cell>
          <cell r="V862">
            <v>1.7691999999999999E-2</v>
          </cell>
          <cell r="W862">
            <v>1.7899999999999999E-2</v>
          </cell>
          <cell r="X862">
            <v>1.8450000000000001E-2</v>
          </cell>
          <cell r="Y862">
            <v>1.9200000000000002E-2</v>
          </cell>
          <cell r="Z862">
            <v>1.985E-2</v>
          </cell>
          <cell r="AA862">
            <v>2.0449999999999999E-2</v>
          </cell>
          <cell r="AB862">
            <v>2.1049999999999999E-2</v>
          </cell>
          <cell r="AC862">
            <v>2.1950000000000004E-2</v>
          </cell>
        </row>
        <row r="863">
          <cell r="T863">
            <v>39027</v>
          </cell>
          <cell r="U863">
            <v>1.703E-2</v>
          </cell>
          <cell r="V863">
            <v>1.7608000000000002E-2</v>
          </cell>
          <cell r="W863">
            <v>1.7925E-2</v>
          </cell>
          <cell r="X863">
            <v>1.8600000000000002E-2</v>
          </cell>
          <cell r="Y863">
            <v>1.9200000000000002E-2</v>
          </cell>
          <cell r="Z863">
            <v>1.9799999999999998E-2</v>
          </cell>
          <cell r="AA863">
            <v>2.0424999999999999E-2</v>
          </cell>
          <cell r="AB863">
            <v>2.1250000000000002E-2</v>
          </cell>
          <cell r="AC863">
            <v>2.1850000000000001E-2</v>
          </cell>
        </row>
        <row r="864">
          <cell r="T864">
            <v>39026</v>
          </cell>
          <cell r="U864">
            <v>1.6990000000000002E-2</v>
          </cell>
          <cell r="V864">
            <v>1.771E-2</v>
          </cell>
          <cell r="W864">
            <v>1.7899999999999999E-2</v>
          </cell>
          <cell r="X864">
            <v>1.8550000000000001E-2</v>
          </cell>
          <cell r="Y864">
            <v>1.915E-2</v>
          </cell>
          <cell r="Z864">
            <v>1.9799999999999998E-2</v>
          </cell>
          <cell r="AA864">
            <v>2.0400000000000001E-2</v>
          </cell>
          <cell r="AB864">
            <v>2.0899999999999998E-2</v>
          </cell>
          <cell r="AC864">
            <v>2.1550000000000003E-2</v>
          </cell>
        </row>
        <row r="865">
          <cell r="T865">
            <v>39025</v>
          </cell>
          <cell r="U865">
            <v>1.6990000000000002E-2</v>
          </cell>
          <cell r="V865">
            <v>1.771E-2</v>
          </cell>
          <cell r="W865">
            <v>1.7899999999999999E-2</v>
          </cell>
          <cell r="X865">
            <v>1.8550000000000001E-2</v>
          </cell>
          <cell r="Y865">
            <v>1.915E-2</v>
          </cell>
          <cell r="Z865">
            <v>1.9799999999999998E-2</v>
          </cell>
          <cell r="AA865">
            <v>2.0400000000000001E-2</v>
          </cell>
          <cell r="AB865">
            <v>2.0899999999999998E-2</v>
          </cell>
          <cell r="AC865">
            <v>2.1550000000000003E-2</v>
          </cell>
        </row>
        <row r="866">
          <cell r="T866">
            <v>39024</v>
          </cell>
          <cell r="U866">
            <v>1.6990000000000002E-2</v>
          </cell>
          <cell r="V866">
            <v>1.771E-2</v>
          </cell>
          <cell r="W866">
            <v>1.7899999999999999E-2</v>
          </cell>
          <cell r="X866">
            <v>1.8550000000000001E-2</v>
          </cell>
          <cell r="Y866">
            <v>1.915E-2</v>
          </cell>
          <cell r="Z866">
            <v>1.9799999999999998E-2</v>
          </cell>
          <cell r="AA866">
            <v>2.0400000000000001E-2</v>
          </cell>
          <cell r="AB866">
            <v>2.0899999999999998E-2</v>
          </cell>
          <cell r="AC866">
            <v>2.1550000000000003E-2</v>
          </cell>
        </row>
        <row r="867">
          <cell r="T867">
            <v>39023</v>
          </cell>
          <cell r="U867">
            <v>1.6990000000000002E-2</v>
          </cell>
          <cell r="V867">
            <v>1.7642999999999999E-2</v>
          </cell>
          <cell r="W867">
            <v>1.7950000000000001E-2</v>
          </cell>
          <cell r="X867">
            <v>1.8600000000000002E-2</v>
          </cell>
          <cell r="Y867">
            <v>1.925E-2</v>
          </cell>
          <cell r="Z867">
            <v>1.985E-2</v>
          </cell>
          <cell r="AA867">
            <v>2.0400000000000001E-2</v>
          </cell>
          <cell r="AB867">
            <v>2.1049999999999999E-2</v>
          </cell>
          <cell r="AC867">
            <v>2.2000000000000002E-2</v>
          </cell>
        </row>
        <row r="868">
          <cell r="T868">
            <v>39022</v>
          </cell>
          <cell r="U868">
            <v>1.6979999999999999E-2</v>
          </cell>
          <cell r="V868">
            <v>1.7642999999999999E-2</v>
          </cell>
          <cell r="W868">
            <v>1.7899999999999999E-2</v>
          </cell>
          <cell r="X868">
            <v>1.8550000000000001E-2</v>
          </cell>
          <cell r="Y868">
            <v>1.9200000000000002E-2</v>
          </cell>
          <cell r="Z868">
            <v>1.985E-2</v>
          </cell>
          <cell r="AA868">
            <v>2.035E-2</v>
          </cell>
          <cell r="AB868">
            <v>2.1049999999999999E-2</v>
          </cell>
          <cell r="AC868">
            <v>2.2000000000000002E-2</v>
          </cell>
        </row>
        <row r="869">
          <cell r="T869">
            <v>39021</v>
          </cell>
          <cell r="U869">
            <v>1.703E-2</v>
          </cell>
          <cell r="V869">
            <v>1.7642999999999999E-2</v>
          </cell>
          <cell r="W869">
            <v>1.7899999999999999E-2</v>
          </cell>
          <cell r="X869">
            <v>1.8499999999999999E-2</v>
          </cell>
          <cell r="Y869">
            <v>1.9099999999999999E-2</v>
          </cell>
          <cell r="Z869">
            <v>1.985E-2</v>
          </cell>
          <cell r="AA869">
            <v>2.035E-2</v>
          </cell>
          <cell r="AB869">
            <v>2.1049999999999999E-2</v>
          </cell>
          <cell r="AC869">
            <v>2.1900000000000003E-2</v>
          </cell>
        </row>
        <row r="870">
          <cell r="T870">
            <v>39020</v>
          </cell>
          <cell r="U870">
            <v>1.6979999999999999E-2</v>
          </cell>
          <cell r="V870">
            <v>1.7608000000000002E-2</v>
          </cell>
          <cell r="W870">
            <v>1.78E-2</v>
          </cell>
          <cell r="X870">
            <v>1.8499999999999999E-2</v>
          </cell>
          <cell r="Y870">
            <v>1.89E-2</v>
          </cell>
          <cell r="Z870">
            <v>1.9599999999999999E-2</v>
          </cell>
          <cell r="AA870">
            <v>2.0149999999999998E-2</v>
          </cell>
          <cell r="AB870">
            <v>2.1000000000000001E-2</v>
          </cell>
          <cell r="AC870">
            <v>2.1600000000000001E-2</v>
          </cell>
        </row>
        <row r="871">
          <cell r="T871">
            <v>39019</v>
          </cell>
          <cell r="U871">
            <v>1.6979999999999999E-2</v>
          </cell>
          <cell r="V871">
            <v>1.7691999999999999E-2</v>
          </cell>
          <cell r="W871">
            <v>1.7899999999999999E-2</v>
          </cell>
          <cell r="X871">
            <v>1.84E-2</v>
          </cell>
          <cell r="Y871">
            <v>1.8749999999999999E-2</v>
          </cell>
          <cell r="Z871">
            <v>1.95E-2</v>
          </cell>
          <cell r="AA871">
            <v>2.0049999999999998E-2</v>
          </cell>
          <cell r="AB871">
            <v>2.085E-2</v>
          </cell>
          <cell r="AC871">
            <v>2.1700000000000001E-2</v>
          </cell>
        </row>
        <row r="872">
          <cell r="T872">
            <v>39018</v>
          </cell>
          <cell r="U872">
            <v>1.6979999999999999E-2</v>
          </cell>
          <cell r="V872">
            <v>1.7691999999999999E-2</v>
          </cell>
          <cell r="W872">
            <v>1.7899999999999999E-2</v>
          </cell>
          <cell r="X872">
            <v>1.84E-2</v>
          </cell>
          <cell r="Y872">
            <v>1.8749999999999999E-2</v>
          </cell>
          <cell r="Z872">
            <v>1.95E-2</v>
          </cell>
          <cell r="AA872">
            <v>2.0049999999999998E-2</v>
          </cell>
          <cell r="AB872">
            <v>2.085E-2</v>
          </cell>
          <cell r="AC872">
            <v>2.1700000000000001E-2</v>
          </cell>
        </row>
        <row r="873">
          <cell r="T873">
            <v>39017</v>
          </cell>
          <cell r="U873">
            <v>1.6979999999999999E-2</v>
          </cell>
          <cell r="V873">
            <v>1.7691999999999999E-2</v>
          </cell>
          <cell r="W873">
            <v>1.7899999999999999E-2</v>
          </cell>
          <cell r="X873">
            <v>1.84E-2</v>
          </cell>
          <cell r="Y873">
            <v>1.8749999999999999E-2</v>
          </cell>
          <cell r="Z873">
            <v>1.95E-2</v>
          </cell>
          <cell r="AA873">
            <v>2.0049999999999998E-2</v>
          </cell>
          <cell r="AB873">
            <v>2.085E-2</v>
          </cell>
          <cell r="AC873">
            <v>2.1700000000000001E-2</v>
          </cell>
        </row>
        <row r="874">
          <cell r="T874">
            <v>39016</v>
          </cell>
          <cell r="U874">
            <v>1.702E-2</v>
          </cell>
          <cell r="V874">
            <v>1.7557E-2</v>
          </cell>
          <cell r="W874">
            <v>1.7875000000000002E-2</v>
          </cell>
          <cell r="X874">
            <v>1.8299999999999997E-2</v>
          </cell>
          <cell r="Y874">
            <v>1.8749999999999999E-2</v>
          </cell>
          <cell r="Z874">
            <v>1.9450000000000002E-2</v>
          </cell>
          <cell r="AA874">
            <v>2.0099999999999996E-2</v>
          </cell>
          <cell r="AB874">
            <v>2.1000000000000001E-2</v>
          </cell>
          <cell r="AC874">
            <v>2.1900000000000003E-2</v>
          </cell>
        </row>
        <row r="875">
          <cell r="T875">
            <v>39015</v>
          </cell>
          <cell r="U875">
            <v>1.6969999999999999E-2</v>
          </cell>
          <cell r="V875">
            <v>1.7610000000000001E-2</v>
          </cell>
          <cell r="W875">
            <v>1.7899999999999999E-2</v>
          </cell>
          <cell r="X875">
            <v>1.84E-2</v>
          </cell>
          <cell r="Y875">
            <v>1.8950000000000002E-2</v>
          </cell>
          <cell r="Z875">
            <v>1.975E-2</v>
          </cell>
          <cell r="AA875">
            <v>2.0400000000000001E-2</v>
          </cell>
          <cell r="AB875">
            <v>2.1499999999999998E-2</v>
          </cell>
          <cell r="AC875">
            <v>2.2400000000000003E-2</v>
          </cell>
        </row>
        <row r="876">
          <cell r="T876">
            <v>39014</v>
          </cell>
          <cell r="U876">
            <v>1.6979999999999999E-2</v>
          </cell>
          <cell r="V876">
            <v>1.7649999999999999E-2</v>
          </cell>
          <cell r="W876">
            <v>1.7899999999999999E-2</v>
          </cell>
          <cell r="X876">
            <v>1.8450000000000001E-2</v>
          </cell>
          <cell r="Y876">
            <v>1.915E-2</v>
          </cell>
          <cell r="Z876">
            <v>1.9799999999999998E-2</v>
          </cell>
          <cell r="AA876">
            <v>2.0549999999999999E-2</v>
          </cell>
          <cell r="AB876">
            <v>2.145E-2</v>
          </cell>
          <cell r="AC876">
            <v>2.2450000000000001E-2</v>
          </cell>
        </row>
        <row r="877">
          <cell r="T877">
            <v>39013</v>
          </cell>
          <cell r="U877">
            <v>1.702E-2</v>
          </cell>
          <cell r="V877">
            <v>1.755E-2</v>
          </cell>
          <cell r="W877">
            <v>1.78E-2</v>
          </cell>
          <cell r="X877">
            <v>1.84E-2</v>
          </cell>
          <cell r="Y877">
            <v>1.8925000000000001E-2</v>
          </cell>
          <cell r="Z877">
            <v>1.9650000000000001E-2</v>
          </cell>
          <cell r="AA877">
            <v>2.0424999999999999E-2</v>
          </cell>
          <cell r="AB877">
            <v>2.145E-2</v>
          </cell>
          <cell r="AC877">
            <v>2.2550000000000001E-2</v>
          </cell>
        </row>
        <row r="878">
          <cell r="T878">
            <v>39012</v>
          </cell>
          <cell r="U878">
            <v>1.7010000000000001E-2</v>
          </cell>
          <cell r="V878">
            <v>1.7600000000000001E-2</v>
          </cell>
          <cell r="W878">
            <v>1.78E-2</v>
          </cell>
          <cell r="X878">
            <v>1.84E-2</v>
          </cell>
          <cell r="Y878">
            <v>1.9099999999999999E-2</v>
          </cell>
          <cell r="Z878">
            <v>1.9900000000000001E-2</v>
          </cell>
          <cell r="AA878">
            <v>2.0599999999999997E-2</v>
          </cell>
          <cell r="AB878">
            <v>2.1850000000000001E-2</v>
          </cell>
          <cell r="AC878">
            <v>2.2850000000000002E-2</v>
          </cell>
        </row>
        <row r="879">
          <cell r="T879">
            <v>39011</v>
          </cell>
          <cell r="U879">
            <v>1.7010000000000001E-2</v>
          </cell>
          <cell r="V879">
            <v>1.7600000000000001E-2</v>
          </cell>
          <cell r="W879">
            <v>1.78E-2</v>
          </cell>
          <cell r="X879">
            <v>1.84E-2</v>
          </cell>
          <cell r="Y879">
            <v>1.9099999999999999E-2</v>
          </cell>
          <cell r="Z879">
            <v>1.9900000000000001E-2</v>
          </cell>
          <cell r="AA879">
            <v>2.0599999999999997E-2</v>
          </cell>
          <cell r="AB879">
            <v>2.1850000000000001E-2</v>
          </cell>
          <cell r="AC879">
            <v>2.2850000000000002E-2</v>
          </cell>
        </row>
        <row r="880">
          <cell r="T880">
            <v>39010</v>
          </cell>
          <cell r="U880">
            <v>1.7010000000000001E-2</v>
          </cell>
          <cell r="V880">
            <v>1.7600000000000001E-2</v>
          </cell>
          <cell r="W880">
            <v>1.78E-2</v>
          </cell>
          <cell r="X880">
            <v>1.84E-2</v>
          </cell>
          <cell r="Y880">
            <v>1.9099999999999999E-2</v>
          </cell>
          <cell r="Z880">
            <v>1.9900000000000001E-2</v>
          </cell>
          <cell r="AA880">
            <v>2.0599999999999997E-2</v>
          </cell>
          <cell r="AB880">
            <v>2.1850000000000001E-2</v>
          </cell>
          <cell r="AC880">
            <v>2.2850000000000002E-2</v>
          </cell>
        </row>
        <row r="881">
          <cell r="T881">
            <v>39009</v>
          </cell>
          <cell r="U881">
            <v>1.6969999999999999E-2</v>
          </cell>
          <cell r="V881">
            <v>1.7589999999999998E-2</v>
          </cell>
          <cell r="W881">
            <v>1.78E-2</v>
          </cell>
          <cell r="X881">
            <v>1.8600000000000002E-2</v>
          </cell>
          <cell r="Y881">
            <v>1.9400000000000001E-2</v>
          </cell>
          <cell r="Z881">
            <v>2.0099999999999996E-2</v>
          </cell>
          <cell r="AA881">
            <v>2.0899999999999998E-2</v>
          </cell>
          <cell r="AB881">
            <v>2.2000000000000002E-2</v>
          </cell>
          <cell r="AC881">
            <v>2.3099999999999999E-2</v>
          </cell>
        </row>
        <row r="882">
          <cell r="T882">
            <v>39008</v>
          </cell>
          <cell r="U882">
            <v>1.7000000000000001E-2</v>
          </cell>
          <cell r="V882">
            <v>1.7642000000000001E-2</v>
          </cell>
          <cell r="W882">
            <v>1.7899999999999999E-2</v>
          </cell>
          <cell r="X882">
            <v>1.8600000000000002E-2</v>
          </cell>
          <cell r="Y882">
            <v>1.95E-2</v>
          </cell>
          <cell r="Z882">
            <v>2.0199999999999996E-2</v>
          </cell>
          <cell r="AA882">
            <v>2.0899999999999998E-2</v>
          </cell>
          <cell r="AB882">
            <v>2.205E-2</v>
          </cell>
          <cell r="AC882">
            <v>2.3099999999999999E-2</v>
          </cell>
        </row>
        <row r="883">
          <cell r="T883">
            <v>39007</v>
          </cell>
          <cell r="U883">
            <v>1.695E-2</v>
          </cell>
          <cell r="V883">
            <v>1.772E-2</v>
          </cell>
          <cell r="W883">
            <v>1.7899999999999999E-2</v>
          </cell>
          <cell r="X883">
            <v>1.8600000000000002E-2</v>
          </cell>
          <cell r="Y883">
            <v>1.9400000000000001E-2</v>
          </cell>
          <cell r="Z883">
            <v>2.0099999999999996E-2</v>
          </cell>
          <cell r="AA883">
            <v>2.085E-2</v>
          </cell>
          <cell r="AB883">
            <v>2.2000000000000002E-2</v>
          </cell>
          <cell r="AC883">
            <v>2.3099999999999999E-2</v>
          </cell>
        </row>
        <row r="884">
          <cell r="T884">
            <v>39006</v>
          </cell>
          <cell r="U884">
            <v>1.6979999999999999E-2</v>
          </cell>
          <cell r="V884">
            <v>1.7399999999999999E-2</v>
          </cell>
          <cell r="W884">
            <v>1.7749999999999998E-2</v>
          </cell>
          <cell r="X884">
            <v>1.8499999999999999E-2</v>
          </cell>
          <cell r="Y884">
            <v>1.9400000000000001E-2</v>
          </cell>
          <cell r="Z884">
            <v>2.0099999999999996E-2</v>
          </cell>
          <cell r="AA884">
            <v>2.085E-2</v>
          </cell>
          <cell r="AB884">
            <v>2.1899999999999999E-2</v>
          </cell>
          <cell r="AC884">
            <v>2.3099999999999999E-2</v>
          </cell>
        </row>
        <row r="885">
          <cell r="T885">
            <v>39005</v>
          </cell>
          <cell r="U885">
            <v>1.6959999999999999E-2</v>
          </cell>
          <cell r="V885">
            <v>1.755E-2</v>
          </cell>
          <cell r="W885">
            <v>1.7850000000000001E-2</v>
          </cell>
          <cell r="X885">
            <v>1.8550000000000001E-2</v>
          </cell>
          <cell r="Y885">
            <v>1.9400000000000001E-2</v>
          </cell>
          <cell r="Z885">
            <v>2.0199999999999996E-2</v>
          </cell>
          <cell r="AA885">
            <v>2.0899999999999998E-2</v>
          </cell>
          <cell r="AB885">
            <v>2.1950000000000004E-2</v>
          </cell>
          <cell r="AC885">
            <v>2.3099999999999999E-2</v>
          </cell>
        </row>
        <row r="886">
          <cell r="T886">
            <v>39004</v>
          </cell>
          <cell r="U886">
            <v>1.6959999999999999E-2</v>
          </cell>
          <cell r="V886">
            <v>1.755E-2</v>
          </cell>
          <cell r="W886">
            <v>1.7850000000000001E-2</v>
          </cell>
          <cell r="X886">
            <v>1.8550000000000001E-2</v>
          </cell>
          <cell r="Y886">
            <v>1.9400000000000001E-2</v>
          </cell>
          <cell r="Z886">
            <v>2.0199999999999996E-2</v>
          </cell>
          <cell r="AA886">
            <v>2.0899999999999998E-2</v>
          </cell>
          <cell r="AB886">
            <v>2.1950000000000004E-2</v>
          </cell>
          <cell r="AC886">
            <v>2.3099999999999999E-2</v>
          </cell>
        </row>
        <row r="887">
          <cell r="T887">
            <v>39003</v>
          </cell>
          <cell r="U887">
            <v>1.6959999999999999E-2</v>
          </cell>
          <cell r="V887">
            <v>1.755E-2</v>
          </cell>
          <cell r="W887">
            <v>1.7899999999999999E-2</v>
          </cell>
          <cell r="X887">
            <v>1.865E-2</v>
          </cell>
          <cell r="Y887">
            <v>1.95E-2</v>
          </cell>
          <cell r="Z887">
            <v>2.0099999999999996E-2</v>
          </cell>
          <cell r="AA887">
            <v>2.085E-2</v>
          </cell>
          <cell r="AB887">
            <v>2.2000000000000002E-2</v>
          </cell>
          <cell r="AC887">
            <v>2.3099999999999999E-2</v>
          </cell>
        </row>
        <row r="888">
          <cell r="T888">
            <v>39002</v>
          </cell>
          <cell r="U888">
            <v>1.6920000000000001E-2</v>
          </cell>
          <cell r="V888">
            <v>1.7500000000000002E-2</v>
          </cell>
          <cell r="W888">
            <v>1.7850000000000001E-2</v>
          </cell>
          <cell r="X888">
            <v>1.8649999999999996E-2</v>
          </cell>
          <cell r="Y888">
            <v>1.9599999999999999E-2</v>
          </cell>
          <cell r="Z888">
            <v>2.0300000000000002E-2</v>
          </cell>
          <cell r="AA888">
            <v>2.0999999999999998E-2</v>
          </cell>
          <cell r="AB888">
            <v>2.205E-2</v>
          </cell>
          <cell r="AC888">
            <v>2.3250000000000003E-2</v>
          </cell>
        </row>
        <row r="889">
          <cell r="T889">
            <v>39001</v>
          </cell>
          <cell r="U889">
            <v>1.6879999999999999E-2</v>
          </cell>
          <cell r="V889">
            <v>1.7500000000000002E-2</v>
          </cell>
          <cell r="W889">
            <v>1.7899999999999999E-2</v>
          </cell>
          <cell r="X889">
            <v>1.8749999999999999E-2</v>
          </cell>
          <cell r="Y889">
            <v>1.9599999999999999E-2</v>
          </cell>
          <cell r="Z889">
            <v>2.0400000000000001E-2</v>
          </cell>
          <cell r="AA889">
            <v>2.1100000000000004E-2</v>
          </cell>
          <cell r="AB889">
            <v>2.2200000000000001E-2</v>
          </cell>
          <cell r="AC889">
            <v>2.3399999999999997E-2</v>
          </cell>
        </row>
        <row r="890">
          <cell r="T890">
            <v>39000</v>
          </cell>
          <cell r="U890">
            <v>1.6910000000000001E-2</v>
          </cell>
          <cell r="V890">
            <v>1.7642000000000001E-2</v>
          </cell>
          <cell r="W890">
            <v>1.78E-2</v>
          </cell>
          <cell r="X890">
            <v>1.8600000000000002E-2</v>
          </cell>
          <cell r="Y890">
            <v>1.9400000000000001E-2</v>
          </cell>
          <cell r="Z890">
            <v>2.0149999999999998E-2</v>
          </cell>
          <cell r="AA890">
            <v>2.0799999999999999E-2</v>
          </cell>
          <cell r="AB890">
            <v>2.2000000000000002E-2</v>
          </cell>
          <cell r="AC890">
            <v>2.3250000000000003E-2</v>
          </cell>
        </row>
        <row r="891">
          <cell r="T891">
            <v>38999</v>
          </cell>
          <cell r="U891">
            <v>1.6910000000000001E-2</v>
          </cell>
          <cell r="V891">
            <v>1.7642000000000001E-2</v>
          </cell>
          <cell r="W891">
            <v>1.78E-2</v>
          </cell>
          <cell r="X891">
            <v>1.8600000000000002E-2</v>
          </cell>
          <cell r="Y891">
            <v>1.9400000000000001E-2</v>
          </cell>
          <cell r="Z891">
            <v>2.0149999999999998E-2</v>
          </cell>
          <cell r="AA891">
            <v>2.0799999999999999E-2</v>
          </cell>
          <cell r="AB891">
            <v>2.2000000000000002E-2</v>
          </cell>
          <cell r="AC891">
            <v>2.3250000000000003E-2</v>
          </cell>
        </row>
        <row r="892">
          <cell r="T892">
            <v>38998</v>
          </cell>
          <cell r="U892">
            <v>1.6910000000000001E-2</v>
          </cell>
          <cell r="V892">
            <v>1.7642000000000001E-2</v>
          </cell>
          <cell r="W892">
            <v>1.78E-2</v>
          </cell>
          <cell r="X892">
            <v>1.8600000000000002E-2</v>
          </cell>
          <cell r="Y892">
            <v>1.9400000000000001E-2</v>
          </cell>
          <cell r="Z892">
            <v>2.0149999999999998E-2</v>
          </cell>
          <cell r="AA892">
            <v>2.0799999999999999E-2</v>
          </cell>
          <cell r="AB892">
            <v>2.2000000000000002E-2</v>
          </cell>
          <cell r="AC892">
            <v>2.3250000000000003E-2</v>
          </cell>
        </row>
        <row r="893">
          <cell r="T893">
            <v>38997</v>
          </cell>
          <cell r="U893">
            <v>1.6910000000000001E-2</v>
          </cell>
          <cell r="V893">
            <v>1.7642000000000001E-2</v>
          </cell>
          <cell r="W893">
            <v>1.78E-2</v>
          </cell>
          <cell r="X893">
            <v>1.8600000000000002E-2</v>
          </cell>
          <cell r="Y893">
            <v>1.9400000000000001E-2</v>
          </cell>
          <cell r="Z893">
            <v>2.0149999999999998E-2</v>
          </cell>
          <cell r="AA893">
            <v>2.0799999999999999E-2</v>
          </cell>
          <cell r="AB893">
            <v>2.2000000000000002E-2</v>
          </cell>
          <cell r="AC893">
            <v>2.3250000000000003E-2</v>
          </cell>
        </row>
        <row r="894">
          <cell r="T894">
            <v>38996</v>
          </cell>
          <cell r="U894">
            <v>1.6910000000000001E-2</v>
          </cell>
          <cell r="V894">
            <v>1.7642000000000001E-2</v>
          </cell>
          <cell r="W894">
            <v>1.78E-2</v>
          </cell>
          <cell r="X894">
            <v>1.8600000000000002E-2</v>
          </cell>
          <cell r="Y894">
            <v>1.9400000000000001E-2</v>
          </cell>
          <cell r="Z894">
            <v>2.0149999999999998E-2</v>
          </cell>
          <cell r="AA894">
            <v>2.0799999999999999E-2</v>
          </cell>
          <cell r="AB894">
            <v>2.2000000000000002E-2</v>
          </cell>
          <cell r="AC894">
            <v>2.3250000000000003E-2</v>
          </cell>
        </row>
        <row r="895">
          <cell r="T895">
            <v>38995</v>
          </cell>
          <cell r="U895">
            <v>1.6910000000000001E-2</v>
          </cell>
          <cell r="V895">
            <v>1.7642000000000001E-2</v>
          </cell>
          <cell r="W895">
            <v>1.78E-2</v>
          </cell>
          <cell r="X895">
            <v>1.8600000000000002E-2</v>
          </cell>
          <cell r="Y895">
            <v>1.9400000000000001E-2</v>
          </cell>
          <cell r="Z895">
            <v>2.0149999999999998E-2</v>
          </cell>
          <cell r="AA895">
            <v>2.0799999999999999E-2</v>
          </cell>
          <cell r="AB895">
            <v>2.2000000000000002E-2</v>
          </cell>
          <cell r="AC895">
            <v>2.3250000000000003E-2</v>
          </cell>
        </row>
        <row r="896">
          <cell r="T896">
            <v>38994</v>
          </cell>
          <cell r="U896">
            <v>1.694E-2</v>
          </cell>
          <cell r="V896">
            <v>1.755E-2</v>
          </cell>
          <cell r="W896">
            <v>1.78E-2</v>
          </cell>
          <cell r="X896">
            <v>1.8699999999999998E-2</v>
          </cell>
          <cell r="Y896">
            <v>1.9500000000000003E-2</v>
          </cell>
          <cell r="Z896">
            <v>2.0250000000000001E-2</v>
          </cell>
          <cell r="AA896">
            <v>2.0899999999999998E-2</v>
          </cell>
          <cell r="AB896">
            <v>2.215E-2</v>
          </cell>
          <cell r="AC896">
            <v>2.3199999999999998E-2</v>
          </cell>
        </row>
        <row r="897">
          <cell r="T897">
            <v>38993</v>
          </cell>
          <cell r="U897">
            <v>1.6879999999999999E-2</v>
          </cell>
          <cell r="V897">
            <v>1.7500000000000002E-2</v>
          </cell>
          <cell r="W897">
            <v>1.7749999999999998E-2</v>
          </cell>
          <cell r="X897">
            <v>1.8550000000000001E-2</v>
          </cell>
          <cell r="Y897">
            <v>1.9349999999999999E-2</v>
          </cell>
          <cell r="Z897">
            <v>2.0049999999999998E-2</v>
          </cell>
          <cell r="AA897">
            <v>2.0750000000000001E-2</v>
          </cell>
          <cell r="AB897">
            <v>2.3099999999999999E-2</v>
          </cell>
          <cell r="AC897">
            <v>2.5000000000000001E-2</v>
          </cell>
        </row>
        <row r="898">
          <cell r="T898">
            <v>38992</v>
          </cell>
          <cell r="U898">
            <v>1.6899999999999998E-2</v>
          </cell>
          <cell r="V898">
            <v>1.7571E-2</v>
          </cell>
          <cell r="W898">
            <v>1.77E-2</v>
          </cell>
          <cell r="X898">
            <v>1.8550000000000001E-2</v>
          </cell>
          <cell r="Y898">
            <v>1.925E-2</v>
          </cell>
          <cell r="Z898">
            <v>2.0049999999999998E-2</v>
          </cell>
          <cell r="AA898">
            <v>2.07E-2</v>
          </cell>
          <cell r="AB898">
            <v>2.1900000000000003E-2</v>
          </cell>
          <cell r="AC898">
            <v>2.3E-2</v>
          </cell>
        </row>
        <row r="899">
          <cell r="T899">
            <v>38991</v>
          </cell>
          <cell r="U899">
            <v>1.6910000000000001E-2</v>
          </cell>
          <cell r="V899">
            <v>1.7675E-2</v>
          </cell>
          <cell r="W899">
            <v>1.7600000000000001E-2</v>
          </cell>
          <cell r="X899">
            <v>1.8299999999999997E-2</v>
          </cell>
          <cell r="Y899">
            <v>1.9E-2</v>
          </cell>
          <cell r="Z899">
            <v>1.9599999999999999E-2</v>
          </cell>
          <cell r="AA899">
            <v>2.035E-2</v>
          </cell>
          <cell r="AB899">
            <v>2.1500000000000005E-2</v>
          </cell>
          <cell r="AC899">
            <v>2.265E-2</v>
          </cell>
        </row>
        <row r="900">
          <cell r="T900">
            <v>38990</v>
          </cell>
          <cell r="U900">
            <v>1.6910000000000001E-2</v>
          </cell>
          <cell r="V900">
            <v>1.7675E-2</v>
          </cell>
          <cell r="W900">
            <v>1.7600000000000001E-2</v>
          </cell>
          <cell r="X900">
            <v>1.8299999999999997E-2</v>
          </cell>
          <cell r="Y900">
            <v>1.9E-2</v>
          </cell>
          <cell r="Z900">
            <v>1.9599999999999999E-2</v>
          </cell>
          <cell r="AA900">
            <v>2.035E-2</v>
          </cell>
          <cell r="AB900">
            <v>2.1500000000000005E-2</v>
          </cell>
          <cell r="AC900">
            <v>2.265E-2</v>
          </cell>
        </row>
        <row r="901">
          <cell r="T901">
            <v>38989</v>
          </cell>
          <cell r="U901">
            <v>1.6910000000000001E-2</v>
          </cell>
          <cell r="V901">
            <v>1.7675E-2</v>
          </cell>
          <cell r="W901">
            <v>1.7600000000000001E-2</v>
          </cell>
          <cell r="X901">
            <v>1.8299999999999997E-2</v>
          </cell>
          <cell r="Y901">
            <v>1.9E-2</v>
          </cell>
          <cell r="Z901">
            <v>1.9599999999999999E-2</v>
          </cell>
          <cell r="AA901">
            <v>2.035E-2</v>
          </cell>
          <cell r="AB901">
            <v>2.1500000000000005E-2</v>
          </cell>
          <cell r="AC901">
            <v>2.265E-2</v>
          </cell>
        </row>
        <row r="902">
          <cell r="T902">
            <v>38988</v>
          </cell>
          <cell r="U902">
            <v>1.6750000000000001E-2</v>
          </cell>
          <cell r="V902">
            <v>1.7361999999999999E-2</v>
          </cell>
          <cell r="W902">
            <v>1.7400000000000002E-2</v>
          </cell>
          <cell r="X902">
            <v>1.7899999999999999E-2</v>
          </cell>
          <cell r="Y902">
            <v>1.8700000000000001E-2</v>
          </cell>
          <cell r="Z902">
            <v>1.9400000000000001E-2</v>
          </cell>
          <cell r="AA902">
            <v>2.0049999999999998E-2</v>
          </cell>
          <cell r="AB902">
            <v>2.1250000000000002E-2</v>
          </cell>
          <cell r="AC902">
            <v>2.23E-2</v>
          </cell>
        </row>
        <row r="903">
          <cell r="T903">
            <v>38987</v>
          </cell>
          <cell r="U903">
            <v>1.652E-2</v>
          </cell>
          <cell r="V903">
            <v>1.7274999999999999E-2</v>
          </cell>
          <cell r="W903">
            <v>1.7299999999999999E-2</v>
          </cell>
          <cell r="X903">
            <v>1.7899999999999999E-2</v>
          </cell>
          <cell r="Y903">
            <v>1.8749999999999999E-2</v>
          </cell>
          <cell r="Z903">
            <v>1.9349999999999999E-2</v>
          </cell>
          <cell r="AA903">
            <v>2.0149999999999998E-2</v>
          </cell>
          <cell r="AB903">
            <v>2.1299999999999999E-2</v>
          </cell>
          <cell r="AC903">
            <v>2.2350000000000002E-2</v>
          </cell>
        </row>
        <row r="904">
          <cell r="T904">
            <v>38986</v>
          </cell>
          <cell r="U904">
            <v>1.653E-2</v>
          </cell>
          <cell r="V904">
            <v>1.7368999999999999E-2</v>
          </cell>
          <cell r="W904">
            <v>1.7399999999999999E-2</v>
          </cell>
          <cell r="X904">
            <v>1.8200000000000001E-2</v>
          </cell>
          <cell r="Y904">
            <v>1.9050000000000001E-2</v>
          </cell>
          <cell r="Z904">
            <v>1.9649999999999997E-2</v>
          </cell>
          <cell r="AA904">
            <v>2.0449999999999999E-2</v>
          </cell>
          <cell r="AB904">
            <v>2.1649999999999999E-2</v>
          </cell>
          <cell r="AC904">
            <v>2.2599999999999999E-2</v>
          </cell>
        </row>
        <row r="905">
          <cell r="T905">
            <v>38985</v>
          </cell>
          <cell r="U905">
            <v>1.653E-2</v>
          </cell>
          <cell r="V905">
            <v>1.7321E-2</v>
          </cell>
          <cell r="W905">
            <v>1.7500000000000002E-2</v>
          </cell>
          <cell r="X905">
            <v>1.8149999999999999E-2</v>
          </cell>
          <cell r="Y905">
            <v>1.9000000000000003E-2</v>
          </cell>
          <cell r="Z905">
            <v>1.9649999999999997E-2</v>
          </cell>
          <cell r="AA905">
            <v>2.035E-2</v>
          </cell>
          <cell r="AB905">
            <v>2.1500000000000005E-2</v>
          </cell>
          <cell r="AC905">
            <v>2.2550000000000001E-2</v>
          </cell>
        </row>
        <row r="906">
          <cell r="T906">
            <v>38984</v>
          </cell>
          <cell r="U906">
            <v>1.6570000000000001E-2</v>
          </cell>
          <cell r="V906">
            <v>1.7335E-2</v>
          </cell>
          <cell r="W906">
            <v>1.7500000000000002E-2</v>
          </cell>
          <cell r="X906">
            <v>1.8200000000000001E-2</v>
          </cell>
          <cell r="Y906">
            <v>1.9050000000000001E-2</v>
          </cell>
          <cell r="Z906">
            <v>1.9699999999999999E-2</v>
          </cell>
          <cell r="AA906">
            <v>2.0449999999999999E-2</v>
          </cell>
          <cell r="AB906">
            <v>2.1749999999999999E-2</v>
          </cell>
          <cell r="AC906">
            <v>2.2850000000000002E-2</v>
          </cell>
        </row>
        <row r="907">
          <cell r="T907">
            <v>38983</v>
          </cell>
          <cell r="U907">
            <v>1.6570000000000001E-2</v>
          </cell>
          <cell r="V907">
            <v>1.7335E-2</v>
          </cell>
          <cell r="W907">
            <v>1.7500000000000002E-2</v>
          </cell>
          <cell r="X907">
            <v>1.8200000000000001E-2</v>
          </cell>
          <cell r="Y907">
            <v>1.9050000000000001E-2</v>
          </cell>
          <cell r="Z907">
            <v>1.9699999999999999E-2</v>
          </cell>
          <cell r="AA907">
            <v>2.0449999999999999E-2</v>
          </cell>
          <cell r="AB907">
            <v>2.1749999999999999E-2</v>
          </cell>
          <cell r="AC907">
            <v>2.2850000000000002E-2</v>
          </cell>
        </row>
        <row r="908">
          <cell r="T908">
            <v>38982</v>
          </cell>
          <cell r="U908">
            <v>1.6570000000000001E-2</v>
          </cell>
          <cell r="V908">
            <v>1.7335E-2</v>
          </cell>
          <cell r="W908">
            <v>1.7500000000000002E-2</v>
          </cell>
          <cell r="X908">
            <v>1.8200000000000001E-2</v>
          </cell>
          <cell r="Y908">
            <v>1.9050000000000001E-2</v>
          </cell>
          <cell r="Z908">
            <v>1.9699999999999999E-2</v>
          </cell>
          <cell r="AA908">
            <v>2.0449999999999999E-2</v>
          </cell>
          <cell r="AB908">
            <v>2.1749999999999999E-2</v>
          </cell>
          <cell r="AC908">
            <v>2.2850000000000002E-2</v>
          </cell>
        </row>
        <row r="909">
          <cell r="T909">
            <v>38981</v>
          </cell>
          <cell r="U909">
            <v>1.652E-2</v>
          </cell>
          <cell r="V909">
            <v>1.7345000000000003E-2</v>
          </cell>
          <cell r="W909">
            <v>1.755E-2</v>
          </cell>
          <cell r="X909">
            <v>1.8299999999999997E-2</v>
          </cell>
          <cell r="Y909">
            <v>1.9200000000000002E-2</v>
          </cell>
          <cell r="Z909">
            <v>1.9900000000000001E-2</v>
          </cell>
          <cell r="AA909">
            <v>2.0700000000000003E-2</v>
          </cell>
          <cell r="AB909">
            <v>2.1950000000000004E-2</v>
          </cell>
          <cell r="AC909">
            <v>2.3050000000000001E-2</v>
          </cell>
        </row>
        <row r="910">
          <cell r="T910">
            <v>38980</v>
          </cell>
          <cell r="U910">
            <v>1.6559999999999998E-2</v>
          </cell>
          <cell r="V910">
            <v>1.7231999999999997E-2</v>
          </cell>
          <cell r="W910">
            <v>1.755E-2</v>
          </cell>
          <cell r="X910">
            <v>1.8349999999999998E-2</v>
          </cell>
          <cell r="Y910">
            <v>1.925E-2</v>
          </cell>
          <cell r="Z910">
            <v>1.985E-2</v>
          </cell>
          <cell r="AA910">
            <v>2.0750000000000001E-2</v>
          </cell>
          <cell r="AB910">
            <v>2.1850000000000001E-2</v>
          </cell>
          <cell r="AC910">
            <v>2.3050000000000001E-2</v>
          </cell>
        </row>
        <row r="911">
          <cell r="T911">
            <v>38979</v>
          </cell>
          <cell r="U911">
            <v>1.652E-2</v>
          </cell>
          <cell r="V911">
            <v>1.7218000000000001E-2</v>
          </cell>
          <cell r="W911">
            <v>1.7600000000000001E-2</v>
          </cell>
          <cell r="X911">
            <v>1.8299999999999997E-2</v>
          </cell>
          <cell r="Y911">
            <v>1.9299999999999998E-2</v>
          </cell>
          <cell r="Z911">
            <v>0.02</v>
          </cell>
          <cell r="AA911">
            <v>2.0799999999999999E-2</v>
          </cell>
          <cell r="AB911">
            <v>2.205E-2</v>
          </cell>
          <cell r="AC911">
            <v>2.3099999999999999E-2</v>
          </cell>
        </row>
        <row r="912">
          <cell r="T912">
            <v>38978</v>
          </cell>
          <cell r="U912">
            <v>1.6469999999999999E-2</v>
          </cell>
          <cell r="V912">
            <v>1.7183E-2</v>
          </cell>
          <cell r="W912">
            <v>1.7650000000000002E-2</v>
          </cell>
          <cell r="X912">
            <v>1.8450000000000001E-2</v>
          </cell>
          <cell r="Y912">
            <v>1.9400000000000001E-2</v>
          </cell>
          <cell r="Z912">
            <v>0.02</v>
          </cell>
          <cell r="AA912">
            <v>2.0799999999999999E-2</v>
          </cell>
          <cell r="AB912">
            <v>2.1900000000000003E-2</v>
          </cell>
          <cell r="AC912">
            <v>2.3300000000000001E-2</v>
          </cell>
        </row>
        <row r="913">
          <cell r="T913">
            <v>38977</v>
          </cell>
          <cell r="U913">
            <v>1.653E-2</v>
          </cell>
          <cell r="V913">
            <v>1.7255E-2</v>
          </cell>
          <cell r="W913">
            <v>1.7600000000000001E-2</v>
          </cell>
          <cell r="X913">
            <v>1.8299999999999997E-2</v>
          </cell>
          <cell r="Y913">
            <v>1.925E-2</v>
          </cell>
          <cell r="Z913">
            <v>1.9900000000000001E-2</v>
          </cell>
          <cell r="AA913">
            <v>2.0700000000000003E-2</v>
          </cell>
          <cell r="AB913">
            <v>2.1850000000000001E-2</v>
          </cell>
          <cell r="AC913">
            <v>2.29E-2</v>
          </cell>
        </row>
        <row r="914">
          <cell r="T914">
            <v>38976</v>
          </cell>
          <cell r="U914">
            <v>1.653E-2</v>
          </cell>
          <cell r="V914">
            <v>1.7255E-2</v>
          </cell>
          <cell r="W914">
            <v>1.7600000000000001E-2</v>
          </cell>
          <cell r="X914">
            <v>1.8299999999999997E-2</v>
          </cell>
          <cell r="Y914">
            <v>1.925E-2</v>
          </cell>
          <cell r="Z914">
            <v>1.9900000000000001E-2</v>
          </cell>
          <cell r="AA914">
            <v>2.0700000000000003E-2</v>
          </cell>
          <cell r="AB914">
            <v>2.1850000000000001E-2</v>
          </cell>
          <cell r="AC914">
            <v>2.29E-2</v>
          </cell>
        </row>
        <row r="915">
          <cell r="T915">
            <v>38975</v>
          </cell>
          <cell r="U915">
            <v>1.653E-2</v>
          </cell>
          <cell r="V915">
            <v>1.7255E-2</v>
          </cell>
          <cell r="W915">
            <v>1.7600000000000001E-2</v>
          </cell>
          <cell r="X915">
            <v>1.8299999999999997E-2</v>
          </cell>
          <cell r="Y915">
            <v>1.925E-2</v>
          </cell>
          <cell r="Z915">
            <v>1.9900000000000001E-2</v>
          </cell>
          <cell r="AA915">
            <v>2.0700000000000003E-2</v>
          </cell>
          <cell r="AB915">
            <v>2.1850000000000001E-2</v>
          </cell>
          <cell r="AC915">
            <v>2.29E-2</v>
          </cell>
        </row>
        <row r="916">
          <cell r="T916">
            <v>38974</v>
          </cell>
          <cell r="U916">
            <v>1.6490000000000001E-2</v>
          </cell>
          <cell r="V916">
            <v>1.7172E-2</v>
          </cell>
          <cell r="W916">
            <v>1.7500000000000002E-2</v>
          </cell>
          <cell r="X916">
            <v>1.8249999999999999E-2</v>
          </cell>
          <cell r="Y916">
            <v>1.915E-2</v>
          </cell>
          <cell r="Z916">
            <v>1.9799999999999998E-2</v>
          </cell>
          <cell r="AA916">
            <v>2.0649999999999998E-2</v>
          </cell>
          <cell r="AB916">
            <v>2.18E-2</v>
          </cell>
          <cell r="AC916">
            <v>2.2799999999999997E-2</v>
          </cell>
        </row>
        <row r="917">
          <cell r="T917">
            <v>38973</v>
          </cell>
          <cell r="U917">
            <v>1.6479999999999998E-2</v>
          </cell>
          <cell r="V917">
            <v>1.7242E-2</v>
          </cell>
          <cell r="W917">
            <v>1.7500000000000002E-2</v>
          </cell>
          <cell r="X917">
            <v>1.8249999999999999E-2</v>
          </cell>
          <cell r="Y917">
            <v>1.9099999999999999E-2</v>
          </cell>
          <cell r="Z917">
            <v>1.9799999999999998E-2</v>
          </cell>
          <cell r="AA917">
            <v>2.0649999999999998E-2</v>
          </cell>
          <cell r="AB917">
            <v>2.1850000000000001E-2</v>
          </cell>
          <cell r="AC917">
            <v>2.2850000000000002E-2</v>
          </cell>
        </row>
        <row r="918">
          <cell r="T918">
            <v>38972</v>
          </cell>
          <cell r="U918">
            <v>1.643E-2</v>
          </cell>
          <cell r="V918">
            <v>1.7246999999999998E-2</v>
          </cell>
          <cell r="W918">
            <v>1.755E-2</v>
          </cell>
          <cell r="X918">
            <v>1.8299999999999997E-2</v>
          </cell>
          <cell r="Y918">
            <v>1.9200000000000002E-2</v>
          </cell>
          <cell r="Z918">
            <v>1.9949999999999999E-2</v>
          </cell>
          <cell r="AA918">
            <v>2.0750000000000001E-2</v>
          </cell>
          <cell r="AB918">
            <v>2.1900000000000003E-2</v>
          </cell>
          <cell r="AC918">
            <v>2.2949999999999998E-2</v>
          </cell>
        </row>
        <row r="919">
          <cell r="T919">
            <v>38971</v>
          </cell>
          <cell r="U919">
            <v>1.6490000000000001E-2</v>
          </cell>
          <cell r="V919">
            <v>1.7247999999999999E-2</v>
          </cell>
          <cell r="W919">
            <v>1.7600000000000001E-2</v>
          </cell>
          <cell r="X919">
            <v>1.8450000000000001E-2</v>
          </cell>
          <cell r="Y919">
            <v>1.9400000000000001E-2</v>
          </cell>
          <cell r="Z919">
            <v>2.0049999999999998E-2</v>
          </cell>
          <cell r="AA919">
            <v>2.0899999999999998E-2</v>
          </cell>
          <cell r="AB919">
            <v>2.215E-2</v>
          </cell>
          <cell r="AC919">
            <v>2.3099999999999999E-2</v>
          </cell>
        </row>
        <row r="920">
          <cell r="T920">
            <v>38970</v>
          </cell>
          <cell r="U920">
            <v>1.6420000000000001E-2</v>
          </cell>
          <cell r="V920">
            <v>1.7176E-2</v>
          </cell>
          <cell r="W920">
            <v>1.755E-2</v>
          </cell>
          <cell r="X920">
            <v>1.8500000000000003E-2</v>
          </cell>
          <cell r="Y920">
            <v>1.925E-2</v>
          </cell>
          <cell r="Z920">
            <v>2.0049999999999998E-2</v>
          </cell>
          <cell r="AA920">
            <v>2.0949999999999996E-2</v>
          </cell>
          <cell r="AB920">
            <v>2.23E-2</v>
          </cell>
          <cell r="AC920">
            <v>2.3349999999999999E-2</v>
          </cell>
        </row>
        <row r="921">
          <cell r="T921">
            <v>38969</v>
          </cell>
          <cell r="U921">
            <v>1.6420000000000001E-2</v>
          </cell>
          <cell r="V921">
            <v>1.7176E-2</v>
          </cell>
          <cell r="W921">
            <v>1.755E-2</v>
          </cell>
          <cell r="X921">
            <v>1.8500000000000003E-2</v>
          </cell>
          <cell r="Y921">
            <v>1.925E-2</v>
          </cell>
          <cell r="Z921">
            <v>2.0049999999999998E-2</v>
          </cell>
          <cell r="AA921">
            <v>2.0949999999999996E-2</v>
          </cell>
          <cell r="AB921">
            <v>2.23E-2</v>
          </cell>
          <cell r="AC921">
            <v>2.3349999999999999E-2</v>
          </cell>
        </row>
        <row r="922">
          <cell r="T922">
            <v>38968</v>
          </cell>
          <cell r="U922">
            <v>1.6420000000000001E-2</v>
          </cell>
          <cell r="V922">
            <v>1.7176E-2</v>
          </cell>
          <cell r="W922">
            <v>1.755E-2</v>
          </cell>
          <cell r="X922">
            <v>1.8500000000000003E-2</v>
          </cell>
          <cell r="Y922">
            <v>1.925E-2</v>
          </cell>
          <cell r="Z922">
            <v>2.0049999999999998E-2</v>
          </cell>
          <cell r="AA922">
            <v>2.0949999999999996E-2</v>
          </cell>
          <cell r="AB922">
            <v>2.23E-2</v>
          </cell>
          <cell r="AC922">
            <v>2.3349999999999999E-2</v>
          </cell>
        </row>
        <row r="923">
          <cell r="T923">
            <v>38967</v>
          </cell>
          <cell r="U923">
            <v>1.6490000000000001E-2</v>
          </cell>
          <cell r="V923">
            <v>1.7176E-2</v>
          </cell>
          <cell r="W923">
            <v>1.77E-2</v>
          </cell>
          <cell r="X923">
            <v>1.8800000000000001E-2</v>
          </cell>
          <cell r="Y923">
            <v>1.9799999999999998E-2</v>
          </cell>
          <cell r="Z923">
            <v>2.0549999999999999E-2</v>
          </cell>
          <cell r="AA923">
            <v>2.1400000000000002E-2</v>
          </cell>
          <cell r="AB923">
            <v>2.2599999999999999E-2</v>
          </cell>
          <cell r="AC923">
            <v>2.3700000000000002E-2</v>
          </cell>
        </row>
        <row r="924">
          <cell r="T924">
            <v>38966</v>
          </cell>
          <cell r="U924">
            <v>1.643E-2</v>
          </cell>
          <cell r="V924">
            <v>1.7247999999999999E-2</v>
          </cell>
          <cell r="W924">
            <v>1.77E-2</v>
          </cell>
          <cell r="X924">
            <v>1.8749999999999999E-2</v>
          </cell>
          <cell r="Y924">
            <v>1.9799999999999998E-2</v>
          </cell>
          <cell r="Z924">
            <v>2.0599999999999997E-2</v>
          </cell>
          <cell r="AA924">
            <v>2.1500000000000005E-2</v>
          </cell>
          <cell r="AB924">
            <v>2.2600000000000002E-2</v>
          </cell>
          <cell r="AC924">
            <v>2.3849999999999996E-2</v>
          </cell>
        </row>
        <row r="925">
          <cell r="T925">
            <v>38965</v>
          </cell>
          <cell r="U925">
            <v>1.6479999999999998E-2</v>
          </cell>
          <cell r="V925">
            <v>1.7164000000000002E-2</v>
          </cell>
          <cell r="W925">
            <v>1.77E-2</v>
          </cell>
          <cell r="X925">
            <v>1.865E-2</v>
          </cell>
          <cell r="Y925">
            <v>1.9599999999999999E-2</v>
          </cell>
          <cell r="Z925">
            <v>2.0400000000000001E-2</v>
          </cell>
          <cell r="AA925">
            <v>2.1250000000000002E-2</v>
          </cell>
          <cell r="AB925">
            <v>2.2250000000000002E-2</v>
          </cell>
          <cell r="AC925">
            <v>2.375E-2</v>
          </cell>
        </row>
        <row r="926">
          <cell r="T926">
            <v>38964</v>
          </cell>
          <cell r="U926">
            <v>1.6449999999999999E-2</v>
          </cell>
          <cell r="V926">
            <v>1.7187999999999998E-2</v>
          </cell>
          <cell r="W926">
            <v>1.7600000000000001E-2</v>
          </cell>
          <cell r="X926">
            <v>1.8450000000000001E-2</v>
          </cell>
          <cell r="Y926">
            <v>1.925E-2</v>
          </cell>
          <cell r="Z926">
            <v>2.0049999999999998E-2</v>
          </cell>
          <cell r="AA926">
            <v>2.0899999999999998E-2</v>
          </cell>
          <cell r="AB926">
            <v>2.1850000000000001E-2</v>
          </cell>
          <cell r="AC926">
            <v>2.3200000000000002E-2</v>
          </cell>
        </row>
        <row r="927">
          <cell r="T927">
            <v>38963</v>
          </cell>
          <cell r="U927">
            <v>1.6522999999999999E-2</v>
          </cell>
          <cell r="V927">
            <v>1.7176E-2</v>
          </cell>
          <cell r="W927">
            <v>1.7500000000000002E-2</v>
          </cell>
          <cell r="X927">
            <v>1.8299999999999997E-2</v>
          </cell>
          <cell r="Y927">
            <v>1.9299999999999998E-2</v>
          </cell>
          <cell r="Z927">
            <v>1.985E-2</v>
          </cell>
          <cell r="AA927">
            <v>2.0750000000000001E-2</v>
          </cell>
          <cell r="AB927">
            <v>2.1850000000000001E-2</v>
          </cell>
          <cell r="AC927">
            <v>2.2949999999999998E-2</v>
          </cell>
        </row>
        <row r="928">
          <cell r="T928">
            <v>38962</v>
          </cell>
          <cell r="U928">
            <v>1.6522999999999999E-2</v>
          </cell>
          <cell r="V928">
            <v>1.7176E-2</v>
          </cell>
          <cell r="W928">
            <v>1.7500000000000002E-2</v>
          </cell>
          <cell r="X928">
            <v>1.8299999999999997E-2</v>
          </cell>
          <cell r="Y928">
            <v>1.9299999999999998E-2</v>
          </cell>
          <cell r="Z928">
            <v>1.985E-2</v>
          </cell>
          <cell r="AA928">
            <v>2.0750000000000001E-2</v>
          </cell>
          <cell r="AB928">
            <v>2.1850000000000001E-2</v>
          </cell>
          <cell r="AC928">
            <v>2.2949999999999998E-2</v>
          </cell>
        </row>
        <row r="929">
          <cell r="T929">
            <v>38961</v>
          </cell>
          <cell r="U929">
            <v>1.6522999999999999E-2</v>
          </cell>
          <cell r="V929">
            <v>1.7176E-2</v>
          </cell>
          <cell r="W929">
            <v>1.7500000000000002E-2</v>
          </cell>
          <cell r="X929">
            <v>1.8299999999999997E-2</v>
          </cell>
          <cell r="Y929">
            <v>1.9299999999999998E-2</v>
          </cell>
          <cell r="Z929">
            <v>1.985E-2</v>
          </cell>
          <cell r="AA929">
            <v>2.0750000000000001E-2</v>
          </cell>
          <cell r="AB929">
            <v>2.1850000000000001E-2</v>
          </cell>
          <cell r="AC929">
            <v>2.2949999999999998E-2</v>
          </cell>
        </row>
        <row r="930">
          <cell r="T930">
            <v>38960</v>
          </cell>
          <cell r="U930">
            <v>1.6459999999999999E-2</v>
          </cell>
          <cell r="V930">
            <v>1.7156999999999999E-2</v>
          </cell>
          <cell r="W930">
            <v>1.7500000000000002E-2</v>
          </cell>
          <cell r="X930">
            <v>1.8249999999999999E-2</v>
          </cell>
          <cell r="Y930">
            <v>1.9199999999999998E-2</v>
          </cell>
          <cell r="Z930">
            <v>1.9799999999999998E-2</v>
          </cell>
          <cell r="AA930">
            <v>2.0700000000000003E-2</v>
          </cell>
          <cell r="AB930">
            <v>2.1899999999999999E-2</v>
          </cell>
          <cell r="AC930">
            <v>2.2949999999999998E-2</v>
          </cell>
        </row>
        <row r="931">
          <cell r="T931">
            <v>38959</v>
          </cell>
          <cell r="U931">
            <v>1.6688000000000001E-2</v>
          </cell>
          <cell r="V931">
            <v>1.7231E-2</v>
          </cell>
          <cell r="W931">
            <v>1.755E-2</v>
          </cell>
          <cell r="X931">
            <v>1.8299999999999997E-2</v>
          </cell>
          <cell r="Y931">
            <v>1.9200000000000002E-2</v>
          </cell>
          <cell r="Z931">
            <v>2.0049999999999998E-2</v>
          </cell>
          <cell r="AA931">
            <v>2.0799999999999999E-2</v>
          </cell>
          <cell r="AB931">
            <v>2.1950000000000004E-2</v>
          </cell>
          <cell r="AC931">
            <v>2.3050000000000001E-2</v>
          </cell>
        </row>
        <row r="932">
          <cell r="T932">
            <v>38958</v>
          </cell>
          <cell r="U932">
            <v>1.6517E-2</v>
          </cell>
          <cell r="V932">
            <v>1.7170999999999999E-2</v>
          </cell>
          <cell r="W932">
            <v>1.755E-2</v>
          </cell>
          <cell r="X932">
            <v>1.8450000000000001E-2</v>
          </cell>
          <cell r="Y932">
            <v>1.9299999999999998E-2</v>
          </cell>
          <cell r="Z932">
            <v>2.0049999999999998E-2</v>
          </cell>
          <cell r="AA932">
            <v>2.0899999999999998E-2</v>
          </cell>
          <cell r="AB932">
            <v>2.205E-2</v>
          </cell>
          <cell r="AC932">
            <v>2.3250000000000003E-2</v>
          </cell>
        </row>
        <row r="933">
          <cell r="T933">
            <v>38957</v>
          </cell>
          <cell r="U933">
            <v>1.6517E-2</v>
          </cell>
          <cell r="V933">
            <v>1.7170999999999999E-2</v>
          </cell>
          <cell r="W933">
            <v>1.7600000000000001E-2</v>
          </cell>
          <cell r="X933">
            <v>1.8299999999999997E-2</v>
          </cell>
          <cell r="Y933">
            <v>1.925E-2</v>
          </cell>
          <cell r="Z933">
            <v>2.0099999999999996E-2</v>
          </cell>
          <cell r="AA933">
            <v>2.0899999999999998E-2</v>
          </cell>
          <cell r="AB933">
            <v>2.215E-2</v>
          </cell>
          <cell r="AC933">
            <v>2.3050000000000001E-2</v>
          </cell>
        </row>
        <row r="934">
          <cell r="T934">
            <v>38956</v>
          </cell>
          <cell r="U934">
            <v>1.6518000000000001E-2</v>
          </cell>
          <cell r="V934">
            <v>1.7236999999999999E-2</v>
          </cell>
          <cell r="W934">
            <v>1.7600000000000001E-2</v>
          </cell>
          <cell r="X934">
            <v>1.8600000000000002E-2</v>
          </cell>
          <cell r="Y934">
            <v>1.9400000000000001E-2</v>
          </cell>
          <cell r="Z934">
            <v>2.0250000000000001E-2</v>
          </cell>
          <cell r="AA934">
            <v>2.1100000000000004E-2</v>
          </cell>
          <cell r="AB934">
            <v>2.2200000000000001E-2</v>
          </cell>
          <cell r="AC934">
            <v>2.3349999999999999E-2</v>
          </cell>
        </row>
        <row r="935">
          <cell r="T935">
            <v>38955</v>
          </cell>
          <cell r="U935">
            <v>1.6518000000000001E-2</v>
          </cell>
          <cell r="V935">
            <v>1.7236999999999999E-2</v>
          </cell>
          <cell r="W935">
            <v>1.7600000000000001E-2</v>
          </cell>
          <cell r="X935">
            <v>1.8600000000000002E-2</v>
          </cell>
          <cell r="Y935">
            <v>1.9400000000000001E-2</v>
          </cell>
          <cell r="Z935">
            <v>2.0250000000000001E-2</v>
          </cell>
          <cell r="AA935">
            <v>2.1100000000000004E-2</v>
          </cell>
          <cell r="AB935">
            <v>2.2200000000000001E-2</v>
          </cell>
          <cell r="AC935">
            <v>2.3349999999999999E-2</v>
          </cell>
        </row>
        <row r="936">
          <cell r="T936">
            <v>38954</v>
          </cell>
          <cell r="U936">
            <v>1.6518000000000001E-2</v>
          </cell>
          <cell r="V936">
            <v>1.7236999999999999E-2</v>
          </cell>
          <cell r="W936">
            <v>1.7600000000000001E-2</v>
          </cell>
          <cell r="X936">
            <v>1.8600000000000002E-2</v>
          </cell>
          <cell r="Y936">
            <v>1.9400000000000001E-2</v>
          </cell>
          <cell r="Z936">
            <v>2.0250000000000001E-2</v>
          </cell>
          <cell r="AA936">
            <v>2.1100000000000004E-2</v>
          </cell>
          <cell r="AB936">
            <v>2.2200000000000001E-2</v>
          </cell>
          <cell r="AC936">
            <v>2.3349999999999999E-2</v>
          </cell>
        </row>
        <row r="937">
          <cell r="T937">
            <v>38953</v>
          </cell>
          <cell r="U937">
            <v>1.6399999999999998E-2</v>
          </cell>
          <cell r="V937">
            <v>1.7240999999999999E-2</v>
          </cell>
          <cell r="W937">
            <v>1.7600000000000001E-2</v>
          </cell>
          <cell r="X937">
            <v>1.8600000000000002E-2</v>
          </cell>
          <cell r="Y937">
            <v>1.95E-2</v>
          </cell>
          <cell r="Z937">
            <v>2.0400000000000001E-2</v>
          </cell>
          <cell r="AA937">
            <v>2.12E-2</v>
          </cell>
          <cell r="AB937">
            <v>2.2350000000000002E-2</v>
          </cell>
          <cell r="AC937">
            <v>2.3599999999999999E-2</v>
          </cell>
        </row>
        <row r="938">
          <cell r="T938">
            <v>38952</v>
          </cell>
          <cell r="U938">
            <v>1.6517E-2</v>
          </cell>
          <cell r="V938">
            <v>1.7170999999999999E-2</v>
          </cell>
          <cell r="W938">
            <v>1.7600000000000001E-2</v>
          </cell>
          <cell r="X938">
            <v>1.8700000000000001E-2</v>
          </cell>
          <cell r="Y938">
            <v>1.9599999999999999E-2</v>
          </cell>
          <cell r="Z938">
            <v>2.0599999999999997E-2</v>
          </cell>
          <cell r="AA938">
            <v>2.1349999999999997E-2</v>
          </cell>
          <cell r="AB938">
            <v>2.2499999999999999E-2</v>
          </cell>
          <cell r="AC938">
            <v>2.3700000000000002E-2</v>
          </cell>
        </row>
        <row r="939">
          <cell r="T939">
            <v>38951</v>
          </cell>
          <cell r="U939">
            <v>1.6410000000000001E-2</v>
          </cell>
          <cell r="V939">
            <v>1.7073999999999999E-2</v>
          </cell>
          <cell r="W939">
            <v>1.7500000000000002E-2</v>
          </cell>
          <cell r="X939">
            <v>1.8600000000000002E-2</v>
          </cell>
          <cell r="Y939">
            <v>1.9550000000000001E-2</v>
          </cell>
          <cell r="Z939">
            <v>2.0400000000000001E-2</v>
          </cell>
          <cell r="AA939">
            <v>2.1299999999999999E-2</v>
          </cell>
          <cell r="AB939">
            <v>2.2499999999999999E-2</v>
          </cell>
          <cell r="AC939">
            <v>2.3550000000000001E-2</v>
          </cell>
        </row>
        <row r="940">
          <cell r="T940">
            <v>38950</v>
          </cell>
          <cell r="U940">
            <v>1.6517E-2</v>
          </cell>
          <cell r="V940">
            <v>1.7170999999999999E-2</v>
          </cell>
          <cell r="W940">
            <v>1.7600000000000001E-2</v>
          </cell>
          <cell r="X940">
            <v>1.8600000000000002E-2</v>
          </cell>
          <cell r="Y940">
            <v>1.9550000000000001E-2</v>
          </cell>
          <cell r="Z940">
            <v>2.0499999999999997E-2</v>
          </cell>
          <cell r="AA940">
            <v>2.1349999999999997E-2</v>
          </cell>
          <cell r="AB940">
            <v>2.2400000000000003E-2</v>
          </cell>
          <cell r="AC940">
            <v>2.3550000000000001E-2</v>
          </cell>
        </row>
        <row r="941">
          <cell r="T941">
            <v>38949</v>
          </cell>
          <cell r="U941">
            <v>1.6503999999999998E-2</v>
          </cell>
          <cell r="V941">
            <v>1.7172E-2</v>
          </cell>
          <cell r="W941">
            <v>1.7600000000000001E-2</v>
          </cell>
          <cell r="X941">
            <v>1.8749999999999999E-2</v>
          </cell>
          <cell r="Y941">
            <v>1.9649999999999997E-2</v>
          </cell>
          <cell r="Z941">
            <v>2.06E-2</v>
          </cell>
          <cell r="AA941">
            <v>2.1399999999999995E-2</v>
          </cell>
          <cell r="AB941">
            <v>2.2600000000000002E-2</v>
          </cell>
          <cell r="AC941">
            <v>2.375E-2</v>
          </cell>
        </row>
        <row r="942">
          <cell r="T942">
            <v>38948</v>
          </cell>
          <cell r="U942">
            <v>1.6503999999999998E-2</v>
          </cell>
          <cell r="V942">
            <v>1.7172E-2</v>
          </cell>
          <cell r="W942">
            <v>1.7600000000000001E-2</v>
          </cell>
          <cell r="X942">
            <v>1.8749999999999999E-2</v>
          </cell>
          <cell r="Y942">
            <v>1.9649999999999997E-2</v>
          </cell>
          <cell r="Z942">
            <v>2.06E-2</v>
          </cell>
          <cell r="AA942">
            <v>2.1399999999999995E-2</v>
          </cell>
          <cell r="AB942">
            <v>2.2600000000000002E-2</v>
          </cell>
          <cell r="AC942">
            <v>2.375E-2</v>
          </cell>
        </row>
        <row r="943">
          <cell r="T943">
            <v>38947</v>
          </cell>
          <cell r="U943">
            <v>1.6503999999999998E-2</v>
          </cell>
          <cell r="V943">
            <v>1.7172E-2</v>
          </cell>
          <cell r="W943">
            <v>1.7600000000000001E-2</v>
          </cell>
          <cell r="X943">
            <v>1.8749999999999999E-2</v>
          </cell>
          <cell r="Y943">
            <v>1.9649999999999997E-2</v>
          </cell>
          <cell r="Z943">
            <v>2.06E-2</v>
          </cell>
          <cell r="AA943">
            <v>2.1399999999999995E-2</v>
          </cell>
          <cell r="AB943">
            <v>2.2600000000000002E-2</v>
          </cell>
          <cell r="AC943">
            <v>2.375E-2</v>
          </cell>
        </row>
        <row r="944">
          <cell r="T944">
            <v>38946</v>
          </cell>
          <cell r="U944">
            <v>1.6459999999999999E-2</v>
          </cell>
          <cell r="V944">
            <v>1.7172E-2</v>
          </cell>
          <cell r="W944">
            <v>1.7650000000000002E-2</v>
          </cell>
          <cell r="X944">
            <v>1.8749999999999999E-2</v>
          </cell>
          <cell r="Y944">
            <v>1.9599999999999999E-2</v>
          </cell>
          <cell r="Z944">
            <v>2.0549999999999999E-2</v>
          </cell>
          <cell r="AA944">
            <v>2.1399999999999995E-2</v>
          </cell>
          <cell r="AB944">
            <v>2.2550000000000001E-2</v>
          </cell>
          <cell r="AC944">
            <v>2.3600000000000003E-2</v>
          </cell>
        </row>
        <row r="945">
          <cell r="T945">
            <v>38945</v>
          </cell>
          <cell r="U945">
            <v>1.6503999999999998E-2</v>
          </cell>
          <cell r="V945">
            <v>1.7172E-2</v>
          </cell>
          <cell r="W945">
            <v>1.77E-2</v>
          </cell>
          <cell r="X945">
            <v>1.8950000000000002E-2</v>
          </cell>
          <cell r="Y945">
            <v>1.9900000000000001E-2</v>
          </cell>
          <cell r="Z945">
            <v>2.0750000000000001E-2</v>
          </cell>
          <cell r="AA945">
            <v>2.1700000000000001E-2</v>
          </cell>
          <cell r="AB945">
            <v>2.2949999999999998E-2</v>
          </cell>
          <cell r="AC945">
            <v>2.3949999999999999E-2</v>
          </cell>
        </row>
        <row r="946">
          <cell r="T946">
            <v>38944</v>
          </cell>
          <cell r="U946">
            <v>1.6503999999999998E-2</v>
          </cell>
          <cell r="V946">
            <v>1.7172E-2</v>
          </cell>
          <cell r="W946">
            <v>1.78E-2</v>
          </cell>
          <cell r="X946">
            <v>1.8950000000000002E-2</v>
          </cell>
          <cell r="Y946">
            <v>2.0049999999999998E-2</v>
          </cell>
          <cell r="Z946">
            <v>2.0949999999999996E-2</v>
          </cell>
          <cell r="AA946">
            <v>2.1900000000000003E-2</v>
          </cell>
          <cell r="AB946">
            <v>2.3049999999999998E-2</v>
          </cell>
          <cell r="AC946">
            <v>2.4199999999999999E-2</v>
          </cell>
        </row>
        <row r="947">
          <cell r="T947">
            <v>38943</v>
          </cell>
          <cell r="U947">
            <v>1.6503999999999998E-2</v>
          </cell>
          <cell r="V947">
            <v>1.7172E-2</v>
          </cell>
          <cell r="W947">
            <v>1.77E-2</v>
          </cell>
          <cell r="X947">
            <v>1.8950000000000002E-2</v>
          </cell>
          <cell r="Y947">
            <v>1.9950000000000002E-2</v>
          </cell>
          <cell r="Z947">
            <v>2.0899999999999998E-2</v>
          </cell>
          <cell r="AA947">
            <v>2.1850000000000001E-2</v>
          </cell>
          <cell r="AB947">
            <v>2.2949999999999998E-2</v>
          </cell>
          <cell r="AC947">
            <v>2.4000000000000004E-2</v>
          </cell>
        </row>
        <row r="948">
          <cell r="T948">
            <v>38942</v>
          </cell>
          <cell r="U948">
            <v>1.6503999999999998E-2</v>
          </cell>
          <cell r="V948">
            <v>1.7172E-2</v>
          </cell>
          <cell r="W948">
            <v>1.77E-2</v>
          </cell>
          <cell r="X948">
            <v>1.8800000000000001E-2</v>
          </cell>
          <cell r="Y948">
            <v>1.9699999999999999E-2</v>
          </cell>
          <cell r="Z948">
            <v>2.0649999999999998E-2</v>
          </cell>
          <cell r="AA948">
            <v>2.1499999999999998E-2</v>
          </cell>
          <cell r="AB948">
            <v>2.2199999999999998E-2</v>
          </cell>
          <cell r="AC948">
            <v>2.3849999999999996E-2</v>
          </cell>
        </row>
        <row r="949">
          <cell r="T949">
            <v>38941</v>
          </cell>
          <cell r="U949">
            <v>1.6503999999999998E-2</v>
          </cell>
          <cell r="V949">
            <v>1.7172E-2</v>
          </cell>
          <cell r="W949">
            <v>1.77E-2</v>
          </cell>
          <cell r="X949">
            <v>1.8800000000000001E-2</v>
          </cell>
          <cell r="Y949">
            <v>1.9699999999999999E-2</v>
          </cell>
          <cell r="Z949">
            <v>2.0649999999999998E-2</v>
          </cell>
          <cell r="AA949">
            <v>2.1499999999999998E-2</v>
          </cell>
          <cell r="AB949">
            <v>2.2199999999999998E-2</v>
          </cell>
          <cell r="AC949">
            <v>2.3849999999999996E-2</v>
          </cell>
        </row>
        <row r="950">
          <cell r="T950">
            <v>38940</v>
          </cell>
          <cell r="U950">
            <v>1.6503999999999998E-2</v>
          </cell>
          <cell r="V950">
            <v>1.7172E-2</v>
          </cell>
          <cell r="W950">
            <v>1.77E-2</v>
          </cell>
          <cell r="X950">
            <v>1.8800000000000001E-2</v>
          </cell>
          <cell r="Y950">
            <v>1.9699999999999999E-2</v>
          </cell>
          <cell r="Z950">
            <v>2.0649999999999998E-2</v>
          </cell>
          <cell r="AA950">
            <v>2.1499999999999998E-2</v>
          </cell>
          <cell r="AB950">
            <v>2.2199999999999998E-2</v>
          </cell>
          <cell r="AC950">
            <v>2.3849999999999996E-2</v>
          </cell>
        </row>
        <row r="951">
          <cell r="T951">
            <v>38939</v>
          </cell>
          <cell r="U951">
            <v>1.6421999999999999E-2</v>
          </cell>
          <cell r="V951">
            <v>1.7129999999999999E-2</v>
          </cell>
          <cell r="W951">
            <v>1.7650000000000002E-2</v>
          </cell>
          <cell r="X951">
            <v>1.8749999999999999E-2</v>
          </cell>
          <cell r="Y951">
            <v>1.9699999999999999E-2</v>
          </cell>
          <cell r="Z951">
            <v>2.0700000000000003E-2</v>
          </cell>
          <cell r="AA951">
            <v>2.1649999999999999E-2</v>
          </cell>
          <cell r="AB951">
            <v>2.2700000000000001E-2</v>
          </cell>
          <cell r="AC951">
            <v>2.3899999999999998E-2</v>
          </cell>
        </row>
        <row r="952">
          <cell r="T952">
            <v>38938</v>
          </cell>
          <cell r="U952">
            <v>1.6421999999999999E-2</v>
          </cell>
          <cell r="V952">
            <v>1.7159000000000001E-2</v>
          </cell>
          <cell r="W952">
            <v>1.7650000000000002E-2</v>
          </cell>
          <cell r="X952">
            <v>1.8800000000000001E-2</v>
          </cell>
          <cell r="Y952">
            <v>1.9799999999999998E-2</v>
          </cell>
          <cell r="Z952">
            <v>2.0799999999999999E-2</v>
          </cell>
          <cell r="AA952">
            <v>2.1749999999999999E-2</v>
          </cell>
          <cell r="AB952">
            <v>2.29E-2</v>
          </cell>
          <cell r="AC952">
            <v>2.4E-2</v>
          </cell>
        </row>
        <row r="953">
          <cell r="T953">
            <v>38937</v>
          </cell>
          <cell r="U953">
            <v>1.6469000000000001E-2</v>
          </cell>
          <cell r="V953">
            <v>1.7172E-2</v>
          </cell>
          <cell r="W953">
            <v>1.77E-2</v>
          </cell>
          <cell r="X953">
            <v>1.915E-2</v>
          </cell>
          <cell r="Y953">
            <v>2.0199999999999999E-2</v>
          </cell>
          <cell r="Z953">
            <v>2.1150000000000002E-2</v>
          </cell>
          <cell r="AA953">
            <v>2.205E-2</v>
          </cell>
          <cell r="AB953">
            <v>2.3250000000000003E-2</v>
          </cell>
          <cell r="AC953">
            <v>2.4399999999999998E-2</v>
          </cell>
        </row>
        <row r="954">
          <cell r="T954">
            <v>38936</v>
          </cell>
          <cell r="U954">
            <v>1.6469000000000001E-2</v>
          </cell>
          <cell r="V954">
            <v>1.7172E-2</v>
          </cell>
          <cell r="W954">
            <v>1.77E-2</v>
          </cell>
          <cell r="X954">
            <v>1.9050000000000001E-2</v>
          </cell>
          <cell r="Y954">
            <v>2.0149999999999998E-2</v>
          </cell>
          <cell r="Z954">
            <v>2.1150000000000002E-2</v>
          </cell>
          <cell r="AA954">
            <v>2.2099999999999998E-2</v>
          </cell>
          <cell r="AB954">
            <v>2.3300000000000001E-2</v>
          </cell>
          <cell r="AC954">
            <v>2.4500000000000001E-2</v>
          </cell>
        </row>
        <row r="955">
          <cell r="T955">
            <v>38935</v>
          </cell>
          <cell r="U955">
            <v>1.6469000000000001E-2</v>
          </cell>
          <cell r="V955">
            <v>1.7172E-2</v>
          </cell>
          <cell r="W955">
            <v>1.78E-2</v>
          </cell>
          <cell r="X955">
            <v>1.915E-2</v>
          </cell>
          <cell r="Y955">
            <v>2.0400000000000001E-2</v>
          </cell>
          <cell r="Z955">
            <v>2.1349999999999997E-2</v>
          </cell>
          <cell r="AA955">
            <v>2.2250000000000002E-2</v>
          </cell>
          <cell r="AB955">
            <v>2.3550000000000001E-2</v>
          </cell>
          <cell r="AC955">
            <v>2.4699999999999996E-2</v>
          </cell>
        </row>
        <row r="956">
          <cell r="T956">
            <v>38934</v>
          </cell>
          <cell r="U956">
            <v>1.6469000000000001E-2</v>
          </cell>
          <cell r="V956">
            <v>1.7172E-2</v>
          </cell>
          <cell r="W956">
            <v>1.78E-2</v>
          </cell>
          <cell r="X956">
            <v>1.915E-2</v>
          </cell>
          <cell r="Y956">
            <v>2.0400000000000001E-2</v>
          </cell>
          <cell r="Z956">
            <v>2.1349999999999997E-2</v>
          </cell>
          <cell r="AA956">
            <v>2.2250000000000002E-2</v>
          </cell>
          <cell r="AB956">
            <v>2.3550000000000001E-2</v>
          </cell>
          <cell r="AC956">
            <v>2.4699999999999996E-2</v>
          </cell>
        </row>
        <row r="957">
          <cell r="T957">
            <v>38933</v>
          </cell>
          <cell r="U957">
            <v>1.6469000000000001E-2</v>
          </cell>
          <cell r="V957">
            <v>1.7172E-2</v>
          </cell>
          <cell r="W957">
            <v>1.78E-2</v>
          </cell>
          <cell r="X957">
            <v>1.915E-2</v>
          </cell>
          <cell r="Y957">
            <v>2.0400000000000001E-2</v>
          </cell>
          <cell r="Z957">
            <v>2.1349999999999997E-2</v>
          </cell>
          <cell r="AA957">
            <v>2.2250000000000002E-2</v>
          </cell>
          <cell r="AB957">
            <v>2.3550000000000001E-2</v>
          </cell>
          <cell r="AC957">
            <v>2.4699999999999996E-2</v>
          </cell>
        </row>
        <row r="958">
          <cell r="T958">
            <v>38932</v>
          </cell>
          <cell r="U958">
            <v>1.6469000000000001E-2</v>
          </cell>
          <cell r="V958">
            <v>1.7172E-2</v>
          </cell>
          <cell r="W958">
            <v>1.77E-2</v>
          </cell>
          <cell r="X958">
            <v>1.9099999999999999E-2</v>
          </cell>
          <cell r="Y958">
            <v>2.0250000000000001E-2</v>
          </cell>
          <cell r="Z958">
            <v>2.1250000000000002E-2</v>
          </cell>
          <cell r="AA958">
            <v>2.215E-2</v>
          </cell>
          <cell r="AB958">
            <v>2.3399999999999997E-2</v>
          </cell>
          <cell r="AC958">
            <v>2.4550000000000002E-2</v>
          </cell>
        </row>
        <row r="959">
          <cell r="T959">
            <v>38931</v>
          </cell>
          <cell r="U959">
            <v>1.635E-2</v>
          </cell>
          <cell r="V959">
            <v>1.7172E-2</v>
          </cell>
          <cell r="W959">
            <v>1.77E-2</v>
          </cell>
          <cell r="X959">
            <v>1.9E-2</v>
          </cell>
          <cell r="Y959">
            <v>2.0199999999999996E-2</v>
          </cell>
          <cell r="Z959">
            <v>2.1150000000000002E-2</v>
          </cell>
          <cell r="AA959">
            <v>2.2099999999999998E-2</v>
          </cell>
          <cell r="AB959">
            <v>2.3399999999999997E-2</v>
          </cell>
          <cell r="AC959">
            <v>2.4500000000000001E-2</v>
          </cell>
        </row>
        <row r="960">
          <cell r="T960">
            <v>38930</v>
          </cell>
          <cell r="U960">
            <v>1.6505000000000002E-2</v>
          </cell>
          <cell r="V960">
            <v>1.7242E-2</v>
          </cell>
          <cell r="W960">
            <v>1.77E-2</v>
          </cell>
          <cell r="X960">
            <v>1.9E-2</v>
          </cell>
          <cell r="Y960">
            <v>2.0149999999999998E-2</v>
          </cell>
          <cell r="Z960">
            <v>2.12E-2</v>
          </cell>
          <cell r="AA960">
            <v>2.205E-2</v>
          </cell>
          <cell r="AB960">
            <v>2.3399999999999997E-2</v>
          </cell>
          <cell r="AC960">
            <v>2.4850000000000004E-2</v>
          </cell>
        </row>
        <row r="961">
          <cell r="T961">
            <v>38929</v>
          </cell>
          <cell r="U961">
            <v>1.6485E-2</v>
          </cell>
          <cell r="V961">
            <v>1.7149000000000001E-2</v>
          </cell>
          <cell r="W961">
            <v>1.77E-2</v>
          </cell>
          <cell r="X961">
            <v>1.9199999999999998E-2</v>
          </cell>
          <cell r="Y961">
            <v>2.035E-2</v>
          </cell>
          <cell r="Z961">
            <v>2.1250000000000002E-2</v>
          </cell>
          <cell r="AA961">
            <v>2.2250000000000002E-2</v>
          </cell>
          <cell r="AB961">
            <v>2.3599999999999999E-2</v>
          </cell>
          <cell r="AC961">
            <v>2.495E-2</v>
          </cell>
        </row>
        <row r="962">
          <cell r="T962">
            <v>38928</v>
          </cell>
          <cell r="U962">
            <v>1.6327000000000001E-2</v>
          </cell>
          <cell r="V962">
            <v>1.7037E-2</v>
          </cell>
          <cell r="W962">
            <v>1.77E-2</v>
          </cell>
          <cell r="X962">
            <v>1.9300000000000001E-2</v>
          </cell>
          <cell r="Y962">
            <v>2.0549999999999999E-2</v>
          </cell>
          <cell r="Z962">
            <v>2.1600000000000001E-2</v>
          </cell>
          <cell r="AA962">
            <v>2.2400000000000003E-2</v>
          </cell>
          <cell r="AB962">
            <v>2.375E-2</v>
          </cell>
          <cell r="AC962">
            <v>2.5049999999999999E-2</v>
          </cell>
        </row>
        <row r="963">
          <cell r="T963">
            <v>38927</v>
          </cell>
          <cell r="U963">
            <v>1.6327000000000001E-2</v>
          </cell>
          <cell r="V963">
            <v>1.7037E-2</v>
          </cell>
          <cell r="W963">
            <v>1.77E-2</v>
          </cell>
          <cell r="X963">
            <v>1.9300000000000001E-2</v>
          </cell>
          <cell r="Y963">
            <v>2.0549999999999999E-2</v>
          </cell>
          <cell r="Z963">
            <v>2.1600000000000001E-2</v>
          </cell>
          <cell r="AA963">
            <v>2.2400000000000003E-2</v>
          </cell>
          <cell r="AB963">
            <v>2.375E-2</v>
          </cell>
          <cell r="AC963">
            <v>2.5049999999999999E-2</v>
          </cell>
        </row>
        <row r="964">
          <cell r="T964">
            <v>38926</v>
          </cell>
          <cell r="U964">
            <v>1.6327000000000001E-2</v>
          </cell>
          <cell r="V964">
            <v>1.7037E-2</v>
          </cell>
          <cell r="W964">
            <v>1.77E-2</v>
          </cell>
          <cell r="X964">
            <v>1.9300000000000001E-2</v>
          </cell>
          <cell r="Y964">
            <v>2.0549999999999999E-2</v>
          </cell>
          <cell r="Z964">
            <v>2.1600000000000001E-2</v>
          </cell>
          <cell r="AA964">
            <v>2.2400000000000003E-2</v>
          </cell>
          <cell r="AB964">
            <v>2.375E-2</v>
          </cell>
          <cell r="AC964">
            <v>2.5049999999999999E-2</v>
          </cell>
        </row>
        <row r="965">
          <cell r="T965">
            <v>38925</v>
          </cell>
          <cell r="U965">
            <v>1.6386999999999999E-2</v>
          </cell>
          <cell r="V965">
            <v>1.7052999999999999E-2</v>
          </cell>
          <cell r="W965">
            <v>1.7749999999999998E-2</v>
          </cell>
          <cell r="X965">
            <v>1.9400000000000001E-2</v>
          </cell>
          <cell r="Y965">
            <v>2.0599999999999997E-2</v>
          </cell>
          <cell r="Z965">
            <v>2.1649999999999999E-2</v>
          </cell>
          <cell r="AA965">
            <v>2.2550000000000001E-2</v>
          </cell>
          <cell r="AB965">
            <v>2.4150000000000001E-2</v>
          </cell>
          <cell r="AC965">
            <v>2.5099999999999997E-2</v>
          </cell>
        </row>
        <row r="966">
          <cell r="T966">
            <v>38924</v>
          </cell>
          <cell r="U966">
            <v>1.6402E-2</v>
          </cell>
          <cell r="V966">
            <v>1.7027999999999998E-2</v>
          </cell>
          <cell r="W966">
            <v>1.78E-2</v>
          </cell>
          <cell r="X966">
            <v>1.95E-2</v>
          </cell>
          <cell r="Y966">
            <v>2.0799999999999999E-2</v>
          </cell>
          <cell r="Z966">
            <v>2.18E-2</v>
          </cell>
          <cell r="AA966">
            <v>2.2700000000000001E-2</v>
          </cell>
          <cell r="AB966">
            <v>2.41E-2</v>
          </cell>
          <cell r="AC966">
            <v>2.5499999999999998E-2</v>
          </cell>
        </row>
        <row r="967">
          <cell r="T967">
            <v>38923</v>
          </cell>
          <cell r="U967">
            <v>1.6410000000000001E-2</v>
          </cell>
          <cell r="V967">
            <v>1.712E-2</v>
          </cell>
          <cell r="W967">
            <v>1.78E-2</v>
          </cell>
          <cell r="X967">
            <v>1.95E-2</v>
          </cell>
          <cell r="Y967">
            <v>2.0700000000000003E-2</v>
          </cell>
          <cell r="Z967">
            <v>2.1749999999999999E-2</v>
          </cell>
          <cell r="AA967">
            <v>2.2749999999999999E-2</v>
          </cell>
          <cell r="AB967">
            <v>2.4150000000000001E-2</v>
          </cell>
          <cell r="AC967">
            <v>2.5499999999999998E-2</v>
          </cell>
        </row>
        <row r="968">
          <cell r="T968">
            <v>38922</v>
          </cell>
          <cell r="U968">
            <v>1.6289999999999999E-2</v>
          </cell>
          <cell r="V968">
            <v>1.7103E-2</v>
          </cell>
          <cell r="W968">
            <v>1.78E-2</v>
          </cell>
          <cell r="X968">
            <v>1.95E-2</v>
          </cell>
          <cell r="Y968">
            <v>2.0750000000000001E-2</v>
          </cell>
          <cell r="Z968">
            <v>2.1749999999999999E-2</v>
          </cell>
          <cell r="AA968">
            <v>2.2750000000000003E-2</v>
          </cell>
          <cell r="AB968">
            <v>2.4150000000000001E-2</v>
          </cell>
          <cell r="AC968">
            <v>2.5499999999999998E-2</v>
          </cell>
        </row>
        <row r="969">
          <cell r="T969">
            <v>38921</v>
          </cell>
          <cell r="U969">
            <v>1.6289999999999999E-2</v>
          </cell>
          <cell r="V969">
            <v>1.7052999999999999E-2</v>
          </cell>
          <cell r="W969">
            <v>1.78E-2</v>
          </cell>
          <cell r="X969">
            <v>1.9550000000000001E-2</v>
          </cell>
          <cell r="Y969">
            <v>2.0750000000000001E-2</v>
          </cell>
          <cell r="Z969">
            <v>2.1749999999999999E-2</v>
          </cell>
          <cell r="AA969">
            <v>2.2750000000000003E-2</v>
          </cell>
          <cell r="AB969">
            <v>2.4050000000000002E-2</v>
          </cell>
          <cell r="AC969">
            <v>2.5465000000000002E-2</v>
          </cell>
        </row>
        <row r="970">
          <cell r="T970">
            <v>38920</v>
          </cell>
          <cell r="U970">
            <v>1.6289999999999999E-2</v>
          </cell>
          <cell r="V970">
            <v>1.7052999999999999E-2</v>
          </cell>
          <cell r="W970">
            <v>1.78E-2</v>
          </cell>
          <cell r="X970">
            <v>1.9550000000000001E-2</v>
          </cell>
          <cell r="Y970">
            <v>2.0750000000000001E-2</v>
          </cell>
          <cell r="Z970">
            <v>2.1749999999999999E-2</v>
          </cell>
          <cell r="AA970">
            <v>2.2750000000000003E-2</v>
          </cell>
          <cell r="AB970">
            <v>2.4050000000000002E-2</v>
          </cell>
          <cell r="AC970">
            <v>2.5465000000000002E-2</v>
          </cell>
        </row>
        <row r="971">
          <cell r="T971">
            <v>38919</v>
          </cell>
          <cell r="U971">
            <v>1.6289999999999999E-2</v>
          </cell>
          <cell r="V971">
            <v>1.7052999999999999E-2</v>
          </cell>
          <cell r="W971">
            <v>1.78E-2</v>
          </cell>
          <cell r="X971">
            <v>1.9550000000000001E-2</v>
          </cell>
          <cell r="Y971">
            <v>2.0750000000000001E-2</v>
          </cell>
          <cell r="Z971">
            <v>2.1749999999999999E-2</v>
          </cell>
          <cell r="AA971">
            <v>2.2750000000000003E-2</v>
          </cell>
          <cell r="AB971">
            <v>2.4050000000000002E-2</v>
          </cell>
          <cell r="AC971">
            <v>2.5465000000000002E-2</v>
          </cell>
        </row>
        <row r="972">
          <cell r="T972">
            <v>38918</v>
          </cell>
          <cell r="U972">
            <v>1.6322E-2</v>
          </cell>
          <cell r="V972">
            <v>1.6974E-2</v>
          </cell>
          <cell r="W972">
            <v>1.7899999999999999E-2</v>
          </cell>
          <cell r="X972">
            <v>1.9599999999999999E-2</v>
          </cell>
          <cell r="Y972">
            <v>2.0799999999999999E-2</v>
          </cell>
          <cell r="Z972">
            <v>2.1850000000000001E-2</v>
          </cell>
          <cell r="AA972">
            <v>2.2800000000000001E-2</v>
          </cell>
          <cell r="AB972">
            <v>2.41E-2</v>
          </cell>
          <cell r="AC972">
            <v>2.545E-2</v>
          </cell>
        </row>
        <row r="973">
          <cell r="T973">
            <v>38917</v>
          </cell>
          <cell r="U973">
            <v>1.6386999999999999E-2</v>
          </cell>
          <cell r="V973">
            <v>1.7056000000000002E-2</v>
          </cell>
          <cell r="W973">
            <v>1.7950000000000001E-2</v>
          </cell>
          <cell r="X973">
            <v>1.985E-2</v>
          </cell>
          <cell r="Y973">
            <v>2.1100000000000004E-2</v>
          </cell>
          <cell r="Z973">
            <v>2.2099999999999998E-2</v>
          </cell>
          <cell r="AA973">
            <v>2.3099999999999996E-2</v>
          </cell>
          <cell r="AB973">
            <v>2.4399999999999998E-2</v>
          </cell>
          <cell r="AC973">
            <v>2.58E-2</v>
          </cell>
        </row>
        <row r="974">
          <cell r="T974">
            <v>38916</v>
          </cell>
          <cell r="U974">
            <v>1.6341999999999999E-2</v>
          </cell>
          <cell r="V974">
            <v>1.7097999999999999E-2</v>
          </cell>
          <cell r="W974">
            <v>1.7950000000000001E-2</v>
          </cell>
          <cell r="X974">
            <v>1.985E-2</v>
          </cell>
          <cell r="Y974">
            <v>2.0999999999999998E-2</v>
          </cell>
          <cell r="Z974">
            <v>2.2000000000000002E-2</v>
          </cell>
          <cell r="AA974">
            <v>2.3E-2</v>
          </cell>
          <cell r="AB974">
            <v>2.435E-2</v>
          </cell>
          <cell r="AC974">
            <v>2.5699999999999997E-2</v>
          </cell>
        </row>
        <row r="975">
          <cell r="T975">
            <v>38915</v>
          </cell>
          <cell r="U975">
            <v>1.6386999999999999E-2</v>
          </cell>
          <cell r="V975">
            <v>1.7056000000000002E-2</v>
          </cell>
          <cell r="W975">
            <v>1.7899999999999999E-2</v>
          </cell>
          <cell r="X975">
            <v>1.9799999999999998E-2</v>
          </cell>
          <cell r="Y975">
            <v>2.0899999999999998E-2</v>
          </cell>
          <cell r="Z975">
            <v>2.2000000000000002E-2</v>
          </cell>
          <cell r="AA975">
            <v>2.29E-2</v>
          </cell>
          <cell r="AB975">
            <v>2.4249999999999997E-2</v>
          </cell>
          <cell r="AC975">
            <v>2.5549999999999996E-2</v>
          </cell>
        </row>
        <row r="976">
          <cell r="T976">
            <v>38914</v>
          </cell>
          <cell r="U976">
            <v>1.6386999999999999E-2</v>
          </cell>
          <cell r="V976">
            <v>1.7056000000000002E-2</v>
          </cell>
          <cell r="W976">
            <v>1.7899999999999999E-2</v>
          </cell>
          <cell r="X976">
            <v>1.9824999999999999E-2</v>
          </cell>
          <cell r="Y976">
            <v>2.0999999999999998E-2</v>
          </cell>
          <cell r="Z976">
            <v>2.2000000000000002E-2</v>
          </cell>
          <cell r="AA976">
            <v>2.3E-2</v>
          </cell>
          <cell r="AB976">
            <v>2.4299999999999999E-2</v>
          </cell>
          <cell r="AC976">
            <v>2.5699999999999997E-2</v>
          </cell>
        </row>
        <row r="977">
          <cell r="T977">
            <v>38913</v>
          </cell>
          <cell r="U977">
            <v>1.6386999999999999E-2</v>
          </cell>
          <cell r="V977">
            <v>1.7056000000000002E-2</v>
          </cell>
          <cell r="W977">
            <v>1.7899999999999999E-2</v>
          </cell>
          <cell r="X977">
            <v>1.9824999999999999E-2</v>
          </cell>
          <cell r="Y977">
            <v>2.0999999999999998E-2</v>
          </cell>
          <cell r="Z977">
            <v>2.2000000000000002E-2</v>
          </cell>
          <cell r="AA977">
            <v>2.3E-2</v>
          </cell>
          <cell r="AB977">
            <v>2.4299999999999999E-2</v>
          </cell>
          <cell r="AC977">
            <v>2.5699999999999997E-2</v>
          </cell>
        </row>
        <row r="978">
          <cell r="T978">
            <v>38912</v>
          </cell>
          <cell r="U978">
            <v>1.6386999999999999E-2</v>
          </cell>
          <cell r="V978">
            <v>1.7056000000000002E-2</v>
          </cell>
          <cell r="W978">
            <v>1.7899999999999999E-2</v>
          </cell>
          <cell r="X978">
            <v>1.9824999999999999E-2</v>
          </cell>
          <cell r="Y978">
            <v>2.0999999999999998E-2</v>
          </cell>
          <cell r="Z978">
            <v>2.2000000000000002E-2</v>
          </cell>
          <cell r="AA978">
            <v>2.3E-2</v>
          </cell>
          <cell r="AB978">
            <v>2.4299999999999999E-2</v>
          </cell>
          <cell r="AC978">
            <v>2.5699999999999997E-2</v>
          </cell>
        </row>
        <row r="979">
          <cell r="T979">
            <v>38911</v>
          </cell>
          <cell r="U979">
            <v>1.6393000000000001E-2</v>
          </cell>
          <cell r="V979">
            <v>1.7023E-2</v>
          </cell>
          <cell r="W979">
            <v>1.7950000000000001E-2</v>
          </cell>
          <cell r="X979">
            <v>1.9900000000000001E-2</v>
          </cell>
          <cell r="Y979">
            <v>2.1100000000000004E-2</v>
          </cell>
          <cell r="Z979">
            <v>2.2099999999999998E-2</v>
          </cell>
          <cell r="AA979">
            <v>2.3099999999999996E-2</v>
          </cell>
          <cell r="AB979">
            <v>2.445E-2</v>
          </cell>
          <cell r="AC979">
            <v>2.5849999999999998E-2</v>
          </cell>
        </row>
        <row r="980">
          <cell r="T980">
            <v>38910</v>
          </cell>
          <cell r="U980">
            <v>1.6368000000000001E-2</v>
          </cell>
          <cell r="V980">
            <v>1.7023E-2</v>
          </cell>
          <cell r="W980">
            <v>1.7950000000000001E-2</v>
          </cell>
          <cell r="X980">
            <v>1.985E-2</v>
          </cell>
          <cell r="Y980">
            <v>2.1100000000000004E-2</v>
          </cell>
          <cell r="Z980">
            <v>2.215E-2</v>
          </cell>
          <cell r="AA980">
            <v>2.3099999999999996E-2</v>
          </cell>
          <cell r="AB980">
            <v>2.445E-2</v>
          </cell>
          <cell r="AC980">
            <v>2.58E-2</v>
          </cell>
        </row>
        <row r="981">
          <cell r="T981">
            <v>38909</v>
          </cell>
          <cell r="U981">
            <v>1.6386999999999999E-2</v>
          </cell>
          <cell r="V981">
            <v>1.7056000000000002E-2</v>
          </cell>
          <cell r="W981">
            <v>1.8100000000000002E-2</v>
          </cell>
          <cell r="X981">
            <v>2.0099999999999996E-2</v>
          </cell>
          <cell r="Y981">
            <v>2.1299999999999999E-2</v>
          </cell>
          <cell r="Z981">
            <v>2.2400000000000003E-2</v>
          </cell>
          <cell r="AA981">
            <v>2.3399999999999997E-2</v>
          </cell>
          <cell r="AB981">
            <v>2.4799999999999999E-2</v>
          </cell>
          <cell r="AC981">
            <v>2.6200000000000001E-2</v>
          </cell>
        </row>
        <row r="982">
          <cell r="T982">
            <v>38908</v>
          </cell>
          <cell r="U982">
            <v>1.6386999999999999E-2</v>
          </cell>
          <cell r="V982">
            <v>1.7056000000000002E-2</v>
          </cell>
          <cell r="W982">
            <v>1.8249999999999999E-2</v>
          </cell>
          <cell r="X982">
            <v>2.0199999999999999E-2</v>
          </cell>
          <cell r="Y982">
            <v>2.1550000000000003E-2</v>
          </cell>
          <cell r="Z982">
            <v>2.2499999999999999E-2</v>
          </cell>
          <cell r="AA982">
            <v>2.3600000000000003E-2</v>
          </cell>
          <cell r="AB982">
            <v>2.5000000000000001E-2</v>
          </cell>
          <cell r="AC982">
            <v>2.6499999999999999E-2</v>
          </cell>
        </row>
        <row r="983">
          <cell r="T983">
            <v>38907</v>
          </cell>
          <cell r="U983">
            <v>1.6386999999999999E-2</v>
          </cell>
          <cell r="V983">
            <v>1.7056000000000002E-2</v>
          </cell>
          <cell r="W983">
            <v>1.8249999999999999E-2</v>
          </cell>
          <cell r="X983">
            <v>2.0199999999999996E-2</v>
          </cell>
          <cell r="Y983">
            <v>2.1600000000000001E-2</v>
          </cell>
          <cell r="Z983">
            <v>2.2499999999999999E-2</v>
          </cell>
          <cell r="AA983">
            <v>2.3550000000000001E-2</v>
          </cell>
          <cell r="AB983">
            <v>2.5000000000000001E-2</v>
          </cell>
          <cell r="AC983">
            <v>2.6450000000000001E-2</v>
          </cell>
        </row>
        <row r="984">
          <cell r="T984">
            <v>38906</v>
          </cell>
          <cell r="U984">
            <v>1.6386999999999999E-2</v>
          </cell>
          <cell r="V984">
            <v>1.7056000000000002E-2</v>
          </cell>
          <cell r="W984">
            <v>1.8249999999999999E-2</v>
          </cell>
          <cell r="X984">
            <v>2.0199999999999996E-2</v>
          </cell>
          <cell r="Y984">
            <v>2.1600000000000001E-2</v>
          </cell>
          <cell r="Z984">
            <v>2.2499999999999999E-2</v>
          </cell>
          <cell r="AA984">
            <v>2.3550000000000001E-2</v>
          </cell>
          <cell r="AB984">
            <v>2.5000000000000001E-2</v>
          </cell>
          <cell r="AC984">
            <v>2.6450000000000001E-2</v>
          </cell>
        </row>
        <row r="985">
          <cell r="T985">
            <v>38905</v>
          </cell>
          <cell r="U985">
            <v>1.6386999999999999E-2</v>
          </cell>
          <cell r="V985">
            <v>1.7056000000000002E-2</v>
          </cell>
          <cell r="W985">
            <v>1.8249999999999999E-2</v>
          </cell>
          <cell r="X985">
            <v>2.0199999999999996E-2</v>
          </cell>
          <cell r="Y985">
            <v>2.1600000000000001E-2</v>
          </cell>
          <cell r="Z985">
            <v>2.2499999999999999E-2</v>
          </cell>
          <cell r="AA985">
            <v>2.3550000000000001E-2</v>
          </cell>
          <cell r="AB985">
            <v>2.5000000000000001E-2</v>
          </cell>
          <cell r="AC985">
            <v>2.6450000000000001E-2</v>
          </cell>
        </row>
        <row r="986">
          <cell r="T986">
            <v>38904</v>
          </cell>
          <cell r="U986">
            <v>1.6386999999999999E-2</v>
          </cell>
          <cell r="V986">
            <v>1.7056000000000002E-2</v>
          </cell>
          <cell r="W986">
            <v>1.8100000000000002E-2</v>
          </cell>
          <cell r="X986">
            <v>0.02</v>
          </cell>
          <cell r="Y986">
            <v>2.1349999999999997E-2</v>
          </cell>
          <cell r="Z986">
            <v>2.2450000000000001E-2</v>
          </cell>
          <cell r="AA986">
            <v>2.3449999999999999E-2</v>
          </cell>
          <cell r="AB986">
            <v>2.4699999999999996E-2</v>
          </cell>
          <cell r="AC986">
            <v>2.6150000000000003E-2</v>
          </cell>
        </row>
        <row r="987">
          <cell r="T987">
            <v>38903</v>
          </cell>
          <cell r="U987">
            <v>1.6386999999999999E-2</v>
          </cell>
          <cell r="V987">
            <v>1.7080999999999999E-2</v>
          </cell>
          <cell r="W987">
            <v>1.7950000000000001E-2</v>
          </cell>
          <cell r="X987">
            <v>1.975E-2</v>
          </cell>
          <cell r="Y987">
            <v>2.1049999999999999E-2</v>
          </cell>
          <cell r="Z987">
            <v>2.205E-2</v>
          </cell>
          <cell r="AA987">
            <v>2.3E-2</v>
          </cell>
          <cell r="AB987">
            <v>2.435E-2</v>
          </cell>
          <cell r="AC987">
            <v>2.5699999999999997E-2</v>
          </cell>
        </row>
        <row r="988">
          <cell r="T988">
            <v>38902</v>
          </cell>
          <cell r="U988">
            <v>1.6466999999999999E-2</v>
          </cell>
          <cell r="V988">
            <v>1.7153999999999999E-2</v>
          </cell>
          <cell r="W988">
            <v>1.7899999999999999E-2</v>
          </cell>
          <cell r="X988">
            <v>1.975E-2</v>
          </cell>
          <cell r="Y988">
            <v>2.0899999999999998E-2</v>
          </cell>
          <cell r="Z988">
            <v>2.1899999999999999E-2</v>
          </cell>
          <cell r="AA988">
            <v>2.29E-2</v>
          </cell>
          <cell r="AB988">
            <v>2.4150000000000001E-2</v>
          </cell>
          <cell r="AC988">
            <v>2.5550000000000003E-2</v>
          </cell>
        </row>
        <row r="989">
          <cell r="T989">
            <v>38901</v>
          </cell>
          <cell r="U989">
            <v>1.6410000000000001E-2</v>
          </cell>
          <cell r="V989">
            <v>1.7107000000000001E-2</v>
          </cell>
          <cell r="W989">
            <v>1.7899999999999999E-2</v>
          </cell>
          <cell r="X989">
            <v>1.9599999999999999E-2</v>
          </cell>
          <cell r="Y989">
            <v>2.085E-2</v>
          </cell>
          <cell r="Z989">
            <v>2.1899999999999999E-2</v>
          </cell>
          <cell r="AA989">
            <v>2.2850000000000002E-2</v>
          </cell>
          <cell r="AB989">
            <v>2.41E-2</v>
          </cell>
          <cell r="AC989">
            <v>2.545E-2</v>
          </cell>
        </row>
        <row r="990">
          <cell r="T990">
            <v>38900</v>
          </cell>
          <cell r="U990">
            <v>1.635E-2</v>
          </cell>
          <cell r="V990">
            <v>1.7112000000000002E-2</v>
          </cell>
          <cell r="W990">
            <v>1.7899999999999999E-2</v>
          </cell>
          <cell r="X990">
            <v>1.9699999999999999E-2</v>
          </cell>
          <cell r="Y990">
            <v>2.0899999999999998E-2</v>
          </cell>
          <cell r="Z990">
            <v>2.1900000000000003E-2</v>
          </cell>
          <cell r="AA990">
            <v>2.29E-2</v>
          </cell>
          <cell r="AB990">
            <v>2.4199999999999999E-2</v>
          </cell>
          <cell r="AC990">
            <v>2.5499999999999998E-2</v>
          </cell>
        </row>
        <row r="991">
          <cell r="T991">
            <v>38899</v>
          </cell>
          <cell r="U991">
            <v>1.635E-2</v>
          </cell>
          <cell r="V991">
            <v>1.7112000000000002E-2</v>
          </cell>
          <cell r="W991">
            <v>1.7899999999999999E-2</v>
          </cell>
          <cell r="X991">
            <v>1.9699999999999999E-2</v>
          </cell>
          <cell r="Y991">
            <v>2.0899999999999998E-2</v>
          </cell>
          <cell r="Z991">
            <v>2.1900000000000003E-2</v>
          </cell>
          <cell r="AA991">
            <v>2.29E-2</v>
          </cell>
          <cell r="AB991">
            <v>2.4199999999999999E-2</v>
          </cell>
          <cell r="AC991">
            <v>2.5499999999999998E-2</v>
          </cell>
        </row>
        <row r="992">
          <cell r="T992">
            <v>38898</v>
          </cell>
          <cell r="U992">
            <v>1.635E-2</v>
          </cell>
          <cell r="V992">
            <v>1.7112000000000002E-2</v>
          </cell>
          <cell r="W992">
            <v>1.7899999999999999E-2</v>
          </cell>
          <cell r="X992">
            <v>1.9699999999999999E-2</v>
          </cell>
          <cell r="Y992">
            <v>2.0899999999999998E-2</v>
          </cell>
          <cell r="Z992">
            <v>2.1900000000000003E-2</v>
          </cell>
          <cell r="AA992">
            <v>2.29E-2</v>
          </cell>
          <cell r="AB992">
            <v>2.4199999999999999E-2</v>
          </cell>
          <cell r="AC992">
            <v>2.5499999999999998E-2</v>
          </cell>
        </row>
        <row r="993">
          <cell r="T993">
            <v>38897</v>
          </cell>
          <cell r="U993">
            <v>1.6274E-2</v>
          </cell>
          <cell r="V993">
            <v>1.7050999999999997E-2</v>
          </cell>
          <cell r="W993">
            <v>1.7850000000000001E-2</v>
          </cell>
          <cell r="X993">
            <v>1.9799999999999998E-2</v>
          </cell>
          <cell r="Y993">
            <v>2.1100000000000004E-2</v>
          </cell>
          <cell r="Z993">
            <v>2.2200000000000001E-2</v>
          </cell>
          <cell r="AA993">
            <v>2.3049999999999998E-2</v>
          </cell>
          <cell r="AB993">
            <v>2.4450000000000003E-2</v>
          </cell>
          <cell r="AC993">
            <v>2.5949999999999997E-2</v>
          </cell>
        </row>
        <row r="994">
          <cell r="T994">
            <v>38896</v>
          </cell>
          <cell r="U994">
            <v>1.6274E-2</v>
          </cell>
          <cell r="V994">
            <v>1.7050999999999997E-2</v>
          </cell>
          <cell r="W994">
            <v>1.7850000000000001E-2</v>
          </cell>
          <cell r="X994">
            <v>1.9649999999999997E-2</v>
          </cell>
          <cell r="Y994">
            <v>2.0949999999999996E-2</v>
          </cell>
          <cell r="Z994">
            <v>2.1899999999999999E-2</v>
          </cell>
          <cell r="AA994">
            <v>2.29E-2</v>
          </cell>
          <cell r="AB994">
            <v>2.4150000000000001E-2</v>
          </cell>
          <cell r="AC994">
            <v>2.5600000000000001E-2</v>
          </cell>
        </row>
        <row r="995">
          <cell r="T995">
            <v>38895</v>
          </cell>
          <cell r="U995">
            <v>1.6049999999999998E-2</v>
          </cell>
          <cell r="V995">
            <v>1.7229999999999999E-2</v>
          </cell>
          <cell r="W995">
            <v>1.78E-2</v>
          </cell>
          <cell r="X995">
            <v>1.9699999999999999E-2</v>
          </cell>
          <cell r="Y995">
            <v>2.1100000000000004E-2</v>
          </cell>
          <cell r="Z995">
            <v>2.2099999999999998E-2</v>
          </cell>
          <cell r="AA995">
            <v>2.3E-2</v>
          </cell>
          <cell r="AB995">
            <v>2.4300000000000002E-2</v>
          </cell>
          <cell r="AC995">
            <v>2.5649999999999999E-2</v>
          </cell>
        </row>
        <row r="996">
          <cell r="T996">
            <v>38894</v>
          </cell>
          <cell r="U996">
            <v>1.6029999999999999E-2</v>
          </cell>
          <cell r="V996">
            <v>1.7150000000000002E-2</v>
          </cell>
          <cell r="W996">
            <v>1.78E-2</v>
          </cell>
          <cell r="X996">
            <v>1.9599999999999999E-2</v>
          </cell>
          <cell r="Y996">
            <v>2.0999999999999998E-2</v>
          </cell>
          <cell r="Z996">
            <v>2.2000000000000002E-2</v>
          </cell>
          <cell r="AA996">
            <v>2.2949999999999998E-2</v>
          </cell>
          <cell r="AB996">
            <v>2.435E-2</v>
          </cell>
          <cell r="AC996">
            <v>2.5599999999999998E-2</v>
          </cell>
        </row>
        <row r="997">
          <cell r="T997">
            <v>38893</v>
          </cell>
          <cell r="U997">
            <v>1.593E-2</v>
          </cell>
          <cell r="V997">
            <v>1.6650000000000002E-2</v>
          </cell>
          <cell r="W997">
            <v>1.77E-2</v>
          </cell>
          <cell r="X997">
            <v>1.9550000000000001E-2</v>
          </cell>
          <cell r="Y997">
            <v>2.0899999999999998E-2</v>
          </cell>
          <cell r="Z997">
            <v>2.1950000000000004E-2</v>
          </cell>
          <cell r="AA997">
            <v>2.2800000000000001E-2</v>
          </cell>
          <cell r="AB997">
            <v>2.315E-2</v>
          </cell>
          <cell r="AC997">
            <v>2.5649999999999999E-2</v>
          </cell>
        </row>
        <row r="998">
          <cell r="T998">
            <v>38892</v>
          </cell>
          <cell r="U998">
            <v>1.593E-2</v>
          </cell>
          <cell r="V998">
            <v>1.6650000000000002E-2</v>
          </cell>
          <cell r="W998">
            <v>1.77E-2</v>
          </cell>
          <cell r="X998">
            <v>1.9550000000000001E-2</v>
          </cell>
          <cell r="Y998">
            <v>2.0899999999999998E-2</v>
          </cell>
          <cell r="Z998">
            <v>2.1950000000000004E-2</v>
          </cell>
          <cell r="AA998">
            <v>2.2800000000000001E-2</v>
          </cell>
          <cell r="AB998">
            <v>2.315E-2</v>
          </cell>
          <cell r="AC998">
            <v>2.5649999999999999E-2</v>
          </cell>
        </row>
        <row r="999">
          <cell r="T999">
            <v>38891</v>
          </cell>
          <cell r="U999">
            <v>1.593E-2</v>
          </cell>
          <cell r="V999">
            <v>1.6650000000000002E-2</v>
          </cell>
          <cell r="W999">
            <v>1.77E-2</v>
          </cell>
          <cell r="X999">
            <v>1.9550000000000001E-2</v>
          </cell>
          <cell r="Y999">
            <v>2.0899999999999998E-2</v>
          </cell>
          <cell r="Z999">
            <v>2.1950000000000004E-2</v>
          </cell>
          <cell r="AA999">
            <v>2.2800000000000001E-2</v>
          </cell>
          <cell r="AB999">
            <v>2.315E-2</v>
          </cell>
          <cell r="AC999">
            <v>2.5649999999999999E-2</v>
          </cell>
        </row>
        <row r="1000">
          <cell r="T1000">
            <v>38890</v>
          </cell>
          <cell r="U1000">
            <v>1.6407999999999999E-2</v>
          </cell>
          <cell r="V1000">
            <v>1.7117E-2</v>
          </cell>
          <cell r="W1000">
            <v>1.77E-2</v>
          </cell>
          <cell r="X1000">
            <v>1.9550000000000001E-2</v>
          </cell>
          <cell r="Y1000">
            <v>2.085E-2</v>
          </cell>
          <cell r="Z1000">
            <v>2.1899999999999999E-2</v>
          </cell>
          <cell r="AA1000">
            <v>2.2799999999999997E-2</v>
          </cell>
          <cell r="AB1000">
            <v>2.4050000000000002E-2</v>
          </cell>
          <cell r="AC1000">
            <v>2.5549999999999996E-2</v>
          </cell>
        </row>
        <row r="1001">
          <cell r="T1001">
            <v>38889</v>
          </cell>
          <cell r="U1001">
            <v>1.6364E-2</v>
          </cell>
          <cell r="V1001">
            <v>1.7100000000000001E-2</v>
          </cell>
          <cell r="W1001">
            <v>1.7749999999999998E-2</v>
          </cell>
          <cell r="X1001">
            <v>1.9599999999999999E-2</v>
          </cell>
          <cell r="Y1001">
            <v>2.1049999999999999E-2</v>
          </cell>
          <cell r="Z1001">
            <v>2.215E-2</v>
          </cell>
          <cell r="AA1001">
            <v>2.3099999999999996E-2</v>
          </cell>
          <cell r="AB1001">
            <v>2.4249999999999997E-2</v>
          </cell>
          <cell r="AC1001">
            <v>2.58E-2</v>
          </cell>
        </row>
        <row r="1002">
          <cell r="T1002">
            <v>38888</v>
          </cell>
          <cell r="U1002">
            <v>1.6442000000000002E-2</v>
          </cell>
          <cell r="V1002">
            <v>1.7191999999999999E-2</v>
          </cell>
          <cell r="W1002">
            <v>1.77E-2</v>
          </cell>
          <cell r="X1002">
            <v>1.9349999999999999E-2</v>
          </cell>
          <cell r="Y1002">
            <v>2.0750000000000001E-2</v>
          </cell>
          <cell r="Z1002">
            <v>2.1850000000000001E-2</v>
          </cell>
          <cell r="AA1002">
            <v>2.2800000000000001E-2</v>
          </cell>
          <cell r="AB1002">
            <v>2.3900000000000001E-2</v>
          </cell>
          <cell r="AC1002">
            <v>2.5350000000000001E-2</v>
          </cell>
        </row>
        <row r="1003">
          <cell r="T1003">
            <v>38887</v>
          </cell>
          <cell r="U1003">
            <v>1.6316999999999998E-2</v>
          </cell>
          <cell r="V1003">
            <v>1.7023E-2</v>
          </cell>
          <cell r="W1003">
            <v>1.77E-2</v>
          </cell>
          <cell r="X1003">
            <v>1.95E-2</v>
          </cell>
          <cell r="Y1003">
            <v>2.0999999999999998E-2</v>
          </cell>
          <cell r="Z1003">
            <v>2.215E-2</v>
          </cell>
          <cell r="AA1003">
            <v>2.3049999999999998E-2</v>
          </cell>
          <cell r="AB1003">
            <v>2.4249999999999997E-2</v>
          </cell>
          <cell r="AC1003">
            <v>2.5550000000000003E-2</v>
          </cell>
        </row>
        <row r="1004">
          <cell r="T1004">
            <v>38886</v>
          </cell>
          <cell r="U1004">
            <v>1.6316999999999998E-2</v>
          </cell>
          <cell r="V1004">
            <v>1.7023E-2</v>
          </cell>
          <cell r="W1004">
            <v>1.7749999999999998E-2</v>
          </cell>
          <cell r="X1004">
            <v>1.9450000000000002E-2</v>
          </cell>
          <cell r="Y1004">
            <v>2.1099999999999997E-2</v>
          </cell>
          <cell r="Z1004">
            <v>2.2199999999999998E-2</v>
          </cell>
          <cell r="AA1004">
            <v>2.3049999999999998E-2</v>
          </cell>
          <cell r="AB1004">
            <v>2.41E-2</v>
          </cell>
          <cell r="AC1004">
            <v>2.5600000000000001E-2</v>
          </cell>
        </row>
        <row r="1005">
          <cell r="T1005">
            <v>38885</v>
          </cell>
          <cell r="U1005">
            <v>1.6316999999999998E-2</v>
          </cell>
          <cell r="V1005">
            <v>1.7023E-2</v>
          </cell>
          <cell r="W1005">
            <v>1.7749999999999998E-2</v>
          </cell>
          <cell r="X1005">
            <v>1.9450000000000002E-2</v>
          </cell>
          <cell r="Y1005">
            <v>2.1099999999999997E-2</v>
          </cell>
          <cell r="Z1005">
            <v>2.2199999999999998E-2</v>
          </cell>
          <cell r="AA1005">
            <v>2.3049999999999998E-2</v>
          </cell>
          <cell r="AB1005">
            <v>2.41E-2</v>
          </cell>
          <cell r="AC1005">
            <v>2.5600000000000001E-2</v>
          </cell>
        </row>
        <row r="1006">
          <cell r="T1006">
            <v>38884</v>
          </cell>
          <cell r="U1006">
            <v>1.6316999999999998E-2</v>
          </cell>
          <cell r="V1006">
            <v>1.7023E-2</v>
          </cell>
          <cell r="W1006">
            <v>1.7749999999999998E-2</v>
          </cell>
          <cell r="X1006">
            <v>1.9450000000000002E-2</v>
          </cell>
          <cell r="Y1006">
            <v>2.1099999999999997E-2</v>
          </cell>
          <cell r="Z1006">
            <v>2.2199999999999998E-2</v>
          </cell>
          <cell r="AA1006">
            <v>2.3049999999999998E-2</v>
          </cell>
          <cell r="AB1006">
            <v>2.41E-2</v>
          </cell>
          <cell r="AC1006">
            <v>2.5600000000000001E-2</v>
          </cell>
        </row>
        <row r="1007">
          <cell r="T1007">
            <v>38883</v>
          </cell>
          <cell r="U1007">
            <v>1.6261999999999999E-2</v>
          </cell>
          <cell r="V1007">
            <v>1.6968E-2</v>
          </cell>
          <cell r="W1007">
            <v>1.7650000000000002E-2</v>
          </cell>
          <cell r="X1007">
            <v>1.95E-2</v>
          </cell>
          <cell r="Y1007">
            <v>2.0899999999999998E-2</v>
          </cell>
          <cell r="Z1007">
            <v>2.205E-2</v>
          </cell>
          <cell r="AA1007">
            <v>2.2949999999999998E-2</v>
          </cell>
          <cell r="AB1007">
            <v>2.4199999999999999E-2</v>
          </cell>
          <cell r="AC1007">
            <v>2.5300000000000003E-2</v>
          </cell>
        </row>
        <row r="1008">
          <cell r="T1008">
            <v>38882</v>
          </cell>
          <cell r="U1008">
            <v>1.6046000000000001E-2</v>
          </cell>
          <cell r="V1008">
            <v>1.678E-2</v>
          </cell>
          <cell r="W1008">
            <v>1.77E-2</v>
          </cell>
          <cell r="X1008">
            <v>1.9450000000000002E-2</v>
          </cell>
          <cell r="Y1008">
            <v>2.0799999999999999E-2</v>
          </cell>
          <cell r="Z1008">
            <v>2.205E-2</v>
          </cell>
          <cell r="AA1008">
            <v>2.2949999999999998E-2</v>
          </cell>
          <cell r="AB1008">
            <v>2.3899999999999998E-2</v>
          </cell>
          <cell r="AC1008">
            <v>2.5700000000000004E-2</v>
          </cell>
        </row>
        <row r="1009">
          <cell r="T1009">
            <v>38881</v>
          </cell>
          <cell r="U1009">
            <v>1.601E-2</v>
          </cell>
          <cell r="V1009">
            <v>1.6759E-2</v>
          </cell>
          <cell r="W1009">
            <v>1.7650000000000002E-2</v>
          </cell>
          <cell r="X1009">
            <v>1.9349999999999999E-2</v>
          </cell>
          <cell r="Y1009">
            <v>2.0799999999999999E-2</v>
          </cell>
          <cell r="Z1009">
            <v>2.1899999999999999E-2</v>
          </cell>
          <cell r="AA1009">
            <v>2.2800000000000001E-2</v>
          </cell>
          <cell r="AB1009">
            <v>2.3899999999999998E-2</v>
          </cell>
          <cell r="AC1009">
            <v>2.5649999999999999E-2</v>
          </cell>
        </row>
        <row r="1010">
          <cell r="T1010">
            <v>38880</v>
          </cell>
          <cell r="U1010">
            <v>1.6064000000000002E-2</v>
          </cell>
          <cell r="V1010">
            <v>1.6912E-2</v>
          </cell>
          <cell r="W1010">
            <v>1.77E-2</v>
          </cell>
          <cell r="X1010">
            <v>1.9400000000000001E-2</v>
          </cell>
          <cell r="Y1010">
            <v>2.1100000000000004E-2</v>
          </cell>
          <cell r="Z1010">
            <v>2.2099999999999998E-2</v>
          </cell>
          <cell r="AA1010">
            <v>2.3099999999999999E-2</v>
          </cell>
          <cell r="AB1010">
            <v>2.4199999999999999E-2</v>
          </cell>
          <cell r="AC1010">
            <v>2.58E-2</v>
          </cell>
        </row>
        <row r="1011">
          <cell r="T1011">
            <v>38879</v>
          </cell>
          <cell r="U1011">
            <v>1.5969999999999998E-2</v>
          </cell>
          <cell r="V1011">
            <v>1.6785000000000001E-2</v>
          </cell>
          <cell r="W1011">
            <v>1.78E-2</v>
          </cell>
          <cell r="X1011">
            <v>1.9449999999999999E-2</v>
          </cell>
          <cell r="Y1011">
            <v>2.1100000000000004E-2</v>
          </cell>
          <cell r="Z1011">
            <v>2.2200000000000001E-2</v>
          </cell>
          <cell r="AA1011">
            <v>2.3099999999999996E-2</v>
          </cell>
          <cell r="AB1011">
            <v>2.4199999999999999E-2</v>
          </cell>
          <cell r="AC1011">
            <v>2.5849999999999998E-2</v>
          </cell>
        </row>
        <row r="1012">
          <cell r="T1012">
            <v>38878</v>
          </cell>
          <cell r="U1012">
            <v>1.5969999999999998E-2</v>
          </cell>
          <cell r="V1012">
            <v>1.6785000000000001E-2</v>
          </cell>
          <cell r="W1012">
            <v>1.78E-2</v>
          </cell>
          <cell r="X1012">
            <v>1.9449999999999999E-2</v>
          </cell>
          <cell r="Y1012">
            <v>2.1100000000000004E-2</v>
          </cell>
          <cell r="Z1012">
            <v>2.2200000000000001E-2</v>
          </cell>
          <cell r="AA1012">
            <v>2.3099999999999996E-2</v>
          </cell>
          <cell r="AB1012">
            <v>2.4199999999999999E-2</v>
          </cell>
          <cell r="AC1012">
            <v>2.5849999999999998E-2</v>
          </cell>
        </row>
        <row r="1013">
          <cell r="T1013">
            <v>38877</v>
          </cell>
          <cell r="U1013">
            <v>1.5969999999999998E-2</v>
          </cell>
          <cell r="V1013">
            <v>1.6785000000000001E-2</v>
          </cell>
          <cell r="W1013">
            <v>1.78E-2</v>
          </cell>
          <cell r="X1013">
            <v>1.9449999999999999E-2</v>
          </cell>
          <cell r="Y1013">
            <v>2.1100000000000004E-2</v>
          </cell>
          <cell r="Z1013">
            <v>2.2200000000000001E-2</v>
          </cell>
          <cell r="AA1013">
            <v>2.3099999999999996E-2</v>
          </cell>
          <cell r="AB1013">
            <v>2.4199999999999999E-2</v>
          </cell>
          <cell r="AC1013">
            <v>2.5849999999999998E-2</v>
          </cell>
        </row>
        <row r="1014">
          <cell r="T1014">
            <v>38876</v>
          </cell>
          <cell r="U1014">
            <v>1.5952999999999998E-2</v>
          </cell>
          <cell r="V1014">
            <v>1.6785000000000001E-2</v>
          </cell>
          <cell r="W1014">
            <v>1.755E-2</v>
          </cell>
          <cell r="X1014">
            <v>1.9050000000000001E-2</v>
          </cell>
          <cell r="Y1014">
            <v>2.085E-2</v>
          </cell>
          <cell r="Z1014">
            <v>2.205E-2</v>
          </cell>
          <cell r="AA1014">
            <v>2.2800000000000001E-2</v>
          </cell>
          <cell r="AB1014">
            <v>2.4000000000000004E-2</v>
          </cell>
          <cell r="AC1014">
            <v>2.5549999999999996E-2</v>
          </cell>
        </row>
        <row r="1015">
          <cell r="T1015">
            <v>38875</v>
          </cell>
          <cell r="U1015">
            <v>1.5952999999999998E-2</v>
          </cell>
          <cell r="V1015">
            <v>1.6785000000000001E-2</v>
          </cell>
          <cell r="W1015">
            <v>1.7650000000000002E-2</v>
          </cell>
          <cell r="X1015">
            <v>1.9450000000000002E-2</v>
          </cell>
          <cell r="Y1015">
            <v>2.1150000000000002E-2</v>
          </cell>
          <cell r="Z1015">
            <v>2.23E-2</v>
          </cell>
          <cell r="AA1015">
            <v>2.315E-2</v>
          </cell>
          <cell r="AB1015">
            <v>2.4399999999999998E-2</v>
          </cell>
          <cell r="AC1015">
            <v>2.6100000000000002E-2</v>
          </cell>
        </row>
        <row r="1016">
          <cell r="T1016">
            <v>38874</v>
          </cell>
          <cell r="U1016">
            <v>1.5996E-2</v>
          </cell>
          <cell r="V1016">
            <v>1.6759E-2</v>
          </cell>
          <cell r="W1016">
            <v>1.7749999999999998E-2</v>
          </cell>
          <cell r="X1016">
            <v>1.9550000000000001E-2</v>
          </cell>
          <cell r="Y1016">
            <v>2.145E-2</v>
          </cell>
          <cell r="Z1016">
            <v>2.2600000000000002E-2</v>
          </cell>
          <cell r="AA1016">
            <v>2.3499999999999997E-2</v>
          </cell>
          <cell r="AB1016">
            <v>2.4799999999999999E-2</v>
          </cell>
          <cell r="AC1016">
            <v>2.6499999999999999E-2</v>
          </cell>
        </row>
        <row r="1017">
          <cell r="T1017">
            <v>38873</v>
          </cell>
          <cell r="U1017">
            <v>1.5952999999999998E-2</v>
          </cell>
          <cell r="V1017">
            <v>1.6785000000000001E-2</v>
          </cell>
          <cell r="W1017">
            <v>1.7650000000000002E-2</v>
          </cell>
          <cell r="X1017">
            <v>1.9599999999999999E-2</v>
          </cell>
          <cell r="Y1017">
            <v>2.145E-2</v>
          </cell>
          <cell r="Z1017">
            <v>2.2550000000000001E-2</v>
          </cell>
          <cell r="AA1017">
            <v>2.3499999999999997E-2</v>
          </cell>
          <cell r="AB1017">
            <v>2.4649999999999998E-2</v>
          </cell>
          <cell r="AC1017">
            <v>2.6399999999999996E-2</v>
          </cell>
        </row>
        <row r="1018">
          <cell r="T1018">
            <v>38872</v>
          </cell>
          <cell r="U1018">
            <v>1.5996E-2</v>
          </cell>
          <cell r="V1018">
            <v>1.6759E-2</v>
          </cell>
          <cell r="W1018">
            <v>1.7749999999999998E-2</v>
          </cell>
          <cell r="X1018">
            <v>1.9949999999999999E-2</v>
          </cell>
          <cell r="Y1018">
            <v>2.205E-2</v>
          </cell>
          <cell r="Z1018">
            <v>2.3250000000000003E-2</v>
          </cell>
          <cell r="AA1018">
            <v>2.4150000000000001E-2</v>
          </cell>
          <cell r="AB1018">
            <v>2.5399999999999999E-2</v>
          </cell>
          <cell r="AC1018">
            <v>2.7149999999999997E-2</v>
          </cell>
        </row>
        <row r="1019">
          <cell r="T1019">
            <v>38871</v>
          </cell>
          <cell r="U1019">
            <v>1.5996E-2</v>
          </cell>
          <cell r="V1019">
            <v>1.6759E-2</v>
          </cell>
          <cell r="W1019">
            <v>1.7749999999999998E-2</v>
          </cell>
          <cell r="X1019">
            <v>1.9949999999999999E-2</v>
          </cell>
          <cell r="Y1019">
            <v>2.205E-2</v>
          </cell>
          <cell r="Z1019">
            <v>2.3250000000000003E-2</v>
          </cell>
          <cell r="AA1019">
            <v>2.4150000000000001E-2</v>
          </cell>
          <cell r="AB1019">
            <v>2.5399999999999999E-2</v>
          </cell>
          <cell r="AC1019">
            <v>2.7149999999999997E-2</v>
          </cell>
        </row>
        <row r="1020">
          <cell r="T1020">
            <v>38870</v>
          </cell>
          <cell r="U1020">
            <v>1.5996E-2</v>
          </cell>
          <cell r="V1020">
            <v>1.6759E-2</v>
          </cell>
          <cell r="W1020">
            <v>1.7749999999999998E-2</v>
          </cell>
          <cell r="X1020">
            <v>1.9949999999999999E-2</v>
          </cell>
          <cell r="Y1020">
            <v>2.205E-2</v>
          </cell>
          <cell r="Z1020">
            <v>2.3250000000000003E-2</v>
          </cell>
          <cell r="AA1020">
            <v>2.4150000000000001E-2</v>
          </cell>
          <cell r="AB1020">
            <v>2.5399999999999999E-2</v>
          </cell>
          <cell r="AC1020">
            <v>2.7149999999999997E-2</v>
          </cell>
        </row>
        <row r="1021">
          <cell r="T1021">
            <v>38869</v>
          </cell>
          <cell r="U1021">
            <v>1.6005999999999999E-2</v>
          </cell>
          <cell r="V1021">
            <v>1.6754000000000002E-2</v>
          </cell>
          <cell r="W1021">
            <v>1.7899999999999999E-2</v>
          </cell>
          <cell r="X1021">
            <v>2.0099999999999996E-2</v>
          </cell>
          <cell r="Y1021">
            <v>2.215E-2</v>
          </cell>
          <cell r="Z1021">
            <v>2.3349999999999999E-2</v>
          </cell>
          <cell r="AA1021">
            <v>2.4199999999999999E-2</v>
          </cell>
          <cell r="AB1021">
            <v>2.5600000000000001E-2</v>
          </cell>
          <cell r="AC1021">
            <v>2.7050000000000001E-2</v>
          </cell>
        </row>
        <row r="1022">
          <cell r="T1022">
            <v>38868</v>
          </cell>
          <cell r="U1022">
            <v>1.6005999999999999E-2</v>
          </cell>
          <cell r="V1022">
            <v>1.6754000000000002E-2</v>
          </cell>
          <cell r="W1022">
            <v>1.7850000000000001E-2</v>
          </cell>
          <cell r="X1022">
            <v>0.02</v>
          </cell>
          <cell r="Y1022">
            <v>2.2000000000000002E-2</v>
          </cell>
          <cell r="Z1022">
            <v>2.3199999999999998E-2</v>
          </cell>
          <cell r="AA1022">
            <v>2.41E-2</v>
          </cell>
          <cell r="AB1022">
            <v>2.5300000000000003E-2</v>
          </cell>
          <cell r="AC1022">
            <v>2.69E-2</v>
          </cell>
        </row>
        <row r="1023">
          <cell r="T1023">
            <v>38867</v>
          </cell>
          <cell r="U1023">
            <v>1.6005999999999999E-2</v>
          </cell>
          <cell r="V1023">
            <v>1.6754000000000002E-2</v>
          </cell>
          <cell r="W1023">
            <v>1.7850000000000001E-2</v>
          </cell>
          <cell r="X1023">
            <v>0.02</v>
          </cell>
          <cell r="Y1023">
            <v>2.2000000000000002E-2</v>
          </cell>
          <cell r="Z1023">
            <v>2.3199999999999998E-2</v>
          </cell>
          <cell r="AA1023">
            <v>2.41E-2</v>
          </cell>
          <cell r="AB1023">
            <v>2.5300000000000003E-2</v>
          </cell>
          <cell r="AC1023">
            <v>2.69E-2</v>
          </cell>
        </row>
        <row r="1024">
          <cell r="T1024">
            <v>38866</v>
          </cell>
          <cell r="U1024">
            <v>1.6005999999999999E-2</v>
          </cell>
          <cell r="V1024">
            <v>1.6754000000000002E-2</v>
          </cell>
          <cell r="W1024">
            <v>1.7850000000000001E-2</v>
          </cell>
          <cell r="X1024">
            <v>1.9799999999999998E-2</v>
          </cell>
          <cell r="Y1024">
            <v>2.1850000000000001E-2</v>
          </cell>
          <cell r="Z1024">
            <v>2.3099999999999996E-2</v>
          </cell>
          <cell r="AA1024">
            <v>2.3900000000000001E-2</v>
          </cell>
          <cell r="AB1024">
            <v>2.5199999999999997E-2</v>
          </cell>
          <cell r="AC1024">
            <v>2.7000000000000003E-2</v>
          </cell>
        </row>
        <row r="1025">
          <cell r="T1025">
            <v>38865</v>
          </cell>
          <cell r="U1025">
            <v>1.6005999999999999E-2</v>
          </cell>
          <cell r="V1025">
            <v>1.6754000000000002E-2</v>
          </cell>
          <cell r="W1025">
            <v>1.7950000000000001E-2</v>
          </cell>
          <cell r="X1025">
            <v>2.0400000000000001E-2</v>
          </cell>
          <cell r="Y1025">
            <v>2.2450000000000001E-2</v>
          </cell>
          <cell r="Z1025">
            <v>2.3700000000000002E-2</v>
          </cell>
          <cell r="AA1025">
            <v>2.445E-2</v>
          </cell>
          <cell r="AB1025">
            <v>2.58E-2</v>
          </cell>
          <cell r="AC1025">
            <v>2.7699999999999999E-2</v>
          </cell>
        </row>
        <row r="1026">
          <cell r="T1026">
            <v>38864</v>
          </cell>
          <cell r="U1026">
            <v>1.6005999999999999E-2</v>
          </cell>
          <cell r="V1026">
            <v>1.6754000000000002E-2</v>
          </cell>
          <cell r="W1026">
            <v>1.7950000000000001E-2</v>
          </cell>
          <cell r="X1026">
            <v>2.0400000000000001E-2</v>
          </cell>
          <cell r="Y1026">
            <v>2.2450000000000001E-2</v>
          </cell>
          <cell r="Z1026">
            <v>2.3700000000000002E-2</v>
          </cell>
          <cell r="AA1026">
            <v>2.445E-2</v>
          </cell>
          <cell r="AB1026">
            <v>2.58E-2</v>
          </cell>
          <cell r="AC1026">
            <v>2.7699999999999999E-2</v>
          </cell>
        </row>
        <row r="1027">
          <cell r="T1027">
            <v>38863</v>
          </cell>
          <cell r="U1027">
            <v>1.6005999999999999E-2</v>
          </cell>
          <cell r="V1027">
            <v>1.6754000000000002E-2</v>
          </cell>
          <cell r="W1027">
            <v>1.7950000000000001E-2</v>
          </cell>
          <cell r="X1027">
            <v>2.0400000000000001E-2</v>
          </cell>
          <cell r="Y1027">
            <v>2.2450000000000001E-2</v>
          </cell>
          <cell r="Z1027">
            <v>2.3700000000000002E-2</v>
          </cell>
          <cell r="AA1027">
            <v>2.445E-2</v>
          </cell>
          <cell r="AB1027">
            <v>2.58E-2</v>
          </cell>
          <cell r="AC1027">
            <v>2.7699999999999999E-2</v>
          </cell>
        </row>
        <row r="1028">
          <cell r="T1028">
            <v>38862</v>
          </cell>
          <cell r="U1028">
            <v>1.5977000000000002E-2</v>
          </cell>
          <cell r="V1028">
            <v>1.6739999999999998E-2</v>
          </cell>
          <cell r="W1028">
            <v>1.805E-2</v>
          </cell>
          <cell r="X1028">
            <v>2.0300000000000002E-2</v>
          </cell>
          <cell r="Y1028">
            <v>2.215E-2</v>
          </cell>
          <cell r="Z1028">
            <v>2.3499999999999997E-2</v>
          </cell>
          <cell r="AA1028">
            <v>2.4249999999999997E-2</v>
          </cell>
          <cell r="AB1028">
            <v>2.5750000000000002E-2</v>
          </cell>
          <cell r="AC1028">
            <v>2.75E-2</v>
          </cell>
        </row>
        <row r="1029">
          <cell r="T1029">
            <v>38861</v>
          </cell>
          <cell r="U1029">
            <v>1.5990999999999998E-2</v>
          </cell>
          <cell r="V1029">
            <v>1.6837999999999999E-2</v>
          </cell>
          <cell r="W1029">
            <v>1.8000000000000002E-2</v>
          </cell>
          <cell r="X1029">
            <v>2.0199999999999999E-2</v>
          </cell>
          <cell r="Y1029">
            <v>2.2099999999999998E-2</v>
          </cell>
          <cell r="Z1029">
            <v>2.3250000000000003E-2</v>
          </cell>
          <cell r="AA1029">
            <v>2.4199999999999999E-2</v>
          </cell>
          <cell r="AB1029">
            <v>2.5649999999999999E-2</v>
          </cell>
          <cell r="AC1029">
            <v>2.7300000000000001E-2</v>
          </cell>
        </row>
        <row r="1030">
          <cell r="T1030">
            <v>38860</v>
          </cell>
          <cell r="U1030">
            <v>1.5977000000000002E-2</v>
          </cell>
          <cell r="V1030">
            <v>1.6739999999999998E-2</v>
          </cell>
          <cell r="W1030">
            <v>1.8100000000000002E-2</v>
          </cell>
          <cell r="X1030">
            <v>2.0300000000000002E-2</v>
          </cell>
          <cell r="Y1030">
            <v>2.2099999999999998E-2</v>
          </cell>
          <cell r="Z1030">
            <v>2.3199999999999998E-2</v>
          </cell>
          <cell r="AA1030">
            <v>2.4199999999999999E-2</v>
          </cell>
          <cell r="AB1030">
            <v>2.5399999999999999E-2</v>
          </cell>
          <cell r="AC1030">
            <v>2.7199999999999998E-2</v>
          </cell>
        </row>
        <row r="1031">
          <cell r="T1031">
            <v>38859</v>
          </cell>
          <cell r="U1031">
            <v>1.6055E-2</v>
          </cell>
          <cell r="V1031">
            <v>1.6813000000000002E-2</v>
          </cell>
          <cell r="W1031">
            <v>1.805E-2</v>
          </cell>
          <cell r="X1031">
            <v>2.0449999999999999E-2</v>
          </cell>
          <cell r="Y1031">
            <v>2.215E-2</v>
          </cell>
          <cell r="Z1031">
            <v>2.3349999999999999E-2</v>
          </cell>
          <cell r="AA1031">
            <v>2.4500000000000001E-2</v>
          </cell>
          <cell r="AB1031">
            <v>2.5849999999999998E-2</v>
          </cell>
          <cell r="AC1031">
            <v>2.7300000000000001E-2</v>
          </cell>
        </row>
        <row r="1032">
          <cell r="T1032">
            <v>38858</v>
          </cell>
          <cell r="U1032">
            <v>1.6055E-2</v>
          </cell>
          <cell r="V1032">
            <v>1.6813000000000002E-2</v>
          </cell>
          <cell r="W1032">
            <v>1.8000000000000002E-2</v>
          </cell>
          <cell r="X1032">
            <v>2.035E-2</v>
          </cell>
          <cell r="Y1032">
            <v>2.2350000000000002E-2</v>
          </cell>
          <cell r="Z1032">
            <v>2.3499999999999997E-2</v>
          </cell>
          <cell r="AA1032">
            <v>2.4450000000000003E-2</v>
          </cell>
          <cell r="AB1032">
            <v>2.5949999999999997E-2</v>
          </cell>
          <cell r="AC1032">
            <v>2.7300000000000001E-2</v>
          </cell>
        </row>
        <row r="1033">
          <cell r="T1033">
            <v>38857</v>
          </cell>
          <cell r="U1033">
            <v>1.6055E-2</v>
          </cell>
          <cell r="V1033">
            <v>1.6813000000000002E-2</v>
          </cell>
          <cell r="W1033">
            <v>1.8000000000000002E-2</v>
          </cell>
          <cell r="X1033">
            <v>2.035E-2</v>
          </cell>
          <cell r="Y1033">
            <v>2.2350000000000002E-2</v>
          </cell>
          <cell r="Z1033">
            <v>2.3499999999999997E-2</v>
          </cell>
          <cell r="AA1033">
            <v>2.4450000000000003E-2</v>
          </cell>
          <cell r="AB1033">
            <v>2.5949999999999997E-2</v>
          </cell>
          <cell r="AC1033">
            <v>2.7300000000000001E-2</v>
          </cell>
        </row>
        <row r="1034">
          <cell r="T1034">
            <v>38856</v>
          </cell>
          <cell r="U1034">
            <v>1.6055E-2</v>
          </cell>
          <cell r="V1034">
            <v>1.6813000000000002E-2</v>
          </cell>
          <cell r="W1034">
            <v>1.8000000000000002E-2</v>
          </cell>
          <cell r="X1034">
            <v>2.035E-2</v>
          </cell>
          <cell r="Y1034">
            <v>2.2350000000000002E-2</v>
          </cell>
          <cell r="Z1034">
            <v>2.3499999999999997E-2</v>
          </cell>
          <cell r="AA1034">
            <v>2.4450000000000003E-2</v>
          </cell>
          <cell r="AB1034">
            <v>2.5949999999999997E-2</v>
          </cell>
          <cell r="AC1034">
            <v>2.7300000000000001E-2</v>
          </cell>
        </row>
        <row r="1035">
          <cell r="T1035">
            <v>38855</v>
          </cell>
          <cell r="U1035">
            <v>1.5933000000000003E-2</v>
          </cell>
          <cell r="V1035">
            <v>1.6707999999999997E-2</v>
          </cell>
          <cell r="W1035">
            <v>1.805E-2</v>
          </cell>
          <cell r="X1035">
            <v>2.07E-2</v>
          </cell>
          <cell r="Y1035">
            <v>2.2700000000000001E-2</v>
          </cell>
          <cell r="Z1035">
            <v>2.4E-2</v>
          </cell>
          <cell r="AA1035">
            <v>2.4899999999999999E-2</v>
          </cell>
          <cell r="AB1035">
            <v>2.6749999999999999E-2</v>
          </cell>
          <cell r="AC1035">
            <v>2.7900000000000001E-2</v>
          </cell>
        </row>
        <row r="1036">
          <cell r="T1036">
            <v>38854</v>
          </cell>
          <cell r="U1036">
            <v>1.5933000000000003E-2</v>
          </cell>
          <cell r="V1036">
            <v>1.6707999999999997E-2</v>
          </cell>
          <cell r="W1036">
            <v>1.805E-2</v>
          </cell>
          <cell r="X1036">
            <v>2.085E-2</v>
          </cell>
          <cell r="Y1036">
            <v>2.2799999999999997E-2</v>
          </cell>
          <cell r="Z1036">
            <v>2.4199999999999999E-2</v>
          </cell>
          <cell r="AA1036">
            <v>2.52E-2</v>
          </cell>
          <cell r="AB1036">
            <v>2.665E-2</v>
          </cell>
          <cell r="AC1036">
            <v>2.86E-2</v>
          </cell>
        </row>
        <row r="1037">
          <cell r="T1037">
            <v>38853</v>
          </cell>
          <cell r="U1037">
            <v>1.5890000000000001E-2</v>
          </cell>
          <cell r="V1037">
            <v>1.6646999999999999E-2</v>
          </cell>
          <cell r="W1037">
            <v>1.8349999999999998E-2</v>
          </cell>
          <cell r="X1037">
            <v>2.1299999999999999E-2</v>
          </cell>
          <cell r="Y1037">
            <v>2.3550000000000001E-2</v>
          </cell>
          <cell r="Z1037">
            <v>2.5049999999999999E-2</v>
          </cell>
          <cell r="AA1037">
            <v>2.605E-2</v>
          </cell>
          <cell r="AB1037">
            <v>2.7900000000000001E-2</v>
          </cell>
          <cell r="AC1037">
            <v>2.4699999999999996E-2</v>
          </cell>
        </row>
        <row r="1038">
          <cell r="T1038">
            <v>38852</v>
          </cell>
          <cell r="U1038">
            <v>1.5890000000000001E-2</v>
          </cell>
          <cell r="V1038">
            <v>1.6646999999999999E-2</v>
          </cell>
          <cell r="W1038">
            <v>1.84E-2</v>
          </cell>
          <cell r="X1038">
            <v>2.145E-2</v>
          </cell>
          <cell r="Y1038">
            <v>2.3650000000000001E-2</v>
          </cell>
          <cell r="Z1038">
            <v>2.5350000000000001E-2</v>
          </cell>
          <cell r="AA1038">
            <v>2.6249999999999999E-2</v>
          </cell>
          <cell r="AB1038">
            <v>2.785E-2</v>
          </cell>
          <cell r="AC1038">
            <v>2.98E-2</v>
          </cell>
        </row>
        <row r="1039">
          <cell r="T1039">
            <v>38851</v>
          </cell>
          <cell r="U1039">
            <v>1.5890000000000001E-2</v>
          </cell>
          <cell r="V1039">
            <v>1.6646999999999999E-2</v>
          </cell>
          <cell r="W1039">
            <v>1.8349999999999998E-2</v>
          </cell>
          <cell r="X1039">
            <v>2.1049999999999999E-2</v>
          </cell>
          <cell r="Y1039">
            <v>2.3349999999999999E-2</v>
          </cell>
          <cell r="Z1039">
            <v>2.4550000000000002E-2</v>
          </cell>
          <cell r="AA1039">
            <v>2.5599999999999998E-2</v>
          </cell>
          <cell r="AB1039">
            <v>2.7200000000000002E-2</v>
          </cell>
          <cell r="AC1039">
            <v>2.9000000000000005E-2</v>
          </cell>
        </row>
        <row r="1040">
          <cell r="T1040">
            <v>38850</v>
          </cell>
          <cell r="U1040">
            <v>1.5890000000000001E-2</v>
          </cell>
          <cell r="V1040">
            <v>1.6646999999999999E-2</v>
          </cell>
          <cell r="W1040">
            <v>1.8349999999999998E-2</v>
          </cell>
          <cell r="X1040">
            <v>2.1049999999999999E-2</v>
          </cell>
          <cell r="Y1040">
            <v>2.3349999999999999E-2</v>
          </cell>
          <cell r="Z1040">
            <v>2.4550000000000002E-2</v>
          </cell>
          <cell r="AA1040">
            <v>2.5599999999999998E-2</v>
          </cell>
          <cell r="AB1040">
            <v>2.7200000000000002E-2</v>
          </cell>
          <cell r="AC1040">
            <v>2.9000000000000005E-2</v>
          </cell>
        </row>
        <row r="1041">
          <cell r="T1041">
            <v>38849</v>
          </cell>
          <cell r="U1041">
            <v>1.5890000000000001E-2</v>
          </cell>
          <cell r="V1041">
            <v>1.6646999999999999E-2</v>
          </cell>
          <cell r="W1041">
            <v>1.8349999999999998E-2</v>
          </cell>
          <cell r="X1041">
            <v>2.1049999999999999E-2</v>
          </cell>
          <cell r="Y1041">
            <v>2.3349999999999999E-2</v>
          </cell>
          <cell r="Z1041">
            <v>2.4550000000000002E-2</v>
          </cell>
          <cell r="AA1041">
            <v>2.5599999999999998E-2</v>
          </cell>
          <cell r="AB1041">
            <v>2.7200000000000002E-2</v>
          </cell>
          <cell r="AC1041">
            <v>2.9000000000000005E-2</v>
          </cell>
        </row>
        <row r="1042">
          <cell r="T1042">
            <v>38848</v>
          </cell>
          <cell r="U1042">
            <v>1.5890000000000001E-2</v>
          </cell>
          <cell r="V1042">
            <v>1.6646999999999999E-2</v>
          </cell>
          <cell r="W1042">
            <v>1.805E-2</v>
          </cell>
          <cell r="X1042">
            <v>2.0549999999999999E-2</v>
          </cell>
          <cell r="Y1042">
            <v>2.2499999999999999E-2</v>
          </cell>
          <cell r="Z1042">
            <v>2.3650000000000001E-2</v>
          </cell>
          <cell r="AA1042">
            <v>2.4550000000000002E-2</v>
          </cell>
          <cell r="AB1042">
            <v>2.6200000000000001E-2</v>
          </cell>
          <cell r="AC1042">
            <v>2.8149999999999998E-2</v>
          </cell>
        </row>
        <row r="1043">
          <cell r="T1043">
            <v>38847</v>
          </cell>
          <cell r="U1043">
            <v>1.5847E-2</v>
          </cell>
          <cell r="V1043">
            <v>1.6646999999999999E-2</v>
          </cell>
          <cell r="W1043">
            <v>1.8100000000000002E-2</v>
          </cell>
          <cell r="X1043">
            <v>2.0250000000000001E-2</v>
          </cell>
          <cell r="Y1043">
            <v>2.2250000000000002E-2</v>
          </cell>
          <cell r="Z1043">
            <v>2.3550000000000001E-2</v>
          </cell>
          <cell r="AA1043">
            <v>2.4399999999999998E-2</v>
          </cell>
          <cell r="AB1043">
            <v>2.605E-2</v>
          </cell>
          <cell r="AC1043">
            <v>2.7699999999999999E-2</v>
          </cell>
        </row>
        <row r="1044">
          <cell r="T1044">
            <v>38846</v>
          </cell>
          <cell r="U1044">
            <v>1.5847E-2</v>
          </cell>
          <cell r="V1044">
            <v>1.6646999999999999E-2</v>
          </cell>
          <cell r="W1044">
            <v>1.77E-2</v>
          </cell>
          <cell r="X1044">
            <v>1.9799999999999998E-2</v>
          </cell>
          <cell r="Y1044">
            <v>2.1749999999999999E-2</v>
          </cell>
          <cell r="Z1044">
            <v>2.2800000000000001E-2</v>
          </cell>
          <cell r="AA1044">
            <v>2.3700000000000002E-2</v>
          </cell>
          <cell r="AB1044">
            <v>2.5350000000000001E-2</v>
          </cell>
          <cell r="AC1044">
            <v>2.7149999999999997E-2</v>
          </cell>
        </row>
        <row r="1045">
          <cell r="T1045">
            <v>38845</v>
          </cell>
          <cell r="U1045">
            <v>1.5762999999999999E-2</v>
          </cell>
          <cell r="V1045">
            <v>1.6503999999999998E-2</v>
          </cell>
          <cell r="W1045">
            <v>1.7650000000000002E-2</v>
          </cell>
          <cell r="X1045">
            <v>1.9799999999999998E-2</v>
          </cell>
          <cell r="Y1045">
            <v>2.1649999999999999E-2</v>
          </cell>
          <cell r="Z1045">
            <v>2.2749999999999999E-2</v>
          </cell>
          <cell r="AA1045">
            <v>2.3550000000000001E-2</v>
          </cell>
          <cell r="AB1045">
            <v>2.5350000000000001E-2</v>
          </cell>
          <cell r="AC1045">
            <v>2.7099999999999999E-2</v>
          </cell>
        </row>
        <row r="1046">
          <cell r="T1046">
            <v>38844</v>
          </cell>
          <cell r="U1046">
            <v>1.5819E-2</v>
          </cell>
          <cell r="V1046">
            <v>1.6503999999999998E-2</v>
          </cell>
          <cell r="W1046">
            <v>1.7650000000000002E-2</v>
          </cell>
          <cell r="X1046">
            <v>1.9699999999999999E-2</v>
          </cell>
          <cell r="Y1046">
            <v>2.145E-2</v>
          </cell>
          <cell r="Z1046">
            <v>2.2499999999999999E-2</v>
          </cell>
          <cell r="AA1046">
            <v>2.3399999999999997E-2</v>
          </cell>
          <cell r="AB1046">
            <v>2.5350000000000001E-2</v>
          </cell>
          <cell r="AC1046">
            <v>2.75E-2</v>
          </cell>
        </row>
        <row r="1047">
          <cell r="T1047">
            <v>38843</v>
          </cell>
          <cell r="U1047">
            <v>1.5819E-2</v>
          </cell>
          <cell r="V1047">
            <v>1.6503999999999998E-2</v>
          </cell>
          <cell r="W1047">
            <v>1.7650000000000002E-2</v>
          </cell>
          <cell r="X1047">
            <v>1.9699999999999999E-2</v>
          </cell>
          <cell r="Y1047">
            <v>2.145E-2</v>
          </cell>
          <cell r="Z1047">
            <v>2.2499999999999999E-2</v>
          </cell>
          <cell r="AA1047">
            <v>2.3399999999999997E-2</v>
          </cell>
          <cell r="AB1047">
            <v>2.5350000000000001E-2</v>
          </cell>
          <cell r="AC1047">
            <v>2.75E-2</v>
          </cell>
        </row>
        <row r="1048">
          <cell r="T1048">
            <v>38842</v>
          </cell>
          <cell r="U1048">
            <v>1.5819E-2</v>
          </cell>
          <cell r="V1048">
            <v>1.6503999999999998E-2</v>
          </cell>
          <cell r="W1048">
            <v>1.7650000000000002E-2</v>
          </cell>
          <cell r="X1048">
            <v>1.9699999999999999E-2</v>
          </cell>
          <cell r="Y1048">
            <v>2.145E-2</v>
          </cell>
          <cell r="Z1048">
            <v>2.2499999999999999E-2</v>
          </cell>
          <cell r="AA1048">
            <v>2.3399999999999997E-2</v>
          </cell>
          <cell r="AB1048">
            <v>2.5350000000000001E-2</v>
          </cell>
          <cell r="AC1048">
            <v>2.75E-2</v>
          </cell>
        </row>
        <row r="1049">
          <cell r="T1049">
            <v>38841</v>
          </cell>
          <cell r="U1049">
            <v>1.5819E-2</v>
          </cell>
          <cell r="V1049">
            <v>1.6503999999999998E-2</v>
          </cell>
          <cell r="W1049">
            <v>1.77E-2</v>
          </cell>
          <cell r="X1049">
            <v>1.9799999999999998E-2</v>
          </cell>
          <cell r="Y1049">
            <v>2.1749999999999999E-2</v>
          </cell>
          <cell r="Z1049">
            <v>2.2800000000000001E-2</v>
          </cell>
          <cell r="AA1049">
            <v>2.3650000000000001E-2</v>
          </cell>
          <cell r="AB1049">
            <v>2.5600000000000001E-2</v>
          </cell>
          <cell r="AC1049">
            <v>2.7400000000000001E-2</v>
          </cell>
        </row>
        <row r="1050">
          <cell r="T1050">
            <v>38840</v>
          </cell>
          <cell r="U1050">
            <v>1.5762999999999999E-2</v>
          </cell>
          <cell r="V1050">
            <v>1.6503999999999998E-2</v>
          </cell>
          <cell r="W1050">
            <v>1.7650000000000002E-2</v>
          </cell>
          <cell r="X1050">
            <v>1.9949999999999999E-2</v>
          </cell>
          <cell r="Y1050">
            <v>2.1900000000000003E-2</v>
          </cell>
          <cell r="Z1050">
            <v>2.2749999999999999E-2</v>
          </cell>
          <cell r="AA1050">
            <v>2.3650000000000001E-2</v>
          </cell>
          <cell r="AB1050">
            <v>2.5499999999999998E-2</v>
          </cell>
          <cell r="AC1050">
            <v>2.725E-2</v>
          </cell>
        </row>
        <row r="1051">
          <cell r="T1051">
            <v>38839</v>
          </cell>
          <cell r="U1051">
            <v>1.5762999999999999E-2</v>
          </cell>
          <cell r="V1051">
            <v>1.6507000000000001E-2</v>
          </cell>
          <cell r="W1051">
            <v>1.77E-2</v>
          </cell>
          <cell r="X1051">
            <v>1.975E-2</v>
          </cell>
          <cell r="Y1051">
            <v>2.1649999999999999E-2</v>
          </cell>
          <cell r="Z1051">
            <v>2.2949999999999998E-2</v>
          </cell>
          <cell r="AA1051">
            <v>2.3949999999999999E-2</v>
          </cell>
          <cell r="AB1051">
            <v>2.545E-2</v>
          </cell>
          <cell r="AC1051">
            <v>2.7699999999999995E-2</v>
          </cell>
        </row>
        <row r="1052">
          <cell r="T1052">
            <v>38838</v>
          </cell>
          <cell r="U1052">
            <v>1.5762999999999999E-2</v>
          </cell>
          <cell r="V1052">
            <v>1.6590000000000001E-2</v>
          </cell>
          <cell r="W1052">
            <v>1.755E-2</v>
          </cell>
          <cell r="X1052">
            <v>1.9299999999999998E-2</v>
          </cell>
          <cell r="Y1052">
            <v>2.1000000000000001E-2</v>
          </cell>
          <cell r="Z1052">
            <v>2.215E-2</v>
          </cell>
          <cell r="AA1052">
            <v>2.315E-2</v>
          </cell>
          <cell r="AB1052">
            <v>2.4750000000000001E-2</v>
          </cell>
          <cell r="AC1052">
            <v>2.6749999999999999E-2</v>
          </cell>
        </row>
        <row r="1053">
          <cell r="T1053">
            <v>38837</v>
          </cell>
          <cell r="U1053">
            <v>1.5762999999999999E-2</v>
          </cell>
          <cell r="V1053">
            <v>1.6590000000000001E-2</v>
          </cell>
          <cell r="W1053">
            <v>1.755E-2</v>
          </cell>
          <cell r="X1053">
            <v>1.9299999999999998E-2</v>
          </cell>
          <cell r="Y1053">
            <v>2.1000000000000001E-2</v>
          </cell>
          <cell r="Z1053">
            <v>2.215E-2</v>
          </cell>
          <cell r="AA1053">
            <v>2.315E-2</v>
          </cell>
          <cell r="AB1053">
            <v>2.4750000000000001E-2</v>
          </cell>
          <cell r="AC1053">
            <v>2.6749999999999999E-2</v>
          </cell>
        </row>
        <row r="1054">
          <cell r="T1054">
            <v>38836</v>
          </cell>
          <cell r="U1054">
            <v>1.5762999999999999E-2</v>
          </cell>
          <cell r="V1054">
            <v>1.6590000000000001E-2</v>
          </cell>
          <cell r="W1054">
            <v>1.755E-2</v>
          </cell>
          <cell r="X1054">
            <v>1.9299999999999998E-2</v>
          </cell>
          <cell r="Y1054">
            <v>2.1000000000000001E-2</v>
          </cell>
          <cell r="Z1054">
            <v>2.215E-2</v>
          </cell>
          <cell r="AA1054">
            <v>2.315E-2</v>
          </cell>
          <cell r="AB1054">
            <v>2.4750000000000001E-2</v>
          </cell>
          <cell r="AC1054">
            <v>2.6749999999999999E-2</v>
          </cell>
        </row>
        <row r="1055">
          <cell r="T1055">
            <v>38835</v>
          </cell>
          <cell r="U1055">
            <v>1.5762999999999999E-2</v>
          </cell>
          <cell r="V1055">
            <v>1.6590000000000001E-2</v>
          </cell>
          <cell r="W1055">
            <v>1.755E-2</v>
          </cell>
          <cell r="X1055">
            <v>1.9299999999999998E-2</v>
          </cell>
          <cell r="Y1055">
            <v>2.1000000000000001E-2</v>
          </cell>
          <cell r="Z1055">
            <v>2.215E-2</v>
          </cell>
          <cell r="AA1055">
            <v>2.315E-2</v>
          </cell>
          <cell r="AB1055">
            <v>2.4750000000000001E-2</v>
          </cell>
          <cell r="AC1055">
            <v>2.6749999999999999E-2</v>
          </cell>
        </row>
        <row r="1056">
          <cell r="T1056">
            <v>38834</v>
          </cell>
          <cell r="U1056">
            <v>1.5737999999999999E-2</v>
          </cell>
          <cell r="V1056">
            <v>1.6471E-2</v>
          </cell>
          <cell r="W1056">
            <v>1.7399999999999999E-2</v>
          </cell>
          <cell r="X1056">
            <v>1.9200000000000002E-2</v>
          </cell>
          <cell r="Y1056">
            <v>2.0799999999999999E-2</v>
          </cell>
          <cell r="Z1056">
            <v>2.1900000000000003E-2</v>
          </cell>
          <cell r="AA1056">
            <v>2.2800000000000001E-2</v>
          </cell>
          <cell r="AB1056">
            <v>2.4649999999999998E-2</v>
          </cell>
          <cell r="AC1056">
            <v>2.6500000000000003E-2</v>
          </cell>
        </row>
        <row r="1057">
          <cell r="T1057">
            <v>38833</v>
          </cell>
          <cell r="U1057">
            <v>1.5592000000000002E-2</v>
          </cell>
          <cell r="V1057">
            <v>1.6336E-2</v>
          </cell>
          <cell r="W1057">
            <v>1.7650000000000002E-2</v>
          </cell>
          <cell r="X1057">
            <v>1.9349999999999999E-2</v>
          </cell>
          <cell r="Y1057">
            <v>2.1150000000000002E-2</v>
          </cell>
          <cell r="Z1057">
            <v>2.2099999999999998E-2</v>
          </cell>
          <cell r="AA1057">
            <v>2.3099999999999996E-2</v>
          </cell>
          <cell r="AB1057">
            <v>2.4799999999999999E-2</v>
          </cell>
          <cell r="AC1057">
            <v>2.6949999999999998E-2</v>
          </cell>
        </row>
        <row r="1058">
          <cell r="T1058">
            <v>38832</v>
          </cell>
          <cell r="U1058">
            <v>1.5592000000000002E-2</v>
          </cell>
          <cell r="V1058">
            <v>1.6336E-2</v>
          </cell>
          <cell r="W1058">
            <v>1.7500000000000002E-2</v>
          </cell>
          <cell r="X1058">
            <v>1.9099999999999999E-2</v>
          </cell>
          <cell r="Y1058">
            <v>2.0449999999999999E-2</v>
          </cell>
          <cell r="Z1058">
            <v>2.1550000000000003E-2</v>
          </cell>
          <cell r="AA1058">
            <v>2.2499999999999999E-2</v>
          </cell>
          <cell r="AB1058">
            <v>2.4050000000000002E-2</v>
          </cell>
          <cell r="AC1058">
            <v>2.6249999999999999E-2</v>
          </cell>
        </row>
        <row r="1059">
          <cell r="T1059">
            <v>38831</v>
          </cell>
          <cell r="U1059">
            <v>1.5592000000000002E-2</v>
          </cell>
          <cell r="V1059">
            <v>1.6336E-2</v>
          </cell>
          <cell r="W1059">
            <v>1.7299999999999999E-2</v>
          </cell>
          <cell r="X1059">
            <v>1.8699999999999998E-2</v>
          </cell>
          <cell r="Y1059">
            <v>1.9900000000000001E-2</v>
          </cell>
          <cell r="Z1059">
            <v>2.0949999999999996E-2</v>
          </cell>
          <cell r="AA1059">
            <v>2.1799999999999996E-2</v>
          </cell>
          <cell r="AB1059">
            <v>2.3250000000000003E-2</v>
          </cell>
          <cell r="AC1059">
            <v>2.52E-2</v>
          </cell>
        </row>
        <row r="1060">
          <cell r="T1060">
            <v>38830</v>
          </cell>
          <cell r="U1060">
            <v>1.5592000000000002E-2</v>
          </cell>
          <cell r="V1060">
            <v>1.6336E-2</v>
          </cell>
          <cell r="W1060">
            <v>1.7299999999999999E-2</v>
          </cell>
          <cell r="X1060">
            <v>1.8699999999999998E-2</v>
          </cell>
          <cell r="Y1060">
            <v>0.02</v>
          </cell>
          <cell r="Z1060">
            <v>2.0949999999999996E-2</v>
          </cell>
          <cell r="AA1060">
            <v>2.1799999999999996E-2</v>
          </cell>
          <cell r="AB1060">
            <v>2.3250000000000003E-2</v>
          </cell>
          <cell r="AC1060">
            <v>2.52E-2</v>
          </cell>
        </row>
        <row r="1061">
          <cell r="T1061">
            <v>38829</v>
          </cell>
          <cell r="U1061">
            <v>1.5592000000000002E-2</v>
          </cell>
          <cell r="V1061">
            <v>1.6336E-2</v>
          </cell>
          <cell r="W1061">
            <v>1.7299999999999999E-2</v>
          </cell>
          <cell r="X1061">
            <v>1.8699999999999998E-2</v>
          </cell>
          <cell r="Y1061">
            <v>0.02</v>
          </cell>
          <cell r="Z1061">
            <v>2.0949999999999996E-2</v>
          </cell>
          <cell r="AA1061">
            <v>2.1799999999999996E-2</v>
          </cell>
          <cell r="AB1061">
            <v>2.3250000000000003E-2</v>
          </cell>
          <cell r="AC1061">
            <v>2.52E-2</v>
          </cell>
        </row>
        <row r="1062">
          <cell r="T1062">
            <v>38828</v>
          </cell>
          <cell r="U1062">
            <v>1.5592000000000002E-2</v>
          </cell>
          <cell r="V1062">
            <v>1.6336E-2</v>
          </cell>
          <cell r="W1062">
            <v>1.7299999999999999E-2</v>
          </cell>
          <cell r="X1062">
            <v>1.8699999999999998E-2</v>
          </cell>
          <cell r="Y1062">
            <v>0.02</v>
          </cell>
          <cell r="Z1062">
            <v>2.0949999999999996E-2</v>
          </cell>
          <cell r="AA1062">
            <v>2.1799999999999996E-2</v>
          </cell>
          <cell r="AB1062">
            <v>2.3250000000000003E-2</v>
          </cell>
          <cell r="AC1062">
            <v>2.52E-2</v>
          </cell>
        </row>
        <row r="1063">
          <cell r="T1063">
            <v>38827</v>
          </cell>
          <cell r="U1063">
            <v>1.5510000000000001E-2</v>
          </cell>
          <cell r="V1063">
            <v>1.6212000000000001E-2</v>
          </cell>
          <cell r="W1063">
            <v>1.7299999999999999E-2</v>
          </cell>
          <cell r="X1063">
            <v>1.8800000000000001E-2</v>
          </cell>
          <cell r="Y1063">
            <v>0.02</v>
          </cell>
          <cell r="Z1063">
            <v>2.1049999999999999E-2</v>
          </cell>
          <cell r="AA1063">
            <v>2.1900000000000003E-2</v>
          </cell>
          <cell r="AB1063">
            <v>2.3250000000000003E-2</v>
          </cell>
          <cell r="AC1063">
            <v>2.52E-2</v>
          </cell>
        </row>
        <row r="1064">
          <cell r="T1064">
            <v>38826</v>
          </cell>
          <cell r="U1064">
            <v>1.5637999999999999E-2</v>
          </cell>
          <cell r="V1064">
            <v>1.6406E-2</v>
          </cell>
          <cell r="W1064">
            <v>1.72E-2</v>
          </cell>
          <cell r="X1064">
            <v>1.8699999999999998E-2</v>
          </cell>
          <cell r="Y1064">
            <v>1.9900000000000001E-2</v>
          </cell>
          <cell r="Z1064">
            <v>2.0799999999999999E-2</v>
          </cell>
          <cell r="AA1064">
            <v>2.1550000000000003E-2</v>
          </cell>
          <cell r="AB1064">
            <v>2.29E-2</v>
          </cell>
          <cell r="AC1064">
            <v>2.4649999999999998E-2</v>
          </cell>
        </row>
        <row r="1065">
          <cell r="T1065">
            <v>38825</v>
          </cell>
          <cell r="U1065">
            <v>1.5604E-2</v>
          </cell>
          <cell r="V1065">
            <v>1.6348000000000001E-2</v>
          </cell>
          <cell r="W1065">
            <v>1.72E-2</v>
          </cell>
          <cell r="X1065">
            <v>1.8550000000000001E-2</v>
          </cell>
          <cell r="Y1065">
            <v>1.9799999999999998E-2</v>
          </cell>
          <cell r="Z1065">
            <v>2.0700000000000003E-2</v>
          </cell>
          <cell r="AA1065">
            <v>2.1399999999999995E-2</v>
          </cell>
          <cell r="AB1065">
            <v>2.2700000000000001E-2</v>
          </cell>
          <cell r="AC1065">
            <v>2.46E-2</v>
          </cell>
        </row>
        <row r="1066">
          <cell r="T1066">
            <v>38824</v>
          </cell>
          <cell r="U1066">
            <v>1.5637999999999999E-2</v>
          </cell>
          <cell r="V1066">
            <v>1.6406E-2</v>
          </cell>
          <cell r="W1066">
            <v>1.7100000000000001E-2</v>
          </cell>
          <cell r="X1066">
            <v>1.89E-2</v>
          </cell>
          <cell r="Y1066">
            <v>1.9649999999999997E-2</v>
          </cell>
          <cell r="Z1066">
            <v>2.0449999999999999E-2</v>
          </cell>
          <cell r="AA1066">
            <v>2.1100000000000004E-2</v>
          </cell>
          <cell r="AB1066">
            <v>2.2250000000000002E-2</v>
          </cell>
          <cell r="AC1066">
            <v>2.4249999999999997E-2</v>
          </cell>
        </row>
        <row r="1067">
          <cell r="T1067">
            <v>38823</v>
          </cell>
          <cell r="U1067">
            <v>1.5637999999999999E-2</v>
          </cell>
          <cell r="V1067">
            <v>1.6406E-2</v>
          </cell>
          <cell r="W1067">
            <v>1.7049999999999999E-2</v>
          </cell>
          <cell r="X1067">
            <v>1.84E-2</v>
          </cell>
          <cell r="Y1067">
            <v>1.9599999999999999E-2</v>
          </cell>
          <cell r="Z1067">
            <v>2.0400000000000001E-2</v>
          </cell>
          <cell r="AA1067">
            <v>2.1000000000000001E-2</v>
          </cell>
          <cell r="AB1067">
            <v>2.2250000000000002E-2</v>
          </cell>
          <cell r="AC1067">
            <v>2.4249999999999997E-2</v>
          </cell>
        </row>
        <row r="1068">
          <cell r="T1068">
            <v>38822</v>
          </cell>
          <cell r="U1068">
            <v>1.5637999999999999E-2</v>
          </cell>
          <cell r="V1068">
            <v>1.6406E-2</v>
          </cell>
          <cell r="W1068">
            <v>1.7049999999999999E-2</v>
          </cell>
          <cell r="X1068">
            <v>1.84E-2</v>
          </cell>
          <cell r="Y1068">
            <v>1.9599999999999999E-2</v>
          </cell>
          <cell r="Z1068">
            <v>2.0400000000000001E-2</v>
          </cell>
          <cell r="AA1068">
            <v>2.1000000000000001E-2</v>
          </cell>
          <cell r="AB1068">
            <v>2.2250000000000002E-2</v>
          </cell>
          <cell r="AC1068">
            <v>2.4249999999999997E-2</v>
          </cell>
        </row>
        <row r="1069">
          <cell r="T1069">
            <v>38821</v>
          </cell>
          <cell r="U1069">
            <v>1.5637999999999999E-2</v>
          </cell>
          <cell r="V1069">
            <v>1.6406E-2</v>
          </cell>
          <cell r="W1069">
            <v>1.7049999999999999E-2</v>
          </cell>
          <cell r="X1069">
            <v>1.84E-2</v>
          </cell>
          <cell r="Y1069">
            <v>1.9599999999999999E-2</v>
          </cell>
          <cell r="Z1069">
            <v>2.0400000000000001E-2</v>
          </cell>
          <cell r="AA1069">
            <v>2.1000000000000001E-2</v>
          </cell>
          <cell r="AB1069">
            <v>2.2250000000000002E-2</v>
          </cell>
          <cell r="AC1069">
            <v>2.4249999999999997E-2</v>
          </cell>
        </row>
        <row r="1070">
          <cell r="T1070">
            <v>38820</v>
          </cell>
          <cell r="U1070">
            <v>1.5637999999999999E-2</v>
          </cell>
          <cell r="V1070">
            <v>1.6406E-2</v>
          </cell>
          <cell r="W1070">
            <v>1.7000000000000001E-2</v>
          </cell>
          <cell r="X1070">
            <v>1.8349999999999998E-2</v>
          </cell>
          <cell r="Y1070">
            <v>1.9449999999999999E-2</v>
          </cell>
          <cell r="Z1070">
            <v>2.0199999999999996E-2</v>
          </cell>
          <cell r="AA1070">
            <v>2.0799999999999999E-2</v>
          </cell>
          <cell r="AB1070">
            <v>2.205E-2</v>
          </cell>
          <cell r="AC1070">
            <v>2.3849999999999996E-2</v>
          </cell>
        </row>
        <row r="1071">
          <cell r="T1071">
            <v>38819</v>
          </cell>
          <cell r="U1071">
            <v>1.5722E-2</v>
          </cell>
          <cell r="V1071">
            <v>1.6513E-2</v>
          </cell>
          <cell r="W1071">
            <v>1.7000000000000001E-2</v>
          </cell>
          <cell r="X1071">
            <v>1.84E-2</v>
          </cell>
          <cell r="Y1071">
            <v>1.9400000000000001E-2</v>
          </cell>
          <cell r="Z1071">
            <v>2.0099999999999996E-2</v>
          </cell>
          <cell r="AA1071">
            <v>2.0750000000000001E-2</v>
          </cell>
          <cell r="AB1071">
            <v>2.2000000000000002E-2</v>
          </cell>
          <cell r="AC1071">
            <v>2.3700000000000002E-2</v>
          </cell>
        </row>
        <row r="1072">
          <cell r="T1072">
            <v>38818</v>
          </cell>
          <cell r="U1072">
            <v>1.5637999999999999E-2</v>
          </cell>
          <cell r="V1072">
            <v>1.6448000000000001E-2</v>
          </cell>
          <cell r="W1072">
            <v>1.7000000000000001E-2</v>
          </cell>
          <cell r="X1072">
            <v>1.84E-2</v>
          </cell>
          <cell r="Y1072">
            <v>1.9400000000000001E-2</v>
          </cell>
          <cell r="Z1072">
            <v>2.0149999999999998E-2</v>
          </cell>
          <cell r="AA1072">
            <v>2.0700000000000003E-2</v>
          </cell>
          <cell r="AB1072">
            <v>2.1900000000000003E-2</v>
          </cell>
          <cell r="AC1072">
            <v>2.375E-2</v>
          </cell>
        </row>
        <row r="1073">
          <cell r="T1073">
            <v>38817</v>
          </cell>
          <cell r="U1073">
            <v>1.5768999999999998E-2</v>
          </cell>
          <cell r="V1073">
            <v>1.6573000000000001E-2</v>
          </cell>
          <cell r="W1073">
            <v>1.7000000000000001E-2</v>
          </cell>
          <cell r="X1073">
            <v>1.8349999999999998E-2</v>
          </cell>
          <cell r="Y1073">
            <v>1.9400000000000001E-2</v>
          </cell>
          <cell r="Z1073">
            <v>2.0099999999999996E-2</v>
          </cell>
          <cell r="AA1073">
            <v>2.0599999999999997E-2</v>
          </cell>
          <cell r="AB1073">
            <v>2.2000000000000002E-2</v>
          </cell>
          <cell r="AC1073">
            <v>2.375E-2</v>
          </cell>
        </row>
        <row r="1074">
          <cell r="T1074">
            <v>38816</v>
          </cell>
          <cell r="U1074">
            <v>1.5676000000000002E-2</v>
          </cell>
          <cell r="V1074">
            <v>1.6497999999999999E-2</v>
          </cell>
          <cell r="W1074">
            <v>1.7000000000000001E-2</v>
          </cell>
          <cell r="X1074">
            <v>1.83E-2</v>
          </cell>
          <cell r="Y1074">
            <v>1.9300000000000001E-2</v>
          </cell>
          <cell r="Z1074">
            <v>0.02</v>
          </cell>
          <cell r="AA1074">
            <v>2.06E-2</v>
          </cell>
          <cell r="AB1074">
            <v>2.1950000000000004E-2</v>
          </cell>
          <cell r="AC1074">
            <v>2.375E-2</v>
          </cell>
        </row>
        <row r="1075">
          <cell r="T1075">
            <v>38815</v>
          </cell>
          <cell r="U1075">
            <v>1.5676000000000002E-2</v>
          </cell>
          <cell r="V1075">
            <v>1.6497999999999999E-2</v>
          </cell>
          <cell r="W1075">
            <v>1.7000000000000001E-2</v>
          </cell>
          <cell r="X1075">
            <v>1.83E-2</v>
          </cell>
          <cell r="Y1075">
            <v>1.9300000000000001E-2</v>
          </cell>
          <cell r="Z1075">
            <v>0.02</v>
          </cell>
          <cell r="AA1075">
            <v>2.06E-2</v>
          </cell>
          <cell r="AB1075">
            <v>2.1950000000000004E-2</v>
          </cell>
          <cell r="AC1075">
            <v>2.375E-2</v>
          </cell>
        </row>
        <row r="1076">
          <cell r="T1076">
            <v>38814</v>
          </cell>
          <cell r="U1076">
            <v>1.5676000000000002E-2</v>
          </cell>
          <cell r="V1076">
            <v>1.6497999999999999E-2</v>
          </cell>
          <cell r="W1076">
            <v>1.7000000000000001E-2</v>
          </cell>
          <cell r="X1076">
            <v>1.83E-2</v>
          </cell>
          <cell r="Y1076">
            <v>1.9300000000000001E-2</v>
          </cell>
          <cell r="Z1076">
            <v>0.02</v>
          </cell>
          <cell r="AA1076">
            <v>2.06E-2</v>
          </cell>
          <cell r="AB1076">
            <v>2.1950000000000004E-2</v>
          </cell>
          <cell r="AC1076">
            <v>2.375E-2</v>
          </cell>
        </row>
        <row r="1077">
          <cell r="T1077">
            <v>38813</v>
          </cell>
          <cell r="U1077">
            <v>1.5722E-2</v>
          </cell>
          <cell r="V1077">
            <v>1.6513E-2</v>
          </cell>
          <cell r="W1077">
            <v>1.695E-2</v>
          </cell>
          <cell r="X1077">
            <v>1.83E-2</v>
          </cell>
          <cell r="Y1077">
            <v>1.9349999999999999E-2</v>
          </cell>
          <cell r="Z1077">
            <v>1.9950000000000002E-2</v>
          </cell>
          <cell r="AA1077">
            <v>2.06E-2</v>
          </cell>
          <cell r="AB1077">
            <v>2.1649999999999999E-2</v>
          </cell>
          <cell r="AC1077">
            <v>2.375E-2</v>
          </cell>
        </row>
        <row r="1078">
          <cell r="T1078">
            <v>38812</v>
          </cell>
          <cell r="U1078">
            <v>1.5722E-2</v>
          </cell>
          <cell r="V1078">
            <v>1.6513E-2</v>
          </cell>
          <cell r="W1078">
            <v>1.7000000000000001E-2</v>
          </cell>
          <cell r="X1078">
            <v>1.8299999999999997E-2</v>
          </cell>
          <cell r="Y1078">
            <v>1.9349999999999999E-2</v>
          </cell>
          <cell r="Z1078">
            <v>1.9949999999999999E-2</v>
          </cell>
          <cell r="AA1078">
            <v>2.0549999999999999E-2</v>
          </cell>
          <cell r="AB1078">
            <v>2.1649999999999999E-2</v>
          </cell>
          <cell r="AC1078">
            <v>2.3550000000000001E-2</v>
          </cell>
        </row>
        <row r="1079">
          <cell r="T1079">
            <v>38811</v>
          </cell>
          <cell r="U1079">
            <v>1.5722E-2</v>
          </cell>
          <cell r="V1079">
            <v>1.6513E-2</v>
          </cell>
          <cell r="W1079">
            <v>1.695E-2</v>
          </cell>
          <cell r="X1079">
            <v>1.8299999999999997E-2</v>
          </cell>
          <cell r="Y1079">
            <v>1.9299999999999998E-2</v>
          </cell>
          <cell r="Z1079">
            <v>1.9949999999999999E-2</v>
          </cell>
          <cell r="AA1079">
            <v>2.0499999999999997E-2</v>
          </cell>
          <cell r="AB1079">
            <v>2.1700000000000001E-2</v>
          </cell>
          <cell r="AC1079">
            <v>2.3550000000000001E-2</v>
          </cell>
        </row>
        <row r="1080">
          <cell r="T1080">
            <v>38810</v>
          </cell>
          <cell r="U1080">
            <v>1.5722E-2</v>
          </cell>
          <cell r="V1080">
            <v>1.6513E-2</v>
          </cell>
          <cell r="W1080">
            <v>1.7000000000000001E-2</v>
          </cell>
          <cell r="X1080">
            <v>1.8299999999999997E-2</v>
          </cell>
          <cell r="Y1080">
            <v>1.9349999999999999E-2</v>
          </cell>
          <cell r="Z1080">
            <v>2.0099999999999996E-2</v>
          </cell>
          <cell r="AA1080">
            <v>2.0549999999999999E-2</v>
          </cell>
          <cell r="AB1080">
            <v>2.18E-2</v>
          </cell>
          <cell r="AC1080">
            <v>2.3550000000000001E-2</v>
          </cell>
        </row>
        <row r="1081">
          <cell r="T1081">
            <v>38809</v>
          </cell>
          <cell r="U1081">
            <v>1.5335000000000001E-2</v>
          </cell>
          <cell r="V1081">
            <v>1.6125E-2</v>
          </cell>
          <cell r="W1081">
            <v>1.695E-2</v>
          </cell>
          <cell r="X1081">
            <v>1.8500000000000003E-2</v>
          </cell>
          <cell r="Y1081">
            <v>1.9450000000000002E-2</v>
          </cell>
          <cell r="Z1081">
            <v>2.0199999999999996E-2</v>
          </cell>
          <cell r="AA1081">
            <v>2.0799999999999999E-2</v>
          </cell>
          <cell r="AB1081">
            <v>2.2099999999999998E-2</v>
          </cell>
          <cell r="AC1081">
            <v>2.3900000000000001E-2</v>
          </cell>
        </row>
        <row r="1082">
          <cell r="T1082">
            <v>38808</v>
          </cell>
          <cell r="U1082">
            <v>1.5335000000000001E-2</v>
          </cell>
          <cell r="V1082">
            <v>1.6125E-2</v>
          </cell>
          <cell r="W1082">
            <v>1.695E-2</v>
          </cell>
          <cell r="X1082">
            <v>1.8500000000000003E-2</v>
          </cell>
          <cell r="Y1082">
            <v>1.9450000000000002E-2</v>
          </cell>
          <cell r="Z1082">
            <v>2.0199999999999996E-2</v>
          </cell>
          <cell r="AA1082">
            <v>2.0799999999999999E-2</v>
          </cell>
          <cell r="AB1082">
            <v>2.2099999999999998E-2</v>
          </cell>
          <cell r="AC1082">
            <v>2.3900000000000001E-2</v>
          </cell>
        </row>
        <row r="1083">
          <cell r="T1083">
            <v>38807</v>
          </cell>
          <cell r="U1083">
            <v>1.5335000000000001E-2</v>
          </cell>
          <cell r="V1083">
            <v>1.6125E-2</v>
          </cell>
          <cell r="W1083">
            <v>1.695E-2</v>
          </cell>
          <cell r="X1083">
            <v>1.8500000000000003E-2</v>
          </cell>
          <cell r="Y1083">
            <v>1.9450000000000002E-2</v>
          </cell>
          <cell r="Z1083">
            <v>2.0199999999999996E-2</v>
          </cell>
          <cell r="AA1083">
            <v>2.0799999999999999E-2</v>
          </cell>
          <cell r="AB1083">
            <v>2.2099999999999998E-2</v>
          </cell>
          <cell r="AC1083">
            <v>2.3900000000000001E-2</v>
          </cell>
        </row>
        <row r="1084">
          <cell r="T1084">
            <v>38806</v>
          </cell>
          <cell r="U1084">
            <v>1.5335000000000001E-2</v>
          </cell>
          <cell r="V1084">
            <v>1.6125E-2</v>
          </cell>
          <cell r="W1084">
            <v>1.695E-2</v>
          </cell>
          <cell r="X1084">
            <v>1.8500000000000003E-2</v>
          </cell>
          <cell r="Y1084">
            <v>1.9450000000000002E-2</v>
          </cell>
          <cell r="Z1084">
            <v>2.0199999999999996E-2</v>
          </cell>
          <cell r="AA1084">
            <v>2.0799999999999999E-2</v>
          </cell>
          <cell r="AB1084">
            <v>2.2099999999999998E-2</v>
          </cell>
          <cell r="AC1084">
            <v>2.3900000000000001E-2</v>
          </cell>
        </row>
        <row r="1085">
          <cell r="T1085">
            <v>38805</v>
          </cell>
          <cell r="U1085">
            <v>1.528E-2</v>
          </cell>
          <cell r="V1085">
            <v>1.6E-2</v>
          </cell>
          <cell r="W1085">
            <v>1.6899999999999998E-2</v>
          </cell>
          <cell r="X1085">
            <v>1.83E-2</v>
          </cell>
          <cell r="Y1085">
            <v>1.9400000000000001E-2</v>
          </cell>
          <cell r="Z1085">
            <v>2.0149999999999998E-2</v>
          </cell>
          <cell r="AA1085">
            <v>2.0799999999999999E-2</v>
          </cell>
          <cell r="AB1085">
            <v>2.2250000000000002E-2</v>
          </cell>
          <cell r="AC1085">
            <v>2.3849999999999996E-2</v>
          </cell>
        </row>
        <row r="1086">
          <cell r="T1086">
            <v>38804</v>
          </cell>
          <cell r="U1086">
            <v>1.528E-2</v>
          </cell>
          <cell r="V1086">
            <v>1.6E-2</v>
          </cell>
          <cell r="W1086">
            <v>1.6799999999999999E-2</v>
          </cell>
          <cell r="X1086">
            <v>1.8299999999999997E-2</v>
          </cell>
          <cell r="Y1086">
            <v>1.9299999999999998E-2</v>
          </cell>
          <cell r="Z1086">
            <v>2.0099999999999996E-2</v>
          </cell>
          <cell r="AA1086">
            <v>2.0700000000000003E-2</v>
          </cell>
          <cell r="AB1086">
            <v>2.215E-2</v>
          </cell>
          <cell r="AC1086">
            <v>2.3799999999999998E-2</v>
          </cell>
        </row>
        <row r="1087">
          <cell r="T1087">
            <v>38803</v>
          </cell>
          <cell r="U1087">
            <v>1.528E-2</v>
          </cell>
          <cell r="V1087">
            <v>1.6E-2</v>
          </cell>
          <cell r="W1087">
            <v>1.6799999999999999E-2</v>
          </cell>
          <cell r="X1087">
            <v>1.8249999999999999E-2</v>
          </cell>
          <cell r="Y1087">
            <v>1.9200000000000002E-2</v>
          </cell>
          <cell r="Z1087">
            <v>1.9949999999999999E-2</v>
          </cell>
          <cell r="AA1087">
            <v>2.0549999999999999E-2</v>
          </cell>
          <cell r="AB1087">
            <v>2.1950000000000004E-2</v>
          </cell>
          <cell r="AC1087">
            <v>2.3849999999999996E-2</v>
          </cell>
        </row>
        <row r="1088">
          <cell r="T1088">
            <v>38802</v>
          </cell>
          <cell r="U1088">
            <v>1.5226999999999999E-2</v>
          </cell>
          <cell r="V1088">
            <v>1.5914000000000001E-2</v>
          </cell>
          <cell r="W1088">
            <v>1.685E-2</v>
          </cell>
          <cell r="X1088">
            <v>1.8299999999999997E-2</v>
          </cell>
          <cell r="Y1088">
            <v>1.9299999999999998E-2</v>
          </cell>
          <cell r="Z1088">
            <v>0.02</v>
          </cell>
          <cell r="AA1088">
            <v>2.0599999999999997E-2</v>
          </cell>
          <cell r="AB1088">
            <v>2.2099999999999998E-2</v>
          </cell>
          <cell r="AC1088">
            <v>2.3949999999999999E-2</v>
          </cell>
        </row>
        <row r="1089">
          <cell r="T1089">
            <v>38801</v>
          </cell>
          <cell r="U1089">
            <v>1.5226999999999999E-2</v>
          </cell>
          <cell r="V1089">
            <v>1.5914000000000001E-2</v>
          </cell>
          <cell r="W1089">
            <v>1.685E-2</v>
          </cell>
          <cell r="X1089">
            <v>1.8299999999999997E-2</v>
          </cell>
          <cell r="Y1089">
            <v>1.9299999999999998E-2</v>
          </cell>
          <cell r="Z1089">
            <v>0.02</v>
          </cell>
          <cell r="AA1089">
            <v>2.0599999999999997E-2</v>
          </cell>
          <cell r="AB1089">
            <v>2.2099999999999998E-2</v>
          </cell>
          <cell r="AC1089">
            <v>2.3949999999999999E-2</v>
          </cell>
        </row>
        <row r="1090">
          <cell r="T1090">
            <v>38800</v>
          </cell>
          <cell r="U1090">
            <v>1.5226999999999999E-2</v>
          </cell>
          <cell r="V1090">
            <v>1.5914000000000001E-2</v>
          </cell>
          <cell r="W1090">
            <v>1.685E-2</v>
          </cell>
          <cell r="X1090">
            <v>1.8299999999999997E-2</v>
          </cell>
          <cell r="Y1090">
            <v>1.9299999999999998E-2</v>
          </cell>
          <cell r="Z1090">
            <v>0.02</v>
          </cell>
          <cell r="AA1090">
            <v>2.0599999999999997E-2</v>
          </cell>
          <cell r="AB1090">
            <v>2.2099999999999998E-2</v>
          </cell>
          <cell r="AC1090">
            <v>2.3949999999999999E-2</v>
          </cell>
        </row>
        <row r="1091">
          <cell r="T1091">
            <v>38799</v>
          </cell>
          <cell r="U1091">
            <v>1.5335000000000001E-2</v>
          </cell>
          <cell r="V1091">
            <v>1.6107E-2</v>
          </cell>
          <cell r="W1091">
            <v>1.6799999999999999E-2</v>
          </cell>
          <cell r="X1091">
            <v>1.8299999999999997E-2</v>
          </cell>
          <cell r="Y1091">
            <v>1.9299999999999998E-2</v>
          </cell>
          <cell r="Z1091">
            <v>2.0099999999999996E-2</v>
          </cell>
          <cell r="AA1091">
            <v>2.068E-2</v>
          </cell>
          <cell r="AB1091">
            <v>2.215E-2</v>
          </cell>
          <cell r="AC1091">
            <v>2.4050000000000002E-2</v>
          </cell>
        </row>
        <row r="1092">
          <cell r="T1092">
            <v>38798</v>
          </cell>
          <cell r="U1092">
            <v>1.5350999999999998E-2</v>
          </cell>
          <cell r="V1092">
            <v>1.6E-2</v>
          </cell>
          <cell r="W1092">
            <v>1.6799999999999999E-2</v>
          </cell>
          <cell r="X1092">
            <v>1.83E-2</v>
          </cell>
          <cell r="Y1092">
            <v>1.925E-2</v>
          </cell>
          <cell r="Z1092">
            <v>2.0099999999999996E-2</v>
          </cell>
          <cell r="AA1092">
            <v>2.0799999999999999E-2</v>
          </cell>
          <cell r="AB1092">
            <v>2.2250000000000002E-2</v>
          </cell>
          <cell r="AC1092">
            <v>2.4199999999999999E-2</v>
          </cell>
        </row>
        <row r="1093">
          <cell r="T1093">
            <v>38797</v>
          </cell>
          <cell r="U1093">
            <v>1.5243E-2</v>
          </cell>
          <cell r="V1093">
            <v>1.5986E-2</v>
          </cell>
          <cell r="W1093">
            <v>1.6799999999999999E-2</v>
          </cell>
          <cell r="X1093">
            <v>1.83E-2</v>
          </cell>
          <cell r="Y1093">
            <v>1.925E-2</v>
          </cell>
          <cell r="Z1093">
            <v>0.02</v>
          </cell>
          <cell r="AA1093">
            <v>2.07E-2</v>
          </cell>
          <cell r="AB1093">
            <v>2.2200000000000001E-2</v>
          </cell>
          <cell r="AC1093">
            <v>2.4050000000000002E-2</v>
          </cell>
        </row>
        <row r="1094">
          <cell r="T1094">
            <v>38796</v>
          </cell>
          <cell r="U1094">
            <v>1.5383000000000001E-2</v>
          </cell>
          <cell r="V1094">
            <v>1.6036000000000002E-2</v>
          </cell>
          <cell r="W1094">
            <v>1.6799999999999999E-2</v>
          </cell>
          <cell r="X1094">
            <v>1.8249999999999999E-2</v>
          </cell>
          <cell r="Y1094">
            <v>1.925E-2</v>
          </cell>
          <cell r="Z1094">
            <v>2.0149999999999998E-2</v>
          </cell>
          <cell r="AA1094">
            <v>2.07E-2</v>
          </cell>
          <cell r="AB1094">
            <v>2.2199999999999998E-2</v>
          </cell>
          <cell r="AC1094">
            <v>2.41E-2</v>
          </cell>
        </row>
        <row r="1095">
          <cell r="T1095">
            <v>38795</v>
          </cell>
          <cell r="U1095">
            <v>1.5350999999999998E-2</v>
          </cell>
          <cell r="V1095">
            <v>1.6E-2</v>
          </cell>
          <cell r="W1095">
            <v>1.6800000000000002E-2</v>
          </cell>
          <cell r="X1095">
            <v>1.8299999999999997E-2</v>
          </cell>
          <cell r="Y1095">
            <v>1.9300000000000001E-2</v>
          </cell>
          <cell r="Z1095">
            <v>2.0199999999999996E-2</v>
          </cell>
          <cell r="AA1095">
            <v>2.0750000000000001E-2</v>
          </cell>
          <cell r="AB1095">
            <v>2.1299999999999999E-2</v>
          </cell>
          <cell r="AC1095">
            <v>2.4249999999999997E-2</v>
          </cell>
        </row>
        <row r="1096">
          <cell r="T1096">
            <v>38794</v>
          </cell>
          <cell r="U1096">
            <v>1.5350999999999998E-2</v>
          </cell>
          <cell r="V1096">
            <v>1.6E-2</v>
          </cell>
          <cell r="W1096">
            <v>1.6800000000000002E-2</v>
          </cell>
          <cell r="X1096">
            <v>1.8299999999999997E-2</v>
          </cell>
          <cell r="Y1096">
            <v>1.9300000000000001E-2</v>
          </cell>
          <cell r="Z1096">
            <v>2.0199999999999996E-2</v>
          </cell>
          <cell r="AA1096">
            <v>2.0750000000000001E-2</v>
          </cell>
          <cell r="AB1096">
            <v>2.1299999999999999E-2</v>
          </cell>
          <cell r="AC1096">
            <v>2.4249999999999997E-2</v>
          </cell>
        </row>
        <row r="1097">
          <cell r="T1097">
            <v>38793</v>
          </cell>
          <cell r="U1097">
            <v>1.5350999999999998E-2</v>
          </cell>
          <cell r="V1097">
            <v>1.6E-2</v>
          </cell>
          <cell r="W1097">
            <v>1.6800000000000002E-2</v>
          </cell>
          <cell r="X1097">
            <v>1.8299999999999997E-2</v>
          </cell>
          <cell r="Y1097">
            <v>1.9300000000000001E-2</v>
          </cell>
          <cell r="Z1097">
            <v>2.0199999999999996E-2</v>
          </cell>
          <cell r="AA1097">
            <v>2.0750000000000001E-2</v>
          </cell>
          <cell r="AB1097">
            <v>2.1299999999999999E-2</v>
          </cell>
          <cell r="AC1097">
            <v>2.4249999999999997E-2</v>
          </cell>
        </row>
        <row r="1098">
          <cell r="T1098">
            <v>38792</v>
          </cell>
          <cell r="U1098">
            <v>1.5354999999999999E-2</v>
          </cell>
          <cell r="V1098">
            <v>1.6108000000000001E-2</v>
          </cell>
          <cell r="W1098">
            <v>1.6899999999999998E-2</v>
          </cell>
          <cell r="X1098">
            <v>1.84E-2</v>
          </cell>
          <cell r="Y1098">
            <v>1.9349999999999999E-2</v>
          </cell>
          <cell r="Z1098">
            <v>2.0250000000000001E-2</v>
          </cell>
          <cell r="AA1098">
            <v>2.0799999999999999E-2</v>
          </cell>
          <cell r="AB1098">
            <v>2.2400000000000003E-2</v>
          </cell>
          <cell r="AC1098">
            <v>2.4500000000000001E-2</v>
          </cell>
        </row>
        <row r="1099">
          <cell r="T1099">
            <v>38791</v>
          </cell>
          <cell r="U1099">
            <v>1.5192999999999998E-2</v>
          </cell>
          <cell r="V1099">
            <v>1.5933000000000003E-2</v>
          </cell>
          <cell r="W1099">
            <v>1.6899999999999998E-2</v>
          </cell>
          <cell r="X1099">
            <v>1.8450000000000001E-2</v>
          </cell>
          <cell r="Y1099">
            <v>1.9400000000000001E-2</v>
          </cell>
          <cell r="Z1099">
            <v>2.0300000000000002E-2</v>
          </cell>
          <cell r="AA1099">
            <v>2.0799999999999999E-2</v>
          </cell>
          <cell r="AB1099">
            <v>2.2550000000000001E-2</v>
          </cell>
          <cell r="AC1099">
            <v>2.4500000000000001E-2</v>
          </cell>
        </row>
        <row r="1100">
          <cell r="T1100">
            <v>38790</v>
          </cell>
          <cell r="U1100">
            <v>1.5100000000000001E-2</v>
          </cell>
          <cell r="V1100">
            <v>1.5966999999999999E-2</v>
          </cell>
          <cell r="W1100">
            <v>1.6899999999999998E-2</v>
          </cell>
          <cell r="X1100">
            <v>1.8499999999999999E-2</v>
          </cell>
          <cell r="Y1100">
            <v>1.95E-2</v>
          </cell>
          <cell r="Z1100">
            <v>2.035E-2</v>
          </cell>
          <cell r="AA1100">
            <v>2.0899999999999998E-2</v>
          </cell>
          <cell r="AB1100">
            <v>2.2600000000000002E-2</v>
          </cell>
          <cell r="AC1100">
            <v>2.4399999999999998E-2</v>
          </cell>
        </row>
        <row r="1101">
          <cell r="T1101">
            <v>38789</v>
          </cell>
          <cell r="U1101">
            <v>1.5221E-2</v>
          </cell>
          <cell r="V1101">
            <v>1.6067000000000001E-2</v>
          </cell>
          <cell r="W1101">
            <v>1.695E-2</v>
          </cell>
          <cell r="X1101">
            <v>1.8500000000000003E-2</v>
          </cell>
          <cell r="Y1101">
            <v>1.95E-2</v>
          </cell>
          <cell r="Z1101">
            <v>2.0449999999999999E-2</v>
          </cell>
          <cell r="AA1101">
            <v>2.1049999999999999E-2</v>
          </cell>
          <cell r="AB1101">
            <v>2.2649999999999997E-2</v>
          </cell>
          <cell r="AC1101">
            <v>2.4750000000000001E-2</v>
          </cell>
        </row>
        <row r="1102">
          <cell r="T1102">
            <v>38788</v>
          </cell>
          <cell r="U1102">
            <v>1.5158E-2</v>
          </cell>
          <cell r="V1102">
            <v>1.6093E-2</v>
          </cell>
          <cell r="W1102">
            <v>1.6899999999999998E-2</v>
          </cell>
          <cell r="X1102">
            <v>1.8500000000000003E-2</v>
          </cell>
          <cell r="Y1102">
            <v>1.95E-2</v>
          </cell>
          <cell r="Z1102">
            <v>2.0400000000000001E-2</v>
          </cell>
          <cell r="AA1102">
            <v>2.0949999999999996E-2</v>
          </cell>
          <cell r="AB1102">
            <v>2.265E-2</v>
          </cell>
          <cell r="AC1102">
            <v>2.4649999999999998E-2</v>
          </cell>
        </row>
        <row r="1103">
          <cell r="T1103">
            <v>38787</v>
          </cell>
          <cell r="U1103">
            <v>1.5158E-2</v>
          </cell>
          <cell r="V1103">
            <v>1.6093E-2</v>
          </cell>
          <cell r="W1103">
            <v>1.6899999999999998E-2</v>
          </cell>
          <cell r="X1103">
            <v>1.8500000000000003E-2</v>
          </cell>
          <cell r="Y1103">
            <v>1.95E-2</v>
          </cell>
          <cell r="Z1103">
            <v>2.0400000000000001E-2</v>
          </cell>
          <cell r="AA1103">
            <v>2.0949999999999996E-2</v>
          </cell>
          <cell r="AB1103">
            <v>2.265E-2</v>
          </cell>
          <cell r="AC1103">
            <v>2.4649999999999998E-2</v>
          </cell>
        </row>
        <row r="1104">
          <cell r="T1104">
            <v>38786</v>
          </cell>
          <cell r="U1104">
            <v>1.5158E-2</v>
          </cell>
          <cell r="V1104">
            <v>1.6093E-2</v>
          </cell>
          <cell r="W1104">
            <v>1.6899999999999998E-2</v>
          </cell>
          <cell r="X1104">
            <v>1.8500000000000003E-2</v>
          </cell>
          <cell r="Y1104">
            <v>1.95E-2</v>
          </cell>
          <cell r="Z1104">
            <v>2.0400000000000001E-2</v>
          </cell>
          <cell r="AA1104">
            <v>2.0949999999999996E-2</v>
          </cell>
          <cell r="AB1104">
            <v>2.265E-2</v>
          </cell>
          <cell r="AC1104">
            <v>2.4649999999999998E-2</v>
          </cell>
        </row>
        <row r="1105">
          <cell r="T1105">
            <v>38785</v>
          </cell>
          <cell r="U1105">
            <v>1.5162E-2</v>
          </cell>
          <cell r="V1105">
            <v>1.6021000000000001E-2</v>
          </cell>
          <cell r="W1105">
            <v>1.695E-2</v>
          </cell>
          <cell r="X1105">
            <v>1.8550000000000001E-2</v>
          </cell>
          <cell r="Y1105">
            <v>1.9699999999999999E-2</v>
          </cell>
          <cell r="Z1105">
            <v>2.0549999999999999E-2</v>
          </cell>
          <cell r="AA1105">
            <v>2.1049999999999999E-2</v>
          </cell>
          <cell r="AB1105">
            <v>2.2700000000000001E-2</v>
          </cell>
          <cell r="AC1105">
            <v>2.4649999999999998E-2</v>
          </cell>
        </row>
        <row r="1106">
          <cell r="T1106">
            <v>38784</v>
          </cell>
          <cell r="U1106">
            <v>1.5221E-2</v>
          </cell>
          <cell r="V1106">
            <v>1.6091999999999999E-2</v>
          </cell>
          <cell r="W1106">
            <v>1.7000000000000001E-2</v>
          </cell>
          <cell r="X1106">
            <v>1.8600000000000002E-2</v>
          </cell>
          <cell r="Y1106">
            <v>1.9699999999999999E-2</v>
          </cell>
          <cell r="Z1106">
            <v>2.0599999999999997E-2</v>
          </cell>
          <cell r="AA1106">
            <v>2.12E-2</v>
          </cell>
          <cell r="AB1106">
            <v>2.3E-2</v>
          </cell>
          <cell r="AC1106">
            <v>2.4900000000000002E-2</v>
          </cell>
        </row>
        <row r="1107">
          <cell r="T1107">
            <v>38783</v>
          </cell>
          <cell r="U1107">
            <v>1.5304E-2</v>
          </cell>
          <cell r="V1107">
            <v>1.6125E-2</v>
          </cell>
          <cell r="W1107">
            <v>1.7000000000000001E-2</v>
          </cell>
          <cell r="X1107">
            <v>1.865E-2</v>
          </cell>
          <cell r="Y1107">
            <v>1.9799999999999998E-2</v>
          </cell>
          <cell r="Z1107">
            <v>2.0700000000000003E-2</v>
          </cell>
          <cell r="AA1107">
            <v>2.1299999999999999E-2</v>
          </cell>
          <cell r="AB1107">
            <v>2.3E-2</v>
          </cell>
          <cell r="AC1107">
            <v>2.4900000000000002E-2</v>
          </cell>
        </row>
        <row r="1108">
          <cell r="T1108">
            <v>38782</v>
          </cell>
          <cell r="U1108">
            <v>1.5234000000000001E-2</v>
          </cell>
          <cell r="V1108">
            <v>1.6049999999999998E-2</v>
          </cell>
          <cell r="W1108">
            <v>1.7049999999999999E-2</v>
          </cell>
          <cell r="X1108">
            <v>1.8600000000000002E-2</v>
          </cell>
          <cell r="Y1108">
            <v>1.9699999999999999E-2</v>
          </cell>
          <cell r="Z1108">
            <v>2.0750000000000001E-2</v>
          </cell>
          <cell r="AA1108">
            <v>2.1299999999999999E-2</v>
          </cell>
          <cell r="AB1108">
            <v>2.2800000000000001E-2</v>
          </cell>
          <cell r="AC1108">
            <v>2.46E-2</v>
          </cell>
        </row>
        <row r="1109">
          <cell r="T1109">
            <v>38781</v>
          </cell>
          <cell r="U1109">
            <v>1.5234000000000001E-2</v>
          </cell>
          <cell r="V1109">
            <v>1.6049999999999998E-2</v>
          </cell>
          <cell r="W1109">
            <v>1.7000000000000001E-2</v>
          </cell>
          <cell r="X1109">
            <v>1.95E-2</v>
          </cell>
          <cell r="Y1109">
            <v>1.9599999999999999E-2</v>
          </cell>
          <cell r="Z1109">
            <v>2.0549999999999999E-2</v>
          </cell>
          <cell r="AA1109">
            <v>2.1150000000000002E-2</v>
          </cell>
          <cell r="AB1109">
            <v>2.2799999999999997E-2</v>
          </cell>
          <cell r="AC1109">
            <v>2.46E-2</v>
          </cell>
        </row>
        <row r="1110">
          <cell r="T1110">
            <v>38780</v>
          </cell>
          <cell r="U1110">
            <v>1.5234000000000001E-2</v>
          </cell>
          <cell r="V1110">
            <v>1.6049999999999998E-2</v>
          </cell>
          <cell r="W1110">
            <v>1.7000000000000001E-2</v>
          </cell>
          <cell r="X1110">
            <v>1.95E-2</v>
          </cell>
          <cell r="Y1110">
            <v>1.9599999999999999E-2</v>
          </cell>
          <cell r="Z1110">
            <v>2.0549999999999999E-2</v>
          </cell>
          <cell r="AA1110">
            <v>2.1150000000000002E-2</v>
          </cell>
          <cell r="AB1110">
            <v>2.2799999999999997E-2</v>
          </cell>
          <cell r="AC1110">
            <v>2.46E-2</v>
          </cell>
        </row>
        <row r="1111">
          <cell r="T1111">
            <v>38779</v>
          </cell>
          <cell r="U1111">
            <v>1.5234000000000001E-2</v>
          </cell>
          <cell r="V1111">
            <v>1.6049999999999998E-2</v>
          </cell>
          <cell r="W1111">
            <v>1.7000000000000001E-2</v>
          </cell>
          <cell r="X1111">
            <v>1.95E-2</v>
          </cell>
          <cell r="Y1111">
            <v>1.9599999999999999E-2</v>
          </cell>
          <cell r="Z1111">
            <v>2.0549999999999999E-2</v>
          </cell>
          <cell r="AA1111">
            <v>2.1150000000000002E-2</v>
          </cell>
          <cell r="AB1111">
            <v>2.2799999999999997E-2</v>
          </cell>
          <cell r="AC1111">
            <v>2.46E-2</v>
          </cell>
        </row>
        <row r="1112">
          <cell r="T1112">
            <v>38778</v>
          </cell>
          <cell r="U1112">
            <v>1.5304E-2</v>
          </cell>
          <cell r="V1112">
            <v>1.6125E-2</v>
          </cell>
          <cell r="W1112">
            <v>1.7000000000000001E-2</v>
          </cell>
          <cell r="X1112">
            <v>1.8499999999999999E-2</v>
          </cell>
          <cell r="Y1112">
            <v>1.95E-2</v>
          </cell>
          <cell r="Z1112">
            <v>2.0400000000000001E-2</v>
          </cell>
          <cell r="AA1112">
            <v>2.1049999999999999E-2</v>
          </cell>
          <cell r="AB1112">
            <v>2.2700000000000001E-2</v>
          </cell>
          <cell r="AC1112">
            <v>2.46E-2</v>
          </cell>
        </row>
        <row r="1113">
          <cell r="T1113">
            <v>38777</v>
          </cell>
          <cell r="U1113">
            <v>1.5304E-2</v>
          </cell>
          <cell r="V1113">
            <v>1.6125E-2</v>
          </cell>
          <cell r="W1113">
            <v>1.7000000000000001E-2</v>
          </cell>
          <cell r="X1113">
            <v>1.8599999999999998E-2</v>
          </cell>
          <cell r="Y1113">
            <v>1.9550000000000001E-2</v>
          </cell>
          <cell r="Z1113">
            <v>2.0400000000000001E-2</v>
          </cell>
          <cell r="AA1113">
            <v>2.1049999999999999E-2</v>
          </cell>
          <cell r="AB1113">
            <v>2.2649999999999997E-2</v>
          </cell>
          <cell r="AC1113">
            <v>2.46E-2</v>
          </cell>
        </row>
        <row r="1114">
          <cell r="T1114">
            <v>38776</v>
          </cell>
          <cell r="U1114">
            <v>1.5234000000000001E-2</v>
          </cell>
          <cell r="V1114">
            <v>1.6049999999999998E-2</v>
          </cell>
          <cell r="W1114">
            <v>1.7000000000000001E-2</v>
          </cell>
          <cell r="X1114">
            <v>1.865E-2</v>
          </cell>
          <cell r="Y1114">
            <v>1.9649999999999997E-2</v>
          </cell>
          <cell r="Z1114">
            <v>2.06E-2</v>
          </cell>
          <cell r="AA1114">
            <v>2.12E-2</v>
          </cell>
          <cell r="AB1114">
            <v>2.2799999999999997E-2</v>
          </cell>
          <cell r="AC1114">
            <v>2.4749999999999998E-2</v>
          </cell>
        </row>
        <row r="1115">
          <cell r="T1115">
            <v>38775</v>
          </cell>
          <cell r="U1115">
            <v>1.5234000000000001E-2</v>
          </cell>
          <cell r="V1115">
            <v>1.6049999999999998E-2</v>
          </cell>
          <cell r="W1115">
            <v>1.7000000000000001E-2</v>
          </cell>
          <cell r="X1115">
            <v>1.865E-2</v>
          </cell>
          <cell r="Y1115">
            <v>1.9649999999999997E-2</v>
          </cell>
          <cell r="Z1115">
            <v>2.06E-2</v>
          </cell>
          <cell r="AA1115">
            <v>2.12E-2</v>
          </cell>
          <cell r="AB1115">
            <v>2.2799999999999997E-2</v>
          </cell>
          <cell r="AC1115">
            <v>2.4749999999999998E-2</v>
          </cell>
        </row>
        <row r="1116">
          <cell r="T1116">
            <v>38774</v>
          </cell>
          <cell r="U1116">
            <v>1.5234000000000001E-2</v>
          </cell>
          <cell r="V1116">
            <v>1.6049999999999998E-2</v>
          </cell>
          <cell r="W1116">
            <v>1.7000000000000001E-2</v>
          </cell>
          <cell r="X1116">
            <v>1.8550000000000001E-2</v>
          </cell>
          <cell r="Y1116">
            <v>1.95E-2</v>
          </cell>
          <cell r="Z1116">
            <v>2.0400000000000001E-2</v>
          </cell>
          <cell r="AA1116">
            <v>2.1049999999999999E-2</v>
          </cell>
          <cell r="AB1116">
            <v>2.2550000000000001E-2</v>
          </cell>
          <cell r="AC1116">
            <v>2.4699999999999996E-2</v>
          </cell>
        </row>
        <row r="1117">
          <cell r="T1117">
            <v>38773</v>
          </cell>
          <cell r="U1117">
            <v>1.5234000000000001E-2</v>
          </cell>
          <cell r="V1117">
            <v>1.6049999999999998E-2</v>
          </cell>
          <cell r="W1117">
            <v>1.7000000000000001E-2</v>
          </cell>
          <cell r="X1117">
            <v>1.8550000000000001E-2</v>
          </cell>
          <cell r="Y1117">
            <v>1.95E-2</v>
          </cell>
          <cell r="Z1117">
            <v>2.0400000000000001E-2</v>
          </cell>
          <cell r="AA1117">
            <v>2.1049999999999999E-2</v>
          </cell>
          <cell r="AB1117">
            <v>2.2550000000000001E-2</v>
          </cell>
          <cell r="AC1117">
            <v>2.4699999999999996E-2</v>
          </cell>
        </row>
        <row r="1118">
          <cell r="T1118">
            <v>38772</v>
          </cell>
          <cell r="U1118">
            <v>1.5234000000000001E-2</v>
          </cell>
          <cell r="V1118">
            <v>1.6049999999999998E-2</v>
          </cell>
          <cell r="W1118">
            <v>1.7000000000000001E-2</v>
          </cell>
          <cell r="X1118">
            <v>1.8550000000000001E-2</v>
          </cell>
          <cell r="Y1118">
            <v>1.95E-2</v>
          </cell>
          <cell r="Z1118">
            <v>2.0400000000000001E-2</v>
          </cell>
          <cell r="AA1118">
            <v>2.1049999999999999E-2</v>
          </cell>
          <cell r="AB1118">
            <v>2.2550000000000001E-2</v>
          </cell>
          <cell r="AC1118">
            <v>2.4699999999999996E-2</v>
          </cell>
        </row>
        <row r="1119">
          <cell r="T1119">
            <v>38771</v>
          </cell>
          <cell r="U1119">
            <v>1.5304E-2</v>
          </cell>
          <cell r="V1119">
            <v>1.6125E-2</v>
          </cell>
          <cell r="W1119">
            <v>1.6899999999999998E-2</v>
          </cell>
          <cell r="X1119">
            <v>1.8550000000000001E-2</v>
          </cell>
          <cell r="Y1119">
            <v>1.9400000000000001E-2</v>
          </cell>
          <cell r="Z1119">
            <v>2.0250000000000001E-2</v>
          </cell>
          <cell r="AA1119">
            <v>2.0799999999999999E-2</v>
          </cell>
          <cell r="AB1119">
            <v>2.265E-2</v>
          </cell>
          <cell r="AC1119">
            <v>2.445E-2</v>
          </cell>
        </row>
        <row r="1120">
          <cell r="T1120">
            <v>38770</v>
          </cell>
          <cell r="U1120">
            <v>1.5362000000000001E-2</v>
          </cell>
          <cell r="V1120">
            <v>1.6213999999999999E-2</v>
          </cell>
          <cell r="W1120">
            <v>1.6899999999999998E-2</v>
          </cell>
          <cell r="X1120">
            <v>1.8550000000000001E-2</v>
          </cell>
          <cell r="Y1120">
            <v>1.9400000000000001E-2</v>
          </cell>
          <cell r="Z1120">
            <v>2.0499999999999997E-2</v>
          </cell>
          <cell r="AA1120">
            <v>2.1150000000000002E-2</v>
          </cell>
          <cell r="AB1120">
            <v>2.2700000000000001E-2</v>
          </cell>
          <cell r="AC1120">
            <v>2.46E-2</v>
          </cell>
        </row>
        <row r="1121">
          <cell r="T1121">
            <v>38769</v>
          </cell>
          <cell r="U1121">
            <v>1.5304E-2</v>
          </cell>
          <cell r="V1121">
            <v>1.6125E-2</v>
          </cell>
          <cell r="W1121">
            <v>1.6899999999999998E-2</v>
          </cell>
          <cell r="X1121">
            <v>1.8450000000000001E-2</v>
          </cell>
          <cell r="Y1121">
            <v>1.9349999999999999E-2</v>
          </cell>
          <cell r="Z1121">
            <v>2.035E-2</v>
          </cell>
          <cell r="AA1121">
            <v>2.0949999999999996E-2</v>
          </cell>
          <cell r="AB1121">
            <v>2.2850000000000002E-2</v>
          </cell>
          <cell r="AC1121">
            <v>2.4649999999999998E-2</v>
          </cell>
        </row>
        <row r="1122">
          <cell r="T1122">
            <v>38768</v>
          </cell>
          <cell r="U1122">
            <v>1.5271E-2</v>
          </cell>
          <cell r="V1122">
            <v>1.6156999999999998E-2</v>
          </cell>
          <cell r="W1122">
            <v>1.6799999999999999E-2</v>
          </cell>
          <cell r="X1122">
            <v>1.8349999999999998E-2</v>
          </cell>
          <cell r="Y1122">
            <v>1.9349999999999999E-2</v>
          </cell>
          <cell r="Z1122">
            <v>2.0300000000000002E-2</v>
          </cell>
          <cell r="AA1122">
            <v>2.1049999999999999E-2</v>
          </cell>
          <cell r="AB1122">
            <v>2.2850000000000002E-2</v>
          </cell>
          <cell r="AC1122">
            <v>2.4649999999999998E-2</v>
          </cell>
        </row>
        <row r="1123">
          <cell r="T1123">
            <v>38767</v>
          </cell>
          <cell r="U1123">
            <v>1.5304E-2</v>
          </cell>
          <cell r="V1123">
            <v>1.6125E-2</v>
          </cell>
          <cell r="W1123">
            <v>1.685E-2</v>
          </cell>
          <cell r="X1123">
            <v>1.84E-2</v>
          </cell>
          <cell r="Y1123">
            <v>1.9649999999999997E-2</v>
          </cell>
          <cell r="Z1123">
            <v>2.0599999999999997E-2</v>
          </cell>
          <cell r="AA1123">
            <v>2.1349999999999997E-2</v>
          </cell>
          <cell r="AB1123">
            <v>2.3099999999999996E-2</v>
          </cell>
          <cell r="AC1123">
            <v>2.5100000000000001E-2</v>
          </cell>
        </row>
        <row r="1124">
          <cell r="T1124">
            <v>38766</v>
          </cell>
          <cell r="U1124">
            <v>1.5304E-2</v>
          </cell>
          <cell r="V1124">
            <v>1.6125E-2</v>
          </cell>
          <cell r="W1124">
            <v>1.685E-2</v>
          </cell>
          <cell r="X1124">
            <v>1.84E-2</v>
          </cell>
          <cell r="Y1124">
            <v>1.9649999999999997E-2</v>
          </cell>
          <cell r="Z1124">
            <v>2.0599999999999997E-2</v>
          </cell>
          <cell r="AA1124">
            <v>2.1349999999999997E-2</v>
          </cell>
          <cell r="AB1124">
            <v>2.3099999999999996E-2</v>
          </cell>
          <cell r="AC1124">
            <v>2.5100000000000001E-2</v>
          </cell>
        </row>
        <row r="1125">
          <cell r="T1125">
            <v>38765</v>
          </cell>
          <cell r="U1125">
            <v>1.5304E-2</v>
          </cell>
          <cell r="V1125">
            <v>1.6125E-2</v>
          </cell>
          <cell r="W1125">
            <v>1.685E-2</v>
          </cell>
          <cell r="X1125">
            <v>1.84E-2</v>
          </cell>
          <cell r="Y1125">
            <v>1.9649999999999997E-2</v>
          </cell>
          <cell r="Z1125">
            <v>2.0599999999999997E-2</v>
          </cell>
          <cell r="AA1125">
            <v>2.1349999999999997E-2</v>
          </cell>
          <cell r="AB1125">
            <v>2.3099999999999996E-2</v>
          </cell>
          <cell r="AC1125">
            <v>2.5100000000000001E-2</v>
          </cell>
        </row>
        <row r="1126">
          <cell r="T1126">
            <v>38764</v>
          </cell>
          <cell r="U1126">
            <v>1.5275E-2</v>
          </cell>
          <cell r="V1126">
            <v>1.6125E-2</v>
          </cell>
          <cell r="W1126">
            <v>1.6899999999999998E-2</v>
          </cell>
          <cell r="X1126">
            <v>1.84E-2</v>
          </cell>
          <cell r="Y1126">
            <v>1.9599999999999999E-2</v>
          </cell>
          <cell r="Z1126">
            <v>2.0649999999999998E-2</v>
          </cell>
          <cell r="AA1126">
            <v>2.145E-2</v>
          </cell>
          <cell r="AB1126">
            <v>2.315E-2</v>
          </cell>
          <cell r="AC1126">
            <v>2.5100000000000001E-2</v>
          </cell>
        </row>
        <row r="1127">
          <cell r="T1127">
            <v>38763</v>
          </cell>
          <cell r="U1127">
            <v>1.5188999999999999E-2</v>
          </cell>
          <cell r="V1127">
            <v>1.6125E-2</v>
          </cell>
          <cell r="W1127">
            <v>1.6899999999999998E-2</v>
          </cell>
          <cell r="X1127">
            <v>1.84E-2</v>
          </cell>
          <cell r="Y1127">
            <v>1.9699999999999999E-2</v>
          </cell>
          <cell r="Z1127">
            <v>2.0700000000000003E-2</v>
          </cell>
          <cell r="AA1127">
            <v>2.1500000000000005E-2</v>
          </cell>
          <cell r="AB1127">
            <v>2.3050000000000001E-2</v>
          </cell>
          <cell r="AC1127">
            <v>2.5100000000000001E-2</v>
          </cell>
        </row>
        <row r="1128">
          <cell r="T1128">
            <v>38762</v>
          </cell>
          <cell r="U1128">
            <v>1.5117E-2</v>
          </cell>
          <cell r="V1128">
            <v>1.6049999999999998E-2</v>
          </cell>
          <cell r="W1128">
            <v>1.685E-2</v>
          </cell>
          <cell r="X1128">
            <v>1.8499999999999999E-2</v>
          </cell>
          <cell r="Y1128">
            <v>1.975E-2</v>
          </cell>
          <cell r="Z1128">
            <v>2.085E-2</v>
          </cell>
          <cell r="AA1128">
            <v>2.1550000000000003E-2</v>
          </cell>
          <cell r="AB1128">
            <v>2.3099999999999999E-2</v>
          </cell>
          <cell r="AC1128">
            <v>2.5100000000000001E-2</v>
          </cell>
        </row>
        <row r="1129">
          <cell r="T1129">
            <v>38761</v>
          </cell>
          <cell r="U1129">
            <v>1.5188999999999999E-2</v>
          </cell>
          <cell r="V1129">
            <v>1.6125E-2</v>
          </cell>
          <cell r="W1129">
            <v>1.6799999999999999E-2</v>
          </cell>
          <cell r="X1129">
            <v>1.84E-2</v>
          </cell>
          <cell r="Y1129">
            <v>1.975E-2</v>
          </cell>
          <cell r="Z1129">
            <v>2.0899999999999998E-2</v>
          </cell>
          <cell r="AA1129">
            <v>2.1649999999999999E-2</v>
          </cell>
          <cell r="AB1129">
            <v>2.3099999999999999E-2</v>
          </cell>
          <cell r="AC1129">
            <v>2.4700000000000003E-2</v>
          </cell>
        </row>
        <row r="1130">
          <cell r="T1130">
            <v>38760</v>
          </cell>
          <cell r="U1130">
            <v>1.5262E-2</v>
          </cell>
          <cell r="V1130">
            <v>1.6192999999999999E-2</v>
          </cell>
          <cell r="W1130">
            <v>1.6799999999999999E-2</v>
          </cell>
          <cell r="X1130">
            <v>1.8450000000000001E-2</v>
          </cell>
          <cell r="Y1130">
            <v>1.9649999999999997E-2</v>
          </cell>
          <cell r="Z1130">
            <v>2.0700000000000003E-2</v>
          </cell>
          <cell r="AA1130">
            <v>2.1500000000000005E-2</v>
          </cell>
          <cell r="AB1130">
            <v>2.29E-2</v>
          </cell>
          <cell r="AC1130">
            <v>2.4649999999999998E-2</v>
          </cell>
        </row>
        <row r="1131">
          <cell r="T1131">
            <v>38759</v>
          </cell>
          <cell r="U1131">
            <v>1.5262E-2</v>
          </cell>
          <cell r="V1131">
            <v>1.6192999999999999E-2</v>
          </cell>
          <cell r="W1131">
            <v>1.6799999999999999E-2</v>
          </cell>
          <cell r="X1131">
            <v>1.8450000000000001E-2</v>
          </cell>
          <cell r="Y1131">
            <v>1.9649999999999997E-2</v>
          </cell>
          <cell r="Z1131">
            <v>2.0700000000000003E-2</v>
          </cell>
          <cell r="AA1131">
            <v>2.1500000000000005E-2</v>
          </cell>
          <cell r="AB1131">
            <v>2.29E-2</v>
          </cell>
          <cell r="AC1131">
            <v>2.4649999999999998E-2</v>
          </cell>
        </row>
        <row r="1132">
          <cell r="T1132">
            <v>38758</v>
          </cell>
          <cell r="U1132">
            <v>1.5262E-2</v>
          </cell>
          <cell r="V1132">
            <v>1.6192999999999999E-2</v>
          </cell>
          <cell r="W1132">
            <v>1.6799999999999999E-2</v>
          </cell>
          <cell r="X1132">
            <v>1.8450000000000001E-2</v>
          </cell>
          <cell r="Y1132">
            <v>1.9649999999999997E-2</v>
          </cell>
          <cell r="Z1132">
            <v>2.0700000000000003E-2</v>
          </cell>
          <cell r="AA1132">
            <v>2.1500000000000005E-2</v>
          </cell>
          <cell r="AB1132">
            <v>2.29E-2</v>
          </cell>
          <cell r="AC1132">
            <v>2.4649999999999998E-2</v>
          </cell>
        </row>
        <row r="1133">
          <cell r="T1133">
            <v>38757</v>
          </cell>
          <cell r="U1133">
            <v>1.5262E-2</v>
          </cell>
          <cell r="V1133">
            <v>1.6192999999999999E-2</v>
          </cell>
          <cell r="W1133">
            <v>1.6750000000000001E-2</v>
          </cell>
          <cell r="X1133">
            <v>1.8299999999999997E-2</v>
          </cell>
          <cell r="Y1133">
            <v>1.9599999999999999E-2</v>
          </cell>
          <cell r="Z1133">
            <v>2.0549999999999999E-2</v>
          </cell>
          <cell r="AA1133">
            <v>2.1349999999999997E-2</v>
          </cell>
          <cell r="AB1133">
            <v>2.2700000000000001E-2</v>
          </cell>
          <cell r="AC1133">
            <v>2.445E-2</v>
          </cell>
        </row>
        <row r="1134">
          <cell r="T1134">
            <v>38756</v>
          </cell>
          <cell r="U1134">
            <v>1.4978999999999999E-2</v>
          </cell>
          <cell r="V1134">
            <v>1.5774999999999997E-2</v>
          </cell>
          <cell r="W1134">
            <v>1.6700000000000003E-2</v>
          </cell>
          <cell r="X1134">
            <v>1.84E-2</v>
          </cell>
          <cell r="Y1134">
            <v>1.9649999999999997E-2</v>
          </cell>
          <cell r="Z1134">
            <v>2.0599999999999997E-2</v>
          </cell>
          <cell r="AA1134">
            <v>2.1399999999999995E-2</v>
          </cell>
          <cell r="AB1134">
            <v>2.2850000000000002E-2</v>
          </cell>
          <cell r="AC1134">
            <v>2.4550000000000002E-2</v>
          </cell>
        </row>
        <row r="1135">
          <cell r="T1135">
            <v>38755</v>
          </cell>
          <cell r="U1135">
            <v>1.4978999999999999E-2</v>
          </cell>
          <cell r="V1135">
            <v>1.5774999999999997E-2</v>
          </cell>
          <cell r="W1135">
            <v>1.6700000000000003E-2</v>
          </cell>
          <cell r="X1135">
            <v>1.84E-2</v>
          </cell>
          <cell r="Y1135">
            <v>1.9699999999999999E-2</v>
          </cell>
          <cell r="Z1135">
            <v>2.0649999999999998E-2</v>
          </cell>
          <cell r="AA1135">
            <v>2.1500000000000005E-2</v>
          </cell>
          <cell r="AB1135">
            <v>2.2600000000000002E-2</v>
          </cell>
          <cell r="AC1135">
            <v>2.4500000000000001E-2</v>
          </cell>
        </row>
        <row r="1136">
          <cell r="T1136">
            <v>38754</v>
          </cell>
          <cell r="U1136">
            <v>1.5032999999999998E-2</v>
          </cell>
          <cell r="V1136">
            <v>1.5836000000000003E-2</v>
          </cell>
          <cell r="W1136">
            <v>1.6700000000000003E-2</v>
          </cell>
          <cell r="X1136">
            <v>1.8249999999999999E-2</v>
          </cell>
          <cell r="Y1136">
            <v>1.9450000000000002E-2</v>
          </cell>
          <cell r="Z1136">
            <v>2.0499999999999997E-2</v>
          </cell>
          <cell r="AA1136">
            <v>2.1250000000000002E-2</v>
          </cell>
          <cell r="AB1136">
            <v>2.2499999999999999E-2</v>
          </cell>
          <cell r="AC1136">
            <v>2.4249999999999997E-2</v>
          </cell>
        </row>
        <row r="1137">
          <cell r="T1137">
            <v>38753</v>
          </cell>
          <cell r="U1137">
            <v>1.5013999999999998E-2</v>
          </cell>
          <cell r="V1137">
            <v>1.5774999999999997E-2</v>
          </cell>
          <cell r="W1137">
            <v>1.6750000000000001E-2</v>
          </cell>
          <cell r="X1137">
            <v>1.84E-2</v>
          </cell>
          <cell r="Y1137">
            <v>1.9449999999999999E-2</v>
          </cell>
          <cell r="Z1137">
            <v>2.0549999999999999E-2</v>
          </cell>
          <cell r="AA1137">
            <v>2.12E-2</v>
          </cell>
          <cell r="AB1137">
            <v>2.23E-2</v>
          </cell>
          <cell r="AC1137">
            <v>2.4399999999999998E-2</v>
          </cell>
        </row>
        <row r="1138">
          <cell r="T1138">
            <v>38752</v>
          </cell>
          <cell r="U1138">
            <v>1.5013999999999998E-2</v>
          </cell>
          <cell r="V1138">
            <v>1.5774999999999997E-2</v>
          </cell>
          <cell r="W1138">
            <v>1.6750000000000001E-2</v>
          </cell>
          <cell r="X1138">
            <v>1.84E-2</v>
          </cell>
          <cell r="Y1138">
            <v>1.9449999999999999E-2</v>
          </cell>
          <cell r="Z1138">
            <v>2.0549999999999999E-2</v>
          </cell>
          <cell r="AA1138">
            <v>2.12E-2</v>
          </cell>
          <cell r="AB1138">
            <v>2.23E-2</v>
          </cell>
          <cell r="AC1138">
            <v>2.4399999999999998E-2</v>
          </cell>
        </row>
        <row r="1139">
          <cell r="T1139">
            <v>38751</v>
          </cell>
          <cell r="U1139">
            <v>1.5013999999999998E-2</v>
          </cell>
          <cell r="V1139">
            <v>1.5774999999999997E-2</v>
          </cell>
          <cell r="W1139">
            <v>1.6750000000000001E-2</v>
          </cell>
          <cell r="X1139">
            <v>1.84E-2</v>
          </cell>
          <cell r="Y1139">
            <v>1.9449999999999999E-2</v>
          </cell>
          <cell r="Z1139">
            <v>2.0549999999999999E-2</v>
          </cell>
          <cell r="AA1139">
            <v>2.12E-2</v>
          </cell>
          <cell r="AB1139">
            <v>2.23E-2</v>
          </cell>
          <cell r="AC1139">
            <v>2.4399999999999998E-2</v>
          </cell>
        </row>
        <row r="1140">
          <cell r="T1140">
            <v>38750</v>
          </cell>
          <cell r="U1140">
            <v>1.5100000000000001E-2</v>
          </cell>
          <cell r="V1140">
            <v>1.5975E-2</v>
          </cell>
          <cell r="W1140">
            <v>1.6500000000000001E-2</v>
          </cell>
          <cell r="X1140">
            <v>1.7950000000000001E-2</v>
          </cell>
          <cell r="Y1140">
            <v>1.9050000000000001E-2</v>
          </cell>
          <cell r="Z1140">
            <v>0.02</v>
          </cell>
          <cell r="AA1140">
            <v>2.0649999999999998E-2</v>
          </cell>
          <cell r="AB1140">
            <v>2.2000000000000002E-2</v>
          </cell>
          <cell r="AC1140">
            <v>2.3600000000000003E-2</v>
          </cell>
        </row>
        <row r="1141">
          <cell r="T1141">
            <v>38749</v>
          </cell>
          <cell r="U1141">
            <v>1.5100000000000001E-2</v>
          </cell>
          <cell r="V1141">
            <v>1.5975E-2</v>
          </cell>
          <cell r="W1141">
            <v>1.6500000000000001E-2</v>
          </cell>
          <cell r="X1141">
            <v>1.7950000000000001E-2</v>
          </cell>
          <cell r="Y1141">
            <v>1.9050000000000001E-2</v>
          </cell>
          <cell r="Z1141">
            <v>0.02</v>
          </cell>
          <cell r="AA1141">
            <v>2.0649999999999998E-2</v>
          </cell>
          <cell r="AB1141">
            <v>2.2000000000000002E-2</v>
          </cell>
          <cell r="AC1141">
            <v>2.3600000000000003E-2</v>
          </cell>
        </row>
        <row r="1142">
          <cell r="T1142">
            <v>38748</v>
          </cell>
          <cell r="U1142">
            <v>1.5100000000000001E-2</v>
          </cell>
          <cell r="V1142">
            <v>1.5975E-2</v>
          </cell>
          <cell r="W1142">
            <v>1.6500000000000001E-2</v>
          </cell>
          <cell r="X1142">
            <v>1.7950000000000001E-2</v>
          </cell>
          <cell r="Y1142">
            <v>1.9050000000000001E-2</v>
          </cell>
          <cell r="Z1142">
            <v>0.02</v>
          </cell>
          <cell r="AA1142">
            <v>2.0649999999999998E-2</v>
          </cell>
          <cell r="AB1142">
            <v>2.2000000000000002E-2</v>
          </cell>
          <cell r="AC1142">
            <v>2.3600000000000003E-2</v>
          </cell>
        </row>
        <row r="1143">
          <cell r="T1143">
            <v>38747</v>
          </cell>
          <cell r="U1143">
            <v>1.5100000000000001E-2</v>
          </cell>
          <cell r="V1143">
            <v>1.5975E-2</v>
          </cell>
          <cell r="W1143">
            <v>1.6500000000000001E-2</v>
          </cell>
          <cell r="X1143">
            <v>1.7950000000000001E-2</v>
          </cell>
          <cell r="Y1143">
            <v>1.9050000000000001E-2</v>
          </cell>
          <cell r="Z1143">
            <v>0.02</v>
          </cell>
          <cell r="AA1143">
            <v>2.0649999999999998E-2</v>
          </cell>
          <cell r="AB1143">
            <v>2.2000000000000002E-2</v>
          </cell>
          <cell r="AC1143">
            <v>2.3600000000000003E-2</v>
          </cell>
        </row>
        <row r="1144">
          <cell r="T1144">
            <v>38746</v>
          </cell>
          <cell r="U1144">
            <v>1.5100000000000001E-2</v>
          </cell>
          <cell r="V1144">
            <v>1.5975E-2</v>
          </cell>
          <cell r="W1144">
            <v>1.6500000000000001E-2</v>
          </cell>
          <cell r="X1144">
            <v>1.7950000000000001E-2</v>
          </cell>
          <cell r="Y1144">
            <v>1.9050000000000001E-2</v>
          </cell>
          <cell r="Z1144">
            <v>0.02</v>
          </cell>
          <cell r="AA1144">
            <v>2.0649999999999998E-2</v>
          </cell>
          <cell r="AB1144">
            <v>2.2000000000000002E-2</v>
          </cell>
          <cell r="AC1144">
            <v>2.3600000000000003E-2</v>
          </cell>
        </row>
        <row r="1145">
          <cell r="T1145">
            <v>38745</v>
          </cell>
          <cell r="U1145">
            <v>1.5100000000000001E-2</v>
          </cell>
          <cell r="V1145">
            <v>1.5975E-2</v>
          </cell>
          <cell r="W1145">
            <v>1.6500000000000001E-2</v>
          </cell>
          <cell r="X1145">
            <v>1.7950000000000001E-2</v>
          </cell>
          <cell r="Y1145">
            <v>1.9050000000000001E-2</v>
          </cell>
          <cell r="Z1145">
            <v>0.02</v>
          </cell>
          <cell r="AA1145">
            <v>2.0649999999999998E-2</v>
          </cell>
          <cell r="AB1145">
            <v>2.2000000000000002E-2</v>
          </cell>
          <cell r="AC1145">
            <v>2.3600000000000003E-2</v>
          </cell>
        </row>
        <row r="1146">
          <cell r="T1146">
            <v>38744</v>
          </cell>
          <cell r="U1146">
            <v>1.5100000000000001E-2</v>
          </cell>
          <cell r="V1146">
            <v>1.5975E-2</v>
          </cell>
          <cell r="W1146">
            <v>1.6500000000000001E-2</v>
          </cell>
          <cell r="X1146">
            <v>1.7950000000000001E-2</v>
          </cell>
          <cell r="Y1146">
            <v>1.9050000000000001E-2</v>
          </cell>
          <cell r="Z1146">
            <v>0.02</v>
          </cell>
          <cell r="AA1146">
            <v>2.0649999999999998E-2</v>
          </cell>
          <cell r="AB1146">
            <v>2.2000000000000002E-2</v>
          </cell>
          <cell r="AC1146">
            <v>2.3600000000000003E-2</v>
          </cell>
        </row>
        <row r="1147">
          <cell r="T1147">
            <v>38743</v>
          </cell>
          <cell r="U1147">
            <v>1.5100000000000001E-2</v>
          </cell>
          <cell r="V1147">
            <v>1.5975E-2</v>
          </cell>
          <cell r="W1147">
            <v>1.6500000000000001E-2</v>
          </cell>
          <cell r="X1147">
            <v>1.7950000000000001E-2</v>
          </cell>
          <cell r="Y1147">
            <v>1.9050000000000001E-2</v>
          </cell>
          <cell r="Z1147">
            <v>0.02</v>
          </cell>
          <cell r="AA1147">
            <v>2.0649999999999998E-2</v>
          </cell>
          <cell r="AB1147">
            <v>2.2000000000000002E-2</v>
          </cell>
          <cell r="AC1147">
            <v>2.3600000000000003E-2</v>
          </cell>
        </row>
        <row r="1148">
          <cell r="T1148">
            <v>38742</v>
          </cell>
          <cell r="U1148">
            <v>1.5100000000000001E-2</v>
          </cell>
          <cell r="V1148">
            <v>1.5975E-2</v>
          </cell>
          <cell r="W1148">
            <v>1.6500000000000001E-2</v>
          </cell>
          <cell r="X1148">
            <v>1.7950000000000001E-2</v>
          </cell>
          <cell r="Y1148">
            <v>1.9050000000000001E-2</v>
          </cell>
          <cell r="Z1148">
            <v>0.02</v>
          </cell>
          <cell r="AA1148">
            <v>2.0649999999999998E-2</v>
          </cell>
          <cell r="AB1148">
            <v>2.2000000000000002E-2</v>
          </cell>
          <cell r="AC1148">
            <v>2.3600000000000003E-2</v>
          </cell>
        </row>
        <row r="1149">
          <cell r="T1149">
            <v>38741</v>
          </cell>
          <cell r="U1149">
            <v>1.4978999999999999E-2</v>
          </cell>
          <cell r="V1149">
            <v>1.5774999999999997E-2</v>
          </cell>
          <cell r="W1149">
            <v>1.6500000000000001E-2</v>
          </cell>
          <cell r="X1149">
            <v>1.7899999999999999E-2</v>
          </cell>
          <cell r="Y1149">
            <v>1.89E-2</v>
          </cell>
          <cell r="Z1149">
            <v>1.975E-2</v>
          </cell>
          <cell r="AA1149">
            <v>2.035E-2</v>
          </cell>
          <cell r="AB1149">
            <v>2.1749999999999999E-2</v>
          </cell>
          <cell r="AC1149">
            <v>2.3250000000000003E-2</v>
          </cell>
        </row>
        <row r="1150">
          <cell r="T1150">
            <v>38740</v>
          </cell>
          <cell r="U1150">
            <v>1.4978999999999999E-2</v>
          </cell>
          <cell r="V1150">
            <v>1.5774999999999997E-2</v>
          </cell>
          <cell r="W1150">
            <v>1.6500000000000001E-2</v>
          </cell>
          <cell r="X1150">
            <v>1.7850000000000001E-2</v>
          </cell>
          <cell r="Y1150">
            <v>1.89E-2</v>
          </cell>
          <cell r="Z1150">
            <v>1.9699999999999999E-2</v>
          </cell>
          <cell r="AA1150">
            <v>2.0300000000000002E-2</v>
          </cell>
          <cell r="AB1150">
            <v>2.145E-2</v>
          </cell>
          <cell r="AC1150">
            <v>2.3050000000000001E-2</v>
          </cell>
        </row>
        <row r="1151">
          <cell r="T1151">
            <v>38739</v>
          </cell>
          <cell r="U1151">
            <v>1.5032999999999998E-2</v>
          </cell>
          <cell r="V1151">
            <v>1.5836000000000003E-2</v>
          </cell>
          <cell r="W1151">
            <v>1.6500000000000001E-2</v>
          </cell>
          <cell r="X1151">
            <v>1.7899999999999999E-2</v>
          </cell>
          <cell r="Y1151">
            <v>1.89E-2</v>
          </cell>
          <cell r="Z1151">
            <v>1.9599999999999999E-2</v>
          </cell>
          <cell r="AA1151">
            <v>2.0149999999999998E-2</v>
          </cell>
          <cell r="AB1151">
            <v>2.1600000000000001E-2</v>
          </cell>
          <cell r="AC1151">
            <v>2.665E-2</v>
          </cell>
        </row>
        <row r="1152">
          <cell r="T1152">
            <v>38738</v>
          </cell>
          <cell r="U1152">
            <v>1.5032999999999998E-2</v>
          </cell>
          <cell r="V1152">
            <v>1.5836000000000003E-2</v>
          </cell>
          <cell r="W1152">
            <v>1.6500000000000001E-2</v>
          </cell>
          <cell r="X1152">
            <v>1.7899999999999999E-2</v>
          </cell>
          <cell r="Y1152">
            <v>1.89E-2</v>
          </cell>
          <cell r="Z1152">
            <v>1.9599999999999999E-2</v>
          </cell>
          <cell r="AA1152">
            <v>2.0149999999999998E-2</v>
          </cell>
          <cell r="AB1152">
            <v>2.1600000000000001E-2</v>
          </cell>
          <cell r="AC1152">
            <v>2.665E-2</v>
          </cell>
        </row>
        <row r="1153">
          <cell r="T1153">
            <v>38737</v>
          </cell>
          <cell r="U1153">
            <v>1.5032999999999998E-2</v>
          </cell>
          <cell r="V1153">
            <v>1.5836000000000003E-2</v>
          </cell>
          <cell r="W1153">
            <v>1.6500000000000001E-2</v>
          </cell>
          <cell r="X1153">
            <v>1.7899999999999999E-2</v>
          </cell>
          <cell r="Y1153">
            <v>1.89E-2</v>
          </cell>
          <cell r="Z1153">
            <v>1.9599999999999999E-2</v>
          </cell>
          <cell r="AA1153">
            <v>2.0149999999999998E-2</v>
          </cell>
          <cell r="AB1153">
            <v>2.1600000000000001E-2</v>
          </cell>
          <cell r="AC1153">
            <v>2.665E-2</v>
          </cell>
        </row>
        <row r="1154">
          <cell r="T1154">
            <v>38736</v>
          </cell>
          <cell r="U1154">
            <v>1.5032999999999998E-2</v>
          </cell>
          <cell r="V1154">
            <v>1.5842999999999999E-2</v>
          </cell>
          <cell r="W1154">
            <v>1.6500000000000001E-2</v>
          </cell>
          <cell r="X1154">
            <v>1.7950000000000001E-2</v>
          </cell>
          <cell r="Y1154">
            <v>1.89E-2</v>
          </cell>
          <cell r="Z1154">
            <v>1.9599999999999999E-2</v>
          </cell>
          <cell r="AA1154">
            <v>2.0199999999999996E-2</v>
          </cell>
          <cell r="AB1154">
            <v>2.1399999999999995E-2</v>
          </cell>
          <cell r="AC1154">
            <v>2.3099999999999999E-2</v>
          </cell>
        </row>
        <row r="1155">
          <cell r="T1155">
            <v>38735</v>
          </cell>
          <cell r="U1155">
            <v>1.5032999999999998E-2</v>
          </cell>
          <cell r="V1155">
            <v>1.5842999999999999E-2</v>
          </cell>
          <cell r="W1155">
            <v>1.6500000000000001E-2</v>
          </cell>
          <cell r="X1155">
            <v>1.7899999999999999E-2</v>
          </cell>
          <cell r="Y1155">
            <v>1.89E-2</v>
          </cell>
          <cell r="Z1155">
            <v>1.9599999999999999E-2</v>
          </cell>
          <cell r="AA1155">
            <v>2.0199999999999996E-2</v>
          </cell>
          <cell r="AB1155">
            <v>2.1499999999999998E-2</v>
          </cell>
          <cell r="AC1155">
            <v>2.3099999999999996E-2</v>
          </cell>
        </row>
        <row r="1156">
          <cell r="T1156">
            <v>38734</v>
          </cell>
          <cell r="U1156">
            <v>1.5032999999999998E-2</v>
          </cell>
          <cell r="V1156">
            <v>1.592E-2</v>
          </cell>
          <cell r="W1156">
            <v>1.6500000000000001E-2</v>
          </cell>
          <cell r="X1156">
            <v>1.7899999999999999E-2</v>
          </cell>
          <cell r="Y1156">
            <v>1.8849999999999999E-2</v>
          </cell>
          <cell r="Z1156">
            <v>1.9550000000000001E-2</v>
          </cell>
          <cell r="AA1156">
            <v>2.0250000000000001E-2</v>
          </cell>
          <cell r="AB1156">
            <v>2.145E-2</v>
          </cell>
          <cell r="AC1156">
            <v>2.3099999999999999E-2</v>
          </cell>
        </row>
        <row r="1157">
          <cell r="T1157">
            <v>38733</v>
          </cell>
          <cell r="U1157">
            <v>1.5032999999999998E-2</v>
          </cell>
          <cell r="V1157">
            <v>1.5842999999999999E-2</v>
          </cell>
          <cell r="W1157">
            <v>1.6500000000000001E-2</v>
          </cell>
          <cell r="X1157">
            <v>1.7850000000000001E-2</v>
          </cell>
          <cell r="Y1157">
            <v>1.8800000000000001E-2</v>
          </cell>
          <cell r="Z1157">
            <v>1.9449999999999999E-2</v>
          </cell>
          <cell r="AA1157">
            <v>2.0049999999999998E-2</v>
          </cell>
          <cell r="AB1157">
            <v>2.1299999999999999E-2</v>
          </cell>
          <cell r="AC1157">
            <v>2.2949999999999998E-2</v>
          </cell>
        </row>
        <row r="1158">
          <cell r="T1158">
            <v>38732</v>
          </cell>
          <cell r="U1158">
            <v>1.4978999999999999E-2</v>
          </cell>
          <cell r="V1158">
            <v>1.5774999999999997E-2</v>
          </cell>
          <cell r="W1158">
            <v>1.6500000000000001E-2</v>
          </cell>
          <cell r="X1158">
            <v>1.77E-2</v>
          </cell>
          <cell r="Y1158">
            <v>1.8800000000000001E-2</v>
          </cell>
          <cell r="Z1158">
            <v>1.9450000000000002E-2</v>
          </cell>
          <cell r="AA1158">
            <v>2.0199999999999996E-2</v>
          </cell>
          <cell r="AB1158">
            <v>2.145E-2</v>
          </cell>
          <cell r="AC1158">
            <v>2.3099999999999999E-2</v>
          </cell>
        </row>
        <row r="1159">
          <cell r="T1159">
            <v>38731</v>
          </cell>
          <cell r="U1159">
            <v>1.4978999999999999E-2</v>
          </cell>
          <cell r="V1159">
            <v>1.5774999999999997E-2</v>
          </cell>
          <cell r="W1159">
            <v>1.6500000000000001E-2</v>
          </cell>
          <cell r="X1159">
            <v>1.77E-2</v>
          </cell>
          <cell r="Y1159">
            <v>1.8800000000000001E-2</v>
          </cell>
          <cell r="Z1159">
            <v>1.9450000000000002E-2</v>
          </cell>
          <cell r="AA1159">
            <v>2.0199999999999996E-2</v>
          </cell>
          <cell r="AB1159">
            <v>2.145E-2</v>
          </cell>
          <cell r="AC1159">
            <v>2.3099999999999999E-2</v>
          </cell>
        </row>
        <row r="1160">
          <cell r="T1160">
            <v>38730</v>
          </cell>
          <cell r="U1160">
            <v>1.4978999999999999E-2</v>
          </cell>
          <cell r="V1160">
            <v>1.5774999999999997E-2</v>
          </cell>
          <cell r="W1160">
            <v>1.6500000000000001E-2</v>
          </cell>
          <cell r="X1160">
            <v>1.77E-2</v>
          </cell>
          <cell r="Y1160">
            <v>1.8800000000000001E-2</v>
          </cell>
          <cell r="Z1160">
            <v>1.9450000000000002E-2</v>
          </cell>
          <cell r="AA1160">
            <v>2.0199999999999996E-2</v>
          </cell>
          <cell r="AB1160">
            <v>2.145E-2</v>
          </cell>
          <cell r="AC1160">
            <v>2.3099999999999999E-2</v>
          </cell>
        </row>
        <row r="1161">
          <cell r="T1161">
            <v>38729</v>
          </cell>
          <cell r="U1161">
            <v>1.4978999999999999E-2</v>
          </cell>
          <cell r="V1161">
            <v>1.5774999999999997E-2</v>
          </cell>
          <cell r="W1161">
            <v>1.6500000000000001E-2</v>
          </cell>
          <cell r="X1161">
            <v>1.7850000000000001E-2</v>
          </cell>
          <cell r="Y1161">
            <v>1.8800000000000001E-2</v>
          </cell>
          <cell r="Z1161">
            <v>1.9450000000000002E-2</v>
          </cell>
          <cell r="AA1161">
            <v>2.0199999999999996E-2</v>
          </cell>
          <cell r="AB1161">
            <v>2.145E-2</v>
          </cell>
          <cell r="AC1161">
            <v>2.3099999999999999E-2</v>
          </cell>
        </row>
        <row r="1162">
          <cell r="T1162">
            <v>38728</v>
          </cell>
          <cell r="U1162">
            <v>1.5032999999999998E-2</v>
          </cell>
          <cell r="V1162">
            <v>1.5842999999999999E-2</v>
          </cell>
          <cell r="W1162">
            <v>1.6549999999999999E-2</v>
          </cell>
          <cell r="X1162">
            <v>1.7850000000000001E-2</v>
          </cell>
          <cell r="Y1162">
            <v>1.8800000000000001E-2</v>
          </cell>
          <cell r="Z1162">
            <v>1.9450000000000002E-2</v>
          </cell>
          <cell r="AA1162">
            <v>2.0199999999999996E-2</v>
          </cell>
          <cell r="AB1162">
            <v>2.145E-2</v>
          </cell>
          <cell r="AC1162">
            <v>2.3E-2</v>
          </cell>
        </row>
        <row r="1163">
          <cell r="T1163">
            <v>38727</v>
          </cell>
          <cell r="U1163">
            <v>1.5032999999999998E-2</v>
          </cell>
          <cell r="V1163">
            <v>1.5842999999999999E-2</v>
          </cell>
          <cell r="W1163">
            <v>1.6449999999999999E-2</v>
          </cell>
          <cell r="X1163">
            <v>1.78E-2</v>
          </cell>
          <cell r="Y1163">
            <v>1.8699999999999998E-2</v>
          </cell>
          <cell r="Z1163">
            <v>1.9400000000000001E-2</v>
          </cell>
          <cell r="AA1163">
            <v>2.0099999999999996E-2</v>
          </cell>
          <cell r="AB1163">
            <v>2.1499999999999998E-2</v>
          </cell>
          <cell r="AC1163">
            <v>2.3E-2</v>
          </cell>
        </row>
        <row r="1164">
          <cell r="T1164">
            <v>38726</v>
          </cell>
          <cell r="U1164">
            <v>1.5032999999999998E-2</v>
          </cell>
          <cell r="V1164">
            <v>1.5842999999999999E-2</v>
          </cell>
          <cell r="W1164">
            <v>1.6549999999999999E-2</v>
          </cell>
          <cell r="X1164">
            <v>1.78E-2</v>
          </cell>
          <cell r="Y1164">
            <v>1.8699999999999998E-2</v>
          </cell>
          <cell r="Z1164">
            <v>1.9450000000000002E-2</v>
          </cell>
          <cell r="AA1164">
            <v>2.0300000000000002E-2</v>
          </cell>
          <cell r="AB1164">
            <v>2.1550000000000003E-2</v>
          </cell>
          <cell r="AC1164">
            <v>2.3200000000000002E-2</v>
          </cell>
        </row>
        <row r="1165">
          <cell r="T1165">
            <v>38725</v>
          </cell>
          <cell r="U1165">
            <v>1.5032999999999998E-2</v>
          </cell>
          <cell r="V1165">
            <v>1.5842999999999999E-2</v>
          </cell>
          <cell r="W1165">
            <v>1.6399999999999998E-2</v>
          </cell>
          <cell r="X1165">
            <v>1.78E-2</v>
          </cell>
          <cell r="Y1165">
            <v>1.8800000000000001E-2</v>
          </cell>
          <cell r="Z1165">
            <v>1.95E-2</v>
          </cell>
          <cell r="AA1165">
            <v>2.0300000000000002E-2</v>
          </cell>
          <cell r="AB1165">
            <v>2.1600000000000001E-2</v>
          </cell>
          <cell r="AC1165">
            <v>2.3399999999999997E-2</v>
          </cell>
        </row>
        <row r="1166">
          <cell r="T1166">
            <v>38724</v>
          </cell>
          <cell r="U1166">
            <v>1.5032999999999998E-2</v>
          </cell>
          <cell r="V1166">
            <v>1.5842999999999999E-2</v>
          </cell>
          <cell r="W1166">
            <v>1.6399999999999998E-2</v>
          </cell>
          <cell r="X1166">
            <v>1.78E-2</v>
          </cell>
          <cell r="Y1166">
            <v>1.8800000000000001E-2</v>
          </cell>
          <cell r="Z1166">
            <v>1.95E-2</v>
          </cell>
          <cell r="AA1166">
            <v>2.0300000000000002E-2</v>
          </cell>
          <cell r="AB1166">
            <v>2.1600000000000001E-2</v>
          </cell>
          <cell r="AC1166">
            <v>2.3399999999999997E-2</v>
          </cell>
        </row>
        <row r="1167">
          <cell r="T1167">
            <v>38723</v>
          </cell>
          <cell r="U1167">
            <v>1.5032999999999998E-2</v>
          </cell>
          <cell r="V1167">
            <v>1.5842999999999999E-2</v>
          </cell>
          <cell r="W1167">
            <v>1.6399999999999998E-2</v>
          </cell>
          <cell r="X1167">
            <v>1.78E-2</v>
          </cell>
          <cell r="Y1167">
            <v>1.8800000000000001E-2</v>
          </cell>
          <cell r="Z1167">
            <v>1.95E-2</v>
          </cell>
          <cell r="AA1167">
            <v>2.0300000000000002E-2</v>
          </cell>
          <cell r="AB1167">
            <v>2.1600000000000001E-2</v>
          </cell>
          <cell r="AC1167">
            <v>2.3399999999999997E-2</v>
          </cell>
        </row>
        <row r="1168">
          <cell r="T1168">
            <v>38722</v>
          </cell>
          <cell r="U1168">
            <v>1.5032999999999998E-2</v>
          </cell>
          <cell r="V1168">
            <v>1.592E-2</v>
          </cell>
          <cell r="W1168">
            <v>1.6500000000000001E-2</v>
          </cell>
          <cell r="X1168">
            <v>1.7899999999999999E-2</v>
          </cell>
          <cell r="Y1168">
            <v>1.89E-2</v>
          </cell>
          <cell r="Z1168">
            <v>1.95E-2</v>
          </cell>
          <cell r="AA1168">
            <v>2.0300000000000002E-2</v>
          </cell>
          <cell r="AB1168">
            <v>2.1600000000000001E-2</v>
          </cell>
          <cell r="AC1168">
            <v>2.3399999999999997E-2</v>
          </cell>
        </row>
        <row r="1169">
          <cell r="T1169">
            <v>38721</v>
          </cell>
          <cell r="U1169">
            <v>1.4975E-2</v>
          </cell>
          <cell r="V1169">
            <v>1.5736E-2</v>
          </cell>
          <cell r="W1169">
            <v>1.6500000000000001E-2</v>
          </cell>
          <cell r="X1169">
            <v>1.7850000000000001E-2</v>
          </cell>
          <cell r="Y1169">
            <v>1.8800000000000001E-2</v>
          </cell>
          <cell r="Z1169">
            <v>1.9599999999999999E-2</v>
          </cell>
          <cell r="AA1169">
            <v>2.0449999999999999E-2</v>
          </cell>
          <cell r="AB1169">
            <v>2.1700000000000001E-2</v>
          </cell>
          <cell r="AC1169">
            <v>2.3499999999999997E-2</v>
          </cell>
        </row>
        <row r="1170">
          <cell r="T1170">
            <v>38720</v>
          </cell>
          <cell r="U1170">
            <v>1.5117E-2</v>
          </cell>
          <cell r="V1170">
            <v>1.5914000000000001E-2</v>
          </cell>
          <cell r="W1170">
            <v>1.6449999999999999E-2</v>
          </cell>
          <cell r="X1170">
            <v>1.7950000000000001E-2</v>
          </cell>
          <cell r="Y1170">
            <v>1.8950000000000002E-2</v>
          </cell>
          <cell r="Z1170">
            <v>1.9649999999999997E-2</v>
          </cell>
          <cell r="AA1170">
            <v>2.0449999999999999E-2</v>
          </cell>
          <cell r="AB1170">
            <v>2.1700000000000001E-2</v>
          </cell>
          <cell r="AC1170">
            <v>2.3499999999999997E-2</v>
          </cell>
        </row>
        <row r="1171">
          <cell r="T1171">
            <v>38719</v>
          </cell>
          <cell r="U1171">
            <v>1.5117E-2</v>
          </cell>
          <cell r="V1171">
            <v>1.5914000000000001E-2</v>
          </cell>
          <cell r="W1171">
            <v>1.6449999999999999E-2</v>
          </cell>
          <cell r="X1171">
            <v>1.7899999999999999E-2</v>
          </cell>
          <cell r="Y1171">
            <v>1.89E-2</v>
          </cell>
          <cell r="Z1171">
            <v>1.9599999999999999E-2</v>
          </cell>
          <cell r="AA1171">
            <v>2.035E-2</v>
          </cell>
          <cell r="AB1171">
            <v>2.1649999999999999E-2</v>
          </cell>
          <cell r="AC1171">
            <v>2.3700000000000002E-2</v>
          </cell>
        </row>
        <row r="1172">
          <cell r="T1172">
            <v>38718</v>
          </cell>
          <cell r="U1172">
            <v>1.504E-2</v>
          </cell>
          <cell r="V1172">
            <v>1.6025000000000001E-2</v>
          </cell>
          <cell r="W1172">
            <v>1.6500000000000001E-2</v>
          </cell>
          <cell r="X1172">
            <v>1.7899999999999999E-2</v>
          </cell>
          <cell r="Y1172">
            <v>1.8799999999999997E-2</v>
          </cell>
          <cell r="Z1172">
            <v>1.9649999999999997E-2</v>
          </cell>
          <cell r="AA1172">
            <v>2.035E-2</v>
          </cell>
          <cell r="AB1172">
            <v>2.1649999999999999E-2</v>
          </cell>
          <cell r="AC1172">
            <v>2.3700000000000002E-2</v>
          </cell>
        </row>
        <row r="1173">
          <cell r="T1173">
            <v>38717</v>
          </cell>
          <cell r="U1173">
            <v>1.504E-2</v>
          </cell>
          <cell r="V1173">
            <v>1.6025000000000001E-2</v>
          </cell>
          <cell r="W1173">
            <v>1.6500000000000001E-2</v>
          </cell>
          <cell r="X1173">
            <v>1.7899999999999999E-2</v>
          </cell>
          <cell r="Y1173">
            <v>1.8799999999999997E-2</v>
          </cell>
          <cell r="Z1173">
            <v>1.9649999999999997E-2</v>
          </cell>
          <cell r="AA1173">
            <v>2.035E-2</v>
          </cell>
          <cell r="AB1173">
            <v>2.1649999999999999E-2</v>
          </cell>
          <cell r="AC1173">
            <v>2.3700000000000002E-2</v>
          </cell>
        </row>
        <row r="1174">
          <cell r="T1174">
            <v>38716</v>
          </cell>
          <cell r="U1174">
            <v>1.504E-2</v>
          </cell>
          <cell r="V1174">
            <v>1.6025000000000001E-2</v>
          </cell>
          <cell r="W1174">
            <v>1.6500000000000001E-2</v>
          </cell>
          <cell r="X1174">
            <v>1.7899999999999999E-2</v>
          </cell>
          <cell r="Y1174">
            <v>1.8799999999999997E-2</v>
          </cell>
          <cell r="Z1174">
            <v>1.9649999999999997E-2</v>
          </cell>
          <cell r="AA1174">
            <v>2.035E-2</v>
          </cell>
          <cell r="AB1174">
            <v>2.1649999999999999E-2</v>
          </cell>
          <cell r="AC1174">
            <v>2.3700000000000002E-2</v>
          </cell>
        </row>
        <row r="1175">
          <cell r="T1175">
            <v>38715</v>
          </cell>
          <cell r="U1175">
            <v>1.5117E-2</v>
          </cell>
          <cell r="V1175">
            <v>1.602E-2</v>
          </cell>
          <cell r="W1175">
            <v>1.6500000000000001E-2</v>
          </cell>
          <cell r="X1175">
            <v>1.805E-2</v>
          </cell>
          <cell r="Y1175">
            <v>1.9000000000000003E-2</v>
          </cell>
          <cell r="Z1175">
            <v>1.9900000000000001E-2</v>
          </cell>
          <cell r="AA1175">
            <v>2.0700000000000003E-2</v>
          </cell>
          <cell r="AB1175">
            <v>2.1850000000000001E-2</v>
          </cell>
          <cell r="AC1175">
            <v>2.3799999999999998E-2</v>
          </cell>
        </row>
        <row r="1176">
          <cell r="T1176">
            <v>38714</v>
          </cell>
          <cell r="U1176">
            <v>1.5188999999999999E-2</v>
          </cell>
          <cell r="V1176">
            <v>1.6057999999999999E-2</v>
          </cell>
          <cell r="W1176">
            <v>1.6500000000000001E-2</v>
          </cell>
          <cell r="X1176">
            <v>1.7899999999999999E-2</v>
          </cell>
          <cell r="Y1176">
            <v>1.8950000000000002E-2</v>
          </cell>
          <cell r="Z1176">
            <v>1.9699999999999999E-2</v>
          </cell>
          <cell r="AA1176">
            <v>2.0549999999999999E-2</v>
          </cell>
          <cell r="AB1176">
            <v>2.1749999999999999E-2</v>
          </cell>
          <cell r="AC1176">
            <v>2.3700000000000002E-2</v>
          </cell>
        </row>
        <row r="1177">
          <cell r="T1177">
            <v>38713</v>
          </cell>
          <cell r="U1177">
            <v>1.5082999999999999E-2</v>
          </cell>
          <cell r="V1177">
            <v>1.5914000000000001E-2</v>
          </cell>
          <cell r="W1177">
            <v>1.6549999999999999E-2</v>
          </cell>
          <cell r="X1177">
            <v>1.7950000000000001E-2</v>
          </cell>
          <cell r="Y1177">
            <v>1.9000000000000003E-2</v>
          </cell>
          <cell r="Z1177">
            <v>1.975E-2</v>
          </cell>
          <cell r="AA1177">
            <v>2.0549999999999999E-2</v>
          </cell>
          <cell r="AB1177">
            <v>2.215E-2</v>
          </cell>
          <cell r="AC1177">
            <v>2.4500000000000001E-2</v>
          </cell>
        </row>
        <row r="1178">
          <cell r="T1178">
            <v>38712</v>
          </cell>
          <cell r="U1178">
            <v>1.5161000000000001E-2</v>
          </cell>
          <cell r="V1178">
            <v>1.6142E-2</v>
          </cell>
          <cell r="W1178">
            <v>1.6549999999999999E-2</v>
          </cell>
          <cell r="X1178">
            <v>1.7950000000000001E-2</v>
          </cell>
          <cell r="Y1178">
            <v>1.8950000000000002E-2</v>
          </cell>
          <cell r="Z1178">
            <v>1.9650000000000001E-2</v>
          </cell>
          <cell r="AA1178">
            <v>2.06E-2</v>
          </cell>
          <cell r="AB1178">
            <v>2.215E-2</v>
          </cell>
          <cell r="AC1178">
            <v>2.4500000000000001E-2</v>
          </cell>
        </row>
        <row r="1179">
          <cell r="T1179">
            <v>38711</v>
          </cell>
          <cell r="U1179">
            <v>1.5228999999999999E-2</v>
          </cell>
          <cell r="V1179">
            <v>1.6250000000000001E-2</v>
          </cell>
          <cell r="W1179">
            <v>1.6750000000000001E-2</v>
          </cell>
          <cell r="X1179">
            <v>1.8299999999999997E-2</v>
          </cell>
          <cell r="Y1179">
            <v>1.9349999999999999E-2</v>
          </cell>
          <cell r="Z1179">
            <v>2.0149999999999998E-2</v>
          </cell>
          <cell r="AA1179">
            <v>2.12E-2</v>
          </cell>
          <cell r="AB1179">
            <v>2.2750000000000003E-2</v>
          </cell>
          <cell r="AC1179">
            <v>2.4900000000000002E-2</v>
          </cell>
        </row>
        <row r="1180">
          <cell r="T1180">
            <v>38710</v>
          </cell>
          <cell r="U1180">
            <v>1.5228999999999999E-2</v>
          </cell>
          <cell r="V1180">
            <v>1.6250000000000001E-2</v>
          </cell>
          <cell r="W1180">
            <v>1.6750000000000001E-2</v>
          </cell>
          <cell r="X1180">
            <v>1.8299999999999997E-2</v>
          </cell>
          <cell r="Y1180">
            <v>1.9349999999999999E-2</v>
          </cell>
          <cell r="Z1180">
            <v>2.0149999999999998E-2</v>
          </cell>
          <cell r="AA1180">
            <v>2.12E-2</v>
          </cell>
          <cell r="AB1180">
            <v>2.2750000000000003E-2</v>
          </cell>
          <cell r="AC1180">
            <v>2.4900000000000002E-2</v>
          </cell>
        </row>
        <row r="1181">
          <cell r="T1181">
            <v>38709</v>
          </cell>
          <cell r="U1181">
            <v>1.5228999999999999E-2</v>
          </cell>
          <cell r="V1181">
            <v>1.6250000000000001E-2</v>
          </cell>
          <cell r="W1181">
            <v>1.6750000000000001E-2</v>
          </cell>
          <cell r="X1181">
            <v>1.8299999999999997E-2</v>
          </cell>
          <cell r="Y1181">
            <v>1.9349999999999999E-2</v>
          </cell>
          <cell r="Z1181">
            <v>2.0149999999999998E-2</v>
          </cell>
          <cell r="AA1181">
            <v>2.12E-2</v>
          </cell>
          <cell r="AB1181">
            <v>2.2750000000000003E-2</v>
          </cell>
          <cell r="AC1181">
            <v>2.4900000000000002E-2</v>
          </cell>
        </row>
        <row r="1182">
          <cell r="T1182">
            <v>38708</v>
          </cell>
          <cell r="U1182">
            <v>1.4624999999999999E-2</v>
          </cell>
          <cell r="V1182">
            <v>1.5531999999999999E-2</v>
          </cell>
          <cell r="W1182">
            <v>1.66E-2</v>
          </cell>
          <cell r="X1182">
            <v>1.8199999999999997E-2</v>
          </cell>
          <cell r="Y1182">
            <v>1.9199999999999998E-2</v>
          </cell>
          <cell r="Z1182">
            <v>2.0099999999999996E-2</v>
          </cell>
          <cell r="AA1182">
            <v>2.1099999999999997E-2</v>
          </cell>
          <cell r="AB1182">
            <v>2.2800000000000001E-2</v>
          </cell>
          <cell r="AC1182">
            <v>2.4900000000000002E-2</v>
          </cell>
        </row>
        <row r="1183">
          <cell r="T1183">
            <v>38707</v>
          </cell>
          <cell r="U1183">
            <v>1.4643E-2</v>
          </cell>
          <cell r="V1183">
            <v>1.5537999999999998E-2</v>
          </cell>
          <cell r="W1183">
            <v>1.66E-2</v>
          </cell>
          <cell r="X1183">
            <v>1.8200000000000001E-2</v>
          </cell>
          <cell r="Y1183">
            <v>1.9200000000000002E-2</v>
          </cell>
          <cell r="Z1183">
            <v>2.0199999999999996E-2</v>
          </cell>
          <cell r="AA1183">
            <v>2.1100000000000004E-2</v>
          </cell>
          <cell r="AB1183">
            <v>2.2700000000000001E-2</v>
          </cell>
          <cell r="AC1183">
            <v>2.4900000000000002E-2</v>
          </cell>
        </row>
        <row r="1184">
          <cell r="T1184">
            <v>38706</v>
          </cell>
          <cell r="U1184">
            <v>1.4678999999999999E-2</v>
          </cell>
          <cell r="V1184">
            <v>1.5637999999999999E-2</v>
          </cell>
          <cell r="W1184">
            <v>1.67E-2</v>
          </cell>
          <cell r="X1184">
            <v>1.8349999999999998E-2</v>
          </cell>
          <cell r="Y1184">
            <v>1.9349999999999999E-2</v>
          </cell>
          <cell r="Z1184">
            <v>2.0300000000000002E-2</v>
          </cell>
          <cell r="AA1184">
            <v>2.1299999999999999E-2</v>
          </cell>
          <cell r="AB1184">
            <v>2.3E-2</v>
          </cell>
          <cell r="AC1184">
            <v>2.4900000000000002E-2</v>
          </cell>
        </row>
        <row r="1185">
          <cell r="T1185">
            <v>38705</v>
          </cell>
          <cell r="U1185">
            <v>1.4557E-2</v>
          </cell>
          <cell r="V1185">
            <v>1.5558000000000001E-2</v>
          </cell>
          <cell r="W1185">
            <v>1.6700000000000003E-2</v>
          </cell>
          <cell r="X1185">
            <v>1.8349999999999998E-2</v>
          </cell>
          <cell r="Y1185">
            <v>1.9349999999999999E-2</v>
          </cell>
          <cell r="Z1185">
            <v>2.0300000000000002E-2</v>
          </cell>
          <cell r="AA1185">
            <v>2.1299999999999999E-2</v>
          </cell>
          <cell r="AB1185">
            <v>2.3E-2</v>
          </cell>
          <cell r="AC1185">
            <v>2.5000000000000001E-2</v>
          </cell>
        </row>
        <row r="1186">
          <cell r="T1186">
            <v>38704</v>
          </cell>
          <cell r="U1186">
            <v>1.4506999999999999E-2</v>
          </cell>
          <cell r="V1186">
            <v>1.5308000000000002E-2</v>
          </cell>
          <cell r="W1186">
            <v>1.67E-2</v>
          </cell>
          <cell r="X1186">
            <v>1.8500000000000003E-2</v>
          </cell>
          <cell r="Y1186">
            <v>1.95E-2</v>
          </cell>
          <cell r="Z1186">
            <v>2.0499999999999997E-2</v>
          </cell>
          <cell r="AA1186">
            <v>2.145E-2</v>
          </cell>
          <cell r="AB1186">
            <v>2.3049999999999998E-2</v>
          </cell>
          <cell r="AC1186">
            <v>2.5000000000000001E-2</v>
          </cell>
        </row>
        <row r="1187">
          <cell r="T1187">
            <v>38703</v>
          </cell>
          <cell r="U1187">
            <v>1.4506999999999999E-2</v>
          </cell>
          <cell r="V1187">
            <v>1.5308000000000002E-2</v>
          </cell>
          <cell r="W1187">
            <v>1.67E-2</v>
          </cell>
          <cell r="X1187">
            <v>1.8500000000000003E-2</v>
          </cell>
          <cell r="Y1187">
            <v>1.95E-2</v>
          </cell>
          <cell r="Z1187">
            <v>2.0499999999999997E-2</v>
          </cell>
          <cell r="AA1187">
            <v>2.145E-2</v>
          </cell>
          <cell r="AB1187">
            <v>2.3049999999999998E-2</v>
          </cell>
          <cell r="AC1187">
            <v>2.5000000000000001E-2</v>
          </cell>
        </row>
        <row r="1188">
          <cell r="T1188">
            <v>38702</v>
          </cell>
          <cell r="U1188">
            <v>1.4506999999999999E-2</v>
          </cell>
          <cell r="V1188">
            <v>1.5308000000000002E-2</v>
          </cell>
          <cell r="W1188">
            <v>1.67E-2</v>
          </cell>
          <cell r="X1188">
            <v>1.8500000000000003E-2</v>
          </cell>
          <cell r="Y1188">
            <v>1.95E-2</v>
          </cell>
          <cell r="Z1188">
            <v>2.0499999999999997E-2</v>
          </cell>
          <cell r="AA1188">
            <v>2.145E-2</v>
          </cell>
          <cell r="AB1188">
            <v>2.3049999999999998E-2</v>
          </cell>
          <cell r="AC1188">
            <v>2.5000000000000001E-2</v>
          </cell>
        </row>
        <row r="1189">
          <cell r="T1189">
            <v>38701</v>
          </cell>
          <cell r="U1189">
            <v>1.4508E-2</v>
          </cell>
          <cell r="V1189">
            <v>1.5228999999999999E-2</v>
          </cell>
          <cell r="W1189">
            <v>1.6750000000000001E-2</v>
          </cell>
          <cell r="X1189">
            <v>1.84E-2</v>
          </cell>
          <cell r="Y1189">
            <v>1.9400000000000001E-2</v>
          </cell>
          <cell r="Z1189">
            <v>2.0400000000000001E-2</v>
          </cell>
          <cell r="AA1189">
            <v>2.1349999999999997E-2</v>
          </cell>
          <cell r="AB1189">
            <v>2.3E-2</v>
          </cell>
          <cell r="AC1189">
            <v>2.5000000000000001E-2</v>
          </cell>
        </row>
        <row r="1190">
          <cell r="T1190">
            <v>38700</v>
          </cell>
          <cell r="U1190">
            <v>1.4471000000000001E-2</v>
          </cell>
          <cell r="V1190">
            <v>1.5075E-2</v>
          </cell>
          <cell r="W1190">
            <v>1.6799999999999999E-2</v>
          </cell>
          <cell r="X1190">
            <v>1.8550000000000001E-2</v>
          </cell>
          <cell r="Y1190">
            <v>1.9599999999999999E-2</v>
          </cell>
          <cell r="Z1190">
            <v>2.06E-2</v>
          </cell>
          <cell r="AA1190">
            <v>2.145E-2</v>
          </cell>
          <cell r="AB1190">
            <v>2.3250000000000003E-2</v>
          </cell>
          <cell r="AC1190">
            <v>2.5000000000000001E-2</v>
          </cell>
        </row>
        <row r="1191">
          <cell r="T1191">
            <v>38699</v>
          </cell>
          <cell r="U1191">
            <v>1.4466999999999999E-2</v>
          </cell>
          <cell r="V1191">
            <v>1.5207000000000002E-2</v>
          </cell>
          <cell r="W1191">
            <v>1.6799999999999999E-2</v>
          </cell>
          <cell r="X1191">
            <v>1.8550000000000001E-2</v>
          </cell>
          <cell r="Y1191">
            <v>1.9550000000000001E-2</v>
          </cell>
          <cell r="Z1191">
            <v>2.0449999999999999E-2</v>
          </cell>
          <cell r="AA1191">
            <v>2.145E-2</v>
          </cell>
          <cell r="AB1191">
            <v>2.3199999999999998E-2</v>
          </cell>
          <cell r="AC1191">
            <v>2.5199999999999997E-2</v>
          </cell>
        </row>
        <row r="1192">
          <cell r="T1192">
            <v>38698</v>
          </cell>
          <cell r="U1192">
            <v>1.4466999999999999E-2</v>
          </cell>
          <cell r="V1192">
            <v>1.5207000000000002E-2</v>
          </cell>
          <cell r="W1192">
            <v>1.6799999999999999E-2</v>
          </cell>
          <cell r="X1192">
            <v>1.8600000000000002E-2</v>
          </cell>
          <cell r="Y1192">
            <v>1.9649999999999997E-2</v>
          </cell>
          <cell r="Z1192">
            <v>2.0549999999999999E-2</v>
          </cell>
          <cell r="AA1192">
            <v>2.1649999999999999E-2</v>
          </cell>
          <cell r="AB1192">
            <v>2.3250000000000003E-2</v>
          </cell>
          <cell r="AC1192">
            <v>2.5199999999999997E-2</v>
          </cell>
        </row>
        <row r="1193">
          <cell r="T1193">
            <v>38697</v>
          </cell>
          <cell r="U1193">
            <v>1.4466999999999999E-2</v>
          </cell>
          <cell r="V1193">
            <v>1.5207000000000002E-2</v>
          </cell>
          <cell r="W1193">
            <v>1.6799999999999999E-2</v>
          </cell>
          <cell r="X1193">
            <v>1.8499999999999999E-2</v>
          </cell>
          <cell r="Y1193">
            <v>1.95E-2</v>
          </cell>
          <cell r="Z1193">
            <v>2.0549999999999999E-2</v>
          </cell>
          <cell r="AA1193">
            <v>2.145E-2</v>
          </cell>
          <cell r="AB1193">
            <v>2.3E-2</v>
          </cell>
          <cell r="AC1193">
            <v>2.5199999999999997E-2</v>
          </cell>
        </row>
        <row r="1194">
          <cell r="T1194">
            <v>38696</v>
          </cell>
          <cell r="U1194">
            <v>1.4466999999999999E-2</v>
          </cell>
          <cell r="V1194">
            <v>1.5207000000000002E-2</v>
          </cell>
          <cell r="W1194">
            <v>1.6799999999999999E-2</v>
          </cell>
          <cell r="X1194">
            <v>1.8499999999999999E-2</v>
          </cell>
          <cell r="Y1194">
            <v>1.95E-2</v>
          </cell>
          <cell r="Z1194">
            <v>2.0549999999999999E-2</v>
          </cell>
          <cell r="AA1194">
            <v>2.145E-2</v>
          </cell>
          <cell r="AB1194">
            <v>2.3E-2</v>
          </cell>
          <cell r="AC1194">
            <v>2.5199999999999997E-2</v>
          </cell>
        </row>
        <row r="1195">
          <cell r="T1195">
            <v>38695</v>
          </cell>
          <cell r="U1195">
            <v>1.4466999999999999E-2</v>
          </cell>
          <cell r="V1195">
            <v>1.5207000000000002E-2</v>
          </cell>
          <cell r="W1195">
            <v>1.6799999999999999E-2</v>
          </cell>
          <cell r="X1195">
            <v>1.8499999999999999E-2</v>
          </cell>
          <cell r="Y1195">
            <v>1.95E-2</v>
          </cell>
          <cell r="Z1195">
            <v>2.0549999999999999E-2</v>
          </cell>
          <cell r="AA1195">
            <v>2.145E-2</v>
          </cell>
          <cell r="AB1195">
            <v>2.3E-2</v>
          </cell>
          <cell r="AC1195">
            <v>2.5199999999999997E-2</v>
          </cell>
        </row>
        <row r="1196">
          <cell r="T1196">
            <v>38694</v>
          </cell>
          <cell r="U1196">
            <v>1.44E-2</v>
          </cell>
          <cell r="V1196">
            <v>1.52E-2</v>
          </cell>
          <cell r="W1196">
            <v>1.6749999999999998E-2</v>
          </cell>
          <cell r="X1196">
            <v>1.8550000000000001E-2</v>
          </cell>
          <cell r="Y1196">
            <v>1.9599999999999999E-2</v>
          </cell>
          <cell r="Z1196">
            <v>2.0499999999999997E-2</v>
          </cell>
          <cell r="AA1196">
            <v>2.1399999999999995E-2</v>
          </cell>
          <cell r="AB1196">
            <v>2.3199999999999998E-2</v>
          </cell>
          <cell r="AC1196">
            <v>2.5199999999999997E-2</v>
          </cell>
        </row>
        <row r="1197">
          <cell r="T1197">
            <v>38693</v>
          </cell>
          <cell r="U1197">
            <v>1.4508E-2</v>
          </cell>
          <cell r="V1197">
            <v>1.5520000000000001E-2</v>
          </cell>
          <cell r="W1197">
            <v>1.6799999999999999E-2</v>
          </cell>
          <cell r="X1197">
            <v>1.8450000000000001E-2</v>
          </cell>
          <cell r="Y1197">
            <v>1.9449999999999999E-2</v>
          </cell>
          <cell r="Z1197">
            <v>2.0449999999999999E-2</v>
          </cell>
          <cell r="AA1197">
            <v>2.145E-2</v>
          </cell>
          <cell r="AB1197">
            <v>2.3250000000000003E-2</v>
          </cell>
          <cell r="AC1197">
            <v>2.5199999999999997E-2</v>
          </cell>
        </row>
        <row r="1198">
          <cell r="T1198">
            <v>38692</v>
          </cell>
          <cell r="U1198">
            <v>1.4506999999999999E-2</v>
          </cell>
          <cell r="V1198">
            <v>1.52E-2</v>
          </cell>
          <cell r="W1198">
            <v>1.6749999999999998E-2</v>
          </cell>
          <cell r="X1198">
            <v>1.8500000000000003E-2</v>
          </cell>
          <cell r="Y1198">
            <v>1.95E-2</v>
          </cell>
          <cell r="Z1198">
            <v>2.0499999999999997E-2</v>
          </cell>
          <cell r="AA1198">
            <v>2.1500000000000005E-2</v>
          </cell>
          <cell r="AB1198">
            <v>2.3250000000000003E-2</v>
          </cell>
          <cell r="AC1198">
            <v>2.5300000000000003E-2</v>
          </cell>
        </row>
        <row r="1199">
          <cell r="T1199">
            <v>38691</v>
          </cell>
          <cell r="U1199">
            <v>1.4466999999999999E-2</v>
          </cell>
          <cell r="V1199">
            <v>1.5135999999999998E-2</v>
          </cell>
          <cell r="W1199">
            <v>1.6700000000000003E-2</v>
          </cell>
          <cell r="X1199">
            <v>1.84E-2</v>
          </cell>
          <cell r="Y1199">
            <v>1.9400000000000001E-2</v>
          </cell>
          <cell r="Z1199">
            <v>2.0499999999999997E-2</v>
          </cell>
          <cell r="AA1199">
            <v>2.1500000000000005E-2</v>
          </cell>
          <cell r="AB1199">
            <v>2.315E-2</v>
          </cell>
          <cell r="AC1199">
            <v>2.5099999999999997E-2</v>
          </cell>
        </row>
        <row r="1200">
          <cell r="T1200">
            <v>38690</v>
          </cell>
          <cell r="U1200">
            <v>1.4392E-2</v>
          </cell>
          <cell r="V1200">
            <v>1.5100000000000001E-2</v>
          </cell>
          <cell r="W1200">
            <v>1.6500000000000001E-2</v>
          </cell>
          <cell r="X1200">
            <v>1.84E-2</v>
          </cell>
          <cell r="Y1200">
            <v>1.9400000000000001E-2</v>
          </cell>
          <cell r="Z1200">
            <v>2.0300000000000002E-2</v>
          </cell>
          <cell r="AA1200">
            <v>2.1349999999999997E-2</v>
          </cell>
          <cell r="AB1200">
            <v>2.3099999999999999E-2</v>
          </cell>
          <cell r="AC1200">
            <v>2.5099999999999997E-2</v>
          </cell>
        </row>
        <row r="1201">
          <cell r="T1201">
            <v>38689</v>
          </cell>
          <cell r="U1201">
            <v>1.4392E-2</v>
          </cell>
          <cell r="V1201">
            <v>1.5100000000000001E-2</v>
          </cell>
          <cell r="W1201">
            <v>1.6500000000000001E-2</v>
          </cell>
          <cell r="X1201">
            <v>1.84E-2</v>
          </cell>
          <cell r="Y1201">
            <v>1.9400000000000001E-2</v>
          </cell>
          <cell r="Z1201">
            <v>2.0300000000000002E-2</v>
          </cell>
          <cell r="AA1201">
            <v>2.1349999999999997E-2</v>
          </cell>
          <cell r="AB1201">
            <v>2.3099999999999999E-2</v>
          </cell>
          <cell r="AC1201">
            <v>2.5099999999999997E-2</v>
          </cell>
        </row>
        <row r="1202">
          <cell r="T1202">
            <v>38688</v>
          </cell>
          <cell r="U1202">
            <v>1.4392E-2</v>
          </cell>
          <cell r="V1202">
            <v>1.5100000000000001E-2</v>
          </cell>
          <cell r="W1202">
            <v>1.6500000000000001E-2</v>
          </cell>
          <cell r="X1202">
            <v>1.84E-2</v>
          </cell>
          <cell r="Y1202">
            <v>1.9400000000000001E-2</v>
          </cell>
          <cell r="Z1202">
            <v>2.0300000000000002E-2</v>
          </cell>
          <cell r="AA1202">
            <v>2.1349999999999997E-2</v>
          </cell>
          <cell r="AB1202">
            <v>2.3099999999999999E-2</v>
          </cell>
          <cell r="AC1202">
            <v>2.5099999999999997E-2</v>
          </cell>
        </row>
        <row r="1203">
          <cell r="T1203">
            <v>38687</v>
          </cell>
          <cell r="U1203">
            <v>1.4435999999999999E-2</v>
          </cell>
          <cell r="V1203">
            <v>1.5158E-2</v>
          </cell>
          <cell r="W1203">
            <v>1.6500000000000001E-2</v>
          </cell>
          <cell r="X1203">
            <v>1.84E-2</v>
          </cell>
          <cell r="Y1203">
            <v>1.9400000000000001E-2</v>
          </cell>
          <cell r="Z1203">
            <v>2.035E-2</v>
          </cell>
          <cell r="AA1203">
            <v>2.1349999999999997E-2</v>
          </cell>
          <cell r="AB1203">
            <v>2.3E-2</v>
          </cell>
          <cell r="AC1203">
            <v>2.4900000000000002E-2</v>
          </cell>
        </row>
        <row r="1204">
          <cell r="T1204">
            <v>38686</v>
          </cell>
          <cell r="U1204">
            <v>1.4435999999999999E-2</v>
          </cell>
          <cell r="V1204">
            <v>1.5158E-2</v>
          </cell>
          <cell r="W1204">
            <v>1.6449999999999999E-2</v>
          </cell>
          <cell r="X1204">
            <v>1.83E-2</v>
          </cell>
          <cell r="Y1204">
            <v>1.9400000000000001E-2</v>
          </cell>
          <cell r="Z1204">
            <v>2.035E-2</v>
          </cell>
          <cell r="AA1204">
            <v>2.1499999999999998E-2</v>
          </cell>
          <cell r="AB1204">
            <v>2.3E-2</v>
          </cell>
          <cell r="AC1204">
            <v>2.5000000000000001E-2</v>
          </cell>
        </row>
        <row r="1205">
          <cell r="T1205">
            <v>38685</v>
          </cell>
          <cell r="U1205">
            <v>1.4392E-2</v>
          </cell>
          <cell r="V1205">
            <v>1.5100000000000001E-2</v>
          </cell>
          <cell r="W1205">
            <v>1.6500000000000001E-2</v>
          </cell>
          <cell r="X1205">
            <v>1.83E-2</v>
          </cell>
          <cell r="Y1205">
            <v>1.9400000000000001E-2</v>
          </cell>
          <cell r="Z1205">
            <v>2.0300000000000002E-2</v>
          </cell>
          <cell r="AA1205">
            <v>2.1400000000000002E-2</v>
          </cell>
          <cell r="AB1205">
            <v>2.3E-2</v>
          </cell>
          <cell r="AC1205">
            <v>2.5000000000000001E-2</v>
          </cell>
        </row>
        <row r="1206">
          <cell r="T1206">
            <v>38684</v>
          </cell>
          <cell r="U1206">
            <v>1.4392E-2</v>
          </cell>
          <cell r="V1206">
            <v>1.5100000000000001E-2</v>
          </cell>
          <cell r="W1206">
            <v>1.6449999999999999E-2</v>
          </cell>
          <cell r="X1206">
            <v>1.8349999999999998E-2</v>
          </cell>
          <cell r="Y1206">
            <v>1.9450000000000002E-2</v>
          </cell>
          <cell r="Z1206">
            <v>2.0400000000000001E-2</v>
          </cell>
          <cell r="AA1206">
            <v>2.1399999999999995E-2</v>
          </cell>
          <cell r="AB1206">
            <v>2.3050000000000001E-2</v>
          </cell>
          <cell r="AC1206">
            <v>2.5000000000000001E-2</v>
          </cell>
        </row>
        <row r="1207">
          <cell r="T1207">
            <v>38683</v>
          </cell>
          <cell r="U1207">
            <v>1.4336E-2</v>
          </cell>
          <cell r="V1207">
            <v>1.4992E-2</v>
          </cell>
          <cell r="W1207">
            <v>1.635E-2</v>
          </cell>
          <cell r="X1207">
            <v>1.8200000000000001E-2</v>
          </cell>
          <cell r="Y1207">
            <v>1.915E-2</v>
          </cell>
          <cell r="Z1207">
            <v>2.0199999999999996E-2</v>
          </cell>
          <cell r="AA1207">
            <v>2.1250000000000002E-2</v>
          </cell>
          <cell r="AB1207">
            <v>2.2850000000000002E-2</v>
          </cell>
          <cell r="AC1207">
            <v>2.5000000000000001E-2</v>
          </cell>
        </row>
        <row r="1208">
          <cell r="T1208">
            <v>38682</v>
          </cell>
          <cell r="U1208">
            <v>1.4336E-2</v>
          </cell>
          <cell r="V1208">
            <v>1.4992E-2</v>
          </cell>
          <cell r="W1208">
            <v>1.635E-2</v>
          </cell>
          <cell r="X1208">
            <v>1.8200000000000001E-2</v>
          </cell>
          <cell r="Y1208">
            <v>1.915E-2</v>
          </cell>
          <cell r="Z1208">
            <v>2.0199999999999996E-2</v>
          </cell>
          <cell r="AA1208">
            <v>2.1250000000000002E-2</v>
          </cell>
          <cell r="AB1208">
            <v>2.2850000000000002E-2</v>
          </cell>
          <cell r="AC1208">
            <v>2.5000000000000001E-2</v>
          </cell>
        </row>
        <row r="1209">
          <cell r="T1209">
            <v>38681</v>
          </cell>
          <cell r="U1209">
            <v>1.4336E-2</v>
          </cell>
          <cell r="V1209">
            <v>1.4992E-2</v>
          </cell>
          <cell r="W1209">
            <v>1.635E-2</v>
          </cell>
          <cell r="X1209">
            <v>1.8200000000000001E-2</v>
          </cell>
          <cell r="Y1209">
            <v>1.915E-2</v>
          </cell>
          <cell r="Z1209">
            <v>2.0199999999999996E-2</v>
          </cell>
          <cell r="AA1209">
            <v>2.1250000000000002E-2</v>
          </cell>
          <cell r="AB1209">
            <v>2.2850000000000002E-2</v>
          </cell>
          <cell r="AC1209">
            <v>2.5000000000000001E-2</v>
          </cell>
        </row>
        <row r="1210">
          <cell r="T1210">
            <v>38680</v>
          </cell>
          <cell r="U1210">
            <v>1.4336E-2</v>
          </cell>
          <cell r="V1210">
            <v>1.4992E-2</v>
          </cell>
          <cell r="W1210">
            <v>1.6399999999999998E-2</v>
          </cell>
          <cell r="X1210">
            <v>1.8299999999999997E-2</v>
          </cell>
          <cell r="Y1210">
            <v>1.9450000000000002E-2</v>
          </cell>
          <cell r="Z1210">
            <v>2.035E-2</v>
          </cell>
          <cell r="AA1210">
            <v>2.145E-2</v>
          </cell>
          <cell r="AB1210">
            <v>2.3050000000000001E-2</v>
          </cell>
          <cell r="AC1210">
            <v>2.5049999999999999E-2</v>
          </cell>
        </row>
        <row r="1211">
          <cell r="T1211">
            <v>38679</v>
          </cell>
          <cell r="U1211">
            <v>1.4392E-2</v>
          </cell>
          <cell r="V1211">
            <v>1.5100000000000001E-2</v>
          </cell>
          <cell r="W1211">
            <v>1.6399999999999998E-2</v>
          </cell>
          <cell r="X1211">
            <v>1.8200000000000001E-2</v>
          </cell>
          <cell r="Y1211">
            <v>1.9550000000000001E-2</v>
          </cell>
          <cell r="Z1211">
            <v>2.0549999999999999E-2</v>
          </cell>
          <cell r="AA1211">
            <v>2.1399999999999995E-2</v>
          </cell>
          <cell r="AB1211">
            <v>2.2949999999999998E-2</v>
          </cell>
          <cell r="AC1211">
            <v>2.4800000000000003E-2</v>
          </cell>
        </row>
        <row r="1212">
          <cell r="T1212">
            <v>38678</v>
          </cell>
          <cell r="U1212">
            <v>1.4392E-2</v>
          </cell>
          <cell r="V1212">
            <v>1.5100000000000001E-2</v>
          </cell>
          <cell r="W1212">
            <v>1.66E-2</v>
          </cell>
          <cell r="X1212">
            <v>1.8550000000000001E-2</v>
          </cell>
          <cell r="Y1212">
            <v>1.9949999999999999E-2</v>
          </cell>
          <cell r="Z1212">
            <v>2.0899999999999998E-2</v>
          </cell>
          <cell r="AA1212">
            <v>2.1850000000000001E-2</v>
          </cell>
          <cell r="AB1212">
            <v>2.375E-2</v>
          </cell>
          <cell r="AC1212">
            <v>2.5750000000000002E-2</v>
          </cell>
        </row>
        <row r="1213">
          <cell r="T1213">
            <v>38677</v>
          </cell>
          <cell r="U1213">
            <v>1.4371E-2</v>
          </cell>
          <cell r="V1213">
            <v>1.4992E-2</v>
          </cell>
          <cell r="W1213">
            <v>1.66E-2</v>
          </cell>
          <cell r="X1213">
            <v>1.8499999999999999E-2</v>
          </cell>
          <cell r="Y1213">
            <v>1.9900000000000001E-2</v>
          </cell>
          <cell r="Z1213">
            <v>2.1049999999999999E-2</v>
          </cell>
          <cell r="AA1213">
            <v>2.1950000000000004E-2</v>
          </cell>
          <cell r="AB1213">
            <v>2.375E-2</v>
          </cell>
          <cell r="AC1213">
            <v>2.5599999999999998E-2</v>
          </cell>
        </row>
        <row r="1214">
          <cell r="T1214">
            <v>38676</v>
          </cell>
          <cell r="U1214">
            <v>1.4407000000000001E-2</v>
          </cell>
          <cell r="V1214">
            <v>1.5158E-2</v>
          </cell>
          <cell r="W1214">
            <v>1.6399999999999998E-2</v>
          </cell>
          <cell r="X1214">
            <v>1.8249999999999999E-2</v>
          </cell>
          <cell r="Y1214">
            <v>1.9649999999999997E-2</v>
          </cell>
          <cell r="Z1214">
            <v>2.085E-2</v>
          </cell>
          <cell r="AA1214">
            <v>2.1749999999999999E-2</v>
          </cell>
          <cell r="AB1214">
            <v>2.3449999999999999E-2</v>
          </cell>
          <cell r="AC1214">
            <v>2.5499999999999998E-2</v>
          </cell>
        </row>
        <row r="1215">
          <cell r="T1215">
            <v>38675</v>
          </cell>
          <cell r="U1215">
            <v>1.4407000000000001E-2</v>
          </cell>
          <cell r="V1215">
            <v>1.5158E-2</v>
          </cell>
          <cell r="W1215">
            <v>1.6399999999999998E-2</v>
          </cell>
          <cell r="X1215">
            <v>1.8249999999999999E-2</v>
          </cell>
          <cell r="Y1215">
            <v>1.9649999999999997E-2</v>
          </cell>
          <cell r="Z1215">
            <v>2.085E-2</v>
          </cell>
          <cell r="AA1215">
            <v>2.1749999999999999E-2</v>
          </cell>
          <cell r="AB1215">
            <v>2.3449999999999999E-2</v>
          </cell>
          <cell r="AC1215">
            <v>2.5499999999999998E-2</v>
          </cell>
        </row>
        <row r="1216">
          <cell r="T1216">
            <v>38674</v>
          </cell>
          <cell r="U1216">
            <v>1.4407000000000001E-2</v>
          </cell>
          <cell r="V1216">
            <v>1.5158E-2</v>
          </cell>
          <cell r="W1216">
            <v>1.6399999999999998E-2</v>
          </cell>
          <cell r="X1216">
            <v>1.8249999999999999E-2</v>
          </cell>
          <cell r="Y1216">
            <v>1.9649999999999997E-2</v>
          </cell>
          <cell r="Z1216">
            <v>2.085E-2</v>
          </cell>
          <cell r="AA1216">
            <v>2.1749999999999999E-2</v>
          </cell>
          <cell r="AB1216">
            <v>2.3449999999999999E-2</v>
          </cell>
          <cell r="AC1216">
            <v>2.5499999999999998E-2</v>
          </cell>
        </row>
        <row r="1217">
          <cell r="T1217">
            <v>38673</v>
          </cell>
          <cell r="U1217">
            <v>1.4320999999999999E-2</v>
          </cell>
          <cell r="V1217">
            <v>1.4975E-2</v>
          </cell>
          <cell r="W1217">
            <v>1.6399999999999998E-2</v>
          </cell>
          <cell r="X1217">
            <v>1.8250000000000002E-2</v>
          </cell>
          <cell r="Y1217">
            <v>1.9649999999999997E-2</v>
          </cell>
          <cell r="Z1217">
            <v>2.0649999999999998E-2</v>
          </cell>
          <cell r="AA1217">
            <v>2.1700000000000001E-2</v>
          </cell>
          <cell r="AB1217">
            <v>2.3449999999999999E-2</v>
          </cell>
          <cell r="AC1217">
            <v>2.5499999999999998E-2</v>
          </cell>
        </row>
        <row r="1218">
          <cell r="T1218">
            <v>38672</v>
          </cell>
          <cell r="U1218">
            <v>1.4280999999999999E-2</v>
          </cell>
          <cell r="V1218">
            <v>1.4936E-2</v>
          </cell>
          <cell r="W1218">
            <v>1.6449999999999999E-2</v>
          </cell>
          <cell r="X1218">
            <v>1.8299999999999997E-2</v>
          </cell>
          <cell r="Y1218">
            <v>1.975E-2</v>
          </cell>
          <cell r="Z1218">
            <v>2.085E-2</v>
          </cell>
          <cell r="AA1218">
            <v>2.1900000000000003E-2</v>
          </cell>
          <cell r="AB1218">
            <v>2.375E-2</v>
          </cell>
          <cell r="AC1218">
            <v>2.58E-2</v>
          </cell>
        </row>
        <row r="1219">
          <cell r="T1219">
            <v>38671</v>
          </cell>
          <cell r="U1219">
            <v>1.4280999999999999E-2</v>
          </cell>
          <cell r="V1219">
            <v>1.4936E-2</v>
          </cell>
          <cell r="W1219">
            <v>1.6449999999999999E-2</v>
          </cell>
          <cell r="X1219">
            <v>1.8550000000000001E-2</v>
          </cell>
          <cell r="Y1219">
            <v>0.02</v>
          </cell>
          <cell r="Z1219">
            <v>2.1299999999999999E-2</v>
          </cell>
          <cell r="AA1219">
            <v>2.2250000000000002E-2</v>
          </cell>
          <cell r="AB1219">
            <v>2.4249999999999997E-2</v>
          </cell>
          <cell r="AC1219">
            <v>2.6100000000000002E-2</v>
          </cell>
        </row>
        <row r="1220">
          <cell r="T1220">
            <v>38670</v>
          </cell>
          <cell r="U1220">
            <v>1.4375000000000001E-2</v>
          </cell>
          <cell r="V1220">
            <v>1.5085999999999999E-2</v>
          </cell>
          <cell r="W1220">
            <v>1.635E-2</v>
          </cell>
          <cell r="X1220">
            <v>1.8550000000000001E-2</v>
          </cell>
          <cell r="Y1220">
            <v>1.9899999999999998E-2</v>
          </cell>
          <cell r="Z1220">
            <v>2.1150000000000002E-2</v>
          </cell>
          <cell r="AA1220">
            <v>2.2200000000000001E-2</v>
          </cell>
          <cell r="AB1220">
            <v>2.41E-2</v>
          </cell>
          <cell r="AC1220">
            <v>2.6100000000000002E-2</v>
          </cell>
        </row>
        <row r="1221">
          <cell r="T1221">
            <v>38669</v>
          </cell>
          <cell r="U1221">
            <v>1.4320999999999999E-2</v>
          </cell>
          <cell r="V1221">
            <v>1.4975E-2</v>
          </cell>
          <cell r="W1221">
            <v>1.6250000000000001E-2</v>
          </cell>
          <cell r="X1221">
            <v>1.8550000000000001E-2</v>
          </cell>
          <cell r="Y1221">
            <v>1.9949999999999999E-2</v>
          </cell>
          <cell r="Z1221">
            <v>2.1349999999999997E-2</v>
          </cell>
          <cell r="AA1221">
            <v>2.2350000000000002E-2</v>
          </cell>
          <cell r="AB1221">
            <v>2.41E-2</v>
          </cell>
          <cell r="AC1221">
            <v>2.5999999999999995E-2</v>
          </cell>
        </row>
        <row r="1222">
          <cell r="T1222">
            <v>38668</v>
          </cell>
          <cell r="U1222">
            <v>1.4320999999999999E-2</v>
          </cell>
          <cell r="V1222">
            <v>1.4975E-2</v>
          </cell>
          <cell r="W1222">
            <v>1.6250000000000001E-2</v>
          </cell>
          <cell r="X1222">
            <v>1.8550000000000001E-2</v>
          </cell>
          <cell r="Y1222">
            <v>1.9949999999999999E-2</v>
          </cell>
          <cell r="Z1222">
            <v>2.1349999999999997E-2</v>
          </cell>
          <cell r="AA1222">
            <v>2.2350000000000002E-2</v>
          </cell>
          <cell r="AB1222">
            <v>2.41E-2</v>
          </cell>
          <cell r="AC1222">
            <v>2.5999999999999995E-2</v>
          </cell>
        </row>
        <row r="1223">
          <cell r="T1223">
            <v>38667</v>
          </cell>
          <cell r="U1223">
            <v>1.4320999999999999E-2</v>
          </cell>
          <cell r="V1223">
            <v>1.4975E-2</v>
          </cell>
          <cell r="W1223">
            <v>1.6250000000000001E-2</v>
          </cell>
          <cell r="X1223">
            <v>1.8550000000000001E-2</v>
          </cell>
          <cell r="Y1223">
            <v>1.9949999999999999E-2</v>
          </cell>
          <cell r="Z1223">
            <v>2.1349999999999997E-2</v>
          </cell>
          <cell r="AA1223">
            <v>2.2350000000000002E-2</v>
          </cell>
          <cell r="AB1223">
            <v>2.41E-2</v>
          </cell>
          <cell r="AC1223">
            <v>2.5999999999999995E-2</v>
          </cell>
        </row>
        <row r="1224">
          <cell r="T1224">
            <v>38666</v>
          </cell>
          <cell r="U1224">
            <v>1.4320999999999999E-2</v>
          </cell>
          <cell r="V1224">
            <v>1.4975E-2</v>
          </cell>
          <cell r="W1224">
            <v>1.6399999999999998E-2</v>
          </cell>
          <cell r="X1224">
            <v>1.84E-2</v>
          </cell>
          <cell r="Y1224">
            <v>1.9900000000000001E-2</v>
          </cell>
          <cell r="Z1224">
            <v>2.1349999999999997E-2</v>
          </cell>
          <cell r="AA1224">
            <v>2.2300000000000004E-2</v>
          </cell>
          <cell r="AB1224">
            <v>2.4249999999999997E-2</v>
          </cell>
          <cell r="AC1224">
            <v>2.63E-2</v>
          </cell>
        </row>
        <row r="1225">
          <cell r="T1225">
            <v>38665</v>
          </cell>
          <cell r="U1225">
            <v>1.4320999999999999E-2</v>
          </cell>
          <cell r="V1225">
            <v>1.4975E-2</v>
          </cell>
          <cell r="W1225">
            <v>1.6199999999999999E-2</v>
          </cell>
          <cell r="X1225">
            <v>1.8149999999999999E-2</v>
          </cell>
          <cell r="Y1225">
            <v>1.9599999999999999E-2</v>
          </cell>
          <cell r="Z1225">
            <v>2.1049999999999999E-2</v>
          </cell>
          <cell r="AA1225">
            <v>2.2099999999999998E-2</v>
          </cell>
          <cell r="AB1225">
            <v>2.3799999999999998E-2</v>
          </cell>
          <cell r="AC1225">
            <v>2.58E-2</v>
          </cell>
        </row>
        <row r="1226">
          <cell r="T1226">
            <v>38664</v>
          </cell>
          <cell r="U1226">
            <v>1.4357E-2</v>
          </cell>
          <cell r="V1226">
            <v>1.4975E-2</v>
          </cell>
          <cell r="W1226">
            <v>1.6300000000000002E-2</v>
          </cell>
          <cell r="X1226">
            <v>1.8200000000000001E-2</v>
          </cell>
          <cell r="Y1226">
            <v>1.975E-2</v>
          </cell>
          <cell r="Z1226">
            <v>2.12E-2</v>
          </cell>
          <cell r="AA1226">
            <v>2.2350000000000002E-2</v>
          </cell>
          <cell r="AB1226">
            <v>2.41E-2</v>
          </cell>
          <cell r="AC1226">
            <v>2.6100000000000002E-2</v>
          </cell>
        </row>
        <row r="1227">
          <cell r="T1227">
            <v>38663</v>
          </cell>
          <cell r="U1227">
            <v>1.4320999999999999E-2</v>
          </cell>
          <cell r="V1227">
            <v>1.4975E-2</v>
          </cell>
          <cell r="W1227">
            <v>1.6399999999999998E-2</v>
          </cell>
          <cell r="X1227">
            <v>1.83E-2</v>
          </cell>
          <cell r="Y1227">
            <v>1.975E-2</v>
          </cell>
          <cell r="Z1227">
            <v>2.1349999999999997E-2</v>
          </cell>
          <cell r="AA1227">
            <v>2.2350000000000002E-2</v>
          </cell>
          <cell r="AB1227">
            <v>2.4199999999999999E-2</v>
          </cell>
          <cell r="AC1227">
            <v>2.63E-2</v>
          </cell>
        </row>
        <row r="1228">
          <cell r="T1228">
            <v>38662</v>
          </cell>
          <cell r="U1228">
            <v>1.4320999999999999E-2</v>
          </cell>
          <cell r="V1228">
            <v>1.4975E-2</v>
          </cell>
          <cell r="W1228">
            <v>1.6549999999999999E-2</v>
          </cell>
          <cell r="X1228">
            <v>1.865E-2</v>
          </cell>
          <cell r="Y1228">
            <v>2.0250000000000001E-2</v>
          </cell>
          <cell r="Z1228">
            <v>2.1749999999999999E-2</v>
          </cell>
          <cell r="AA1228">
            <v>2.2749999999999999E-2</v>
          </cell>
          <cell r="AB1228">
            <v>2.445E-2</v>
          </cell>
          <cell r="AC1228">
            <v>2.6500000000000003E-2</v>
          </cell>
        </row>
        <row r="1229">
          <cell r="T1229">
            <v>38661</v>
          </cell>
          <cell r="U1229">
            <v>1.4320999999999999E-2</v>
          </cell>
          <cell r="V1229">
            <v>1.4975E-2</v>
          </cell>
          <cell r="W1229">
            <v>1.6549999999999999E-2</v>
          </cell>
          <cell r="X1229">
            <v>1.865E-2</v>
          </cell>
          <cell r="Y1229">
            <v>2.0250000000000001E-2</v>
          </cell>
          <cell r="Z1229">
            <v>2.1749999999999999E-2</v>
          </cell>
          <cell r="AA1229">
            <v>2.2749999999999999E-2</v>
          </cell>
          <cell r="AB1229">
            <v>2.445E-2</v>
          </cell>
          <cell r="AC1229">
            <v>2.6500000000000003E-2</v>
          </cell>
        </row>
        <row r="1230">
          <cell r="T1230">
            <v>38660</v>
          </cell>
          <cell r="U1230">
            <v>1.4320999999999999E-2</v>
          </cell>
          <cell r="V1230">
            <v>1.4975E-2</v>
          </cell>
          <cell r="W1230">
            <v>1.6549999999999999E-2</v>
          </cell>
          <cell r="X1230">
            <v>1.865E-2</v>
          </cell>
          <cell r="Y1230">
            <v>2.0250000000000001E-2</v>
          </cell>
          <cell r="Z1230">
            <v>2.1749999999999999E-2</v>
          </cell>
          <cell r="AA1230">
            <v>2.2749999999999999E-2</v>
          </cell>
          <cell r="AB1230">
            <v>2.445E-2</v>
          </cell>
          <cell r="AC1230">
            <v>2.6500000000000003E-2</v>
          </cell>
        </row>
        <row r="1231">
          <cell r="T1231">
            <v>38659</v>
          </cell>
          <cell r="U1231">
            <v>1.4320999999999999E-2</v>
          </cell>
          <cell r="V1231">
            <v>1.5141999999999999E-2</v>
          </cell>
          <cell r="W1231">
            <v>1.6449999999999999E-2</v>
          </cell>
          <cell r="X1231">
            <v>1.8450000000000001E-2</v>
          </cell>
          <cell r="Y1231">
            <v>1.975E-2</v>
          </cell>
          <cell r="Z1231">
            <v>2.1099999999999997E-2</v>
          </cell>
          <cell r="AA1231">
            <v>2.2199999999999998E-2</v>
          </cell>
          <cell r="AB1231">
            <v>2.4050000000000002E-2</v>
          </cell>
          <cell r="AC1231">
            <v>2.58E-2</v>
          </cell>
        </row>
        <row r="1232">
          <cell r="T1232">
            <v>38658</v>
          </cell>
          <cell r="U1232">
            <v>1.4317E-2</v>
          </cell>
          <cell r="V1232">
            <v>1.521E-2</v>
          </cell>
          <cell r="W1232">
            <v>1.635E-2</v>
          </cell>
          <cell r="X1232">
            <v>1.805E-2</v>
          </cell>
          <cell r="Y1232">
            <v>1.925E-2</v>
          </cell>
          <cell r="Z1232">
            <v>2.0649999999999998E-2</v>
          </cell>
          <cell r="AA1232">
            <v>2.1749999999999999E-2</v>
          </cell>
          <cell r="AB1232">
            <v>2.3449999999999999E-2</v>
          </cell>
          <cell r="AC1232">
            <v>2.5600000000000001E-2</v>
          </cell>
        </row>
        <row r="1233">
          <cell r="T1233">
            <v>38657</v>
          </cell>
          <cell r="U1233">
            <v>1.4292000000000001E-2</v>
          </cell>
          <cell r="V1233">
            <v>1.5129999999999999E-2</v>
          </cell>
          <cell r="W1233">
            <v>1.635E-2</v>
          </cell>
          <cell r="X1233">
            <v>1.7850000000000001E-2</v>
          </cell>
          <cell r="Y1233">
            <v>1.9050000000000001E-2</v>
          </cell>
          <cell r="Z1233">
            <v>2.0449999999999999E-2</v>
          </cell>
          <cell r="AA1233">
            <v>2.1550000000000003E-2</v>
          </cell>
          <cell r="AB1233">
            <v>2.3099999999999999E-2</v>
          </cell>
          <cell r="AC1233">
            <v>2.5249999999999998E-2</v>
          </cell>
        </row>
        <row r="1234">
          <cell r="T1234">
            <v>38656</v>
          </cell>
          <cell r="U1234">
            <v>1.4208E-2</v>
          </cell>
          <cell r="V1234">
            <v>1.5007000000000001E-2</v>
          </cell>
          <cell r="W1234">
            <v>1.635E-2</v>
          </cell>
          <cell r="X1234">
            <v>1.7650000000000002E-2</v>
          </cell>
          <cell r="Y1234">
            <v>1.89E-2</v>
          </cell>
          <cell r="Z1234">
            <v>2.035E-2</v>
          </cell>
          <cell r="AA1234">
            <v>2.1399999999999995E-2</v>
          </cell>
          <cell r="AB1234">
            <v>2.3099999999999999E-2</v>
          </cell>
          <cell r="AC1234">
            <v>2.5249999999999998E-2</v>
          </cell>
        </row>
        <row r="1235">
          <cell r="T1235">
            <v>38655</v>
          </cell>
          <cell r="U1235">
            <v>1.4250000000000001E-2</v>
          </cell>
          <cell r="V1235">
            <v>1.4950000000000001E-2</v>
          </cell>
          <cell r="W1235">
            <v>1.6300000000000002E-2</v>
          </cell>
          <cell r="X1235">
            <v>1.7500000000000002E-2</v>
          </cell>
          <cell r="Y1235">
            <v>1.8800000000000001E-2</v>
          </cell>
          <cell r="Z1235">
            <v>2.0099999999999996E-2</v>
          </cell>
          <cell r="AA1235">
            <v>2.1250000000000002E-2</v>
          </cell>
          <cell r="AB1235">
            <v>2.3099999999999999E-2</v>
          </cell>
          <cell r="AC1235">
            <v>2.5150000000000002E-2</v>
          </cell>
        </row>
        <row r="1236">
          <cell r="T1236">
            <v>38654</v>
          </cell>
          <cell r="U1236">
            <v>1.4250000000000001E-2</v>
          </cell>
          <cell r="V1236">
            <v>1.4950000000000001E-2</v>
          </cell>
          <cell r="W1236">
            <v>1.6300000000000002E-2</v>
          </cell>
          <cell r="X1236">
            <v>1.7500000000000002E-2</v>
          </cell>
          <cell r="Y1236">
            <v>1.8800000000000001E-2</v>
          </cell>
          <cell r="Z1236">
            <v>2.0099999999999996E-2</v>
          </cell>
          <cell r="AA1236">
            <v>2.1250000000000002E-2</v>
          </cell>
          <cell r="AB1236">
            <v>2.3099999999999999E-2</v>
          </cell>
          <cell r="AC1236">
            <v>2.5150000000000002E-2</v>
          </cell>
        </row>
        <row r="1237">
          <cell r="T1237">
            <v>38653</v>
          </cell>
          <cell r="U1237">
            <v>1.4250000000000001E-2</v>
          </cell>
          <cell r="V1237">
            <v>1.4950000000000001E-2</v>
          </cell>
          <cell r="W1237">
            <v>1.6300000000000002E-2</v>
          </cell>
          <cell r="X1237">
            <v>1.7500000000000002E-2</v>
          </cell>
          <cell r="Y1237">
            <v>1.8800000000000001E-2</v>
          </cell>
          <cell r="Z1237">
            <v>2.0099999999999996E-2</v>
          </cell>
          <cell r="AA1237">
            <v>2.1250000000000002E-2</v>
          </cell>
          <cell r="AB1237">
            <v>2.3099999999999999E-2</v>
          </cell>
          <cell r="AC1237">
            <v>2.5150000000000002E-2</v>
          </cell>
        </row>
        <row r="1238">
          <cell r="T1238">
            <v>38652</v>
          </cell>
          <cell r="U1238">
            <v>1.4338999999999999E-2</v>
          </cell>
          <cell r="V1238">
            <v>1.5100000000000001E-2</v>
          </cell>
          <cell r="W1238">
            <v>1.6250000000000001E-2</v>
          </cell>
          <cell r="X1238">
            <v>1.7500000000000002E-2</v>
          </cell>
          <cell r="Y1238">
            <v>1.8749999999999999E-2</v>
          </cell>
          <cell r="Z1238">
            <v>2.0149999999999998E-2</v>
          </cell>
          <cell r="AA1238">
            <v>2.1100000000000004E-2</v>
          </cell>
          <cell r="AB1238">
            <v>2.2850000000000002E-2</v>
          </cell>
          <cell r="AC1238">
            <v>2.5099999999999997E-2</v>
          </cell>
        </row>
        <row r="1239">
          <cell r="T1239">
            <v>38651</v>
          </cell>
          <cell r="U1239">
            <v>1.4175E-2</v>
          </cell>
          <cell r="V1239">
            <v>1.4986999999999999E-2</v>
          </cell>
          <cell r="W1239">
            <v>1.6E-2</v>
          </cell>
          <cell r="X1239">
            <v>1.7299999999999999E-2</v>
          </cell>
          <cell r="Y1239">
            <v>1.8699999999999998E-2</v>
          </cell>
          <cell r="Z1239">
            <v>1.985E-2</v>
          </cell>
          <cell r="AA1239">
            <v>2.0949999999999996E-2</v>
          </cell>
          <cell r="AB1239">
            <v>2.2700000000000001E-2</v>
          </cell>
          <cell r="AC1239">
            <v>2.4750000000000001E-2</v>
          </cell>
        </row>
        <row r="1240">
          <cell r="T1240">
            <v>38650</v>
          </cell>
          <cell r="U1240">
            <v>1.4175E-2</v>
          </cell>
          <cell r="V1240">
            <v>1.4986999999999999E-2</v>
          </cell>
          <cell r="W1240">
            <v>1.5799999999999998E-2</v>
          </cell>
          <cell r="X1240">
            <v>1.695E-2</v>
          </cell>
          <cell r="Y1240">
            <v>1.8299999999999997E-2</v>
          </cell>
          <cell r="Z1240">
            <v>1.9550000000000001E-2</v>
          </cell>
          <cell r="AA1240">
            <v>2.0599999999999997E-2</v>
          </cell>
          <cell r="AB1240">
            <v>2.215E-2</v>
          </cell>
          <cell r="AC1240">
            <v>2.4500000000000001E-2</v>
          </cell>
        </row>
        <row r="1241">
          <cell r="T1241">
            <v>38649</v>
          </cell>
          <cell r="U1241">
            <v>1.4381E-2</v>
          </cell>
          <cell r="V1241">
            <v>1.5150000000000002E-2</v>
          </cell>
          <cell r="W1241">
            <v>1.5700000000000002E-2</v>
          </cell>
          <cell r="X1241">
            <v>1.695E-2</v>
          </cell>
          <cell r="Y1241">
            <v>1.8200000000000001E-2</v>
          </cell>
          <cell r="Z1241">
            <v>1.9450000000000002E-2</v>
          </cell>
          <cell r="AA1241">
            <v>2.0599999999999997E-2</v>
          </cell>
          <cell r="AB1241">
            <v>2.2250000000000002E-2</v>
          </cell>
          <cell r="AC1241">
            <v>2.4249999999999997E-2</v>
          </cell>
        </row>
        <row r="1242">
          <cell r="T1242">
            <v>38648</v>
          </cell>
          <cell r="U1242">
            <v>1.4394000000000001E-2</v>
          </cell>
          <cell r="V1242">
            <v>1.5156000000000001E-2</v>
          </cell>
          <cell r="W1242">
            <v>1.5700000000000002E-2</v>
          </cell>
          <cell r="X1242">
            <v>1.6899999999999998E-2</v>
          </cell>
          <cell r="Y1242">
            <v>1.8200000000000001E-2</v>
          </cell>
          <cell r="Z1242">
            <v>1.9450000000000002E-2</v>
          </cell>
          <cell r="AA1242">
            <v>2.0549999999999999E-2</v>
          </cell>
          <cell r="AB1242">
            <v>2.205E-2</v>
          </cell>
          <cell r="AC1242">
            <v>2.4249999999999997E-2</v>
          </cell>
        </row>
        <row r="1243">
          <cell r="T1243">
            <v>38647</v>
          </cell>
          <cell r="U1243">
            <v>1.4394000000000001E-2</v>
          </cell>
          <cell r="V1243">
            <v>1.5156000000000001E-2</v>
          </cell>
          <cell r="W1243">
            <v>1.5700000000000002E-2</v>
          </cell>
          <cell r="X1243">
            <v>1.6899999999999998E-2</v>
          </cell>
          <cell r="Y1243">
            <v>1.8200000000000001E-2</v>
          </cell>
          <cell r="Z1243">
            <v>1.9450000000000002E-2</v>
          </cell>
          <cell r="AA1243">
            <v>2.0549999999999999E-2</v>
          </cell>
          <cell r="AB1243">
            <v>2.205E-2</v>
          </cell>
          <cell r="AC1243">
            <v>2.4249999999999997E-2</v>
          </cell>
        </row>
        <row r="1244">
          <cell r="T1244">
            <v>38646</v>
          </cell>
          <cell r="U1244">
            <v>1.4394000000000001E-2</v>
          </cell>
          <cell r="V1244">
            <v>1.5156000000000001E-2</v>
          </cell>
          <cell r="W1244">
            <v>1.5700000000000002E-2</v>
          </cell>
          <cell r="X1244">
            <v>1.6899999999999998E-2</v>
          </cell>
          <cell r="Y1244">
            <v>1.8200000000000001E-2</v>
          </cell>
          <cell r="Z1244">
            <v>1.9450000000000002E-2</v>
          </cell>
          <cell r="AA1244">
            <v>2.0549999999999999E-2</v>
          </cell>
          <cell r="AB1244">
            <v>2.205E-2</v>
          </cell>
          <cell r="AC1244">
            <v>2.4249999999999997E-2</v>
          </cell>
        </row>
        <row r="1245">
          <cell r="T1245">
            <v>38645</v>
          </cell>
          <cell r="U1245">
            <v>1.4322E-2</v>
          </cell>
          <cell r="V1245">
            <v>1.5049999999999999E-2</v>
          </cell>
          <cell r="W1245">
            <v>1.575E-2</v>
          </cell>
          <cell r="X1245">
            <v>1.6899999999999998E-2</v>
          </cell>
          <cell r="Y1245">
            <v>1.8200000000000001E-2</v>
          </cell>
          <cell r="Z1245">
            <v>1.9400000000000001E-2</v>
          </cell>
          <cell r="AA1245">
            <v>2.0599999999999997E-2</v>
          </cell>
          <cell r="AB1245">
            <v>2.215E-2</v>
          </cell>
          <cell r="AC1245">
            <v>2.4199999999999999E-2</v>
          </cell>
        </row>
        <row r="1246">
          <cell r="T1246">
            <v>38644</v>
          </cell>
          <cell r="U1246">
            <v>1.435E-2</v>
          </cell>
          <cell r="V1246">
            <v>1.5018999999999999E-2</v>
          </cell>
          <cell r="W1246">
            <v>1.575E-2</v>
          </cell>
          <cell r="X1246">
            <v>1.685E-2</v>
          </cell>
          <cell r="Y1246">
            <v>1.8200000000000001E-2</v>
          </cell>
          <cell r="Z1246">
            <v>1.9400000000000001E-2</v>
          </cell>
          <cell r="AA1246">
            <v>2.0499999999999997E-2</v>
          </cell>
          <cell r="AB1246">
            <v>2.215E-2</v>
          </cell>
          <cell r="AC1246">
            <v>2.4199999999999999E-2</v>
          </cell>
        </row>
        <row r="1247">
          <cell r="T1247">
            <v>38643</v>
          </cell>
          <cell r="U1247">
            <v>1.4338999999999999E-2</v>
          </cell>
          <cell r="V1247">
            <v>1.5100000000000001E-2</v>
          </cell>
          <cell r="W1247">
            <v>1.575E-2</v>
          </cell>
          <cell r="X1247">
            <v>1.695E-2</v>
          </cell>
          <cell r="Y1247">
            <v>1.8299999999999997E-2</v>
          </cell>
          <cell r="Z1247">
            <v>1.9550000000000001E-2</v>
          </cell>
          <cell r="AA1247">
            <v>2.0599999999999997E-2</v>
          </cell>
          <cell r="AB1247">
            <v>2.2250000000000002E-2</v>
          </cell>
          <cell r="AC1247">
            <v>2.4550000000000002E-2</v>
          </cell>
        </row>
        <row r="1248">
          <cell r="T1248">
            <v>38642</v>
          </cell>
          <cell r="U1248">
            <v>1.4381E-2</v>
          </cell>
          <cell r="V1248">
            <v>1.5143999999999999E-2</v>
          </cell>
          <cell r="W1248">
            <v>1.5799999999999998E-2</v>
          </cell>
          <cell r="X1248">
            <v>1.695E-2</v>
          </cell>
          <cell r="Y1248">
            <v>1.8249999999999999E-2</v>
          </cell>
          <cell r="Z1248">
            <v>1.95E-2</v>
          </cell>
          <cell r="AA1248">
            <v>2.0599999999999997E-2</v>
          </cell>
          <cell r="AB1248">
            <v>2.2400000000000003E-2</v>
          </cell>
          <cell r="AC1248">
            <v>2.46E-2</v>
          </cell>
        </row>
        <row r="1249">
          <cell r="T1249">
            <v>38641</v>
          </cell>
          <cell r="U1249">
            <v>1.4161000000000002E-2</v>
          </cell>
          <cell r="V1249">
            <v>1.4866999999999998E-2</v>
          </cell>
          <cell r="W1249">
            <v>1.5899999999999997E-2</v>
          </cell>
          <cell r="X1249">
            <v>1.72E-2</v>
          </cell>
          <cell r="Y1249">
            <v>1.8249999999999999E-2</v>
          </cell>
          <cell r="Z1249">
            <v>1.9599999999999999E-2</v>
          </cell>
          <cell r="AA1249">
            <v>2.0700000000000003E-2</v>
          </cell>
          <cell r="AB1249">
            <v>2.2400000000000003E-2</v>
          </cell>
          <cell r="AC1249">
            <v>2.46E-2</v>
          </cell>
        </row>
        <row r="1250">
          <cell r="T1250">
            <v>38640</v>
          </cell>
          <cell r="U1250">
            <v>1.4161000000000002E-2</v>
          </cell>
          <cell r="V1250">
            <v>1.4866999999999998E-2</v>
          </cell>
          <cell r="W1250">
            <v>1.5899999999999997E-2</v>
          </cell>
          <cell r="X1250">
            <v>1.72E-2</v>
          </cell>
          <cell r="Y1250">
            <v>1.8249999999999999E-2</v>
          </cell>
          <cell r="Z1250">
            <v>1.9599999999999999E-2</v>
          </cell>
          <cell r="AA1250">
            <v>2.0700000000000003E-2</v>
          </cell>
          <cell r="AB1250">
            <v>2.2400000000000003E-2</v>
          </cell>
          <cell r="AC1250">
            <v>2.46E-2</v>
          </cell>
        </row>
        <row r="1251">
          <cell r="T1251">
            <v>38639</v>
          </cell>
          <cell r="U1251">
            <v>1.4161000000000002E-2</v>
          </cell>
          <cell r="V1251">
            <v>1.4866999999999998E-2</v>
          </cell>
          <cell r="W1251">
            <v>1.5899999999999997E-2</v>
          </cell>
          <cell r="X1251">
            <v>1.72E-2</v>
          </cell>
          <cell r="Y1251">
            <v>1.8249999999999999E-2</v>
          </cell>
          <cell r="Z1251">
            <v>1.9599999999999999E-2</v>
          </cell>
          <cell r="AA1251">
            <v>2.0700000000000003E-2</v>
          </cell>
          <cell r="AB1251">
            <v>2.2400000000000003E-2</v>
          </cell>
          <cell r="AC1251">
            <v>2.46E-2</v>
          </cell>
        </row>
        <row r="1252">
          <cell r="T1252">
            <v>38638</v>
          </cell>
          <cell r="U1252">
            <v>1.4250000000000001E-2</v>
          </cell>
          <cell r="V1252">
            <v>1.4943999999999999E-2</v>
          </cell>
          <cell r="W1252">
            <v>1.575E-2</v>
          </cell>
          <cell r="X1252">
            <v>1.7100000000000001E-2</v>
          </cell>
          <cell r="Y1252">
            <v>1.8299999999999997E-2</v>
          </cell>
          <cell r="Z1252">
            <v>1.9550000000000001E-2</v>
          </cell>
          <cell r="AA1252">
            <v>2.0750000000000001E-2</v>
          </cell>
          <cell r="AB1252">
            <v>2.2349999999999998E-2</v>
          </cell>
          <cell r="AC1252">
            <v>2.46E-2</v>
          </cell>
        </row>
        <row r="1253">
          <cell r="T1253">
            <v>38637</v>
          </cell>
          <cell r="U1253">
            <v>1.4338999999999999E-2</v>
          </cell>
          <cell r="V1253">
            <v>1.5100000000000001E-2</v>
          </cell>
          <cell r="W1253">
            <v>1.5700000000000002E-2</v>
          </cell>
          <cell r="X1253">
            <v>1.6899999999999998E-2</v>
          </cell>
          <cell r="Y1253">
            <v>1.8249999999999999E-2</v>
          </cell>
          <cell r="Z1253">
            <v>1.9450000000000002E-2</v>
          </cell>
          <cell r="AA1253">
            <v>2.0599999999999997E-2</v>
          </cell>
          <cell r="AB1253">
            <v>2.2250000000000002E-2</v>
          </cell>
          <cell r="AC1253">
            <v>2.4299999999999999E-2</v>
          </cell>
        </row>
        <row r="1254">
          <cell r="T1254">
            <v>38636</v>
          </cell>
          <cell r="U1254">
            <v>1.4338999999999999E-2</v>
          </cell>
          <cell r="V1254">
            <v>1.5100000000000001E-2</v>
          </cell>
          <cell r="W1254">
            <v>1.5700000000000002E-2</v>
          </cell>
          <cell r="X1254">
            <v>1.685E-2</v>
          </cell>
          <cell r="Y1254">
            <v>1.8200000000000001E-2</v>
          </cell>
          <cell r="Z1254">
            <v>1.9400000000000001E-2</v>
          </cell>
          <cell r="AA1254">
            <v>2.0499999999999997E-2</v>
          </cell>
          <cell r="AB1254">
            <v>2.2250000000000002E-2</v>
          </cell>
          <cell r="AC1254">
            <v>2.4299999999999999E-2</v>
          </cell>
        </row>
        <row r="1255">
          <cell r="T1255">
            <v>38635</v>
          </cell>
          <cell r="U1255">
            <v>1.4250000000000001E-2</v>
          </cell>
          <cell r="V1255">
            <v>1.5066999999999999E-2</v>
          </cell>
          <cell r="W1255">
            <v>1.5600000000000001E-2</v>
          </cell>
          <cell r="X1255">
            <v>1.685E-2</v>
          </cell>
          <cell r="Y1255">
            <v>1.8100000000000002E-2</v>
          </cell>
          <cell r="Z1255">
            <v>1.9400000000000001E-2</v>
          </cell>
          <cell r="AA1255">
            <v>2.0549999999999999E-2</v>
          </cell>
          <cell r="AB1255">
            <v>2.2200000000000001E-2</v>
          </cell>
          <cell r="AC1255">
            <v>2.4299999999999999E-2</v>
          </cell>
        </row>
        <row r="1256">
          <cell r="T1256">
            <v>38634</v>
          </cell>
          <cell r="U1256">
            <v>1.4250000000000001E-2</v>
          </cell>
          <cell r="V1256">
            <v>1.5066999999999999E-2</v>
          </cell>
          <cell r="W1256">
            <v>1.5600000000000001E-2</v>
          </cell>
          <cell r="X1256">
            <v>1.685E-2</v>
          </cell>
          <cell r="Y1256">
            <v>1.8100000000000002E-2</v>
          </cell>
          <cell r="Z1256">
            <v>1.9400000000000001E-2</v>
          </cell>
          <cell r="AA1256">
            <v>2.0549999999999999E-2</v>
          </cell>
          <cell r="AB1256">
            <v>2.2200000000000001E-2</v>
          </cell>
          <cell r="AC1256">
            <v>2.4299999999999999E-2</v>
          </cell>
        </row>
        <row r="1257">
          <cell r="T1257">
            <v>38633</v>
          </cell>
          <cell r="U1257">
            <v>1.4250000000000001E-2</v>
          </cell>
          <cell r="V1257">
            <v>1.5066999999999999E-2</v>
          </cell>
          <cell r="W1257">
            <v>1.5600000000000001E-2</v>
          </cell>
          <cell r="X1257">
            <v>1.685E-2</v>
          </cell>
          <cell r="Y1257">
            <v>1.8100000000000002E-2</v>
          </cell>
          <cell r="Z1257">
            <v>1.9400000000000001E-2</v>
          </cell>
          <cell r="AA1257">
            <v>2.0549999999999999E-2</v>
          </cell>
          <cell r="AB1257">
            <v>2.2200000000000001E-2</v>
          </cell>
          <cell r="AC1257">
            <v>2.4299999999999999E-2</v>
          </cell>
        </row>
        <row r="1258">
          <cell r="T1258">
            <v>38632</v>
          </cell>
          <cell r="U1258">
            <v>1.4250000000000001E-2</v>
          </cell>
          <cell r="V1258">
            <v>1.5066999999999999E-2</v>
          </cell>
          <cell r="W1258">
            <v>1.5600000000000001E-2</v>
          </cell>
          <cell r="X1258">
            <v>1.685E-2</v>
          </cell>
          <cell r="Y1258">
            <v>1.8100000000000002E-2</v>
          </cell>
          <cell r="Z1258">
            <v>1.9400000000000001E-2</v>
          </cell>
          <cell r="AA1258">
            <v>2.0549999999999999E-2</v>
          </cell>
          <cell r="AB1258">
            <v>2.2200000000000001E-2</v>
          </cell>
          <cell r="AC1258">
            <v>2.4299999999999999E-2</v>
          </cell>
        </row>
        <row r="1259">
          <cell r="T1259">
            <v>38631</v>
          </cell>
          <cell r="U1259">
            <v>1.4250000000000001E-2</v>
          </cell>
          <cell r="V1259">
            <v>1.5066999999999999E-2</v>
          </cell>
          <cell r="W1259">
            <v>1.5550000000000001E-2</v>
          </cell>
          <cell r="X1259">
            <v>1.6750000000000001E-2</v>
          </cell>
          <cell r="Y1259">
            <v>1.8000000000000002E-2</v>
          </cell>
          <cell r="Z1259">
            <v>1.9349999999999999E-2</v>
          </cell>
          <cell r="AA1259">
            <v>2.0449999999999999E-2</v>
          </cell>
          <cell r="AB1259">
            <v>2.215E-2</v>
          </cell>
          <cell r="AC1259">
            <v>2.4050000000000002E-2</v>
          </cell>
        </row>
        <row r="1260">
          <cell r="T1260">
            <v>38630</v>
          </cell>
          <cell r="U1260">
            <v>1.4360999999999999E-2</v>
          </cell>
          <cell r="V1260">
            <v>1.5150000000000002E-2</v>
          </cell>
          <cell r="W1260">
            <v>1.55E-2</v>
          </cell>
          <cell r="X1260">
            <v>1.6799999999999999E-2</v>
          </cell>
          <cell r="Y1260">
            <v>1.8100000000000002E-2</v>
          </cell>
          <cell r="Z1260">
            <v>1.95E-2</v>
          </cell>
          <cell r="AA1260">
            <v>2.0499999999999997E-2</v>
          </cell>
          <cell r="AB1260">
            <v>2.2400000000000003E-2</v>
          </cell>
          <cell r="AC1260">
            <v>2.4300000000000002E-2</v>
          </cell>
        </row>
        <row r="1261">
          <cell r="T1261">
            <v>38629</v>
          </cell>
          <cell r="U1261">
            <v>1.4194999999999999E-2</v>
          </cell>
          <cell r="V1261">
            <v>1.5030000000000002E-2</v>
          </cell>
          <cell r="W1261">
            <v>1.5550000000000001E-2</v>
          </cell>
          <cell r="X1261">
            <v>1.6899999999999998E-2</v>
          </cell>
          <cell r="Y1261">
            <v>1.8149999999999999E-2</v>
          </cell>
          <cell r="Z1261">
            <v>1.9550000000000001E-2</v>
          </cell>
          <cell r="AA1261">
            <v>2.0599999999999997E-2</v>
          </cell>
          <cell r="AB1261">
            <v>2.2400000000000003E-2</v>
          </cell>
          <cell r="AC1261">
            <v>2.4300000000000002E-2</v>
          </cell>
        </row>
        <row r="1262">
          <cell r="T1262">
            <v>38628</v>
          </cell>
          <cell r="U1262">
            <v>1.4250000000000001E-2</v>
          </cell>
          <cell r="V1262">
            <v>1.5066999999999999E-2</v>
          </cell>
          <cell r="W1262">
            <v>1.555E-2</v>
          </cell>
          <cell r="X1262">
            <v>1.685E-2</v>
          </cell>
          <cell r="Y1262">
            <v>1.8100000000000002E-2</v>
          </cell>
          <cell r="Z1262">
            <v>1.9449999999999999E-2</v>
          </cell>
          <cell r="AA1262">
            <v>2.0499999999999997E-2</v>
          </cell>
          <cell r="AB1262">
            <v>2.2250000000000002E-2</v>
          </cell>
          <cell r="AC1262">
            <v>2.4150000000000001E-2</v>
          </cell>
        </row>
        <row r="1263">
          <cell r="T1263">
            <v>38627</v>
          </cell>
          <cell r="U1263">
            <v>1.4325000000000001E-2</v>
          </cell>
          <cell r="V1263">
            <v>1.5181E-2</v>
          </cell>
          <cell r="W1263">
            <v>1.5699999999999999E-2</v>
          </cell>
          <cell r="X1263">
            <v>1.7000000000000001E-2</v>
          </cell>
          <cell r="Y1263">
            <v>1.8100000000000002E-2</v>
          </cell>
          <cell r="Z1263">
            <v>1.9449999999999999E-2</v>
          </cell>
          <cell r="AA1263">
            <v>2.0400000000000001E-2</v>
          </cell>
          <cell r="AB1263">
            <v>2.2250000000000002E-2</v>
          </cell>
          <cell r="AC1263">
            <v>2.4150000000000001E-2</v>
          </cell>
        </row>
        <row r="1264">
          <cell r="T1264">
            <v>38626</v>
          </cell>
          <cell r="U1264">
            <v>1.4325000000000001E-2</v>
          </cell>
          <cell r="V1264">
            <v>1.5181E-2</v>
          </cell>
          <cell r="W1264">
            <v>1.5699999999999999E-2</v>
          </cell>
          <cell r="X1264">
            <v>1.7000000000000001E-2</v>
          </cell>
          <cell r="Y1264">
            <v>1.8100000000000002E-2</v>
          </cell>
          <cell r="Z1264">
            <v>1.9449999999999999E-2</v>
          </cell>
          <cell r="AA1264">
            <v>2.0400000000000001E-2</v>
          </cell>
          <cell r="AB1264">
            <v>2.2250000000000002E-2</v>
          </cell>
          <cell r="AC1264">
            <v>2.4150000000000001E-2</v>
          </cell>
        </row>
        <row r="1265">
          <cell r="T1265">
            <v>38625</v>
          </cell>
          <cell r="U1265">
            <v>1.4325000000000001E-2</v>
          </cell>
          <cell r="V1265">
            <v>1.5181E-2</v>
          </cell>
          <cell r="W1265">
            <v>1.5699999999999999E-2</v>
          </cell>
          <cell r="X1265">
            <v>1.7000000000000001E-2</v>
          </cell>
          <cell r="Y1265">
            <v>1.8100000000000002E-2</v>
          </cell>
          <cell r="Z1265">
            <v>1.9449999999999999E-2</v>
          </cell>
          <cell r="AA1265">
            <v>2.0400000000000001E-2</v>
          </cell>
          <cell r="AB1265">
            <v>2.2250000000000002E-2</v>
          </cell>
          <cell r="AC1265">
            <v>2.4150000000000001E-2</v>
          </cell>
        </row>
        <row r="1266">
          <cell r="T1266">
            <v>38624</v>
          </cell>
          <cell r="U1266">
            <v>1.4280999999999999E-2</v>
          </cell>
          <cell r="V1266">
            <v>1.5106000000000001E-2</v>
          </cell>
          <cell r="W1266">
            <v>1.555E-2</v>
          </cell>
          <cell r="X1266">
            <v>1.6700000000000003E-2</v>
          </cell>
          <cell r="Y1266">
            <v>1.8000000000000002E-2</v>
          </cell>
          <cell r="Z1266">
            <v>1.9299999999999998E-2</v>
          </cell>
          <cell r="AA1266">
            <v>2.035E-2</v>
          </cell>
          <cell r="AB1266">
            <v>2.215E-2</v>
          </cell>
          <cell r="AC1266">
            <v>2.4000000000000004E-2</v>
          </cell>
        </row>
        <row r="1267">
          <cell r="T1267">
            <v>38623</v>
          </cell>
          <cell r="U1267">
            <v>1.4217E-2</v>
          </cell>
          <cell r="V1267">
            <v>1.5061E-2</v>
          </cell>
          <cell r="W1267">
            <v>1.555E-2</v>
          </cell>
          <cell r="X1267">
            <v>1.6799999999999999E-2</v>
          </cell>
          <cell r="Y1267">
            <v>1.8100000000000002E-2</v>
          </cell>
          <cell r="Z1267">
            <v>1.9299999999999998E-2</v>
          </cell>
          <cell r="AA1267">
            <v>2.0400000000000001E-2</v>
          </cell>
          <cell r="AB1267">
            <v>2.215E-2</v>
          </cell>
          <cell r="AC1267">
            <v>2.4000000000000004E-2</v>
          </cell>
        </row>
        <row r="1268">
          <cell r="T1268">
            <v>38622</v>
          </cell>
          <cell r="U1268">
            <v>1.4372000000000001E-2</v>
          </cell>
          <cell r="V1268">
            <v>1.5032999999999998E-2</v>
          </cell>
          <cell r="W1268">
            <v>1.555E-2</v>
          </cell>
          <cell r="X1268">
            <v>1.6799999999999999E-2</v>
          </cell>
          <cell r="Y1268">
            <v>1.805E-2</v>
          </cell>
          <cell r="Z1268">
            <v>1.9200000000000002E-2</v>
          </cell>
          <cell r="AA1268">
            <v>2.0250000000000001E-2</v>
          </cell>
          <cell r="AB1268">
            <v>2.205E-2</v>
          </cell>
          <cell r="AC1268">
            <v>2.4000000000000004E-2</v>
          </cell>
        </row>
        <row r="1269">
          <cell r="T1269">
            <v>38621</v>
          </cell>
          <cell r="U1269">
            <v>1.4372000000000001E-2</v>
          </cell>
          <cell r="V1269">
            <v>1.5032999999999998E-2</v>
          </cell>
          <cell r="W1269">
            <v>1.55E-2</v>
          </cell>
          <cell r="X1269">
            <v>1.685E-2</v>
          </cell>
          <cell r="Y1269">
            <v>1.8000000000000002E-2</v>
          </cell>
          <cell r="Z1269">
            <v>1.925E-2</v>
          </cell>
          <cell r="AA1269">
            <v>2.0300000000000002E-2</v>
          </cell>
          <cell r="AB1269">
            <v>2.205E-2</v>
          </cell>
          <cell r="AC1269">
            <v>2.4000000000000004E-2</v>
          </cell>
        </row>
        <row r="1270">
          <cell r="T1270">
            <v>38620</v>
          </cell>
          <cell r="U1270">
            <v>1.4289000000000001E-2</v>
          </cell>
          <cell r="V1270">
            <v>1.5066999999999999E-2</v>
          </cell>
          <cell r="W1270">
            <v>1.5449999999999998E-2</v>
          </cell>
          <cell r="X1270">
            <v>1.6700000000000003E-2</v>
          </cell>
          <cell r="Y1270">
            <v>1.7899999999999999E-2</v>
          </cell>
          <cell r="Z1270">
            <v>1.9000000000000003E-2</v>
          </cell>
          <cell r="AA1270">
            <v>2.0149999999999998E-2</v>
          </cell>
          <cell r="AB1270">
            <v>2.1850000000000001E-2</v>
          </cell>
          <cell r="AC1270">
            <v>2.3599999999999999E-2</v>
          </cell>
        </row>
        <row r="1271">
          <cell r="T1271">
            <v>38619</v>
          </cell>
          <cell r="U1271">
            <v>1.4289000000000001E-2</v>
          </cell>
          <cell r="V1271">
            <v>1.5066999999999999E-2</v>
          </cell>
          <cell r="W1271">
            <v>1.5449999999999998E-2</v>
          </cell>
          <cell r="X1271">
            <v>1.6700000000000003E-2</v>
          </cell>
          <cell r="Y1271">
            <v>1.7899999999999999E-2</v>
          </cell>
          <cell r="Z1271">
            <v>1.9000000000000003E-2</v>
          </cell>
          <cell r="AA1271">
            <v>2.0149999999999998E-2</v>
          </cell>
          <cell r="AB1271">
            <v>2.1850000000000001E-2</v>
          </cell>
          <cell r="AC1271">
            <v>2.3599999999999999E-2</v>
          </cell>
        </row>
        <row r="1272">
          <cell r="T1272">
            <v>38618</v>
          </cell>
          <cell r="U1272">
            <v>1.4289000000000001E-2</v>
          </cell>
          <cell r="V1272">
            <v>1.5066999999999999E-2</v>
          </cell>
          <cell r="W1272">
            <v>1.5449999999999998E-2</v>
          </cell>
          <cell r="X1272">
            <v>1.6700000000000003E-2</v>
          </cell>
          <cell r="Y1272">
            <v>1.7899999999999999E-2</v>
          </cell>
          <cell r="Z1272">
            <v>1.9000000000000003E-2</v>
          </cell>
          <cell r="AA1272">
            <v>2.0149999999999998E-2</v>
          </cell>
          <cell r="AB1272">
            <v>2.1850000000000001E-2</v>
          </cell>
          <cell r="AC1272">
            <v>2.3599999999999999E-2</v>
          </cell>
        </row>
        <row r="1273">
          <cell r="T1273">
            <v>38617</v>
          </cell>
          <cell r="U1273">
            <v>1.4289000000000001E-2</v>
          </cell>
          <cell r="V1273">
            <v>1.5066999999999999E-2</v>
          </cell>
          <cell r="W1273">
            <v>1.54E-2</v>
          </cell>
          <cell r="X1273">
            <v>1.6549999999999999E-2</v>
          </cell>
          <cell r="Y1273">
            <v>1.78E-2</v>
          </cell>
          <cell r="Z1273">
            <v>1.8950000000000002E-2</v>
          </cell>
          <cell r="AA1273">
            <v>1.9949999999999999E-2</v>
          </cell>
          <cell r="AB1273">
            <v>2.1749999999999999E-2</v>
          </cell>
          <cell r="AC1273">
            <v>2.3600000000000003E-2</v>
          </cell>
        </row>
        <row r="1274">
          <cell r="T1274">
            <v>38616</v>
          </cell>
          <cell r="U1274">
            <v>1.4138E-2</v>
          </cell>
          <cell r="V1274">
            <v>1.4981E-2</v>
          </cell>
          <cell r="W1274">
            <v>1.54E-2</v>
          </cell>
          <cell r="X1274">
            <v>1.6650000000000002E-2</v>
          </cell>
          <cell r="Y1274">
            <v>1.8000000000000002E-2</v>
          </cell>
          <cell r="Z1274">
            <v>1.9050000000000001E-2</v>
          </cell>
          <cell r="AA1274">
            <v>2.0099999999999996E-2</v>
          </cell>
          <cell r="AB1274">
            <v>2.1850000000000001E-2</v>
          </cell>
          <cell r="AC1274">
            <v>2.3700000000000002E-2</v>
          </cell>
        </row>
        <row r="1275">
          <cell r="T1275">
            <v>38615</v>
          </cell>
          <cell r="U1275">
            <v>1.4306000000000001E-2</v>
          </cell>
          <cell r="V1275">
            <v>1.5110999999999999E-2</v>
          </cell>
          <cell r="W1275">
            <v>1.54E-2</v>
          </cell>
          <cell r="X1275">
            <v>1.6750000000000001E-2</v>
          </cell>
          <cell r="Y1275">
            <v>1.805E-2</v>
          </cell>
          <cell r="Z1275">
            <v>1.9099999999999999E-2</v>
          </cell>
          <cell r="AA1275">
            <v>2.0149999999999998E-2</v>
          </cell>
          <cell r="AB1275">
            <v>2.1850000000000001E-2</v>
          </cell>
          <cell r="AC1275">
            <v>2.3700000000000002E-2</v>
          </cell>
        </row>
        <row r="1276">
          <cell r="T1276">
            <v>38614</v>
          </cell>
          <cell r="U1276">
            <v>1.4306000000000001E-2</v>
          </cell>
          <cell r="V1276">
            <v>1.5110999999999999E-2</v>
          </cell>
          <cell r="W1276">
            <v>1.5449999999999998E-2</v>
          </cell>
          <cell r="X1276">
            <v>1.685E-2</v>
          </cell>
          <cell r="Y1276">
            <v>1.8149999999999999E-2</v>
          </cell>
          <cell r="Z1276">
            <v>1.9299999999999998E-2</v>
          </cell>
          <cell r="AA1276">
            <v>2.0199999999999996E-2</v>
          </cell>
          <cell r="AB1276">
            <v>2.1950000000000004E-2</v>
          </cell>
          <cell r="AC1276">
            <v>2.3799999999999998E-2</v>
          </cell>
        </row>
        <row r="1277">
          <cell r="T1277">
            <v>38613</v>
          </cell>
          <cell r="U1277">
            <v>1.4218999999999999E-2</v>
          </cell>
          <cell r="V1277">
            <v>1.5044E-2</v>
          </cell>
          <cell r="W1277">
            <v>1.5449999999999998E-2</v>
          </cell>
          <cell r="X1277">
            <v>1.6899999999999998E-2</v>
          </cell>
          <cell r="Y1277">
            <v>1.8000000000000002E-2</v>
          </cell>
          <cell r="Z1277">
            <v>1.9199999999999998E-2</v>
          </cell>
          <cell r="AA1277">
            <v>2.0199999999999999E-2</v>
          </cell>
          <cell r="AB1277">
            <v>2.18E-2</v>
          </cell>
          <cell r="AC1277">
            <v>2.3700000000000002E-2</v>
          </cell>
        </row>
        <row r="1278">
          <cell r="T1278">
            <v>38612</v>
          </cell>
          <cell r="U1278">
            <v>1.4218999999999999E-2</v>
          </cell>
          <cell r="V1278">
            <v>1.5044E-2</v>
          </cell>
          <cell r="W1278">
            <v>1.5449999999999998E-2</v>
          </cell>
          <cell r="X1278">
            <v>1.6899999999999998E-2</v>
          </cell>
          <cell r="Y1278">
            <v>1.8000000000000002E-2</v>
          </cell>
          <cell r="Z1278">
            <v>1.9199999999999998E-2</v>
          </cell>
          <cell r="AA1278">
            <v>2.0199999999999999E-2</v>
          </cell>
          <cell r="AB1278">
            <v>2.18E-2</v>
          </cell>
          <cell r="AC1278">
            <v>2.3700000000000002E-2</v>
          </cell>
        </row>
        <row r="1279">
          <cell r="T1279">
            <v>38611</v>
          </cell>
          <cell r="U1279">
            <v>1.4218999999999999E-2</v>
          </cell>
          <cell r="V1279">
            <v>1.5044E-2</v>
          </cell>
          <cell r="W1279">
            <v>1.5449999999999998E-2</v>
          </cell>
          <cell r="X1279">
            <v>1.6899999999999998E-2</v>
          </cell>
          <cell r="Y1279">
            <v>1.8000000000000002E-2</v>
          </cell>
          <cell r="Z1279">
            <v>1.9199999999999998E-2</v>
          </cell>
          <cell r="AA1279">
            <v>2.0199999999999999E-2</v>
          </cell>
          <cell r="AB1279">
            <v>2.18E-2</v>
          </cell>
          <cell r="AC1279">
            <v>2.3700000000000002E-2</v>
          </cell>
        </row>
        <row r="1280">
          <cell r="T1280">
            <v>38610</v>
          </cell>
          <cell r="U1280">
            <v>1.3706000000000001E-2</v>
          </cell>
          <cell r="V1280">
            <v>1.4588999999999998E-2</v>
          </cell>
          <cell r="W1280">
            <v>1.55E-2</v>
          </cell>
          <cell r="X1280">
            <v>1.6899999999999998E-2</v>
          </cell>
          <cell r="Y1280">
            <v>1.8200000000000001E-2</v>
          </cell>
          <cell r="Z1280">
            <v>1.925E-2</v>
          </cell>
          <cell r="AA1280">
            <v>2.0250000000000001E-2</v>
          </cell>
          <cell r="AB1280">
            <v>2.205E-2</v>
          </cell>
          <cell r="AC1280">
            <v>2.3899999999999998E-2</v>
          </cell>
        </row>
        <row r="1281">
          <cell r="T1281">
            <v>38609</v>
          </cell>
          <cell r="U1281">
            <v>1.3589E-2</v>
          </cell>
          <cell r="V1281">
            <v>1.4383E-2</v>
          </cell>
          <cell r="W1281">
            <v>1.55E-2</v>
          </cell>
          <cell r="X1281">
            <v>1.685E-2</v>
          </cell>
          <cell r="Y1281">
            <v>1.8200000000000001E-2</v>
          </cell>
          <cell r="Z1281">
            <v>1.925E-2</v>
          </cell>
          <cell r="AA1281">
            <v>2.0199999999999996E-2</v>
          </cell>
          <cell r="AB1281">
            <v>2.205E-2</v>
          </cell>
          <cell r="AC1281">
            <v>2.3899999999999998E-2</v>
          </cell>
        </row>
        <row r="1282">
          <cell r="T1282">
            <v>38608</v>
          </cell>
          <cell r="U1282">
            <v>1.3622E-2</v>
          </cell>
          <cell r="V1282">
            <v>1.4475E-2</v>
          </cell>
          <cell r="W1282">
            <v>1.5600000000000001E-2</v>
          </cell>
          <cell r="X1282">
            <v>1.7000000000000001E-2</v>
          </cell>
          <cell r="Y1282">
            <v>1.8299999999999997E-2</v>
          </cell>
          <cell r="Z1282">
            <v>1.9400000000000001E-2</v>
          </cell>
          <cell r="AA1282">
            <v>2.0400000000000001E-2</v>
          </cell>
          <cell r="AB1282">
            <v>2.215E-2</v>
          </cell>
          <cell r="AC1282">
            <v>2.4E-2</v>
          </cell>
        </row>
        <row r="1283">
          <cell r="T1283">
            <v>38607</v>
          </cell>
          <cell r="U1283">
            <v>1.3603000000000001E-2</v>
          </cell>
          <cell r="V1283">
            <v>1.4367000000000001E-2</v>
          </cell>
          <cell r="W1283">
            <v>1.5600000000000001E-2</v>
          </cell>
          <cell r="X1283">
            <v>1.6899999999999998E-2</v>
          </cell>
          <cell r="Y1283">
            <v>1.8200000000000001E-2</v>
          </cell>
          <cell r="Z1283">
            <v>1.9299999999999998E-2</v>
          </cell>
          <cell r="AA1283">
            <v>2.035E-2</v>
          </cell>
          <cell r="AB1283">
            <v>2.215E-2</v>
          </cell>
          <cell r="AC1283">
            <v>2.4E-2</v>
          </cell>
        </row>
        <row r="1284">
          <cell r="T1284">
            <v>38606</v>
          </cell>
          <cell r="U1284">
            <v>1.3566E-2</v>
          </cell>
          <cell r="V1284">
            <v>1.4256E-2</v>
          </cell>
          <cell r="W1284">
            <v>1.55E-2</v>
          </cell>
          <cell r="X1284">
            <v>1.6899999999999998E-2</v>
          </cell>
          <cell r="Y1284">
            <v>1.8200000000000001E-2</v>
          </cell>
          <cell r="Z1284">
            <v>1.925E-2</v>
          </cell>
          <cell r="AA1284">
            <v>2.0250000000000001E-2</v>
          </cell>
          <cell r="AB1284">
            <v>2.1950000000000004E-2</v>
          </cell>
          <cell r="AC1284">
            <v>2.3799999999999998E-2</v>
          </cell>
        </row>
        <row r="1285">
          <cell r="T1285">
            <v>38605</v>
          </cell>
          <cell r="U1285">
            <v>1.3566E-2</v>
          </cell>
          <cell r="V1285">
            <v>1.4256E-2</v>
          </cell>
          <cell r="W1285">
            <v>1.55E-2</v>
          </cell>
          <cell r="X1285">
            <v>1.6899999999999998E-2</v>
          </cell>
          <cell r="Y1285">
            <v>1.8200000000000001E-2</v>
          </cell>
          <cell r="Z1285">
            <v>1.925E-2</v>
          </cell>
          <cell r="AA1285">
            <v>2.0250000000000001E-2</v>
          </cell>
          <cell r="AB1285">
            <v>2.1950000000000004E-2</v>
          </cell>
          <cell r="AC1285">
            <v>2.3799999999999998E-2</v>
          </cell>
        </row>
        <row r="1286">
          <cell r="T1286">
            <v>38604</v>
          </cell>
          <cell r="U1286">
            <v>1.3566E-2</v>
          </cell>
          <cell r="V1286">
            <v>1.4256E-2</v>
          </cell>
          <cell r="W1286">
            <v>1.55E-2</v>
          </cell>
          <cell r="X1286">
            <v>1.6899999999999998E-2</v>
          </cell>
          <cell r="Y1286">
            <v>1.8200000000000001E-2</v>
          </cell>
          <cell r="Z1286">
            <v>1.925E-2</v>
          </cell>
          <cell r="AA1286">
            <v>2.0250000000000001E-2</v>
          </cell>
          <cell r="AB1286">
            <v>2.1950000000000004E-2</v>
          </cell>
          <cell r="AC1286">
            <v>2.3799999999999998E-2</v>
          </cell>
        </row>
        <row r="1287">
          <cell r="T1287">
            <v>38603</v>
          </cell>
          <cell r="U1287">
            <v>1.3646999999999999E-2</v>
          </cell>
          <cell r="V1287">
            <v>1.4367000000000001E-2</v>
          </cell>
          <cell r="W1287">
            <v>1.5449999999999998E-2</v>
          </cell>
          <cell r="X1287">
            <v>1.7000000000000001E-2</v>
          </cell>
          <cell r="Y1287">
            <v>1.8349999999999998E-2</v>
          </cell>
          <cell r="Z1287">
            <v>1.925E-2</v>
          </cell>
          <cell r="AA1287">
            <v>2.0300000000000002E-2</v>
          </cell>
          <cell r="AB1287">
            <v>2.2000000000000002E-2</v>
          </cell>
          <cell r="AC1287">
            <v>2.4E-2</v>
          </cell>
        </row>
        <row r="1288">
          <cell r="T1288">
            <v>38602</v>
          </cell>
          <cell r="U1288">
            <v>1.3557999999999999E-2</v>
          </cell>
          <cell r="V1288">
            <v>1.4338999999999999E-2</v>
          </cell>
          <cell r="W1288">
            <v>1.5350000000000001E-2</v>
          </cell>
          <cell r="X1288">
            <v>1.6799999999999999E-2</v>
          </cell>
          <cell r="Y1288">
            <v>1.8200000000000001E-2</v>
          </cell>
          <cell r="Z1288">
            <v>1.9099999999999999E-2</v>
          </cell>
          <cell r="AA1288">
            <v>2.0199999999999999E-2</v>
          </cell>
          <cell r="AB1288">
            <v>2.205E-2</v>
          </cell>
          <cell r="AC1288">
            <v>2.4E-2</v>
          </cell>
        </row>
        <row r="1289">
          <cell r="T1289">
            <v>38601</v>
          </cell>
          <cell r="U1289">
            <v>1.3586000000000001E-2</v>
          </cell>
          <cell r="V1289">
            <v>1.4311000000000001E-2</v>
          </cell>
          <cell r="W1289">
            <v>1.5449999999999998E-2</v>
          </cell>
          <cell r="X1289">
            <v>1.685E-2</v>
          </cell>
          <cell r="Y1289">
            <v>1.8149999999999999E-2</v>
          </cell>
          <cell r="Z1289">
            <v>1.915E-2</v>
          </cell>
          <cell r="AA1289">
            <v>2.0149999999999998E-2</v>
          </cell>
          <cell r="AB1289">
            <v>2.1850000000000001E-2</v>
          </cell>
          <cell r="AC1289">
            <v>2.375E-2</v>
          </cell>
        </row>
        <row r="1290">
          <cell r="T1290">
            <v>38600</v>
          </cell>
          <cell r="U1290">
            <v>1.3581000000000001E-2</v>
          </cell>
          <cell r="V1290">
            <v>1.435E-2</v>
          </cell>
          <cell r="W1290">
            <v>1.5150000000000002E-2</v>
          </cell>
          <cell r="X1290">
            <v>1.6449999999999999E-2</v>
          </cell>
          <cell r="Y1290">
            <v>1.77E-2</v>
          </cell>
          <cell r="Z1290">
            <v>1.8700000000000001E-2</v>
          </cell>
          <cell r="AA1290">
            <v>1.9799999999999998E-2</v>
          </cell>
          <cell r="AB1290">
            <v>2.1299999999999999E-2</v>
          </cell>
          <cell r="AC1290">
            <v>2.3300000000000001E-2</v>
          </cell>
        </row>
        <row r="1291">
          <cell r="T1291">
            <v>38599</v>
          </cell>
          <cell r="U1291">
            <v>1.3597E-2</v>
          </cell>
          <cell r="V1291">
            <v>1.435E-2</v>
          </cell>
          <cell r="W1291">
            <v>1.4999999999999999E-2</v>
          </cell>
          <cell r="X1291">
            <v>1.6399999999999998E-2</v>
          </cell>
          <cell r="Y1291">
            <v>1.755E-2</v>
          </cell>
          <cell r="Z1291">
            <v>1.8700000000000001E-2</v>
          </cell>
          <cell r="AA1291">
            <v>1.9649999999999997E-2</v>
          </cell>
          <cell r="AB1291">
            <v>2.1299999999999999E-2</v>
          </cell>
          <cell r="AC1291">
            <v>2.315E-2</v>
          </cell>
        </row>
        <row r="1292">
          <cell r="T1292">
            <v>38598</v>
          </cell>
          <cell r="U1292">
            <v>1.3597E-2</v>
          </cell>
          <cell r="V1292">
            <v>1.435E-2</v>
          </cell>
          <cell r="W1292">
            <v>1.4999999999999999E-2</v>
          </cell>
          <cell r="X1292">
            <v>1.6399999999999998E-2</v>
          </cell>
          <cell r="Y1292">
            <v>1.755E-2</v>
          </cell>
          <cell r="Z1292">
            <v>1.8700000000000001E-2</v>
          </cell>
          <cell r="AA1292">
            <v>1.9649999999999997E-2</v>
          </cell>
          <cell r="AB1292">
            <v>2.1299999999999999E-2</v>
          </cell>
          <cell r="AC1292">
            <v>2.315E-2</v>
          </cell>
        </row>
        <row r="1293">
          <cell r="T1293">
            <v>38597</v>
          </cell>
          <cell r="U1293">
            <v>1.3597E-2</v>
          </cell>
          <cell r="V1293">
            <v>1.435E-2</v>
          </cell>
          <cell r="W1293">
            <v>1.4999999999999999E-2</v>
          </cell>
          <cell r="X1293">
            <v>1.6399999999999998E-2</v>
          </cell>
          <cell r="Y1293">
            <v>1.755E-2</v>
          </cell>
          <cell r="Z1293">
            <v>1.8700000000000001E-2</v>
          </cell>
          <cell r="AA1293">
            <v>1.9649999999999997E-2</v>
          </cell>
          <cell r="AB1293">
            <v>2.1299999999999999E-2</v>
          </cell>
          <cell r="AC1293">
            <v>2.315E-2</v>
          </cell>
        </row>
        <row r="1294">
          <cell r="T1294">
            <v>38596</v>
          </cell>
          <cell r="U1294">
            <v>1.3428000000000001E-2</v>
          </cell>
          <cell r="V1294">
            <v>1.4055999999999999E-2</v>
          </cell>
          <cell r="W1294">
            <v>1.5150000000000002E-2</v>
          </cell>
          <cell r="X1294">
            <v>1.6500000000000001E-2</v>
          </cell>
          <cell r="Y1294">
            <v>1.7899999999999999E-2</v>
          </cell>
          <cell r="Z1294">
            <v>1.8799999999999997E-2</v>
          </cell>
          <cell r="AA1294">
            <v>1.985E-2</v>
          </cell>
          <cell r="AB1294">
            <v>2.1499999999999998E-2</v>
          </cell>
          <cell r="AC1294">
            <v>2.3499999999999997E-2</v>
          </cell>
        </row>
        <row r="1295">
          <cell r="T1295">
            <v>38595</v>
          </cell>
          <cell r="U1295">
            <v>1.3428000000000001E-2</v>
          </cell>
          <cell r="V1295">
            <v>1.4055999999999999E-2</v>
          </cell>
          <cell r="W1295">
            <v>1.52E-2</v>
          </cell>
          <cell r="X1295">
            <v>1.6549999999999999E-2</v>
          </cell>
          <cell r="Y1295">
            <v>1.7899999999999999E-2</v>
          </cell>
          <cell r="Z1295">
            <v>1.8799999999999997E-2</v>
          </cell>
          <cell r="AA1295">
            <v>1.9900000000000001E-2</v>
          </cell>
          <cell r="AB1295">
            <v>2.1499999999999998E-2</v>
          </cell>
          <cell r="AC1295">
            <v>2.3499999999999997E-2</v>
          </cell>
        </row>
        <row r="1296">
          <cell r="T1296">
            <v>38594</v>
          </cell>
          <cell r="U1296">
            <v>1.3557999999999999E-2</v>
          </cell>
          <cell r="V1296">
            <v>1.4282999999999999E-2</v>
          </cell>
          <cell r="W1296">
            <v>1.52E-2</v>
          </cell>
          <cell r="X1296">
            <v>1.67E-2</v>
          </cell>
          <cell r="Y1296">
            <v>1.8149999999999999E-2</v>
          </cell>
          <cell r="Z1296">
            <v>1.915E-2</v>
          </cell>
          <cell r="AA1296">
            <v>2.0250000000000001E-2</v>
          </cell>
          <cell r="AB1296">
            <v>2.215E-2</v>
          </cell>
          <cell r="AC1296">
            <v>2.4000000000000004E-2</v>
          </cell>
        </row>
        <row r="1297">
          <cell r="T1297">
            <v>38593</v>
          </cell>
          <cell r="U1297">
            <v>1.3517999999999999E-2</v>
          </cell>
          <cell r="V1297">
            <v>1.423E-2</v>
          </cell>
          <cell r="W1297">
            <v>1.5100000000000001E-2</v>
          </cell>
          <cell r="X1297">
            <v>1.66E-2</v>
          </cell>
          <cell r="Y1297">
            <v>1.8100000000000002E-2</v>
          </cell>
          <cell r="Z1297">
            <v>1.9049999999999997E-2</v>
          </cell>
          <cell r="AA1297">
            <v>2.0099999999999996E-2</v>
          </cell>
          <cell r="AB1297">
            <v>2.1950000000000004E-2</v>
          </cell>
          <cell r="AC1297">
            <v>2.41E-2</v>
          </cell>
        </row>
        <row r="1298">
          <cell r="T1298">
            <v>38592</v>
          </cell>
          <cell r="U1298">
            <v>1.3503000000000001E-2</v>
          </cell>
          <cell r="V1298">
            <v>1.4194E-2</v>
          </cell>
          <cell r="W1298">
            <v>1.4999999999999999E-2</v>
          </cell>
          <cell r="X1298">
            <v>1.67E-2</v>
          </cell>
          <cell r="Y1298">
            <v>1.8250000000000002E-2</v>
          </cell>
          <cell r="Z1298">
            <v>1.9349999999999999E-2</v>
          </cell>
          <cell r="AA1298">
            <v>2.0449999999999999E-2</v>
          </cell>
          <cell r="AB1298">
            <v>2.2349999999999998E-2</v>
          </cell>
          <cell r="AC1298">
            <v>2.4399999999999998E-2</v>
          </cell>
        </row>
        <row r="1299">
          <cell r="T1299">
            <v>38591</v>
          </cell>
          <cell r="U1299">
            <v>1.3503000000000001E-2</v>
          </cell>
          <cell r="V1299">
            <v>1.4194E-2</v>
          </cell>
          <cell r="W1299">
            <v>1.4999999999999999E-2</v>
          </cell>
          <cell r="X1299">
            <v>1.67E-2</v>
          </cell>
          <cell r="Y1299">
            <v>1.8250000000000002E-2</v>
          </cell>
          <cell r="Z1299">
            <v>1.9349999999999999E-2</v>
          </cell>
          <cell r="AA1299">
            <v>2.0449999999999999E-2</v>
          </cell>
          <cell r="AB1299">
            <v>2.2349999999999998E-2</v>
          </cell>
          <cell r="AC1299">
            <v>2.4399999999999998E-2</v>
          </cell>
        </row>
        <row r="1300">
          <cell r="T1300">
            <v>38590</v>
          </cell>
          <cell r="U1300">
            <v>1.3503000000000001E-2</v>
          </cell>
          <cell r="V1300">
            <v>1.4194E-2</v>
          </cell>
          <cell r="W1300">
            <v>1.4999999999999999E-2</v>
          </cell>
          <cell r="X1300">
            <v>1.67E-2</v>
          </cell>
          <cell r="Y1300">
            <v>1.8250000000000002E-2</v>
          </cell>
          <cell r="Z1300">
            <v>1.9349999999999999E-2</v>
          </cell>
          <cell r="AA1300">
            <v>2.0449999999999999E-2</v>
          </cell>
          <cell r="AB1300">
            <v>2.2349999999999998E-2</v>
          </cell>
          <cell r="AC1300">
            <v>2.4399999999999998E-2</v>
          </cell>
        </row>
        <row r="1301">
          <cell r="T1301">
            <v>38589</v>
          </cell>
          <cell r="U1301">
            <v>1.3503000000000001E-2</v>
          </cell>
          <cell r="V1301">
            <v>1.4228000000000001E-2</v>
          </cell>
          <cell r="W1301">
            <v>1.5150000000000002E-2</v>
          </cell>
          <cell r="X1301">
            <v>1.66E-2</v>
          </cell>
          <cell r="Y1301">
            <v>1.83E-2</v>
          </cell>
          <cell r="Z1301">
            <v>1.9400000000000001E-2</v>
          </cell>
          <cell r="AA1301">
            <v>2.0400000000000001E-2</v>
          </cell>
          <cell r="AB1301">
            <v>2.2400000000000003E-2</v>
          </cell>
          <cell r="AC1301">
            <v>2.4400000000000005E-2</v>
          </cell>
        </row>
        <row r="1302">
          <cell r="T1302">
            <v>38588</v>
          </cell>
          <cell r="U1302">
            <v>1.3597E-2</v>
          </cell>
          <cell r="V1302">
            <v>1.4319E-2</v>
          </cell>
          <cell r="W1302">
            <v>1.5150000000000002E-2</v>
          </cell>
          <cell r="X1302">
            <v>1.66E-2</v>
          </cell>
          <cell r="Y1302">
            <v>1.83E-2</v>
          </cell>
          <cell r="Z1302">
            <v>1.9400000000000001E-2</v>
          </cell>
          <cell r="AA1302">
            <v>2.0400000000000001E-2</v>
          </cell>
          <cell r="AB1302">
            <v>2.2499999999999999E-2</v>
          </cell>
          <cell r="AC1302">
            <v>2.4400000000000005E-2</v>
          </cell>
        </row>
        <row r="1303">
          <cell r="T1303">
            <v>38587</v>
          </cell>
          <cell r="U1303">
            <v>1.3503000000000001E-2</v>
          </cell>
          <cell r="V1303">
            <v>1.4228000000000001E-2</v>
          </cell>
          <cell r="W1303">
            <v>1.5350000000000001E-2</v>
          </cell>
          <cell r="X1303">
            <v>1.6799999999999999E-2</v>
          </cell>
          <cell r="Y1303">
            <v>1.8349999999999998E-2</v>
          </cell>
          <cell r="Z1303">
            <v>1.95E-2</v>
          </cell>
          <cell r="AA1303">
            <v>2.0599999999999997E-2</v>
          </cell>
          <cell r="AB1303">
            <v>2.2450000000000001E-2</v>
          </cell>
          <cell r="AC1303">
            <v>2.4400000000000005E-2</v>
          </cell>
        </row>
        <row r="1304">
          <cell r="T1304">
            <v>38586</v>
          </cell>
          <cell r="U1304">
            <v>1.3533E-2</v>
          </cell>
          <cell r="V1304">
            <v>1.4282999999999999E-2</v>
          </cell>
          <cell r="W1304">
            <v>1.4999999999999999E-2</v>
          </cell>
          <cell r="X1304">
            <v>1.67E-2</v>
          </cell>
          <cell r="Y1304">
            <v>1.8200000000000001E-2</v>
          </cell>
          <cell r="Z1304">
            <v>1.9400000000000001E-2</v>
          </cell>
          <cell r="AA1304">
            <v>2.0499999999999997E-2</v>
          </cell>
          <cell r="AB1304">
            <v>2.2450000000000001E-2</v>
          </cell>
          <cell r="AC1304">
            <v>2.41E-2</v>
          </cell>
        </row>
        <row r="1305">
          <cell r="T1305">
            <v>38585</v>
          </cell>
          <cell r="U1305">
            <v>1.3557999999999999E-2</v>
          </cell>
          <cell r="V1305">
            <v>1.4282999999999999E-2</v>
          </cell>
          <cell r="W1305">
            <v>1.52E-2</v>
          </cell>
          <cell r="X1305">
            <v>1.66E-2</v>
          </cell>
          <cell r="Y1305">
            <v>1.8149999999999999E-2</v>
          </cell>
          <cell r="Z1305">
            <v>1.9299999999999998E-2</v>
          </cell>
          <cell r="AA1305">
            <v>2.035E-2</v>
          </cell>
          <cell r="AB1305">
            <v>2.2250000000000002E-2</v>
          </cell>
          <cell r="AC1305">
            <v>2.4299999999999999E-2</v>
          </cell>
        </row>
        <row r="1306">
          <cell r="T1306">
            <v>38584</v>
          </cell>
          <cell r="U1306">
            <v>1.3557999999999999E-2</v>
          </cell>
          <cell r="V1306">
            <v>1.4282999999999999E-2</v>
          </cell>
          <cell r="W1306">
            <v>1.52E-2</v>
          </cell>
          <cell r="X1306">
            <v>1.66E-2</v>
          </cell>
          <cell r="Y1306">
            <v>1.8149999999999999E-2</v>
          </cell>
          <cell r="Z1306">
            <v>1.9299999999999998E-2</v>
          </cell>
          <cell r="AA1306">
            <v>2.035E-2</v>
          </cell>
          <cell r="AB1306">
            <v>2.2250000000000002E-2</v>
          </cell>
          <cell r="AC1306">
            <v>2.4299999999999999E-2</v>
          </cell>
        </row>
        <row r="1307">
          <cell r="T1307">
            <v>38583</v>
          </cell>
          <cell r="U1307">
            <v>1.3557999999999999E-2</v>
          </cell>
          <cell r="V1307">
            <v>1.4282999999999999E-2</v>
          </cell>
          <cell r="W1307">
            <v>1.52E-2</v>
          </cell>
          <cell r="X1307">
            <v>1.66E-2</v>
          </cell>
          <cell r="Y1307">
            <v>1.8149999999999999E-2</v>
          </cell>
          <cell r="Z1307">
            <v>1.9299999999999998E-2</v>
          </cell>
          <cell r="AA1307">
            <v>2.035E-2</v>
          </cell>
          <cell r="AB1307">
            <v>2.2250000000000002E-2</v>
          </cell>
          <cell r="AC1307">
            <v>2.4299999999999999E-2</v>
          </cell>
        </row>
        <row r="1308">
          <cell r="T1308">
            <v>38582</v>
          </cell>
          <cell r="U1308">
            <v>1.3527000000000001E-2</v>
          </cell>
          <cell r="V1308">
            <v>1.4205000000000001E-2</v>
          </cell>
          <cell r="W1308">
            <v>1.5150000000000002E-2</v>
          </cell>
          <cell r="X1308">
            <v>1.66E-2</v>
          </cell>
          <cell r="Y1308">
            <v>1.83E-2</v>
          </cell>
          <cell r="Z1308">
            <v>1.9299999999999998E-2</v>
          </cell>
          <cell r="AA1308">
            <v>2.0299999999999999E-2</v>
          </cell>
          <cell r="AB1308">
            <v>2.2250000000000002E-2</v>
          </cell>
          <cell r="AC1308">
            <v>2.4299999999999999E-2</v>
          </cell>
        </row>
        <row r="1309">
          <cell r="T1309">
            <v>38581</v>
          </cell>
          <cell r="U1309">
            <v>1.3474999999999999E-2</v>
          </cell>
          <cell r="V1309">
            <v>1.4133E-2</v>
          </cell>
          <cell r="W1309">
            <v>1.5150000000000002E-2</v>
          </cell>
          <cell r="X1309">
            <v>1.66E-2</v>
          </cell>
          <cell r="Y1309">
            <v>1.83E-2</v>
          </cell>
          <cell r="Z1309">
            <v>1.9199999999999998E-2</v>
          </cell>
          <cell r="AA1309">
            <v>2.0299999999999999E-2</v>
          </cell>
          <cell r="AB1309">
            <v>2.2499999999999999E-2</v>
          </cell>
          <cell r="AC1309">
            <v>2.4299999999999999E-2</v>
          </cell>
        </row>
        <row r="1310">
          <cell r="T1310">
            <v>38580</v>
          </cell>
          <cell r="U1310">
            <v>1.3503000000000001E-2</v>
          </cell>
          <cell r="V1310">
            <v>1.4194E-2</v>
          </cell>
          <cell r="W1310">
            <v>1.5100000000000001E-2</v>
          </cell>
          <cell r="X1310">
            <v>1.6650000000000002E-2</v>
          </cell>
          <cell r="Y1310">
            <v>1.8200000000000001E-2</v>
          </cell>
          <cell r="Z1310">
            <v>1.9400000000000001E-2</v>
          </cell>
          <cell r="AA1310">
            <v>2.0499999999999997E-2</v>
          </cell>
          <cell r="AB1310">
            <v>2.2400000000000003E-2</v>
          </cell>
          <cell r="AC1310">
            <v>2.4500000000000001E-2</v>
          </cell>
        </row>
        <row r="1311">
          <cell r="T1311">
            <v>38579</v>
          </cell>
          <cell r="U1311">
            <v>1.3557999999999999E-2</v>
          </cell>
          <cell r="V1311">
            <v>1.4228000000000001E-2</v>
          </cell>
          <cell r="W1311">
            <v>1.52E-2</v>
          </cell>
          <cell r="X1311">
            <v>1.67E-2</v>
          </cell>
          <cell r="Y1311">
            <v>1.8250000000000002E-2</v>
          </cell>
          <cell r="Z1311">
            <v>1.95E-2</v>
          </cell>
          <cell r="AA1311">
            <v>2.0599999999999997E-2</v>
          </cell>
          <cell r="AB1311">
            <v>2.2550000000000001E-2</v>
          </cell>
          <cell r="AC1311">
            <v>2.46E-2</v>
          </cell>
        </row>
        <row r="1312">
          <cell r="T1312">
            <v>38578</v>
          </cell>
          <cell r="U1312">
            <v>1.3597E-2</v>
          </cell>
          <cell r="V1312">
            <v>1.4256E-2</v>
          </cell>
          <cell r="W1312">
            <v>1.52E-2</v>
          </cell>
          <cell r="X1312">
            <v>1.6749999999999998E-2</v>
          </cell>
          <cell r="Y1312">
            <v>1.8450000000000001E-2</v>
          </cell>
          <cell r="Z1312">
            <v>1.9649999999999997E-2</v>
          </cell>
          <cell r="AA1312">
            <v>2.0750000000000001E-2</v>
          </cell>
          <cell r="AB1312">
            <v>2.265E-2</v>
          </cell>
          <cell r="AC1312">
            <v>2.4699999999999996E-2</v>
          </cell>
        </row>
        <row r="1313">
          <cell r="T1313">
            <v>38577</v>
          </cell>
          <cell r="U1313">
            <v>1.3597E-2</v>
          </cell>
          <cell r="V1313">
            <v>1.4256E-2</v>
          </cell>
          <cell r="W1313">
            <v>1.52E-2</v>
          </cell>
          <cell r="X1313">
            <v>1.6749999999999998E-2</v>
          </cell>
          <cell r="Y1313">
            <v>1.8450000000000001E-2</v>
          </cell>
          <cell r="Z1313">
            <v>1.9649999999999997E-2</v>
          </cell>
          <cell r="AA1313">
            <v>2.0750000000000001E-2</v>
          </cell>
          <cell r="AB1313">
            <v>2.265E-2</v>
          </cell>
          <cell r="AC1313">
            <v>2.4699999999999996E-2</v>
          </cell>
        </row>
        <row r="1314">
          <cell r="T1314">
            <v>38576</v>
          </cell>
          <cell r="U1314">
            <v>1.3597E-2</v>
          </cell>
          <cell r="V1314">
            <v>1.4256E-2</v>
          </cell>
          <cell r="W1314">
            <v>1.52E-2</v>
          </cell>
          <cell r="X1314">
            <v>1.6749999999999998E-2</v>
          </cell>
          <cell r="Y1314">
            <v>1.8450000000000001E-2</v>
          </cell>
          <cell r="Z1314">
            <v>1.9649999999999997E-2</v>
          </cell>
          <cell r="AA1314">
            <v>2.0750000000000001E-2</v>
          </cell>
          <cell r="AB1314">
            <v>2.265E-2</v>
          </cell>
          <cell r="AC1314">
            <v>2.4699999999999996E-2</v>
          </cell>
        </row>
        <row r="1315">
          <cell r="T1315">
            <v>38575</v>
          </cell>
          <cell r="U1315">
            <v>1.3597E-2</v>
          </cell>
          <cell r="V1315">
            <v>1.4256E-2</v>
          </cell>
          <cell r="W1315">
            <v>1.52E-2</v>
          </cell>
          <cell r="X1315">
            <v>1.685E-2</v>
          </cell>
          <cell r="Y1315">
            <v>1.8550000000000001E-2</v>
          </cell>
          <cell r="Z1315">
            <v>1.9699999999999999E-2</v>
          </cell>
          <cell r="AA1315">
            <v>2.0799999999999999E-2</v>
          </cell>
          <cell r="AB1315">
            <v>2.2749999999999999E-2</v>
          </cell>
          <cell r="AC1315">
            <v>2.4799999999999999E-2</v>
          </cell>
        </row>
        <row r="1316">
          <cell r="T1316">
            <v>38574</v>
          </cell>
          <cell r="U1316">
            <v>1.3557999999999999E-2</v>
          </cell>
          <cell r="V1316">
            <v>1.4228000000000001E-2</v>
          </cell>
          <cell r="W1316">
            <v>1.4999999999999999E-2</v>
          </cell>
          <cell r="X1316">
            <v>1.67E-2</v>
          </cell>
          <cell r="Y1316">
            <v>1.84E-2</v>
          </cell>
          <cell r="Z1316">
            <v>1.9599999999999999E-2</v>
          </cell>
          <cell r="AA1316">
            <v>2.0649999999999998E-2</v>
          </cell>
          <cell r="AB1316">
            <v>2.265E-2</v>
          </cell>
          <cell r="AC1316">
            <v>2.4699999999999996E-2</v>
          </cell>
        </row>
        <row r="1317">
          <cell r="T1317">
            <v>38573</v>
          </cell>
          <cell r="U1317">
            <v>1.3517999999999999E-2</v>
          </cell>
          <cell r="V1317">
            <v>1.418E-2</v>
          </cell>
          <cell r="W1317">
            <v>1.5300000000000001E-2</v>
          </cell>
          <cell r="X1317">
            <v>1.6749999999999998E-2</v>
          </cell>
          <cell r="Y1317">
            <v>1.8500000000000003E-2</v>
          </cell>
          <cell r="Z1317">
            <v>1.975E-2</v>
          </cell>
          <cell r="AA1317">
            <v>2.0750000000000001E-2</v>
          </cell>
          <cell r="AB1317">
            <v>2.2749999999999999E-2</v>
          </cell>
          <cell r="AC1317">
            <v>2.4799999999999999E-2</v>
          </cell>
        </row>
        <row r="1318">
          <cell r="T1318">
            <v>38572</v>
          </cell>
          <cell r="U1318">
            <v>1.3517999999999999E-2</v>
          </cell>
          <cell r="V1318">
            <v>1.418E-2</v>
          </cell>
          <cell r="W1318">
            <v>1.5150000000000002E-2</v>
          </cell>
          <cell r="X1318">
            <v>1.67E-2</v>
          </cell>
          <cell r="Y1318">
            <v>1.8349999999999998E-2</v>
          </cell>
          <cell r="Z1318">
            <v>1.925E-2</v>
          </cell>
          <cell r="AA1318">
            <v>2.0750000000000001E-2</v>
          </cell>
          <cell r="AB1318">
            <v>2.2250000000000002E-2</v>
          </cell>
          <cell r="AC1318">
            <v>2.4799999999999999E-2</v>
          </cell>
        </row>
        <row r="1319">
          <cell r="T1319">
            <v>38571</v>
          </cell>
          <cell r="U1319">
            <v>1.3581000000000001E-2</v>
          </cell>
          <cell r="V1319">
            <v>1.4256E-2</v>
          </cell>
          <cell r="W1319">
            <v>1.4999999999999999E-2</v>
          </cell>
          <cell r="X1319">
            <v>1.66E-2</v>
          </cell>
          <cell r="Y1319">
            <v>1.8149999999999999E-2</v>
          </cell>
          <cell r="Z1319">
            <v>1.9449999999999999E-2</v>
          </cell>
          <cell r="AA1319">
            <v>2.0449999999999999E-2</v>
          </cell>
          <cell r="AB1319">
            <v>2.2250000000000002E-2</v>
          </cell>
          <cell r="AC1319">
            <v>2.4199999999999999E-2</v>
          </cell>
        </row>
        <row r="1320">
          <cell r="T1320">
            <v>38570</v>
          </cell>
          <cell r="U1320">
            <v>1.3581000000000001E-2</v>
          </cell>
          <cell r="V1320">
            <v>1.4256E-2</v>
          </cell>
          <cell r="W1320">
            <v>1.4999999999999999E-2</v>
          </cell>
          <cell r="X1320">
            <v>1.66E-2</v>
          </cell>
          <cell r="Y1320">
            <v>1.8149999999999999E-2</v>
          </cell>
          <cell r="Z1320">
            <v>1.9449999999999999E-2</v>
          </cell>
          <cell r="AA1320">
            <v>2.0449999999999999E-2</v>
          </cell>
          <cell r="AB1320">
            <v>2.2250000000000002E-2</v>
          </cell>
          <cell r="AC1320">
            <v>2.4199999999999999E-2</v>
          </cell>
        </row>
        <row r="1321">
          <cell r="T1321">
            <v>38569</v>
          </cell>
          <cell r="U1321">
            <v>1.3581000000000001E-2</v>
          </cell>
          <cell r="V1321">
            <v>1.4256E-2</v>
          </cell>
          <cell r="W1321">
            <v>1.4999999999999999E-2</v>
          </cell>
          <cell r="X1321">
            <v>1.66E-2</v>
          </cell>
          <cell r="Y1321">
            <v>1.8149999999999999E-2</v>
          </cell>
          <cell r="Z1321">
            <v>1.9449999999999999E-2</v>
          </cell>
          <cell r="AA1321">
            <v>2.0449999999999999E-2</v>
          </cell>
          <cell r="AB1321">
            <v>2.2250000000000002E-2</v>
          </cell>
          <cell r="AC1321">
            <v>2.4199999999999999E-2</v>
          </cell>
        </row>
        <row r="1322">
          <cell r="T1322">
            <v>38568</v>
          </cell>
          <cell r="U1322">
            <v>1.3581000000000001E-2</v>
          </cell>
          <cell r="V1322">
            <v>1.4256E-2</v>
          </cell>
          <cell r="W1322">
            <v>1.5100000000000001E-2</v>
          </cell>
          <cell r="X1322">
            <v>1.67E-2</v>
          </cell>
          <cell r="Y1322">
            <v>1.8000000000000002E-2</v>
          </cell>
          <cell r="Z1322">
            <v>1.9449999999999999E-2</v>
          </cell>
          <cell r="AA1322">
            <v>2.0449999999999999E-2</v>
          </cell>
          <cell r="AB1322">
            <v>2.2250000000000002E-2</v>
          </cell>
          <cell r="AC1322">
            <v>2.4199999999999999E-2</v>
          </cell>
        </row>
        <row r="1323">
          <cell r="T1323">
            <v>38567</v>
          </cell>
          <cell r="U1323">
            <v>1.3713999999999999E-2</v>
          </cell>
          <cell r="V1323">
            <v>1.4429000000000001E-2</v>
          </cell>
          <cell r="W1323">
            <v>1.4999999999999999E-2</v>
          </cell>
          <cell r="X1323">
            <v>1.6650000000000002E-2</v>
          </cell>
          <cell r="Y1323">
            <v>1.8149999999999999E-2</v>
          </cell>
          <cell r="Z1323">
            <v>1.9449999999999999E-2</v>
          </cell>
          <cell r="AA1323">
            <v>2.0449999999999999E-2</v>
          </cell>
          <cell r="AB1323">
            <v>2.2250000000000002E-2</v>
          </cell>
          <cell r="AC1323">
            <v>2.4249999999999997E-2</v>
          </cell>
        </row>
        <row r="1324">
          <cell r="T1324">
            <v>38566</v>
          </cell>
          <cell r="U1324">
            <v>1.3557999999999999E-2</v>
          </cell>
          <cell r="V1324">
            <v>1.4228000000000001E-2</v>
          </cell>
          <cell r="W1324">
            <v>1.49E-2</v>
          </cell>
          <cell r="X1324">
            <v>1.66E-2</v>
          </cell>
          <cell r="Y1324">
            <v>1.8100000000000002E-2</v>
          </cell>
          <cell r="Z1324">
            <v>1.9400000000000001E-2</v>
          </cell>
          <cell r="AA1324">
            <v>2.0449999999999999E-2</v>
          </cell>
          <cell r="AB1324">
            <v>2.23E-2</v>
          </cell>
          <cell r="AC1324">
            <v>2.4249999999999997E-2</v>
          </cell>
        </row>
        <row r="1325">
          <cell r="T1325">
            <v>38565</v>
          </cell>
          <cell r="U1325">
            <v>1.3517999999999999E-2</v>
          </cell>
          <cell r="V1325">
            <v>1.418E-2</v>
          </cell>
          <cell r="W1325">
            <v>1.4950000000000001E-2</v>
          </cell>
          <cell r="X1325">
            <v>1.6500000000000001E-2</v>
          </cell>
          <cell r="Y1325">
            <v>1.8149999999999999E-2</v>
          </cell>
          <cell r="Z1325">
            <v>1.9299999999999998E-2</v>
          </cell>
          <cell r="AA1325">
            <v>2.0449999999999999E-2</v>
          </cell>
          <cell r="AB1325">
            <v>2.2349999999999998E-2</v>
          </cell>
          <cell r="AC1325">
            <v>2.4500000000000001E-2</v>
          </cell>
        </row>
        <row r="1326">
          <cell r="T1326">
            <v>38564</v>
          </cell>
          <cell r="U1326">
            <v>1.3627999999999999E-2</v>
          </cell>
          <cell r="V1326">
            <v>1.4338999999999999E-2</v>
          </cell>
          <cell r="W1326">
            <v>1.4800000000000001E-2</v>
          </cell>
          <cell r="X1326">
            <v>1.6449999999999999E-2</v>
          </cell>
          <cell r="Y1326">
            <v>1.8000000000000002E-2</v>
          </cell>
          <cell r="Z1326">
            <v>1.9049999999999997E-2</v>
          </cell>
          <cell r="AA1326">
            <v>2.0199999999999996E-2</v>
          </cell>
          <cell r="AB1326">
            <v>2.2000000000000002E-2</v>
          </cell>
          <cell r="AC1326">
            <v>2.4000000000000004E-2</v>
          </cell>
        </row>
        <row r="1327">
          <cell r="T1327">
            <v>38563</v>
          </cell>
          <cell r="U1327">
            <v>1.3627999999999999E-2</v>
          </cell>
          <cell r="V1327">
            <v>1.4338999999999999E-2</v>
          </cell>
          <cell r="W1327">
            <v>1.4800000000000001E-2</v>
          </cell>
          <cell r="X1327">
            <v>1.6449999999999999E-2</v>
          </cell>
          <cell r="Y1327">
            <v>1.8000000000000002E-2</v>
          </cell>
          <cell r="Z1327">
            <v>1.9049999999999997E-2</v>
          </cell>
          <cell r="AA1327">
            <v>2.0199999999999996E-2</v>
          </cell>
          <cell r="AB1327">
            <v>2.2000000000000002E-2</v>
          </cell>
          <cell r="AC1327">
            <v>2.4000000000000004E-2</v>
          </cell>
        </row>
        <row r="1328">
          <cell r="T1328">
            <v>38562</v>
          </cell>
          <cell r="U1328">
            <v>1.3627999999999999E-2</v>
          </cell>
          <cell r="V1328">
            <v>1.4338999999999999E-2</v>
          </cell>
          <cell r="W1328">
            <v>1.4800000000000001E-2</v>
          </cell>
          <cell r="X1328">
            <v>1.6449999999999999E-2</v>
          </cell>
          <cell r="Y1328">
            <v>1.8000000000000002E-2</v>
          </cell>
          <cell r="Z1328">
            <v>1.9049999999999997E-2</v>
          </cell>
          <cell r="AA1328">
            <v>2.0199999999999996E-2</v>
          </cell>
          <cell r="AB1328">
            <v>2.2000000000000002E-2</v>
          </cell>
          <cell r="AC1328">
            <v>2.4000000000000004E-2</v>
          </cell>
        </row>
        <row r="1329">
          <cell r="T1329">
            <v>38561</v>
          </cell>
          <cell r="U1329">
            <v>1.3627999999999999E-2</v>
          </cell>
          <cell r="V1329">
            <v>1.4328E-2</v>
          </cell>
          <cell r="W1329">
            <v>1.47E-2</v>
          </cell>
          <cell r="X1329">
            <v>1.6500000000000001E-2</v>
          </cell>
          <cell r="Y1329">
            <v>1.8000000000000002E-2</v>
          </cell>
          <cell r="Z1329">
            <v>1.9199999999999998E-2</v>
          </cell>
          <cell r="AA1329">
            <v>2.0299999999999999E-2</v>
          </cell>
          <cell r="AB1329">
            <v>2.1899999999999999E-2</v>
          </cell>
          <cell r="AC1329">
            <v>2.4199999999999999E-2</v>
          </cell>
        </row>
        <row r="1330">
          <cell r="T1330">
            <v>38560</v>
          </cell>
          <cell r="U1330">
            <v>1.3607000000000001E-2</v>
          </cell>
          <cell r="V1330">
            <v>1.4256999999999999E-2</v>
          </cell>
          <cell r="W1330">
            <v>1.4800000000000001E-2</v>
          </cell>
          <cell r="X1330">
            <v>1.6500000000000001E-2</v>
          </cell>
          <cell r="Y1330">
            <v>1.7950000000000001E-2</v>
          </cell>
          <cell r="Z1330">
            <v>1.9099999999999999E-2</v>
          </cell>
          <cell r="AA1330">
            <v>2.0199999999999999E-2</v>
          </cell>
          <cell r="AB1330">
            <v>2.205E-2</v>
          </cell>
          <cell r="AC1330">
            <v>2.4299999999999999E-2</v>
          </cell>
        </row>
        <row r="1331">
          <cell r="T1331">
            <v>38559</v>
          </cell>
          <cell r="U1331">
            <v>1.3672E-2</v>
          </cell>
          <cell r="V1331">
            <v>1.4331E-2</v>
          </cell>
          <cell r="W1331">
            <v>1.47E-2</v>
          </cell>
          <cell r="X1331">
            <v>1.6399999999999998E-2</v>
          </cell>
          <cell r="Y1331">
            <v>1.7899999999999999E-2</v>
          </cell>
          <cell r="Z1331">
            <v>1.9E-2</v>
          </cell>
          <cell r="AA1331">
            <v>2.0099999999999996E-2</v>
          </cell>
          <cell r="AB1331">
            <v>2.2099999999999998E-2</v>
          </cell>
          <cell r="AC1331">
            <v>2.4299999999999999E-2</v>
          </cell>
        </row>
        <row r="1332">
          <cell r="T1332">
            <v>38558</v>
          </cell>
          <cell r="U1332">
            <v>1.3533999999999999E-2</v>
          </cell>
          <cell r="V1332">
            <v>1.4194E-2</v>
          </cell>
          <cell r="W1332">
            <v>1.4750000000000001E-2</v>
          </cell>
          <cell r="X1332">
            <v>1.6399999999999998E-2</v>
          </cell>
          <cell r="Y1332">
            <v>1.7950000000000001E-2</v>
          </cell>
          <cell r="Z1332">
            <v>1.9049999999999997E-2</v>
          </cell>
          <cell r="AA1332">
            <v>2.0250000000000001E-2</v>
          </cell>
          <cell r="AB1332">
            <v>2.215E-2</v>
          </cell>
          <cell r="AC1332">
            <v>2.4400000000000005E-2</v>
          </cell>
        </row>
        <row r="1333">
          <cell r="T1333">
            <v>38557</v>
          </cell>
          <cell r="U1333">
            <v>1.3597E-2</v>
          </cell>
          <cell r="V1333">
            <v>1.4244000000000001E-2</v>
          </cell>
          <cell r="W1333">
            <v>1.4750000000000001E-2</v>
          </cell>
          <cell r="X1333">
            <v>1.6500000000000001E-2</v>
          </cell>
          <cell r="Y1333">
            <v>1.805E-2</v>
          </cell>
          <cell r="Z1333">
            <v>1.915E-2</v>
          </cell>
          <cell r="AA1333">
            <v>2.035E-2</v>
          </cell>
          <cell r="AB1333">
            <v>2.2250000000000002E-2</v>
          </cell>
          <cell r="AC1333">
            <v>2.4500000000000001E-2</v>
          </cell>
        </row>
        <row r="1334">
          <cell r="T1334">
            <v>38556</v>
          </cell>
          <cell r="U1334">
            <v>1.3597E-2</v>
          </cell>
          <cell r="V1334">
            <v>1.4244000000000001E-2</v>
          </cell>
          <cell r="W1334">
            <v>1.4750000000000001E-2</v>
          </cell>
          <cell r="X1334">
            <v>1.6500000000000001E-2</v>
          </cell>
          <cell r="Y1334">
            <v>1.805E-2</v>
          </cell>
          <cell r="Z1334">
            <v>1.915E-2</v>
          </cell>
          <cell r="AA1334">
            <v>2.035E-2</v>
          </cell>
          <cell r="AB1334">
            <v>2.2250000000000002E-2</v>
          </cell>
          <cell r="AC1334">
            <v>2.4500000000000001E-2</v>
          </cell>
        </row>
        <row r="1335">
          <cell r="T1335">
            <v>38555</v>
          </cell>
          <cell r="U1335">
            <v>1.3597E-2</v>
          </cell>
          <cell r="V1335">
            <v>1.4244000000000001E-2</v>
          </cell>
          <cell r="W1335">
            <v>1.4750000000000001E-2</v>
          </cell>
          <cell r="X1335">
            <v>1.6500000000000001E-2</v>
          </cell>
          <cell r="Y1335">
            <v>1.805E-2</v>
          </cell>
          <cell r="Z1335">
            <v>1.915E-2</v>
          </cell>
          <cell r="AA1335">
            <v>2.035E-2</v>
          </cell>
          <cell r="AB1335">
            <v>2.2250000000000002E-2</v>
          </cell>
          <cell r="AC1335">
            <v>2.4500000000000001E-2</v>
          </cell>
        </row>
        <row r="1336">
          <cell r="T1336">
            <v>38554</v>
          </cell>
          <cell r="U1336">
            <v>1.3597E-2</v>
          </cell>
          <cell r="V1336">
            <v>1.4244000000000001E-2</v>
          </cell>
          <cell r="W1336">
            <v>1.47E-2</v>
          </cell>
          <cell r="X1336">
            <v>1.6500000000000001E-2</v>
          </cell>
          <cell r="Y1336">
            <v>1.8100000000000002E-2</v>
          </cell>
          <cell r="Z1336">
            <v>1.9400000000000001E-2</v>
          </cell>
          <cell r="AA1336">
            <v>2.0400000000000001E-2</v>
          </cell>
          <cell r="AB1336">
            <v>2.2250000000000002E-2</v>
          </cell>
          <cell r="AC1336">
            <v>2.46E-2</v>
          </cell>
        </row>
        <row r="1337">
          <cell r="T1337">
            <v>38553</v>
          </cell>
          <cell r="U1337">
            <v>1.3597E-2</v>
          </cell>
          <cell r="V1337">
            <v>1.4256E-2</v>
          </cell>
          <cell r="W1337">
            <v>1.4750000000000001E-2</v>
          </cell>
          <cell r="X1337">
            <v>1.6449999999999999E-2</v>
          </cell>
          <cell r="Y1337">
            <v>1.8100000000000002E-2</v>
          </cell>
          <cell r="Z1337">
            <v>1.9400000000000001E-2</v>
          </cell>
          <cell r="AA1337">
            <v>2.0549999999999999E-2</v>
          </cell>
          <cell r="AB1337">
            <v>2.2550000000000001E-2</v>
          </cell>
          <cell r="AC1337">
            <v>2.4799999999999999E-2</v>
          </cell>
        </row>
        <row r="1338">
          <cell r="T1338">
            <v>38552</v>
          </cell>
          <cell r="U1338">
            <v>1.3571999999999999E-2</v>
          </cell>
          <cell r="V1338">
            <v>1.4311000000000001E-2</v>
          </cell>
          <cell r="W1338">
            <v>1.49E-2</v>
          </cell>
          <cell r="X1338">
            <v>1.6549999999999999E-2</v>
          </cell>
          <cell r="Y1338">
            <v>1.8250000000000002E-2</v>
          </cell>
          <cell r="Z1338">
            <v>1.9550000000000001E-2</v>
          </cell>
          <cell r="AA1338">
            <v>2.0649999999999998E-2</v>
          </cell>
          <cell r="AB1338">
            <v>2.2599999999999999E-2</v>
          </cell>
          <cell r="AC1338">
            <v>2.46E-2</v>
          </cell>
        </row>
        <row r="1339">
          <cell r="T1339">
            <v>38551</v>
          </cell>
          <cell r="U1339">
            <v>1.3566E-2</v>
          </cell>
          <cell r="V1339">
            <v>1.4256E-2</v>
          </cell>
          <cell r="W1339">
            <v>1.47E-2</v>
          </cell>
          <cell r="X1339">
            <v>1.6449999999999999E-2</v>
          </cell>
          <cell r="Y1339">
            <v>1.8200000000000001E-2</v>
          </cell>
          <cell r="Z1339">
            <v>1.9449999999999999E-2</v>
          </cell>
          <cell r="AA1339">
            <v>2.0649999999999998E-2</v>
          </cell>
          <cell r="AB1339">
            <v>2.2700000000000001E-2</v>
          </cell>
          <cell r="AC1339">
            <v>2.4750000000000001E-2</v>
          </cell>
        </row>
        <row r="1340">
          <cell r="T1340">
            <v>38550</v>
          </cell>
          <cell r="U1340">
            <v>1.3566E-2</v>
          </cell>
          <cell r="V1340">
            <v>1.4256E-2</v>
          </cell>
          <cell r="W1340">
            <v>1.47E-2</v>
          </cell>
          <cell r="X1340">
            <v>1.6449999999999999E-2</v>
          </cell>
          <cell r="Y1340">
            <v>1.8200000000000001E-2</v>
          </cell>
          <cell r="Z1340">
            <v>1.9449999999999999E-2</v>
          </cell>
          <cell r="AA1340">
            <v>2.0649999999999998E-2</v>
          </cell>
          <cell r="AB1340">
            <v>2.2700000000000001E-2</v>
          </cell>
          <cell r="AC1340">
            <v>2.4750000000000001E-2</v>
          </cell>
        </row>
        <row r="1341">
          <cell r="T1341">
            <v>38549</v>
          </cell>
          <cell r="U1341">
            <v>1.3566E-2</v>
          </cell>
          <cell r="V1341">
            <v>1.4256E-2</v>
          </cell>
          <cell r="W1341">
            <v>1.47E-2</v>
          </cell>
          <cell r="X1341">
            <v>1.6449999999999999E-2</v>
          </cell>
          <cell r="Y1341">
            <v>1.8200000000000001E-2</v>
          </cell>
          <cell r="Z1341">
            <v>1.9449999999999999E-2</v>
          </cell>
          <cell r="AA1341">
            <v>2.0649999999999998E-2</v>
          </cell>
          <cell r="AB1341">
            <v>2.2700000000000001E-2</v>
          </cell>
          <cell r="AC1341">
            <v>2.4750000000000001E-2</v>
          </cell>
        </row>
        <row r="1342">
          <cell r="T1342">
            <v>38548</v>
          </cell>
          <cell r="U1342">
            <v>1.3566E-2</v>
          </cell>
          <cell r="V1342">
            <v>1.4256E-2</v>
          </cell>
          <cell r="W1342">
            <v>1.47E-2</v>
          </cell>
          <cell r="X1342">
            <v>1.6449999999999999E-2</v>
          </cell>
          <cell r="Y1342">
            <v>1.8200000000000001E-2</v>
          </cell>
          <cell r="Z1342">
            <v>1.9449999999999999E-2</v>
          </cell>
          <cell r="AA1342">
            <v>2.0649999999999998E-2</v>
          </cell>
          <cell r="AB1342">
            <v>2.2700000000000001E-2</v>
          </cell>
          <cell r="AC1342">
            <v>2.4750000000000001E-2</v>
          </cell>
        </row>
        <row r="1343">
          <cell r="T1343">
            <v>38547</v>
          </cell>
          <cell r="U1343">
            <v>1.3566E-2</v>
          </cell>
          <cell r="V1343">
            <v>1.4261999999999999E-2</v>
          </cell>
          <cell r="W1343">
            <v>1.4800000000000001E-2</v>
          </cell>
          <cell r="X1343">
            <v>1.67E-2</v>
          </cell>
          <cell r="Y1343">
            <v>1.8200000000000001E-2</v>
          </cell>
          <cell r="Z1343">
            <v>1.9699999999999999E-2</v>
          </cell>
          <cell r="AA1343">
            <v>2.07E-2</v>
          </cell>
          <cell r="AB1343">
            <v>2.2700000000000001E-2</v>
          </cell>
          <cell r="AC1343">
            <v>2.4799999999999999E-2</v>
          </cell>
        </row>
        <row r="1344">
          <cell r="T1344">
            <v>38546</v>
          </cell>
          <cell r="U1344">
            <v>1.3566E-2</v>
          </cell>
          <cell r="V1344">
            <v>1.4274999999999999E-2</v>
          </cell>
          <cell r="W1344">
            <v>1.47E-2</v>
          </cell>
          <cell r="X1344">
            <v>1.66E-2</v>
          </cell>
          <cell r="Y1344">
            <v>1.8200000000000001E-2</v>
          </cell>
          <cell r="Z1344">
            <v>1.9599999999999999E-2</v>
          </cell>
          <cell r="AA1344">
            <v>2.07E-2</v>
          </cell>
          <cell r="AB1344">
            <v>2.2800000000000001E-2</v>
          </cell>
          <cell r="AC1344">
            <v>2.5000000000000001E-2</v>
          </cell>
        </row>
        <row r="1345">
          <cell r="T1345">
            <v>38545</v>
          </cell>
          <cell r="U1345">
            <v>1.3488999999999999E-2</v>
          </cell>
          <cell r="V1345">
            <v>1.4244000000000001E-2</v>
          </cell>
          <cell r="W1345">
            <v>1.4750000000000001E-2</v>
          </cell>
          <cell r="X1345">
            <v>1.6449999999999999E-2</v>
          </cell>
          <cell r="Y1345">
            <v>1.805E-2</v>
          </cell>
          <cell r="Z1345">
            <v>1.9349999999999999E-2</v>
          </cell>
          <cell r="AA1345">
            <v>2.0649999999999998E-2</v>
          </cell>
          <cell r="AB1345">
            <v>2.2599999999999999E-2</v>
          </cell>
          <cell r="AC1345">
            <v>2.4750000000000001E-2</v>
          </cell>
        </row>
        <row r="1346">
          <cell r="T1346">
            <v>38544</v>
          </cell>
          <cell r="U1346">
            <v>1.3603000000000001E-2</v>
          </cell>
          <cell r="V1346">
            <v>1.4343999999999999E-2</v>
          </cell>
          <cell r="W1346">
            <v>1.4649999999999998E-2</v>
          </cell>
          <cell r="X1346">
            <v>1.6399999999999998E-2</v>
          </cell>
          <cell r="Y1346">
            <v>1.8000000000000002E-2</v>
          </cell>
          <cell r="Z1346">
            <v>1.925E-2</v>
          </cell>
          <cell r="AA1346">
            <v>2.0499999999999997E-2</v>
          </cell>
          <cell r="AB1346">
            <v>2.2400000000000003E-2</v>
          </cell>
          <cell r="AC1346">
            <v>2.46E-2</v>
          </cell>
        </row>
        <row r="1347">
          <cell r="T1347">
            <v>38543</v>
          </cell>
          <cell r="U1347">
            <v>1.3459E-2</v>
          </cell>
          <cell r="V1347">
            <v>1.4150000000000001E-2</v>
          </cell>
          <cell r="W1347">
            <v>1.47E-2</v>
          </cell>
          <cell r="X1347">
            <v>1.6299999999999999E-2</v>
          </cell>
          <cell r="Y1347">
            <v>1.8000000000000002E-2</v>
          </cell>
          <cell r="Z1347">
            <v>1.9299999999999998E-2</v>
          </cell>
          <cell r="AA1347">
            <v>2.0400000000000001E-2</v>
          </cell>
          <cell r="AB1347">
            <v>2.2350000000000002E-2</v>
          </cell>
          <cell r="AC1347">
            <v>2.4500000000000001E-2</v>
          </cell>
        </row>
        <row r="1348">
          <cell r="T1348">
            <v>38542</v>
          </cell>
          <cell r="U1348">
            <v>1.3459E-2</v>
          </cell>
          <cell r="V1348">
            <v>1.4150000000000001E-2</v>
          </cell>
          <cell r="W1348">
            <v>1.47E-2</v>
          </cell>
          <cell r="X1348">
            <v>1.6299999999999999E-2</v>
          </cell>
          <cell r="Y1348">
            <v>1.8000000000000002E-2</v>
          </cell>
          <cell r="Z1348">
            <v>1.9299999999999998E-2</v>
          </cell>
          <cell r="AA1348">
            <v>2.0400000000000001E-2</v>
          </cell>
          <cell r="AB1348">
            <v>2.2350000000000002E-2</v>
          </cell>
          <cell r="AC1348">
            <v>2.4500000000000001E-2</v>
          </cell>
        </row>
        <row r="1349">
          <cell r="T1349">
            <v>38541</v>
          </cell>
          <cell r="U1349">
            <v>1.3459E-2</v>
          </cell>
          <cell r="V1349">
            <v>1.4150000000000001E-2</v>
          </cell>
          <cell r="W1349">
            <v>1.47E-2</v>
          </cell>
          <cell r="X1349">
            <v>1.6299999999999999E-2</v>
          </cell>
          <cell r="Y1349">
            <v>1.8000000000000002E-2</v>
          </cell>
          <cell r="Z1349">
            <v>1.9299999999999998E-2</v>
          </cell>
          <cell r="AA1349">
            <v>2.0400000000000001E-2</v>
          </cell>
          <cell r="AB1349">
            <v>2.2350000000000002E-2</v>
          </cell>
          <cell r="AC1349">
            <v>2.4500000000000001E-2</v>
          </cell>
        </row>
        <row r="1350">
          <cell r="T1350">
            <v>38540</v>
          </cell>
          <cell r="U1350">
            <v>1.3458000000000001E-2</v>
          </cell>
          <cell r="V1350">
            <v>1.4189E-2</v>
          </cell>
          <cell r="W1350">
            <v>1.4750000000000001E-2</v>
          </cell>
          <cell r="X1350">
            <v>1.635E-2</v>
          </cell>
          <cell r="Y1350">
            <v>1.8100000000000002E-2</v>
          </cell>
          <cell r="Z1350">
            <v>1.9349999999999999E-2</v>
          </cell>
          <cell r="AA1350">
            <v>2.0449999999999999E-2</v>
          </cell>
          <cell r="AB1350">
            <v>2.2400000000000003E-2</v>
          </cell>
          <cell r="AC1350">
            <v>2.4550000000000002E-2</v>
          </cell>
        </row>
        <row r="1351">
          <cell r="T1351">
            <v>38539</v>
          </cell>
          <cell r="U1351">
            <v>1.3459E-2</v>
          </cell>
          <cell r="V1351">
            <v>1.4150000000000001E-2</v>
          </cell>
          <cell r="W1351">
            <v>1.4750000000000001E-2</v>
          </cell>
          <cell r="X1351">
            <v>1.635E-2</v>
          </cell>
          <cell r="Y1351">
            <v>1.8100000000000002E-2</v>
          </cell>
          <cell r="Z1351">
            <v>1.9349999999999999E-2</v>
          </cell>
          <cell r="AA1351">
            <v>2.0449999999999999E-2</v>
          </cell>
          <cell r="AB1351">
            <v>2.2400000000000003E-2</v>
          </cell>
          <cell r="AC1351">
            <v>2.4550000000000002E-2</v>
          </cell>
        </row>
        <row r="1352">
          <cell r="T1352">
            <v>38538</v>
          </cell>
          <cell r="U1352">
            <v>1.3552999999999999E-2</v>
          </cell>
          <cell r="V1352">
            <v>1.4274999999999999E-2</v>
          </cell>
          <cell r="W1352">
            <v>1.4649999999999998E-2</v>
          </cell>
          <cell r="X1352">
            <v>1.635E-2</v>
          </cell>
          <cell r="Y1352">
            <v>1.805E-2</v>
          </cell>
          <cell r="Z1352">
            <v>1.925E-2</v>
          </cell>
          <cell r="AA1352">
            <v>2.0400000000000001E-2</v>
          </cell>
          <cell r="AB1352">
            <v>2.23E-2</v>
          </cell>
          <cell r="AC1352">
            <v>2.4450000000000003E-2</v>
          </cell>
        </row>
        <row r="1353">
          <cell r="T1353">
            <v>38537</v>
          </cell>
          <cell r="U1353">
            <v>1.3378000000000001E-2</v>
          </cell>
          <cell r="V1353">
            <v>1.4055999999999999E-2</v>
          </cell>
          <cell r="W1353">
            <v>1.4499999999999999E-2</v>
          </cell>
          <cell r="X1353">
            <v>1.6200000000000003E-2</v>
          </cell>
          <cell r="Y1353">
            <v>1.7899999999999999E-2</v>
          </cell>
          <cell r="Z1353">
            <v>1.9E-2</v>
          </cell>
          <cell r="AA1353">
            <v>2.0250000000000001E-2</v>
          </cell>
          <cell r="AB1353">
            <v>2.18E-2</v>
          </cell>
          <cell r="AC1353">
            <v>2.3799999999999998E-2</v>
          </cell>
        </row>
        <row r="1354">
          <cell r="T1354">
            <v>38536</v>
          </cell>
          <cell r="U1354">
            <v>1.3424999999999999E-2</v>
          </cell>
          <cell r="V1354">
            <v>1.4167000000000001E-2</v>
          </cell>
          <cell r="W1354">
            <v>1.4499999999999999E-2</v>
          </cell>
          <cell r="X1354">
            <v>1.6150000000000001E-2</v>
          </cell>
          <cell r="Y1354">
            <v>1.7650000000000002E-2</v>
          </cell>
          <cell r="Z1354">
            <v>1.8849999999999999E-2</v>
          </cell>
          <cell r="AA1354">
            <v>1.9899999999999998E-2</v>
          </cell>
          <cell r="AB1354">
            <v>2.1850000000000001E-2</v>
          </cell>
          <cell r="AC1354">
            <v>2.3799999999999998E-2</v>
          </cell>
        </row>
        <row r="1355">
          <cell r="T1355">
            <v>38535</v>
          </cell>
          <cell r="U1355">
            <v>1.3424999999999999E-2</v>
          </cell>
          <cell r="V1355">
            <v>1.4167000000000001E-2</v>
          </cell>
          <cell r="W1355">
            <v>1.4499999999999999E-2</v>
          </cell>
          <cell r="X1355">
            <v>1.6150000000000001E-2</v>
          </cell>
          <cell r="Y1355">
            <v>1.7650000000000002E-2</v>
          </cell>
          <cell r="Z1355">
            <v>1.8849999999999999E-2</v>
          </cell>
          <cell r="AA1355">
            <v>1.9899999999999998E-2</v>
          </cell>
          <cell r="AB1355">
            <v>2.1850000000000001E-2</v>
          </cell>
          <cell r="AC1355">
            <v>2.3799999999999998E-2</v>
          </cell>
        </row>
        <row r="1356">
          <cell r="T1356">
            <v>38534</v>
          </cell>
          <cell r="U1356">
            <v>1.3424999999999999E-2</v>
          </cell>
          <cell r="V1356">
            <v>1.4167000000000001E-2</v>
          </cell>
          <cell r="W1356">
            <v>1.4499999999999999E-2</v>
          </cell>
          <cell r="X1356">
            <v>1.6150000000000001E-2</v>
          </cell>
          <cell r="Y1356">
            <v>1.7650000000000002E-2</v>
          </cell>
          <cell r="Z1356">
            <v>1.8849999999999999E-2</v>
          </cell>
          <cell r="AA1356">
            <v>1.9899999999999998E-2</v>
          </cell>
          <cell r="AB1356">
            <v>2.1850000000000001E-2</v>
          </cell>
          <cell r="AC1356">
            <v>2.3799999999999998E-2</v>
          </cell>
        </row>
        <row r="1357">
          <cell r="T1357">
            <v>38533</v>
          </cell>
          <cell r="U1357">
            <v>1.3317000000000001E-2</v>
          </cell>
          <cell r="V1357">
            <v>1.3871E-2</v>
          </cell>
          <cell r="W1357">
            <v>1.4800000000000001E-2</v>
          </cell>
          <cell r="X1357">
            <v>1.66E-2</v>
          </cell>
          <cell r="Y1357">
            <v>1.7899999999999999E-2</v>
          </cell>
          <cell r="Z1357">
            <v>1.9E-2</v>
          </cell>
          <cell r="AA1357">
            <v>0.02</v>
          </cell>
          <cell r="AB1357">
            <v>2.1950000000000004E-2</v>
          </cell>
          <cell r="AC1357">
            <v>2.41E-2</v>
          </cell>
        </row>
        <row r="1358">
          <cell r="T1358">
            <v>38532</v>
          </cell>
          <cell r="U1358">
            <v>1.3125E-2</v>
          </cell>
          <cell r="V1358">
            <v>1.3547E-2</v>
          </cell>
          <cell r="W1358">
            <v>1.46E-2</v>
          </cell>
          <cell r="X1358">
            <v>1.635E-2</v>
          </cell>
          <cell r="Y1358">
            <v>1.8100000000000002E-2</v>
          </cell>
          <cell r="Z1358">
            <v>1.9199999999999998E-2</v>
          </cell>
          <cell r="AA1358">
            <v>2.0300000000000002E-2</v>
          </cell>
          <cell r="AB1358">
            <v>2.2099999999999998E-2</v>
          </cell>
          <cell r="AC1358">
            <v>2.4050000000000002E-2</v>
          </cell>
        </row>
        <row r="1359">
          <cell r="T1359">
            <v>38531</v>
          </cell>
          <cell r="U1359">
            <v>1.3062000000000001E-2</v>
          </cell>
          <cell r="V1359">
            <v>1.3609E-2</v>
          </cell>
          <cell r="W1359">
            <v>1.455E-2</v>
          </cell>
          <cell r="X1359">
            <v>1.6299999999999999E-2</v>
          </cell>
          <cell r="Y1359">
            <v>1.78E-2</v>
          </cell>
          <cell r="Z1359">
            <v>1.8950000000000002E-2</v>
          </cell>
          <cell r="AA1359">
            <v>0.02</v>
          </cell>
          <cell r="AB1359">
            <v>2.1799999999999996E-2</v>
          </cell>
          <cell r="AC1359">
            <v>2.3600000000000003E-2</v>
          </cell>
        </row>
        <row r="1360">
          <cell r="T1360">
            <v>38530</v>
          </cell>
          <cell r="U1360">
            <v>1.2988999999999999E-2</v>
          </cell>
          <cell r="V1360">
            <v>1.3542E-2</v>
          </cell>
          <cell r="W1360">
            <v>1.4499999999999999E-2</v>
          </cell>
          <cell r="X1360">
            <v>1.6150000000000001E-2</v>
          </cell>
          <cell r="Y1360">
            <v>1.7650000000000002E-2</v>
          </cell>
          <cell r="Z1360">
            <v>1.8849999999999999E-2</v>
          </cell>
          <cell r="AA1360">
            <v>1.985E-2</v>
          </cell>
          <cell r="AB1360">
            <v>2.1749999999999999E-2</v>
          </cell>
          <cell r="AC1360">
            <v>2.3499999999999997E-2</v>
          </cell>
        </row>
        <row r="1361">
          <cell r="T1361">
            <v>38529</v>
          </cell>
          <cell r="U1361">
            <v>1.2932999999999998E-2</v>
          </cell>
          <cell r="V1361">
            <v>1.3431E-2</v>
          </cell>
          <cell r="W1361">
            <v>1.44E-2</v>
          </cell>
          <cell r="X1361">
            <v>1.61E-2</v>
          </cell>
          <cell r="Y1361">
            <v>1.7600000000000001E-2</v>
          </cell>
          <cell r="Z1361">
            <v>1.8799999999999997E-2</v>
          </cell>
          <cell r="AA1361">
            <v>1.9899999999999998E-2</v>
          </cell>
          <cell r="AB1361">
            <v>2.1749999999999999E-2</v>
          </cell>
          <cell r="AC1361">
            <v>2.3499999999999997E-2</v>
          </cell>
        </row>
        <row r="1362">
          <cell r="T1362">
            <v>38528</v>
          </cell>
          <cell r="U1362">
            <v>1.2932999999999998E-2</v>
          </cell>
          <cell r="V1362">
            <v>1.3431E-2</v>
          </cell>
          <cell r="W1362">
            <v>1.44E-2</v>
          </cell>
          <cell r="X1362">
            <v>1.61E-2</v>
          </cell>
          <cell r="Y1362">
            <v>1.7600000000000001E-2</v>
          </cell>
          <cell r="Z1362">
            <v>1.8799999999999997E-2</v>
          </cell>
          <cell r="AA1362">
            <v>1.9899999999999998E-2</v>
          </cell>
          <cell r="AB1362">
            <v>2.1749999999999999E-2</v>
          </cell>
          <cell r="AC1362">
            <v>2.3499999999999997E-2</v>
          </cell>
        </row>
        <row r="1363">
          <cell r="T1363">
            <v>38527</v>
          </cell>
          <cell r="U1363">
            <v>1.2932999999999998E-2</v>
          </cell>
          <cell r="V1363">
            <v>1.3431E-2</v>
          </cell>
          <cell r="W1363">
            <v>1.44E-2</v>
          </cell>
          <cell r="X1363">
            <v>1.61E-2</v>
          </cell>
          <cell r="Y1363">
            <v>1.7600000000000001E-2</v>
          </cell>
          <cell r="Z1363">
            <v>1.8799999999999997E-2</v>
          </cell>
          <cell r="AA1363">
            <v>1.9899999999999998E-2</v>
          </cell>
          <cell r="AB1363">
            <v>2.1749999999999999E-2</v>
          </cell>
          <cell r="AC1363">
            <v>2.3499999999999997E-2</v>
          </cell>
        </row>
        <row r="1364">
          <cell r="T1364">
            <v>38526</v>
          </cell>
          <cell r="U1364">
            <v>1.2980999999999999E-2</v>
          </cell>
          <cell r="V1364">
            <v>1.3528E-2</v>
          </cell>
          <cell r="W1364">
            <v>1.4449999999999998E-2</v>
          </cell>
          <cell r="X1364">
            <v>1.6200000000000003E-2</v>
          </cell>
          <cell r="Y1364">
            <v>1.77E-2</v>
          </cell>
          <cell r="Z1364">
            <v>1.89E-2</v>
          </cell>
          <cell r="AA1364">
            <v>2.0049999999999998E-2</v>
          </cell>
          <cell r="AB1364">
            <v>2.1749999999999999E-2</v>
          </cell>
          <cell r="AC1364">
            <v>2.3499999999999997E-2</v>
          </cell>
        </row>
        <row r="1365">
          <cell r="T1365">
            <v>38525</v>
          </cell>
          <cell r="U1365">
            <v>1.2921999999999999E-2</v>
          </cell>
          <cell r="V1365">
            <v>1.3472E-2</v>
          </cell>
          <cell r="W1365">
            <v>1.4449999999999998E-2</v>
          </cell>
          <cell r="X1365">
            <v>1.6250000000000001E-2</v>
          </cell>
          <cell r="Y1365">
            <v>1.78E-2</v>
          </cell>
          <cell r="Z1365">
            <v>1.89E-2</v>
          </cell>
          <cell r="AA1365">
            <v>1.9949999999999999E-2</v>
          </cell>
          <cell r="AB1365">
            <v>2.1850000000000001E-2</v>
          </cell>
          <cell r="AC1365">
            <v>2.3600000000000003E-2</v>
          </cell>
        </row>
        <row r="1366">
          <cell r="T1366">
            <v>38524</v>
          </cell>
          <cell r="U1366">
            <v>1.2988999999999999E-2</v>
          </cell>
          <cell r="V1366">
            <v>1.3542E-2</v>
          </cell>
          <cell r="W1366">
            <v>1.44E-2</v>
          </cell>
          <cell r="X1366">
            <v>1.61E-2</v>
          </cell>
          <cell r="Y1366">
            <v>1.7600000000000001E-2</v>
          </cell>
          <cell r="Z1366">
            <v>1.8700000000000001E-2</v>
          </cell>
          <cell r="AA1366">
            <v>1.9899999999999998E-2</v>
          </cell>
          <cell r="AB1366">
            <v>2.1749999999999999E-2</v>
          </cell>
          <cell r="AC1366">
            <v>2.3600000000000003E-2</v>
          </cell>
        </row>
        <row r="1367">
          <cell r="T1367">
            <v>38523</v>
          </cell>
          <cell r="U1367">
            <v>1.2905999999999999E-2</v>
          </cell>
          <cell r="V1367">
            <v>1.3484000000000001E-2</v>
          </cell>
          <cell r="W1367">
            <v>1.44E-2</v>
          </cell>
          <cell r="X1367">
            <v>1.61E-2</v>
          </cell>
          <cell r="Y1367">
            <v>1.7600000000000001E-2</v>
          </cell>
          <cell r="Z1367">
            <v>1.8700000000000001E-2</v>
          </cell>
          <cell r="AA1367">
            <v>1.985E-2</v>
          </cell>
          <cell r="AB1367">
            <v>2.1550000000000003E-2</v>
          </cell>
          <cell r="AC1367">
            <v>2.3499999999999997E-2</v>
          </cell>
        </row>
        <row r="1368">
          <cell r="T1368">
            <v>38522</v>
          </cell>
          <cell r="U1368">
            <v>1.2978E-2</v>
          </cell>
          <cell r="V1368">
            <v>1.3507999999999999E-2</v>
          </cell>
          <cell r="W1368">
            <v>1.4499999999999999E-2</v>
          </cell>
          <cell r="X1368">
            <v>1.6250000000000001E-2</v>
          </cell>
          <cell r="Y1368">
            <v>1.77E-2</v>
          </cell>
          <cell r="Z1368">
            <v>1.8799999999999997E-2</v>
          </cell>
          <cell r="AA1368">
            <v>1.9799999999999998E-2</v>
          </cell>
          <cell r="AB1368">
            <v>2.1550000000000003E-2</v>
          </cell>
          <cell r="AC1368">
            <v>2.3499999999999997E-2</v>
          </cell>
        </row>
        <row r="1369">
          <cell r="T1369">
            <v>38521</v>
          </cell>
          <cell r="U1369">
            <v>1.2978E-2</v>
          </cell>
          <cell r="V1369">
            <v>1.3507999999999999E-2</v>
          </cell>
          <cell r="W1369">
            <v>1.4499999999999999E-2</v>
          </cell>
          <cell r="X1369">
            <v>1.6250000000000001E-2</v>
          </cell>
          <cell r="Y1369">
            <v>1.77E-2</v>
          </cell>
          <cell r="Z1369">
            <v>1.8799999999999997E-2</v>
          </cell>
          <cell r="AA1369">
            <v>1.9799999999999998E-2</v>
          </cell>
          <cell r="AB1369">
            <v>2.1550000000000003E-2</v>
          </cell>
          <cell r="AC1369">
            <v>2.3499999999999997E-2</v>
          </cell>
        </row>
        <row r="1370">
          <cell r="T1370">
            <v>38520</v>
          </cell>
          <cell r="U1370">
            <v>1.2978E-2</v>
          </cell>
          <cell r="V1370">
            <v>1.3507999999999999E-2</v>
          </cell>
          <cell r="W1370">
            <v>1.4499999999999999E-2</v>
          </cell>
          <cell r="X1370">
            <v>1.6250000000000001E-2</v>
          </cell>
          <cell r="Y1370">
            <v>1.77E-2</v>
          </cell>
          <cell r="Z1370">
            <v>1.8799999999999997E-2</v>
          </cell>
          <cell r="AA1370">
            <v>1.9799999999999998E-2</v>
          </cell>
          <cell r="AB1370">
            <v>2.1550000000000003E-2</v>
          </cell>
          <cell r="AC1370">
            <v>2.3499999999999997E-2</v>
          </cell>
        </row>
        <row r="1371">
          <cell r="T1371">
            <v>38519</v>
          </cell>
          <cell r="U1371">
            <v>1.3062000000000001E-2</v>
          </cell>
          <cell r="V1371">
            <v>1.3609E-2</v>
          </cell>
          <cell r="W1371">
            <v>1.4449999999999998E-2</v>
          </cell>
          <cell r="X1371">
            <v>1.6250000000000001E-2</v>
          </cell>
          <cell r="Y1371">
            <v>1.7850000000000001E-2</v>
          </cell>
          <cell r="Z1371">
            <v>1.9049999999999997E-2</v>
          </cell>
          <cell r="AA1371">
            <v>0.02</v>
          </cell>
          <cell r="AB1371">
            <v>2.1749999999999999E-2</v>
          </cell>
          <cell r="AC1371">
            <v>2.3600000000000003E-2</v>
          </cell>
        </row>
        <row r="1372">
          <cell r="T1372">
            <v>38518</v>
          </cell>
          <cell r="U1372">
            <v>1.3062000000000001E-2</v>
          </cell>
          <cell r="V1372">
            <v>1.3609E-2</v>
          </cell>
          <cell r="W1372">
            <v>1.43E-2</v>
          </cell>
          <cell r="X1372">
            <v>1.61E-2</v>
          </cell>
          <cell r="Y1372">
            <v>1.77E-2</v>
          </cell>
          <cell r="Z1372">
            <v>1.8799999999999997E-2</v>
          </cell>
          <cell r="AA1372">
            <v>1.9899999999999998E-2</v>
          </cell>
          <cell r="AB1372">
            <v>2.1600000000000001E-2</v>
          </cell>
          <cell r="AC1372">
            <v>2.3399999999999997E-2</v>
          </cell>
        </row>
        <row r="1373">
          <cell r="T1373">
            <v>38517</v>
          </cell>
          <cell r="U1373">
            <v>1.2905999999999999E-2</v>
          </cell>
          <cell r="V1373">
            <v>1.3484000000000001E-2</v>
          </cell>
          <cell r="W1373">
            <v>1.44E-2</v>
          </cell>
          <cell r="X1373">
            <v>1.6150000000000001E-2</v>
          </cell>
          <cell r="Y1373">
            <v>1.7650000000000002E-2</v>
          </cell>
          <cell r="Z1373">
            <v>1.8749999999999999E-2</v>
          </cell>
          <cell r="AA1373">
            <v>1.985E-2</v>
          </cell>
          <cell r="AB1373">
            <v>2.1600000000000001E-2</v>
          </cell>
          <cell r="AC1373">
            <v>2.3399999999999997E-2</v>
          </cell>
        </row>
        <row r="1374">
          <cell r="T1374">
            <v>38516</v>
          </cell>
          <cell r="U1374">
            <v>1.3092999999999999E-2</v>
          </cell>
          <cell r="V1374">
            <v>1.3704000000000001E-2</v>
          </cell>
          <cell r="W1374">
            <v>1.44E-2</v>
          </cell>
          <cell r="X1374">
            <v>1.61E-2</v>
          </cell>
          <cell r="Y1374">
            <v>1.7749999999999998E-2</v>
          </cell>
          <cell r="Z1374">
            <v>1.8700000000000001E-2</v>
          </cell>
          <cell r="AA1374">
            <v>1.9899999999999998E-2</v>
          </cell>
          <cell r="AB1374">
            <v>2.1700000000000001E-2</v>
          </cell>
          <cell r="AC1374">
            <v>2.3499999999999997E-2</v>
          </cell>
        </row>
        <row r="1375">
          <cell r="T1375">
            <v>38515</v>
          </cell>
          <cell r="U1375">
            <v>1.2988999999999999E-2</v>
          </cell>
          <cell r="V1375">
            <v>1.3542E-2</v>
          </cell>
          <cell r="W1375">
            <v>1.43E-2</v>
          </cell>
          <cell r="X1375">
            <v>1.61E-2</v>
          </cell>
          <cell r="Y1375">
            <v>1.7500000000000002E-2</v>
          </cell>
          <cell r="Z1375">
            <v>1.8599999999999998E-2</v>
          </cell>
          <cell r="AA1375">
            <v>1.9649999999999997E-2</v>
          </cell>
          <cell r="AB1375">
            <v>2.1550000000000003E-2</v>
          </cell>
          <cell r="AC1375">
            <v>2.3399999999999997E-2</v>
          </cell>
        </row>
        <row r="1376">
          <cell r="T1376">
            <v>38514</v>
          </cell>
          <cell r="U1376">
            <v>1.2988999999999999E-2</v>
          </cell>
          <cell r="V1376">
            <v>1.3542E-2</v>
          </cell>
          <cell r="W1376">
            <v>1.43E-2</v>
          </cell>
          <cell r="X1376">
            <v>1.61E-2</v>
          </cell>
          <cell r="Y1376">
            <v>1.7500000000000002E-2</v>
          </cell>
          <cell r="Z1376">
            <v>1.8599999999999998E-2</v>
          </cell>
          <cell r="AA1376">
            <v>1.9649999999999997E-2</v>
          </cell>
          <cell r="AB1376">
            <v>2.1550000000000003E-2</v>
          </cell>
          <cell r="AC1376">
            <v>2.3399999999999997E-2</v>
          </cell>
        </row>
        <row r="1377">
          <cell r="T1377">
            <v>38513</v>
          </cell>
          <cell r="U1377">
            <v>1.2988999999999999E-2</v>
          </cell>
          <cell r="V1377">
            <v>1.3542E-2</v>
          </cell>
          <cell r="W1377">
            <v>1.43E-2</v>
          </cell>
          <cell r="X1377">
            <v>1.61E-2</v>
          </cell>
          <cell r="Y1377">
            <v>1.7500000000000002E-2</v>
          </cell>
          <cell r="Z1377">
            <v>1.8599999999999998E-2</v>
          </cell>
          <cell r="AA1377">
            <v>1.9649999999999997E-2</v>
          </cell>
          <cell r="AB1377">
            <v>2.1550000000000003E-2</v>
          </cell>
          <cell r="AC1377">
            <v>2.3399999999999997E-2</v>
          </cell>
        </row>
        <row r="1378">
          <cell r="T1378">
            <v>38512</v>
          </cell>
          <cell r="U1378">
            <v>1.3117E-2</v>
          </cell>
          <cell r="V1378">
            <v>1.3646999999999999E-2</v>
          </cell>
          <cell r="W1378">
            <v>1.435E-2</v>
          </cell>
          <cell r="X1378">
            <v>1.5800000000000002E-2</v>
          </cell>
          <cell r="Y1378">
            <v>1.7399999999999999E-2</v>
          </cell>
          <cell r="Z1378">
            <v>1.84E-2</v>
          </cell>
          <cell r="AA1378">
            <v>1.9599999999999999E-2</v>
          </cell>
          <cell r="AB1378">
            <v>2.1299999999999999E-2</v>
          </cell>
          <cell r="AC1378">
            <v>2.2799999999999997E-2</v>
          </cell>
        </row>
        <row r="1379">
          <cell r="T1379">
            <v>38511</v>
          </cell>
          <cell r="U1379">
            <v>1.2988999999999999E-2</v>
          </cell>
          <cell r="V1379">
            <v>1.3542E-2</v>
          </cell>
          <cell r="W1379">
            <v>1.43E-2</v>
          </cell>
          <cell r="X1379">
            <v>1.5900000000000001E-2</v>
          </cell>
          <cell r="Y1379">
            <v>1.7299999999999999E-2</v>
          </cell>
          <cell r="Z1379">
            <v>1.83E-2</v>
          </cell>
          <cell r="AA1379">
            <v>1.95E-2</v>
          </cell>
          <cell r="AB1379">
            <v>2.145E-2</v>
          </cell>
          <cell r="AC1379">
            <v>2.3250000000000003E-2</v>
          </cell>
        </row>
        <row r="1380">
          <cell r="T1380">
            <v>38510</v>
          </cell>
          <cell r="U1380">
            <v>1.2924999999999999E-2</v>
          </cell>
          <cell r="V1380">
            <v>1.3484000000000001E-2</v>
          </cell>
          <cell r="W1380">
            <v>1.43E-2</v>
          </cell>
          <cell r="X1380">
            <v>1.5650000000000001E-2</v>
          </cell>
          <cell r="Y1380">
            <v>1.7149999999999999E-2</v>
          </cell>
          <cell r="Z1380">
            <v>1.8149999999999999E-2</v>
          </cell>
          <cell r="AA1380">
            <v>1.9199999999999998E-2</v>
          </cell>
          <cell r="AB1380">
            <v>2.0999999999999998E-2</v>
          </cell>
          <cell r="AC1380">
            <v>2.3250000000000003E-2</v>
          </cell>
        </row>
        <row r="1381">
          <cell r="T1381">
            <v>38509</v>
          </cell>
          <cell r="U1381">
            <v>1.2905999999999999E-2</v>
          </cell>
          <cell r="V1381">
            <v>1.3484000000000001E-2</v>
          </cell>
          <cell r="W1381">
            <v>1.43E-2</v>
          </cell>
          <cell r="X1381">
            <v>1.5900000000000001E-2</v>
          </cell>
          <cell r="Y1381">
            <v>1.7650000000000002E-2</v>
          </cell>
          <cell r="Z1381">
            <v>1.8599999999999998E-2</v>
          </cell>
          <cell r="AA1381">
            <v>1.975E-2</v>
          </cell>
          <cell r="AB1381">
            <v>2.1700000000000001E-2</v>
          </cell>
          <cell r="AC1381">
            <v>2.3700000000000002E-2</v>
          </cell>
        </row>
        <row r="1382">
          <cell r="T1382">
            <v>38508</v>
          </cell>
          <cell r="U1382">
            <v>1.2956000000000001E-2</v>
          </cell>
          <cell r="V1382">
            <v>1.3547E-2</v>
          </cell>
          <cell r="W1382">
            <v>1.4499999999999999E-2</v>
          </cell>
          <cell r="X1382">
            <v>1.5900000000000001E-2</v>
          </cell>
          <cell r="Y1382">
            <v>1.7399999999999999E-2</v>
          </cell>
          <cell r="Z1382">
            <v>1.8349999999999998E-2</v>
          </cell>
          <cell r="AA1382">
            <v>1.9599999999999999E-2</v>
          </cell>
          <cell r="AB1382">
            <v>2.1600000000000001E-2</v>
          </cell>
          <cell r="AC1382">
            <v>2.3600000000000003E-2</v>
          </cell>
        </row>
        <row r="1383">
          <cell r="T1383">
            <v>38507</v>
          </cell>
          <cell r="U1383">
            <v>1.2956000000000001E-2</v>
          </cell>
          <cell r="V1383">
            <v>1.3547E-2</v>
          </cell>
          <cell r="W1383">
            <v>1.4499999999999999E-2</v>
          </cell>
          <cell r="X1383">
            <v>1.5900000000000001E-2</v>
          </cell>
          <cell r="Y1383">
            <v>1.7399999999999999E-2</v>
          </cell>
          <cell r="Z1383">
            <v>1.8349999999999998E-2</v>
          </cell>
          <cell r="AA1383">
            <v>1.9599999999999999E-2</v>
          </cell>
          <cell r="AB1383">
            <v>2.1600000000000001E-2</v>
          </cell>
          <cell r="AC1383">
            <v>2.3600000000000003E-2</v>
          </cell>
        </row>
        <row r="1384">
          <cell r="T1384">
            <v>38506</v>
          </cell>
          <cell r="U1384">
            <v>1.2956000000000001E-2</v>
          </cell>
          <cell r="V1384">
            <v>1.3547E-2</v>
          </cell>
          <cell r="W1384">
            <v>1.4499999999999999E-2</v>
          </cell>
          <cell r="X1384">
            <v>1.5900000000000001E-2</v>
          </cell>
          <cell r="Y1384">
            <v>1.7399999999999999E-2</v>
          </cell>
          <cell r="Z1384">
            <v>1.8349999999999998E-2</v>
          </cell>
          <cell r="AA1384">
            <v>1.9599999999999999E-2</v>
          </cell>
          <cell r="AB1384">
            <v>2.1600000000000001E-2</v>
          </cell>
          <cell r="AC1384">
            <v>2.3600000000000003E-2</v>
          </cell>
        </row>
        <row r="1385">
          <cell r="T1385">
            <v>38505</v>
          </cell>
          <cell r="U1385">
            <v>1.3062000000000001E-2</v>
          </cell>
          <cell r="V1385">
            <v>1.3609E-2</v>
          </cell>
          <cell r="W1385">
            <v>1.43E-2</v>
          </cell>
          <cell r="X1385">
            <v>1.5700000000000002E-2</v>
          </cell>
          <cell r="Y1385">
            <v>1.7500000000000002E-2</v>
          </cell>
          <cell r="Z1385">
            <v>1.8700000000000001E-2</v>
          </cell>
          <cell r="AA1385">
            <v>1.9649999999999997E-2</v>
          </cell>
          <cell r="AB1385">
            <v>2.1900000000000003E-2</v>
          </cell>
          <cell r="AC1385">
            <v>2.3899999999999998E-2</v>
          </cell>
        </row>
        <row r="1386">
          <cell r="T1386">
            <v>38504</v>
          </cell>
          <cell r="U1386">
            <v>1.3143E-2</v>
          </cell>
          <cell r="V1386">
            <v>1.3689E-2</v>
          </cell>
          <cell r="W1386">
            <v>1.4249999999999999E-2</v>
          </cell>
          <cell r="X1386">
            <v>1.5800000000000002E-2</v>
          </cell>
          <cell r="Y1386">
            <v>1.7349999999999997E-2</v>
          </cell>
          <cell r="Z1386">
            <v>1.8599999999999998E-2</v>
          </cell>
          <cell r="AA1386">
            <v>1.9799999999999998E-2</v>
          </cell>
          <cell r="AB1386">
            <v>2.1749999999999999E-2</v>
          </cell>
          <cell r="AC1386">
            <v>2.375E-2</v>
          </cell>
        </row>
        <row r="1387">
          <cell r="T1387">
            <v>38503</v>
          </cell>
          <cell r="U1387">
            <v>1.2971999999999999E-2</v>
          </cell>
          <cell r="V1387">
            <v>1.3507999999999999E-2</v>
          </cell>
          <cell r="W1387">
            <v>1.435E-2</v>
          </cell>
          <cell r="X1387">
            <v>1.5900000000000001E-2</v>
          </cell>
          <cell r="Y1387">
            <v>1.7650000000000002E-2</v>
          </cell>
          <cell r="Z1387">
            <v>1.9E-2</v>
          </cell>
          <cell r="AA1387">
            <v>2.035E-2</v>
          </cell>
          <cell r="AB1387">
            <v>2.2550000000000001E-2</v>
          </cell>
          <cell r="AC1387">
            <v>2.495E-2</v>
          </cell>
        </row>
        <row r="1388">
          <cell r="T1388">
            <v>38502</v>
          </cell>
          <cell r="U1388">
            <v>1.2969E-2</v>
          </cell>
          <cell r="V1388">
            <v>1.3609E-2</v>
          </cell>
          <cell r="W1388">
            <v>1.435E-2</v>
          </cell>
          <cell r="X1388">
            <v>1.6200000000000003E-2</v>
          </cell>
          <cell r="Y1388">
            <v>1.8000000000000002E-2</v>
          </cell>
          <cell r="Z1388">
            <v>1.9299999999999998E-2</v>
          </cell>
          <cell r="AA1388">
            <v>2.0649999999999998E-2</v>
          </cell>
          <cell r="AB1388">
            <v>2.2850000000000002E-2</v>
          </cell>
          <cell r="AC1388">
            <v>2.5549999999999996E-2</v>
          </cell>
        </row>
        <row r="1389">
          <cell r="T1389">
            <v>38501</v>
          </cell>
          <cell r="U1389">
            <v>1.2971999999999999E-2</v>
          </cell>
          <cell r="V1389">
            <v>1.3542E-2</v>
          </cell>
          <cell r="W1389">
            <v>1.43E-2</v>
          </cell>
          <cell r="X1389">
            <v>1.6200000000000003E-2</v>
          </cell>
          <cell r="Y1389">
            <v>1.8000000000000002E-2</v>
          </cell>
          <cell r="Z1389">
            <v>1.9299999999999998E-2</v>
          </cell>
          <cell r="AA1389">
            <v>2.0649999999999998E-2</v>
          </cell>
          <cell r="AB1389">
            <v>2.3049999999999998E-2</v>
          </cell>
          <cell r="AC1389">
            <v>2.5999999999999995E-2</v>
          </cell>
        </row>
        <row r="1390">
          <cell r="T1390">
            <v>38500</v>
          </cell>
          <cell r="U1390">
            <v>1.2971999999999999E-2</v>
          </cell>
          <cell r="V1390">
            <v>1.3542E-2</v>
          </cell>
          <cell r="W1390">
            <v>1.43E-2</v>
          </cell>
          <cell r="X1390">
            <v>1.6200000000000003E-2</v>
          </cell>
          <cell r="Y1390">
            <v>1.8000000000000002E-2</v>
          </cell>
          <cell r="Z1390">
            <v>1.9299999999999998E-2</v>
          </cell>
          <cell r="AA1390">
            <v>2.0649999999999998E-2</v>
          </cell>
          <cell r="AB1390">
            <v>2.3049999999999998E-2</v>
          </cell>
          <cell r="AC1390">
            <v>2.5999999999999995E-2</v>
          </cell>
        </row>
        <row r="1391">
          <cell r="T1391">
            <v>38499</v>
          </cell>
          <cell r="U1391">
            <v>1.2971999999999999E-2</v>
          </cell>
          <cell r="V1391">
            <v>1.3542E-2</v>
          </cell>
          <cell r="W1391">
            <v>1.43E-2</v>
          </cell>
          <cell r="X1391">
            <v>1.6200000000000003E-2</v>
          </cell>
          <cell r="Y1391">
            <v>1.8000000000000002E-2</v>
          </cell>
          <cell r="Z1391">
            <v>1.9299999999999998E-2</v>
          </cell>
          <cell r="AA1391">
            <v>2.0649999999999998E-2</v>
          </cell>
          <cell r="AB1391">
            <v>2.3049999999999998E-2</v>
          </cell>
          <cell r="AC1391">
            <v>2.5999999999999995E-2</v>
          </cell>
        </row>
        <row r="1392">
          <cell r="T1392">
            <v>38498</v>
          </cell>
          <cell r="U1392">
            <v>1.3044E-2</v>
          </cell>
          <cell r="V1392">
            <v>1.3703E-2</v>
          </cell>
          <cell r="W1392">
            <v>1.43E-2</v>
          </cell>
          <cell r="X1392">
            <v>1.6200000000000003E-2</v>
          </cell>
          <cell r="Y1392">
            <v>1.8000000000000002E-2</v>
          </cell>
          <cell r="Z1392">
            <v>1.9349999999999999E-2</v>
          </cell>
          <cell r="AA1392">
            <v>2.0750000000000001E-2</v>
          </cell>
          <cell r="AB1392">
            <v>2.3049999999999998E-2</v>
          </cell>
          <cell r="AC1392">
            <v>2.5999999999999995E-2</v>
          </cell>
        </row>
        <row r="1393">
          <cell r="T1393">
            <v>38497</v>
          </cell>
          <cell r="U1393">
            <v>1.2888999999999999E-2</v>
          </cell>
          <cell r="V1393">
            <v>1.3403E-2</v>
          </cell>
          <cell r="W1393">
            <v>1.43E-2</v>
          </cell>
          <cell r="X1393">
            <v>1.61E-2</v>
          </cell>
          <cell r="Y1393">
            <v>1.7850000000000001E-2</v>
          </cell>
          <cell r="Z1393">
            <v>1.9299999999999998E-2</v>
          </cell>
          <cell r="AA1393">
            <v>2.0649999999999998E-2</v>
          </cell>
          <cell r="AB1393">
            <v>2.3E-2</v>
          </cell>
          <cell r="AC1393">
            <v>2.5999999999999995E-2</v>
          </cell>
        </row>
        <row r="1394">
          <cell r="T1394">
            <v>38496</v>
          </cell>
          <cell r="U1394">
            <v>1.3017000000000001E-2</v>
          </cell>
          <cell r="V1394">
            <v>1.3542E-2</v>
          </cell>
          <cell r="W1394">
            <v>1.43E-2</v>
          </cell>
          <cell r="X1394">
            <v>1.6E-2</v>
          </cell>
          <cell r="Y1394">
            <v>1.8000000000000002E-2</v>
          </cell>
          <cell r="Z1394">
            <v>1.95E-2</v>
          </cell>
          <cell r="AA1394">
            <v>2.0899999999999998E-2</v>
          </cell>
          <cell r="AB1394">
            <v>2.3250000000000003E-2</v>
          </cell>
          <cell r="AC1394">
            <v>2.63E-2</v>
          </cell>
        </row>
        <row r="1395">
          <cell r="T1395">
            <v>38495</v>
          </cell>
          <cell r="U1395">
            <v>1.3044E-2</v>
          </cell>
          <cell r="V1395">
            <v>1.3609E-2</v>
          </cell>
          <cell r="W1395">
            <v>1.4499999999999999E-2</v>
          </cell>
          <cell r="X1395">
            <v>1.6399999999999998E-2</v>
          </cell>
          <cell r="Y1395">
            <v>1.7899999999999999E-2</v>
          </cell>
          <cell r="Z1395">
            <v>1.9649999999999997E-2</v>
          </cell>
          <cell r="AA1395">
            <v>2.1100000000000004E-2</v>
          </cell>
          <cell r="AB1395">
            <v>2.3300000000000001E-2</v>
          </cell>
          <cell r="AC1395">
            <v>2.63E-2</v>
          </cell>
        </row>
        <row r="1396">
          <cell r="T1396">
            <v>38494</v>
          </cell>
          <cell r="U1396">
            <v>1.2905999999999999E-2</v>
          </cell>
          <cell r="V1396">
            <v>1.3484000000000001E-2</v>
          </cell>
          <cell r="W1396">
            <v>1.4249999999999999E-2</v>
          </cell>
          <cell r="X1396">
            <v>1.6200000000000003E-2</v>
          </cell>
          <cell r="Y1396">
            <v>1.8000000000000002E-2</v>
          </cell>
          <cell r="Z1396">
            <v>1.9649999999999997E-2</v>
          </cell>
          <cell r="AA1396">
            <v>2.0949999999999996E-2</v>
          </cell>
          <cell r="AB1396">
            <v>2.3099999999999996E-2</v>
          </cell>
          <cell r="AC1396">
            <v>2.6100000000000002E-2</v>
          </cell>
        </row>
        <row r="1397">
          <cell r="T1397">
            <v>38493</v>
          </cell>
          <cell r="U1397">
            <v>1.2905999999999999E-2</v>
          </cell>
          <cell r="V1397">
            <v>1.3484000000000001E-2</v>
          </cell>
          <cell r="W1397">
            <v>1.4249999999999999E-2</v>
          </cell>
          <cell r="X1397">
            <v>1.6200000000000003E-2</v>
          </cell>
          <cell r="Y1397">
            <v>1.8000000000000002E-2</v>
          </cell>
          <cell r="Z1397">
            <v>1.9649999999999997E-2</v>
          </cell>
          <cell r="AA1397">
            <v>2.0949999999999996E-2</v>
          </cell>
          <cell r="AB1397">
            <v>2.3099999999999996E-2</v>
          </cell>
          <cell r="AC1397">
            <v>2.6100000000000002E-2</v>
          </cell>
        </row>
        <row r="1398">
          <cell r="T1398">
            <v>38492</v>
          </cell>
          <cell r="U1398">
            <v>1.2905999999999999E-2</v>
          </cell>
          <cell r="V1398">
            <v>1.3484000000000001E-2</v>
          </cell>
          <cell r="W1398">
            <v>1.4249999999999999E-2</v>
          </cell>
          <cell r="X1398">
            <v>1.6200000000000003E-2</v>
          </cell>
          <cell r="Y1398">
            <v>1.8000000000000002E-2</v>
          </cell>
          <cell r="Z1398">
            <v>1.9649999999999997E-2</v>
          </cell>
          <cell r="AA1398">
            <v>2.0949999999999996E-2</v>
          </cell>
          <cell r="AB1398">
            <v>2.3099999999999996E-2</v>
          </cell>
          <cell r="AC1398">
            <v>2.6100000000000002E-2</v>
          </cell>
        </row>
        <row r="1399">
          <cell r="T1399">
            <v>38491</v>
          </cell>
          <cell r="U1399">
            <v>1.3100000000000001E-2</v>
          </cell>
          <cell r="V1399">
            <v>1.3600000000000001E-2</v>
          </cell>
          <cell r="W1399">
            <v>1.4249999999999999E-2</v>
          </cell>
          <cell r="X1399">
            <v>1.6150000000000001E-2</v>
          </cell>
          <cell r="Y1399">
            <v>1.7950000000000001E-2</v>
          </cell>
          <cell r="Z1399">
            <v>1.9449999999999999E-2</v>
          </cell>
          <cell r="AA1399">
            <v>2.0750000000000001E-2</v>
          </cell>
          <cell r="AB1399">
            <v>2.3250000000000003E-2</v>
          </cell>
          <cell r="AC1399">
            <v>2.5949999999999997E-2</v>
          </cell>
        </row>
        <row r="1400">
          <cell r="T1400">
            <v>38490</v>
          </cell>
          <cell r="U1400">
            <v>1.2971999999999999E-2</v>
          </cell>
          <cell r="V1400">
            <v>1.3542E-2</v>
          </cell>
          <cell r="W1400">
            <v>1.4199999999999999E-2</v>
          </cell>
          <cell r="X1400">
            <v>1.6250000000000001E-2</v>
          </cell>
          <cell r="Y1400">
            <v>1.805E-2</v>
          </cell>
          <cell r="Z1400">
            <v>1.9649999999999997E-2</v>
          </cell>
          <cell r="AA1400">
            <v>2.1100000000000004E-2</v>
          </cell>
          <cell r="AB1400">
            <v>2.3600000000000003E-2</v>
          </cell>
          <cell r="AC1400">
            <v>2.63E-2</v>
          </cell>
        </row>
        <row r="1401">
          <cell r="T1401">
            <v>38489</v>
          </cell>
          <cell r="U1401">
            <v>1.2870999999999999E-2</v>
          </cell>
          <cell r="V1401">
            <v>1.3507E-2</v>
          </cell>
          <cell r="W1401">
            <v>1.4199999999999999E-2</v>
          </cell>
          <cell r="X1401">
            <v>1.6049999999999998E-2</v>
          </cell>
          <cell r="Y1401">
            <v>1.805E-2</v>
          </cell>
          <cell r="Z1401">
            <v>1.9400000000000001E-2</v>
          </cell>
          <cell r="AA1401">
            <v>2.0949999999999996E-2</v>
          </cell>
          <cell r="AB1401">
            <v>2.35E-2</v>
          </cell>
          <cell r="AC1401">
            <v>2.63E-2</v>
          </cell>
        </row>
        <row r="1402">
          <cell r="T1402">
            <v>38488</v>
          </cell>
          <cell r="U1402">
            <v>1.2971999999999999E-2</v>
          </cell>
          <cell r="V1402">
            <v>1.3542E-2</v>
          </cell>
          <cell r="W1402">
            <v>1.4199999999999999E-2</v>
          </cell>
          <cell r="X1402">
            <v>1.6049999999999998E-2</v>
          </cell>
          <cell r="Y1402">
            <v>1.805E-2</v>
          </cell>
          <cell r="Z1402">
            <v>1.9349999999999999E-2</v>
          </cell>
          <cell r="AA1402">
            <v>2.0949999999999996E-2</v>
          </cell>
          <cell r="AB1402">
            <v>2.3250000000000003E-2</v>
          </cell>
          <cell r="AC1402">
            <v>2.6249999999999999E-2</v>
          </cell>
        </row>
        <row r="1403">
          <cell r="T1403">
            <v>38487</v>
          </cell>
          <cell r="U1403">
            <v>1.3044E-2</v>
          </cell>
          <cell r="V1403">
            <v>1.3609E-2</v>
          </cell>
          <cell r="W1403">
            <v>1.43E-2</v>
          </cell>
          <cell r="X1403">
            <v>1.6399999999999998E-2</v>
          </cell>
          <cell r="Y1403">
            <v>1.7899999999999999E-2</v>
          </cell>
          <cell r="Z1403">
            <v>1.9199999999999998E-2</v>
          </cell>
          <cell r="AA1403">
            <v>2.1000000000000001E-2</v>
          </cell>
          <cell r="AB1403">
            <v>2.3199999999999998E-2</v>
          </cell>
          <cell r="AC1403">
            <v>2.6249999999999999E-2</v>
          </cell>
        </row>
        <row r="1404">
          <cell r="T1404">
            <v>38486</v>
          </cell>
          <cell r="U1404">
            <v>1.3044E-2</v>
          </cell>
          <cell r="V1404">
            <v>1.3609E-2</v>
          </cell>
          <cell r="W1404">
            <v>1.43E-2</v>
          </cell>
          <cell r="X1404">
            <v>1.6399999999999998E-2</v>
          </cell>
          <cell r="Y1404">
            <v>1.7899999999999999E-2</v>
          </cell>
          <cell r="Z1404">
            <v>1.9199999999999998E-2</v>
          </cell>
          <cell r="AA1404">
            <v>2.1000000000000001E-2</v>
          </cell>
          <cell r="AB1404">
            <v>2.3199999999999998E-2</v>
          </cell>
          <cell r="AC1404">
            <v>2.6249999999999999E-2</v>
          </cell>
        </row>
        <row r="1405">
          <cell r="T1405">
            <v>38485</v>
          </cell>
          <cell r="U1405">
            <v>1.3044E-2</v>
          </cell>
          <cell r="V1405">
            <v>1.3609E-2</v>
          </cell>
          <cell r="W1405">
            <v>1.43E-2</v>
          </cell>
          <cell r="X1405">
            <v>1.6399999999999998E-2</v>
          </cell>
          <cell r="Y1405">
            <v>1.7899999999999999E-2</v>
          </cell>
          <cell r="Z1405">
            <v>1.9199999999999998E-2</v>
          </cell>
          <cell r="AA1405">
            <v>2.1000000000000001E-2</v>
          </cell>
          <cell r="AB1405">
            <v>2.3199999999999998E-2</v>
          </cell>
          <cell r="AC1405">
            <v>2.6249999999999999E-2</v>
          </cell>
        </row>
        <row r="1406">
          <cell r="T1406">
            <v>38484</v>
          </cell>
          <cell r="U1406">
            <v>1.2969E-2</v>
          </cell>
          <cell r="V1406">
            <v>1.3666000000000001E-2</v>
          </cell>
          <cell r="W1406">
            <v>1.4249999999999999E-2</v>
          </cell>
          <cell r="X1406">
            <v>1.6049999999999998E-2</v>
          </cell>
          <cell r="Y1406">
            <v>1.7850000000000001E-2</v>
          </cell>
          <cell r="Z1406">
            <v>1.9349999999999999E-2</v>
          </cell>
          <cell r="AA1406">
            <v>2.0949999999999996E-2</v>
          </cell>
          <cell r="AB1406">
            <v>2.3E-2</v>
          </cell>
          <cell r="AC1406">
            <v>2.5499999999999998E-2</v>
          </cell>
        </row>
        <row r="1407">
          <cell r="T1407">
            <v>38483</v>
          </cell>
          <cell r="U1407">
            <v>1.2928E-2</v>
          </cell>
          <cell r="V1407">
            <v>1.3486E-2</v>
          </cell>
          <cell r="W1407">
            <v>1.43E-2</v>
          </cell>
          <cell r="X1407">
            <v>1.6049999999999998E-2</v>
          </cell>
          <cell r="Y1407">
            <v>1.7899999999999999E-2</v>
          </cell>
          <cell r="Z1407">
            <v>1.9400000000000001E-2</v>
          </cell>
          <cell r="AA1407">
            <v>2.1000000000000001E-2</v>
          </cell>
          <cell r="AB1407">
            <v>2.3449999999999999E-2</v>
          </cell>
          <cell r="AC1407">
            <v>2.6150000000000003E-2</v>
          </cell>
        </row>
        <row r="1408">
          <cell r="T1408">
            <v>38482</v>
          </cell>
          <cell r="U1408">
            <v>1.2971999999999999E-2</v>
          </cell>
          <cell r="V1408">
            <v>1.3507999999999999E-2</v>
          </cell>
          <cell r="W1408">
            <v>1.4199999999999999E-2</v>
          </cell>
          <cell r="X1408">
            <v>1.6049999999999998E-2</v>
          </cell>
          <cell r="Y1408">
            <v>1.805E-2</v>
          </cell>
          <cell r="Z1408">
            <v>1.9349999999999999E-2</v>
          </cell>
          <cell r="AA1408">
            <v>2.1049999999999999E-2</v>
          </cell>
          <cell r="AB1408">
            <v>2.3700000000000002E-2</v>
          </cell>
          <cell r="AC1408">
            <v>2.6399999999999996E-2</v>
          </cell>
        </row>
        <row r="1409">
          <cell r="T1409">
            <v>38481</v>
          </cell>
          <cell r="U1409">
            <v>1.2864E-2</v>
          </cell>
          <cell r="V1409">
            <v>1.3354E-2</v>
          </cell>
          <cell r="W1409">
            <v>1.43E-2</v>
          </cell>
          <cell r="X1409">
            <v>1.5900000000000001E-2</v>
          </cell>
          <cell r="Y1409">
            <v>1.7500000000000002E-2</v>
          </cell>
          <cell r="Z1409">
            <v>1.9649999999999997E-2</v>
          </cell>
          <cell r="AA1409">
            <v>2.12E-2</v>
          </cell>
          <cell r="AB1409">
            <v>2.4000000000000004E-2</v>
          </cell>
          <cell r="AC1409">
            <v>2.6600000000000002E-2</v>
          </cell>
        </row>
        <row r="1410">
          <cell r="T1410">
            <v>38480</v>
          </cell>
          <cell r="U1410">
            <v>1.2929E-2</v>
          </cell>
          <cell r="V1410">
            <v>1.3395999999999998E-2</v>
          </cell>
          <cell r="W1410">
            <v>1.41E-2</v>
          </cell>
          <cell r="X1410">
            <v>1.585E-2</v>
          </cell>
          <cell r="Y1410">
            <v>1.7899999999999999E-2</v>
          </cell>
          <cell r="Z1410">
            <v>1.925E-2</v>
          </cell>
          <cell r="AA1410">
            <v>2.085E-2</v>
          </cell>
          <cell r="AB1410">
            <v>2.3300000000000001E-2</v>
          </cell>
          <cell r="AC1410">
            <v>2.6500000000000003E-2</v>
          </cell>
        </row>
        <row r="1411">
          <cell r="T1411">
            <v>38479</v>
          </cell>
          <cell r="U1411">
            <v>1.2929E-2</v>
          </cell>
          <cell r="V1411">
            <v>1.3395999999999998E-2</v>
          </cell>
          <cell r="W1411">
            <v>1.41E-2</v>
          </cell>
          <cell r="X1411">
            <v>1.585E-2</v>
          </cell>
          <cell r="Y1411">
            <v>1.7899999999999999E-2</v>
          </cell>
          <cell r="Z1411">
            <v>1.925E-2</v>
          </cell>
          <cell r="AA1411">
            <v>2.085E-2</v>
          </cell>
          <cell r="AB1411">
            <v>2.3300000000000001E-2</v>
          </cell>
          <cell r="AC1411">
            <v>2.6500000000000003E-2</v>
          </cell>
        </row>
        <row r="1412">
          <cell r="T1412">
            <v>38478</v>
          </cell>
          <cell r="U1412">
            <v>1.2929E-2</v>
          </cell>
          <cell r="V1412">
            <v>1.3395999999999998E-2</v>
          </cell>
          <cell r="W1412">
            <v>1.41E-2</v>
          </cell>
          <cell r="X1412">
            <v>1.585E-2</v>
          </cell>
          <cell r="Y1412">
            <v>1.7899999999999999E-2</v>
          </cell>
          <cell r="Z1412">
            <v>1.925E-2</v>
          </cell>
          <cell r="AA1412">
            <v>2.085E-2</v>
          </cell>
          <cell r="AB1412">
            <v>2.3300000000000001E-2</v>
          </cell>
          <cell r="AC1412">
            <v>2.6500000000000003E-2</v>
          </cell>
        </row>
        <row r="1413">
          <cell r="T1413">
            <v>38477</v>
          </cell>
          <cell r="U1413">
            <v>1.2905999999999999E-2</v>
          </cell>
          <cell r="V1413">
            <v>1.3484000000000001E-2</v>
          </cell>
          <cell r="W1413">
            <v>1.3999999999999999E-2</v>
          </cell>
          <cell r="X1413">
            <v>1.575E-2</v>
          </cell>
          <cell r="Y1413">
            <v>1.77E-2</v>
          </cell>
          <cell r="Z1413">
            <v>1.9349999999999999E-2</v>
          </cell>
          <cell r="AA1413">
            <v>2.0949999999999996E-2</v>
          </cell>
          <cell r="AB1413">
            <v>2.3300000000000001E-2</v>
          </cell>
          <cell r="AC1413">
            <v>2.6200000000000001E-2</v>
          </cell>
        </row>
        <row r="1414">
          <cell r="T1414">
            <v>38476</v>
          </cell>
          <cell r="U1414">
            <v>1.2971999999999999E-2</v>
          </cell>
          <cell r="V1414">
            <v>1.3542E-2</v>
          </cell>
          <cell r="W1414">
            <v>1.3999999999999999E-2</v>
          </cell>
          <cell r="X1414">
            <v>1.5550000000000001E-2</v>
          </cell>
          <cell r="Y1414">
            <v>1.755E-2</v>
          </cell>
          <cell r="Z1414">
            <v>1.915E-2</v>
          </cell>
          <cell r="AA1414">
            <v>2.0649999999999998E-2</v>
          </cell>
          <cell r="AB1414">
            <v>2.315E-2</v>
          </cell>
          <cell r="AC1414">
            <v>2.5999999999999995E-2</v>
          </cell>
        </row>
        <row r="1415">
          <cell r="T1415">
            <v>38475</v>
          </cell>
          <cell r="U1415">
            <v>1.2905999999999999E-2</v>
          </cell>
          <cell r="V1415">
            <v>1.3484000000000001E-2</v>
          </cell>
          <cell r="W1415">
            <v>1.41E-2</v>
          </cell>
          <cell r="X1415">
            <v>1.585E-2</v>
          </cell>
          <cell r="Y1415">
            <v>1.7850000000000001E-2</v>
          </cell>
          <cell r="Z1415">
            <v>1.9349999999999999E-2</v>
          </cell>
          <cell r="AA1415">
            <v>2.0899999999999998E-2</v>
          </cell>
          <cell r="AB1415">
            <v>2.3499999999999997E-2</v>
          </cell>
          <cell r="AC1415">
            <v>2.64E-2</v>
          </cell>
        </row>
        <row r="1416">
          <cell r="T1416">
            <v>38474</v>
          </cell>
          <cell r="U1416">
            <v>1.3000000000000001E-2</v>
          </cell>
          <cell r="V1416">
            <v>1.3632999999999999E-2</v>
          </cell>
          <cell r="W1416">
            <v>1.3999999999999999E-2</v>
          </cell>
          <cell r="X1416">
            <v>1.5650000000000001E-2</v>
          </cell>
          <cell r="Y1416">
            <v>1.745E-2</v>
          </cell>
          <cell r="Z1416">
            <v>1.9E-2</v>
          </cell>
          <cell r="AA1416">
            <v>2.06E-2</v>
          </cell>
          <cell r="AB1416">
            <v>2.3300000000000001E-2</v>
          </cell>
          <cell r="AC1416">
            <v>2.6200000000000001E-2</v>
          </cell>
        </row>
        <row r="1417">
          <cell r="T1417">
            <v>38473</v>
          </cell>
          <cell r="U1417">
            <v>1.3000000000000001E-2</v>
          </cell>
          <cell r="V1417">
            <v>1.3632999999999999E-2</v>
          </cell>
          <cell r="W1417">
            <v>1.3999999999999999E-2</v>
          </cell>
          <cell r="X1417">
            <v>1.5650000000000001E-2</v>
          </cell>
          <cell r="Y1417">
            <v>1.745E-2</v>
          </cell>
          <cell r="Z1417">
            <v>1.9E-2</v>
          </cell>
          <cell r="AA1417">
            <v>2.06E-2</v>
          </cell>
          <cell r="AB1417">
            <v>2.3300000000000001E-2</v>
          </cell>
          <cell r="AC1417">
            <v>2.6200000000000001E-2</v>
          </cell>
        </row>
        <row r="1418">
          <cell r="T1418">
            <v>38472</v>
          </cell>
          <cell r="U1418">
            <v>1.3000000000000001E-2</v>
          </cell>
          <cell r="V1418">
            <v>1.3632999999999999E-2</v>
          </cell>
          <cell r="W1418">
            <v>1.3999999999999999E-2</v>
          </cell>
          <cell r="X1418">
            <v>1.5650000000000001E-2</v>
          </cell>
          <cell r="Y1418">
            <v>1.745E-2</v>
          </cell>
          <cell r="Z1418">
            <v>1.9E-2</v>
          </cell>
          <cell r="AA1418">
            <v>2.06E-2</v>
          </cell>
          <cell r="AB1418">
            <v>2.3300000000000001E-2</v>
          </cell>
          <cell r="AC1418">
            <v>2.6200000000000001E-2</v>
          </cell>
        </row>
        <row r="1419">
          <cell r="T1419">
            <v>38471</v>
          </cell>
          <cell r="U1419">
            <v>1.3000000000000001E-2</v>
          </cell>
          <cell r="V1419">
            <v>1.3632999999999999E-2</v>
          </cell>
          <cell r="W1419">
            <v>1.3999999999999999E-2</v>
          </cell>
          <cell r="X1419">
            <v>1.5650000000000001E-2</v>
          </cell>
          <cell r="Y1419">
            <v>1.745E-2</v>
          </cell>
          <cell r="Z1419">
            <v>1.9E-2</v>
          </cell>
          <cell r="AA1419">
            <v>2.06E-2</v>
          </cell>
          <cell r="AB1419">
            <v>2.3300000000000001E-2</v>
          </cell>
          <cell r="AC1419">
            <v>2.6200000000000001E-2</v>
          </cell>
        </row>
        <row r="1420">
          <cell r="T1420">
            <v>38470</v>
          </cell>
          <cell r="U1420">
            <v>1.3000000000000001E-2</v>
          </cell>
          <cell r="V1420">
            <v>1.3482000000000001E-2</v>
          </cell>
          <cell r="W1420">
            <v>1.4249999999999999E-2</v>
          </cell>
          <cell r="X1420">
            <v>1.585E-2</v>
          </cell>
          <cell r="Y1420">
            <v>1.7749999999999998E-2</v>
          </cell>
          <cell r="Z1420">
            <v>1.9649999999999997E-2</v>
          </cell>
          <cell r="AA1420">
            <v>2.1250000000000002E-2</v>
          </cell>
          <cell r="AB1420">
            <v>2.3700000000000002E-2</v>
          </cell>
          <cell r="AC1420">
            <v>2.6799999999999997E-2</v>
          </cell>
        </row>
        <row r="1421">
          <cell r="T1421">
            <v>38469</v>
          </cell>
          <cell r="U1421">
            <v>1.3044E-2</v>
          </cell>
          <cell r="V1421">
            <v>1.3609E-2</v>
          </cell>
          <cell r="W1421">
            <v>1.4199999999999999E-2</v>
          </cell>
          <cell r="X1421">
            <v>1.5950000000000002E-2</v>
          </cell>
          <cell r="Y1421">
            <v>1.7850000000000001E-2</v>
          </cell>
          <cell r="Z1421">
            <v>1.9649999999999997E-2</v>
          </cell>
          <cell r="AA1421">
            <v>2.145E-2</v>
          </cell>
          <cell r="AB1421">
            <v>2.41E-2</v>
          </cell>
          <cell r="AC1421">
            <v>2.6900000000000004E-2</v>
          </cell>
        </row>
        <row r="1422">
          <cell r="T1422">
            <v>38468</v>
          </cell>
          <cell r="U1422">
            <v>1.2971999999999999E-2</v>
          </cell>
          <cell r="V1422">
            <v>1.3542E-2</v>
          </cell>
          <cell r="W1422">
            <v>1.4249999999999999E-2</v>
          </cell>
          <cell r="X1422">
            <v>1.6049999999999998E-2</v>
          </cell>
          <cell r="Y1422">
            <v>1.805E-2</v>
          </cell>
          <cell r="Z1422">
            <v>1.985E-2</v>
          </cell>
          <cell r="AA1422">
            <v>2.145E-2</v>
          </cell>
          <cell r="AB1422">
            <v>2.4199999999999999E-2</v>
          </cell>
          <cell r="AC1422">
            <v>2.6900000000000004E-2</v>
          </cell>
        </row>
        <row r="1423">
          <cell r="T1423">
            <v>38467</v>
          </cell>
          <cell r="U1423">
            <v>1.29E-2</v>
          </cell>
          <cell r="V1423">
            <v>1.345E-2</v>
          </cell>
          <cell r="W1423">
            <v>1.44E-2</v>
          </cell>
          <cell r="X1423">
            <v>1.6200000000000003E-2</v>
          </cell>
          <cell r="Y1423">
            <v>1.78E-2</v>
          </cell>
          <cell r="Z1423">
            <v>1.9699999999999999E-2</v>
          </cell>
          <cell r="AA1423">
            <v>2.1400000000000002E-2</v>
          </cell>
          <cell r="AB1423">
            <v>2.4299999999999999E-2</v>
          </cell>
          <cell r="AC1423">
            <v>2.7000000000000003E-2</v>
          </cell>
        </row>
        <row r="1424">
          <cell r="T1424">
            <v>38466</v>
          </cell>
          <cell r="U1424">
            <v>1.3056000000000002E-2</v>
          </cell>
          <cell r="V1424">
            <v>1.3568999999999999E-2</v>
          </cell>
          <cell r="W1424">
            <v>1.4249999999999999E-2</v>
          </cell>
          <cell r="X1424">
            <v>1.6049999999999998E-2</v>
          </cell>
          <cell r="Y1424">
            <v>1.805E-2</v>
          </cell>
          <cell r="Z1424">
            <v>1.9649999999999997E-2</v>
          </cell>
          <cell r="AA1424">
            <v>2.1500000000000005E-2</v>
          </cell>
          <cell r="AB1424">
            <v>2.41E-2</v>
          </cell>
          <cell r="AC1424">
            <v>2.6900000000000004E-2</v>
          </cell>
        </row>
        <row r="1425">
          <cell r="T1425">
            <v>38465</v>
          </cell>
          <cell r="U1425">
            <v>1.3056000000000002E-2</v>
          </cell>
          <cell r="V1425">
            <v>1.3568999999999999E-2</v>
          </cell>
          <cell r="W1425">
            <v>1.4249999999999999E-2</v>
          </cell>
          <cell r="X1425">
            <v>1.6049999999999998E-2</v>
          </cell>
          <cell r="Y1425">
            <v>1.805E-2</v>
          </cell>
          <cell r="Z1425">
            <v>1.9649999999999997E-2</v>
          </cell>
          <cell r="AA1425">
            <v>2.1500000000000005E-2</v>
          </cell>
          <cell r="AB1425">
            <v>2.41E-2</v>
          </cell>
          <cell r="AC1425">
            <v>2.6900000000000004E-2</v>
          </cell>
        </row>
        <row r="1426">
          <cell r="T1426">
            <v>38464</v>
          </cell>
          <cell r="U1426">
            <v>1.3056000000000002E-2</v>
          </cell>
          <cell r="V1426">
            <v>1.3568999999999999E-2</v>
          </cell>
          <cell r="W1426">
            <v>1.4249999999999999E-2</v>
          </cell>
          <cell r="X1426">
            <v>1.6049999999999998E-2</v>
          </cell>
          <cell r="Y1426">
            <v>1.805E-2</v>
          </cell>
          <cell r="Z1426">
            <v>1.9649999999999997E-2</v>
          </cell>
          <cell r="AA1426">
            <v>2.1500000000000005E-2</v>
          </cell>
          <cell r="AB1426">
            <v>2.41E-2</v>
          </cell>
          <cell r="AC1426">
            <v>2.6900000000000004E-2</v>
          </cell>
        </row>
        <row r="1427">
          <cell r="T1427">
            <v>38463</v>
          </cell>
          <cell r="U1427">
            <v>1.3067E-2</v>
          </cell>
          <cell r="V1427">
            <v>1.3625E-2</v>
          </cell>
          <cell r="W1427">
            <v>1.4249999999999999E-2</v>
          </cell>
          <cell r="X1427">
            <v>1.6049999999999998E-2</v>
          </cell>
          <cell r="Y1427">
            <v>1.7950000000000001E-2</v>
          </cell>
          <cell r="Z1427">
            <v>1.975E-2</v>
          </cell>
          <cell r="AA1427">
            <v>2.1349999999999997E-2</v>
          </cell>
          <cell r="AB1427">
            <v>2.4000000000000004E-2</v>
          </cell>
          <cell r="AC1427">
            <v>2.6799999999999997E-2</v>
          </cell>
        </row>
        <row r="1428">
          <cell r="T1428">
            <v>38462</v>
          </cell>
          <cell r="U1428">
            <v>1.3127999999999999E-2</v>
          </cell>
          <cell r="V1428">
            <v>1.3731E-2</v>
          </cell>
          <cell r="W1428">
            <v>1.41E-2</v>
          </cell>
          <cell r="X1428">
            <v>1.5950000000000002E-2</v>
          </cell>
          <cell r="Y1428">
            <v>1.7850000000000001E-2</v>
          </cell>
          <cell r="Z1428">
            <v>1.9649999999999997E-2</v>
          </cell>
          <cell r="AA1428">
            <v>2.1299999999999999E-2</v>
          </cell>
          <cell r="AB1428">
            <v>2.41E-2</v>
          </cell>
          <cell r="AC1428">
            <v>2.6900000000000004E-2</v>
          </cell>
        </row>
        <row r="1429">
          <cell r="T1429">
            <v>38461</v>
          </cell>
          <cell r="U1429">
            <v>1.3000000000000001E-2</v>
          </cell>
          <cell r="V1429">
            <v>1.3563E-2</v>
          </cell>
          <cell r="W1429">
            <v>1.4249999999999999E-2</v>
          </cell>
          <cell r="X1429">
            <v>1.6250000000000001E-2</v>
          </cell>
          <cell r="Y1429">
            <v>1.8250000000000002E-2</v>
          </cell>
          <cell r="Z1429">
            <v>2.0049999999999998E-2</v>
          </cell>
          <cell r="AA1429">
            <v>2.1649999999999999E-2</v>
          </cell>
          <cell r="AB1429">
            <v>2.4500000000000001E-2</v>
          </cell>
          <cell r="AC1429">
            <v>2.7199999999999998E-2</v>
          </cell>
        </row>
        <row r="1430">
          <cell r="T1430">
            <v>38460</v>
          </cell>
          <cell r="U1430">
            <v>1.2944000000000001E-2</v>
          </cell>
          <cell r="V1430">
            <v>1.3514E-2</v>
          </cell>
          <cell r="W1430">
            <v>1.4249999999999999E-2</v>
          </cell>
          <cell r="X1430">
            <v>1.6150000000000001E-2</v>
          </cell>
          <cell r="Y1430">
            <v>1.805E-2</v>
          </cell>
          <cell r="Z1430">
            <v>1.9950000000000002E-2</v>
          </cell>
          <cell r="AA1430">
            <v>2.1550000000000003E-2</v>
          </cell>
          <cell r="AB1430">
            <v>2.4299999999999999E-2</v>
          </cell>
          <cell r="AC1430">
            <v>2.6900000000000004E-2</v>
          </cell>
        </row>
        <row r="1431">
          <cell r="T1431">
            <v>38459</v>
          </cell>
          <cell r="U1431">
            <v>1.2938E-2</v>
          </cell>
          <cell r="V1431">
            <v>1.3531E-2</v>
          </cell>
          <cell r="W1431">
            <v>1.44E-2</v>
          </cell>
          <cell r="X1431">
            <v>1.6299999999999999E-2</v>
          </cell>
          <cell r="Y1431">
            <v>1.8200000000000001E-2</v>
          </cell>
          <cell r="Z1431">
            <v>0.02</v>
          </cell>
          <cell r="AA1431">
            <v>2.1600000000000001E-2</v>
          </cell>
          <cell r="AB1431">
            <v>2.46E-2</v>
          </cell>
          <cell r="AC1431">
            <v>2.7099999999999999E-2</v>
          </cell>
        </row>
        <row r="1432">
          <cell r="T1432">
            <v>38458</v>
          </cell>
          <cell r="U1432">
            <v>1.2938E-2</v>
          </cell>
          <cell r="V1432">
            <v>1.3531E-2</v>
          </cell>
          <cell r="W1432">
            <v>1.44E-2</v>
          </cell>
          <cell r="X1432">
            <v>1.6299999999999999E-2</v>
          </cell>
          <cell r="Y1432">
            <v>1.8200000000000001E-2</v>
          </cell>
          <cell r="Z1432">
            <v>0.02</v>
          </cell>
          <cell r="AA1432">
            <v>2.1600000000000001E-2</v>
          </cell>
          <cell r="AB1432">
            <v>2.46E-2</v>
          </cell>
          <cell r="AC1432">
            <v>2.7099999999999999E-2</v>
          </cell>
        </row>
        <row r="1433">
          <cell r="T1433">
            <v>38457</v>
          </cell>
          <cell r="U1433">
            <v>1.2938E-2</v>
          </cell>
          <cell r="V1433">
            <v>1.3531E-2</v>
          </cell>
          <cell r="W1433">
            <v>1.44E-2</v>
          </cell>
          <cell r="X1433">
            <v>1.6299999999999999E-2</v>
          </cell>
          <cell r="Y1433">
            <v>1.8200000000000001E-2</v>
          </cell>
          <cell r="Z1433">
            <v>0.02</v>
          </cell>
          <cell r="AA1433">
            <v>2.1600000000000001E-2</v>
          </cell>
          <cell r="AB1433">
            <v>2.46E-2</v>
          </cell>
          <cell r="AC1433">
            <v>2.7099999999999999E-2</v>
          </cell>
        </row>
        <row r="1434">
          <cell r="T1434">
            <v>38456</v>
          </cell>
          <cell r="U1434">
            <v>1.2938E-2</v>
          </cell>
          <cell r="V1434">
            <v>1.3531E-2</v>
          </cell>
          <cell r="W1434">
            <v>1.4499999999999999E-2</v>
          </cell>
          <cell r="X1434">
            <v>1.6399999999999998E-2</v>
          </cell>
          <cell r="Y1434">
            <v>1.8349999999999998E-2</v>
          </cell>
          <cell r="Z1434">
            <v>2.0099999999999996E-2</v>
          </cell>
          <cell r="AA1434">
            <v>2.1749999999999999E-2</v>
          </cell>
          <cell r="AB1434">
            <v>2.4699999999999996E-2</v>
          </cell>
          <cell r="AC1434">
            <v>2.7199999999999998E-2</v>
          </cell>
        </row>
        <row r="1435">
          <cell r="T1435">
            <v>38455</v>
          </cell>
          <cell r="U1435">
            <v>1.3011999999999999E-2</v>
          </cell>
          <cell r="V1435">
            <v>1.3578E-2</v>
          </cell>
          <cell r="W1435">
            <v>1.4649999999999998E-2</v>
          </cell>
          <cell r="X1435">
            <v>1.6549999999999999E-2</v>
          </cell>
          <cell r="Y1435">
            <v>1.8550000000000001E-2</v>
          </cell>
          <cell r="Z1435">
            <v>2.0199999999999999E-2</v>
          </cell>
          <cell r="AA1435">
            <v>2.1850000000000001E-2</v>
          </cell>
          <cell r="AB1435">
            <v>2.4749999999999998E-2</v>
          </cell>
          <cell r="AC1435">
            <v>2.7149999999999997E-2</v>
          </cell>
        </row>
        <row r="1436">
          <cell r="T1436">
            <v>38454</v>
          </cell>
          <cell r="U1436">
            <v>1.2978E-2</v>
          </cell>
          <cell r="V1436">
            <v>1.3514E-2</v>
          </cell>
          <cell r="W1436">
            <v>1.46E-2</v>
          </cell>
          <cell r="X1436">
            <v>1.6549999999999999E-2</v>
          </cell>
          <cell r="Y1436">
            <v>1.8450000000000001E-2</v>
          </cell>
          <cell r="Z1436">
            <v>2.035E-2</v>
          </cell>
          <cell r="AA1436">
            <v>2.1950000000000004E-2</v>
          </cell>
          <cell r="AB1436">
            <v>2.4799999999999999E-2</v>
          </cell>
          <cell r="AC1436">
            <v>2.7350000000000003E-2</v>
          </cell>
        </row>
        <row r="1437">
          <cell r="T1437">
            <v>38453</v>
          </cell>
          <cell r="U1437">
            <v>1.3000000000000001E-2</v>
          </cell>
          <cell r="V1437">
            <v>1.3583000000000001E-2</v>
          </cell>
          <cell r="W1437">
            <v>1.4649999999999998E-2</v>
          </cell>
          <cell r="X1437">
            <v>1.6650000000000002E-2</v>
          </cell>
          <cell r="Y1437">
            <v>1.8550000000000001E-2</v>
          </cell>
          <cell r="Z1437">
            <v>2.0400000000000001E-2</v>
          </cell>
          <cell r="AA1437">
            <v>2.2000000000000002E-2</v>
          </cell>
          <cell r="AB1437">
            <v>2.4900000000000002E-2</v>
          </cell>
          <cell r="AC1437">
            <v>2.7400000000000001E-2</v>
          </cell>
        </row>
        <row r="1438">
          <cell r="T1438">
            <v>38452</v>
          </cell>
          <cell r="U1438">
            <v>1.3000000000000001E-2</v>
          </cell>
          <cell r="V1438">
            <v>1.3563E-2</v>
          </cell>
          <cell r="W1438">
            <v>1.4649999999999998E-2</v>
          </cell>
          <cell r="X1438">
            <v>1.66E-2</v>
          </cell>
          <cell r="Y1438">
            <v>1.865E-2</v>
          </cell>
          <cell r="Z1438">
            <v>2.0499999999999997E-2</v>
          </cell>
          <cell r="AA1438">
            <v>2.2200000000000001E-2</v>
          </cell>
          <cell r="AB1438">
            <v>2.5000000000000001E-2</v>
          </cell>
          <cell r="AC1438">
            <v>2.75E-2</v>
          </cell>
        </row>
        <row r="1439">
          <cell r="T1439">
            <v>38451</v>
          </cell>
          <cell r="U1439">
            <v>1.3000000000000001E-2</v>
          </cell>
          <cell r="V1439">
            <v>1.3563E-2</v>
          </cell>
          <cell r="W1439">
            <v>1.4649999999999998E-2</v>
          </cell>
          <cell r="X1439">
            <v>1.66E-2</v>
          </cell>
          <cell r="Y1439">
            <v>1.865E-2</v>
          </cell>
          <cell r="Z1439">
            <v>2.0499999999999997E-2</v>
          </cell>
          <cell r="AA1439">
            <v>2.2200000000000001E-2</v>
          </cell>
          <cell r="AB1439">
            <v>2.5000000000000001E-2</v>
          </cell>
          <cell r="AC1439">
            <v>2.75E-2</v>
          </cell>
        </row>
        <row r="1440">
          <cell r="T1440">
            <v>38450</v>
          </cell>
          <cell r="U1440">
            <v>1.3000000000000001E-2</v>
          </cell>
          <cell r="V1440">
            <v>1.3563E-2</v>
          </cell>
          <cell r="W1440">
            <v>1.4649999999999998E-2</v>
          </cell>
          <cell r="X1440">
            <v>1.66E-2</v>
          </cell>
          <cell r="Y1440">
            <v>1.865E-2</v>
          </cell>
          <cell r="Z1440">
            <v>2.0499999999999997E-2</v>
          </cell>
          <cell r="AA1440">
            <v>2.2200000000000001E-2</v>
          </cell>
          <cell r="AB1440">
            <v>2.5000000000000001E-2</v>
          </cell>
          <cell r="AC1440">
            <v>2.75E-2</v>
          </cell>
        </row>
        <row r="1441">
          <cell r="T1441">
            <v>38449</v>
          </cell>
          <cell r="U1441">
            <v>1.2971999999999999E-2</v>
          </cell>
          <cell r="V1441">
            <v>1.3514E-2</v>
          </cell>
          <cell r="W1441">
            <v>1.4649999999999998E-2</v>
          </cell>
          <cell r="X1441">
            <v>1.66E-2</v>
          </cell>
          <cell r="Y1441">
            <v>1.865E-2</v>
          </cell>
          <cell r="Z1441">
            <v>2.035E-2</v>
          </cell>
          <cell r="AA1441">
            <v>2.2000000000000002E-2</v>
          </cell>
          <cell r="AB1441">
            <v>2.4799999999999999E-2</v>
          </cell>
          <cell r="AC1441">
            <v>2.75E-2</v>
          </cell>
        </row>
        <row r="1442">
          <cell r="T1442">
            <v>38448</v>
          </cell>
          <cell r="U1442">
            <v>1.3067E-2</v>
          </cell>
          <cell r="V1442">
            <v>1.3625E-2</v>
          </cell>
          <cell r="W1442">
            <v>1.455E-2</v>
          </cell>
          <cell r="X1442">
            <v>1.6650000000000002E-2</v>
          </cell>
          <cell r="Y1442">
            <v>1.865E-2</v>
          </cell>
          <cell r="Z1442">
            <v>2.035E-2</v>
          </cell>
          <cell r="AA1442">
            <v>2.205E-2</v>
          </cell>
          <cell r="AB1442">
            <v>2.4799999999999999E-2</v>
          </cell>
          <cell r="AC1442">
            <v>2.75E-2</v>
          </cell>
        </row>
        <row r="1443">
          <cell r="T1443">
            <v>38447</v>
          </cell>
          <cell r="U1443">
            <v>1.2944000000000001E-2</v>
          </cell>
          <cell r="V1443">
            <v>1.3514E-2</v>
          </cell>
          <cell r="W1443">
            <v>1.46E-2</v>
          </cell>
          <cell r="X1443">
            <v>1.6500000000000001E-2</v>
          </cell>
          <cell r="Y1443">
            <v>1.8500000000000003E-2</v>
          </cell>
          <cell r="Z1443">
            <v>2.0199999999999999E-2</v>
          </cell>
          <cell r="AA1443">
            <v>2.1850000000000001E-2</v>
          </cell>
          <cell r="AB1443">
            <v>2.4699999999999996E-2</v>
          </cell>
          <cell r="AC1443">
            <v>2.7450000000000002E-2</v>
          </cell>
        </row>
        <row r="1444">
          <cell r="T1444">
            <v>38446</v>
          </cell>
          <cell r="U1444">
            <v>1.2944000000000001E-2</v>
          </cell>
          <cell r="V1444">
            <v>1.3514E-2</v>
          </cell>
          <cell r="W1444">
            <v>1.46E-2</v>
          </cell>
          <cell r="X1444">
            <v>1.6500000000000001E-2</v>
          </cell>
          <cell r="Y1444">
            <v>1.8500000000000003E-2</v>
          </cell>
          <cell r="Z1444">
            <v>2.0199999999999999E-2</v>
          </cell>
          <cell r="AA1444">
            <v>2.1850000000000001E-2</v>
          </cell>
          <cell r="AB1444">
            <v>2.4699999999999996E-2</v>
          </cell>
          <cell r="AC1444">
            <v>2.7450000000000002E-2</v>
          </cell>
        </row>
        <row r="1445">
          <cell r="T1445">
            <v>38445</v>
          </cell>
          <cell r="U1445">
            <v>1.3000000000000001E-2</v>
          </cell>
          <cell r="V1445">
            <v>1.3563E-2</v>
          </cell>
          <cell r="W1445">
            <v>1.4499999999999999E-2</v>
          </cell>
          <cell r="X1445">
            <v>1.6500000000000001E-2</v>
          </cell>
          <cell r="Y1445">
            <v>1.8450000000000001E-2</v>
          </cell>
          <cell r="Z1445">
            <v>2.0049999999999998E-2</v>
          </cell>
          <cell r="AA1445">
            <v>2.1749999999999999E-2</v>
          </cell>
          <cell r="AB1445">
            <v>2.4699999999999996E-2</v>
          </cell>
          <cell r="AC1445">
            <v>2.75E-2</v>
          </cell>
        </row>
        <row r="1446">
          <cell r="T1446">
            <v>38444</v>
          </cell>
          <cell r="U1446">
            <v>1.3000000000000001E-2</v>
          </cell>
          <cell r="V1446">
            <v>1.3563E-2</v>
          </cell>
          <cell r="W1446">
            <v>1.4499999999999999E-2</v>
          </cell>
          <cell r="X1446">
            <v>1.6500000000000001E-2</v>
          </cell>
          <cell r="Y1446">
            <v>1.8450000000000001E-2</v>
          </cell>
          <cell r="Z1446">
            <v>2.0049999999999998E-2</v>
          </cell>
          <cell r="AA1446">
            <v>2.1749999999999999E-2</v>
          </cell>
          <cell r="AB1446">
            <v>2.4699999999999996E-2</v>
          </cell>
          <cell r="AC1446">
            <v>2.75E-2</v>
          </cell>
        </row>
        <row r="1447">
          <cell r="T1447">
            <v>38443</v>
          </cell>
          <cell r="U1447">
            <v>1.3000000000000001E-2</v>
          </cell>
          <cell r="V1447">
            <v>1.3563E-2</v>
          </cell>
          <cell r="W1447">
            <v>1.4499999999999999E-2</v>
          </cell>
          <cell r="X1447">
            <v>1.6500000000000001E-2</v>
          </cell>
          <cell r="Y1447">
            <v>1.8450000000000001E-2</v>
          </cell>
          <cell r="Z1447">
            <v>2.0049999999999998E-2</v>
          </cell>
          <cell r="AA1447">
            <v>2.1749999999999999E-2</v>
          </cell>
          <cell r="AB1447">
            <v>2.4699999999999996E-2</v>
          </cell>
          <cell r="AC1447">
            <v>2.75E-2</v>
          </cell>
        </row>
        <row r="1448">
          <cell r="T1448">
            <v>38442</v>
          </cell>
          <cell r="U1448">
            <v>1.3067E-2</v>
          </cell>
          <cell r="V1448">
            <v>1.3542E-2</v>
          </cell>
          <cell r="W1448">
            <v>1.455E-2</v>
          </cell>
          <cell r="X1448">
            <v>1.66E-2</v>
          </cell>
          <cell r="Y1448">
            <v>1.8700000000000001E-2</v>
          </cell>
          <cell r="Z1448">
            <v>2.035E-2</v>
          </cell>
          <cell r="AA1448">
            <v>2.2200000000000001E-2</v>
          </cell>
          <cell r="AB1448">
            <v>2.5000000000000001E-2</v>
          </cell>
          <cell r="AC1448">
            <v>2.7699999999999999E-2</v>
          </cell>
        </row>
        <row r="1449">
          <cell r="T1449">
            <v>38441</v>
          </cell>
          <cell r="U1449">
            <v>1.3000000000000001E-2</v>
          </cell>
          <cell r="V1449">
            <v>1.3563E-2</v>
          </cell>
          <cell r="W1449">
            <v>1.46E-2</v>
          </cell>
          <cell r="X1449">
            <v>1.6449999999999999E-2</v>
          </cell>
          <cell r="Y1449">
            <v>1.8599999999999998E-2</v>
          </cell>
          <cell r="Z1449">
            <v>2.0099999999999996E-2</v>
          </cell>
          <cell r="AA1449">
            <v>2.1850000000000001E-2</v>
          </cell>
          <cell r="AB1449">
            <v>2.4450000000000003E-2</v>
          </cell>
          <cell r="AC1449">
            <v>2.75E-2</v>
          </cell>
        </row>
        <row r="1450">
          <cell r="T1450">
            <v>38440</v>
          </cell>
          <cell r="U1450">
            <v>1.3115000000000002E-2</v>
          </cell>
          <cell r="V1450">
            <v>1.3656999999999999E-2</v>
          </cell>
          <cell r="W1450">
            <v>1.4649999999999998E-2</v>
          </cell>
          <cell r="X1450">
            <v>1.6749999999999998E-2</v>
          </cell>
          <cell r="Y1450">
            <v>1.865E-2</v>
          </cell>
          <cell r="Z1450">
            <v>2.0250000000000001E-2</v>
          </cell>
          <cell r="AA1450">
            <v>2.2000000000000002E-2</v>
          </cell>
          <cell r="AB1450">
            <v>2.4699999999999996E-2</v>
          </cell>
          <cell r="AC1450">
            <v>2.76E-2</v>
          </cell>
        </row>
        <row r="1451">
          <cell r="T1451">
            <v>38439</v>
          </cell>
          <cell r="U1451">
            <v>1.2962E-2</v>
          </cell>
          <cell r="V1451">
            <v>1.3479000000000001E-2</v>
          </cell>
          <cell r="W1451">
            <v>1.4750000000000001E-2</v>
          </cell>
          <cell r="X1451">
            <v>1.685E-2</v>
          </cell>
          <cell r="Y1451">
            <v>1.8950000000000002E-2</v>
          </cell>
          <cell r="Z1451">
            <v>2.0549999999999999E-2</v>
          </cell>
          <cell r="AA1451">
            <v>2.2450000000000001E-2</v>
          </cell>
          <cell r="AB1451">
            <v>2.5099999999999997E-2</v>
          </cell>
          <cell r="AC1451">
            <v>2.7800000000000002E-2</v>
          </cell>
        </row>
        <row r="1452">
          <cell r="T1452">
            <v>38438</v>
          </cell>
          <cell r="U1452">
            <v>1.2919E-2</v>
          </cell>
          <cell r="V1452">
            <v>1.3500000000000002E-2</v>
          </cell>
          <cell r="W1452">
            <v>1.4849999999999999E-2</v>
          </cell>
          <cell r="X1452">
            <v>1.6799999999999999E-2</v>
          </cell>
          <cell r="Y1452">
            <v>1.9E-2</v>
          </cell>
          <cell r="Z1452">
            <v>2.0750000000000001E-2</v>
          </cell>
          <cell r="AA1452">
            <v>2.2450000000000001E-2</v>
          </cell>
          <cell r="AB1452">
            <v>2.5600000000000001E-2</v>
          </cell>
          <cell r="AC1452">
            <v>2.8200000000000003E-2</v>
          </cell>
        </row>
        <row r="1453">
          <cell r="T1453">
            <v>38437</v>
          </cell>
          <cell r="U1453">
            <v>1.2919E-2</v>
          </cell>
          <cell r="V1453">
            <v>1.3500000000000002E-2</v>
          </cell>
          <cell r="W1453">
            <v>1.4849999999999999E-2</v>
          </cell>
          <cell r="X1453">
            <v>1.6799999999999999E-2</v>
          </cell>
          <cell r="Y1453">
            <v>1.9E-2</v>
          </cell>
          <cell r="Z1453">
            <v>2.0750000000000001E-2</v>
          </cell>
          <cell r="AA1453">
            <v>2.2450000000000001E-2</v>
          </cell>
          <cell r="AB1453">
            <v>2.5600000000000001E-2</v>
          </cell>
          <cell r="AC1453">
            <v>2.8200000000000003E-2</v>
          </cell>
        </row>
        <row r="1454">
          <cell r="T1454">
            <v>38436</v>
          </cell>
          <cell r="U1454">
            <v>1.2919E-2</v>
          </cell>
          <cell r="V1454">
            <v>1.3500000000000002E-2</v>
          </cell>
          <cell r="W1454">
            <v>1.4849999999999999E-2</v>
          </cell>
          <cell r="X1454">
            <v>1.6799999999999999E-2</v>
          </cell>
          <cell r="Y1454">
            <v>1.9E-2</v>
          </cell>
          <cell r="Z1454">
            <v>2.0750000000000001E-2</v>
          </cell>
          <cell r="AA1454">
            <v>2.2450000000000001E-2</v>
          </cell>
          <cell r="AB1454">
            <v>2.5600000000000001E-2</v>
          </cell>
          <cell r="AC1454">
            <v>2.8200000000000003E-2</v>
          </cell>
        </row>
        <row r="1455">
          <cell r="T1455">
            <v>38435</v>
          </cell>
          <cell r="U1455">
            <v>1.2434000000000001E-2</v>
          </cell>
          <cell r="V1455">
            <v>1.3130999999999999E-2</v>
          </cell>
          <cell r="W1455">
            <v>1.4750000000000001E-2</v>
          </cell>
          <cell r="X1455">
            <v>1.695E-2</v>
          </cell>
          <cell r="Y1455">
            <v>1.925E-2</v>
          </cell>
          <cell r="Z1455">
            <v>2.1150000000000002E-2</v>
          </cell>
          <cell r="AA1455">
            <v>2.2949999999999998E-2</v>
          </cell>
          <cell r="AB1455">
            <v>2.605E-2</v>
          </cell>
          <cell r="AC1455">
            <v>2.8499999999999998E-2</v>
          </cell>
        </row>
        <row r="1456">
          <cell r="T1456">
            <v>38434</v>
          </cell>
          <cell r="U1456">
            <v>1.2402E-2</v>
          </cell>
          <cell r="V1456">
            <v>1.3118000000000001E-2</v>
          </cell>
          <cell r="W1456">
            <v>1.49E-2</v>
          </cell>
          <cell r="X1456">
            <v>1.7149999999999999E-2</v>
          </cell>
          <cell r="Y1456">
            <v>1.9299999999999998E-2</v>
          </cell>
          <cell r="Z1456">
            <v>2.1099999999999997E-2</v>
          </cell>
          <cell r="AA1456">
            <v>2.3E-2</v>
          </cell>
          <cell r="AB1456">
            <v>2.5949999999999997E-2</v>
          </cell>
          <cell r="AC1456">
            <v>2.8250000000000001E-2</v>
          </cell>
        </row>
        <row r="1457">
          <cell r="T1457">
            <v>38433</v>
          </cell>
          <cell r="U1457">
            <v>1.2456E-2</v>
          </cell>
          <cell r="V1457">
            <v>1.3130999999999999E-2</v>
          </cell>
          <cell r="W1457">
            <v>1.4750000000000001E-2</v>
          </cell>
          <cell r="X1457">
            <v>1.6799999999999999E-2</v>
          </cell>
          <cell r="Y1457">
            <v>1.915E-2</v>
          </cell>
          <cell r="Z1457">
            <v>2.0750000000000001E-2</v>
          </cell>
          <cell r="AA1457">
            <v>2.2649999999999997E-2</v>
          </cell>
          <cell r="AB1457">
            <v>2.5600000000000001E-2</v>
          </cell>
          <cell r="AC1457">
            <v>2.76E-2</v>
          </cell>
        </row>
        <row r="1458">
          <cell r="T1458">
            <v>38432</v>
          </cell>
          <cell r="U1458">
            <v>1.2418999999999999E-2</v>
          </cell>
          <cell r="V1458">
            <v>1.3172E-2</v>
          </cell>
          <cell r="W1458">
            <v>1.4649999999999998E-2</v>
          </cell>
          <cell r="X1458">
            <v>1.6650000000000002E-2</v>
          </cell>
          <cell r="Y1458">
            <v>1.8849999999999999E-2</v>
          </cell>
          <cell r="Z1458">
            <v>2.0649999999999998E-2</v>
          </cell>
          <cell r="AA1458">
            <v>2.2450000000000001E-2</v>
          </cell>
          <cell r="AB1458">
            <v>2.5249999999999998E-2</v>
          </cell>
          <cell r="AC1458">
            <v>2.76E-2</v>
          </cell>
        </row>
        <row r="1459">
          <cell r="T1459">
            <v>38431</v>
          </cell>
          <cell r="U1459">
            <v>1.2472E-2</v>
          </cell>
          <cell r="V1459">
            <v>1.3225000000000001E-2</v>
          </cell>
          <cell r="W1459">
            <v>1.455E-2</v>
          </cell>
          <cell r="X1459">
            <v>1.6500000000000001E-2</v>
          </cell>
          <cell r="Y1459">
            <v>1.8799999999999997E-2</v>
          </cell>
          <cell r="Z1459">
            <v>2.0549999999999999E-2</v>
          </cell>
          <cell r="AA1459">
            <v>2.2349999999999998E-2</v>
          </cell>
          <cell r="AB1459">
            <v>2.4900000000000002E-2</v>
          </cell>
          <cell r="AC1459">
            <v>2.75E-2</v>
          </cell>
        </row>
        <row r="1460">
          <cell r="T1460">
            <v>38430</v>
          </cell>
          <cell r="U1460">
            <v>1.2472E-2</v>
          </cell>
          <cell r="V1460">
            <v>1.3225000000000001E-2</v>
          </cell>
          <cell r="W1460">
            <v>1.455E-2</v>
          </cell>
          <cell r="X1460">
            <v>1.6500000000000001E-2</v>
          </cell>
          <cell r="Y1460">
            <v>1.8799999999999997E-2</v>
          </cell>
          <cell r="Z1460">
            <v>2.0549999999999999E-2</v>
          </cell>
          <cell r="AA1460">
            <v>2.2349999999999998E-2</v>
          </cell>
          <cell r="AB1460">
            <v>2.4900000000000002E-2</v>
          </cell>
          <cell r="AC1460">
            <v>2.75E-2</v>
          </cell>
        </row>
        <row r="1461">
          <cell r="T1461">
            <v>38429</v>
          </cell>
          <cell r="U1461">
            <v>1.2472E-2</v>
          </cell>
          <cell r="V1461">
            <v>1.3225000000000001E-2</v>
          </cell>
          <cell r="W1461">
            <v>1.455E-2</v>
          </cell>
          <cell r="X1461">
            <v>1.6500000000000001E-2</v>
          </cell>
          <cell r="Y1461">
            <v>1.8799999999999997E-2</v>
          </cell>
          <cell r="Z1461">
            <v>2.0549999999999999E-2</v>
          </cell>
          <cell r="AA1461">
            <v>2.2349999999999998E-2</v>
          </cell>
          <cell r="AB1461">
            <v>2.4900000000000002E-2</v>
          </cell>
          <cell r="AC1461">
            <v>2.75E-2</v>
          </cell>
        </row>
        <row r="1462">
          <cell r="T1462">
            <v>38428</v>
          </cell>
          <cell r="U1462">
            <v>1.2418999999999999E-2</v>
          </cell>
          <cell r="V1462">
            <v>1.3172E-2</v>
          </cell>
          <cell r="W1462">
            <v>1.4499999999999999E-2</v>
          </cell>
          <cell r="X1462">
            <v>1.66E-2</v>
          </cell>
          <cell r="Y1462">
            <v>1.89E-2</v>
          </cell>
          <cell r="Z1462">
            <v>2.07E-2</v>
          </cell>
          <cell r="AA1462">
            <v>2.2499999999999999E-2</v>
          </cell>
          <cell r="AB1462">
            <v>2.5099999999999997E-2</v>
          </cell>
          <cell r="AC1462">
            <v>2.7949999999999999E-2</v>
          </cell>
        </row>
        <row r="1463">
          <cell r="T1463">
            <v>38427</v>
          </cell>
          <cell r="U1463">
            <v>1.2331000000000002E-2</v>
          </cell>
          <cell r="V1463">
            <v>1.3016000000000002E-2</v>
          </cell>
          <cell r="W1463">
            <v>1.455E-2</v>
          </cell>
          <cell r="X1463">
            <v>1.6749999999999998E-2</v>
          </cell>
          <cell r="Y1463">
            <v>1.8950000000000002E-2</v>
          </cell>
          <cell r="Z1463">
            <v>2.0649999999999998E-2</v>
          </cell>
          <cell r="AA1463">
            <v>2.2450000000000001E-2</v>
          </cell>
          <cell r="AB1463">
            <v>2.5049999999999999E-2</v>
          </cell>
          <cell r="AC1463">
            <v>2.7000000000000003E-2</v>
          </cell>
        </row>
        <row r="1464">
          <cell r="T1464">
            <v>38426</v>
          </cell>
          <cell r="U1464">
            <v>1.2365999999999999E-2</v>
          </cell>
          <cell r="V1464">
            <v>1.3061E-2</v>
          </cell>
          <cell r="W1464">
            <v>1.46E-2</v>
          </cell>
          <cell r="X1464">
            <v>1.66E-2</v>
          </cell>
          <cell r="Y1464">
            <v>1.8799999999999997E-2</v>
          </cell>
          <cell r="Z1464">
            <v>2.06E-2</v>
          </cell>
          <cell r="AA1464">
            <v>2.23E-2</v>
          </cell>
          <cell r="AB1464">
            <v>2.4900000000000002E-2</v>
          </cell>
          <cell r="AC1464">
            <v>2.7000000000000003E-2</v>
          </cell>
        </row>
        <row r="1465">
          <cell r="T1465">
            <v>38425</v>
          </cell>
          <cell r="U1465">
            <v>1.2402E-2</v>
          </cell>
          <cell r="V1465">
            <v>1.3118000000000001E-2</v>
          </cell>
          <cell r="W1465">
            <v>1.4449999999999998E-2</v>
          </cell>
          <cell r="X1465">
            <v>1.6650000000000002E-2</v>
          </cell>
          <cell r="Y1465">
            <v>1.8749999999999999E-2</v>
          </cell>
          <cell r="Z1465">
            <v>2.0449999999999999E-2</v>
          </cell>
          <cell r="AA1465">
            <v>2.215E-2</v>
          </cell>
          <cell r="AB1465">
            <v>2.5000000000000001E-2</v>
          </cell>
          <cell r="AC1465">
            <v>2.7000000000000003E-2</v>
          </cell>
        </row>
        <row r="1466">
          <cell r="T1466">
            <v>38424</v>
          </cell>
          <cell r="U1466">
            <v>1.2364E-2</v>
          </cell>
          <cell r="V1466">
            <v>1.3075000000000002E-2</v>
          </cell>
          <cell r="W1466">
            <v>1.44E-2</v>
          </cell>
          <cell r="X1466">
            <v>1.6349999999999996E-2</v>
          </cell>
          <cell r="Y1466">
            <v>1.8600000000000002E-2</v>
          </cell>
          <cell r="Z1466">
            <v>2.0099999999999996E-2</v>
          </cell>
          <cell r="AA1466">
            <v>2.1850000000000001E-2</v>
          </cell>
          <cell r="AB1466">
            <v>2.4450000000000003E-2</v>
          </cell>
          <cell r="AC1466">
            <v>2.6900000000000004E-2</v>
          </cell>
        </row>
        <row r="1467">
          <cell r="T1467">
            <v>38423</v>
          </cell>
          <cell r="U1467">
            <v>1.2364E-2</v>
          </cell>
          <cell r="V1467">
            <v>1.3075000000000002E-2</v>
          </cell>
          <cell r="W1467">
            <v>1.44E-2</v>
          </cell>
          <cell r="X1467">
            <v>1.6349999999999996E-2</v>
          </cell>
          <cell r="Y1467">
            <v>1.8600000000000002E-2</v>
          </cell>
          <cell r="Z1467">
            <v>2.0099999999999996E-2</v>
          </cell>
          <cell r="AA1467">
            <v>2.1850000000000001E-2</v>
          </cell>
          <cell r="AB1467">
            <v>2.4450000000000003E-2</v>
          </cell>
          <cell r="AC1467">
            <v>2.6900000000000004E-2</v>
          </cell>
        </row>
        <row r="1468">
          <cell r="T1468">
            <v>38422</v>
          </cell>
          <cell r="U1468">
            <v>1.2364E-2</v>
          </cell>
          <cell r="V1468">
            <v>1.3075000000000002E-2</v>
          </cell>
          <cell r="W1468">
            <v>1.44E-2</v>
          </cell>
          <cell r="X1468">
            <v>1.6349999999999996E-2</v>
          </cell>
          <cell r="Y1468">
            <v>1.8600000000000002E-2</v>
          </cell>
          <cell r="Z1468">
            <v>2.0099999999999996E-2</v>
          </cell>
          <cell r="AA1468">
            <v>2.1850000000000001E-2</v>
          </cell>
          <cell r="AB1468">
            <v>2.4450000000000003E-2</v>
          </cell>
          <cell r="AC1468">
            <v>2.6900000000000004E-2</v>
          </cell>
        </row>
        <row r="1469">
          <cell r="T1469">
            <v>38421</v>
          </cell>
          <cell r="U1469">
            <v>1.2470000000000002E-2</v>
          </cell>
          <cell r="V1469">
            <v>1.3166000000000001E-2</v>
          </cell>
          <cell r="W1469">
            <v>1.4649999999999998E-2</v>
          </cell>
          <cell r="X1469">
            <v>1.6549999999999999E-2</v>
          </cell>
          <cell r="Y1469">
            <v>1.865E-2</v>
          </cell>
          <cell r="Z1469">
            <v>2.0300000000000002E-2</v>
          </cell>
          <cell r="AA1469">
            <v>2.2099999999999998E-2</v>
          </cell>
          <cell r="AB1469">
            <v>2.4649999999999998E-2</v>
          </cell>
          <cell r="AC1469">
            <v>2.6950000000000002E-2</v>
          </cell>
        </row>
        <row r="1470">
          <cell r="T1470">
            <v>38420</v>
          </cell>
          <cell r="U1470">
            <v>1.2365999999999999E-2</v>
          </cell>
          <cell r="V1470">
            <v>1.3061E-2</v>
          </cell>
          <cell r="W1470">
            <v>1.4249999999999999E-2</v>
          </cell>
          <cell r="X1470">
            <v>1.635E-2</v>
          </cell>
          <cell r="Y1470">
            <v>1.8450000000000001E-2</v>
          </cell>
          <cell r="Z1470">
            <v>2.0049999999999998E-2</v>
          </cell>
          <cell r="AA1470">
            <v>2.1749999999999999E-2</v>
          </cell>
          <cell r="AB1470">
            <v>2.4249999999999997E-2</v>
          </cell>
          <cell r="AC1470">
            <v>2.6450000000000001E-2</v>
          </cell>
        </row>
        <row r="1471">
          <cell r="T1471">
            <v>38419</v>
          </cell>
          <cell r="U1471">
            <v>1.2375000000000001E-2</v>
          </cell>
          <cell r="V1471">
            <v>1.3078000000000001E-2</v>
          </cell>
          <cell r="W1471">
            <v>1.435E-2</v>
          </cell>
          <cell r="X1471">
            <v>1.635E-2</v>
          </cell>
          <cell r="Y1471">
            <v>1.8349999999999998E-2</v>
          </cell>
          <cell r="Z1471">
            <v>2.0150000000000001E-2</v>
          </cell>
          <cell r="AA1471">
            <v>2.1649999999999999E-2</v>
          </cell>
          <cell r="AB1471">
            <v>2.41E-2</v>
          </cell>
          <cell r="AC1471">
            <v>2.64E-2</v>
          </cell>
        </row>
        <row r="1472">
          <cell r="T1472">
            <v>38418</v>
          </cell>
          <cell r="U1472">
            <v>1.2478E-2</v>
          </cell>
          <cell r="V1472">
            <v>1.3119E-2</v>
          </cell>
          <cell r="W1472">
            <v>1.435E-2</v>
          </cell>
          <cell r="X1472">
            <v>1.635E-2</v>
          </cell>
          <cell r="Y1472">
            <v>1.8349999999999998E-2</v>
          </cell>
          <cell r="Z1472">
            <v>2.0150000000000001E-2</v>
          </cell>
          <cell r="AA1472">
            <v>2.1649999999999999E-2</v>
          </cell>
          <cell r="AB1472">
            <v>2.4249999999999997E-2</v>
          </cell>
          <cell r="AC1472">
            <v>2.665E-2</v>
          </cell>
        </row>
        <row r="1473">
          <cell r="T1473">
            <v>38417</v>
          </cell>
          <cell r="U1473">
            <v>1.2501999999999999E-2</v>
          </cell>
          <cell r="V1473">
            <v>1.3220000000000001E-2</v>
          </cell>
          <cell r="W1473">
            <v>1.4499999999999999E-2</v>
          </cell>
          <cell r="X1473">
            <v>1.6650000000000002E-2</v>
          </cell>
          <cell r="Y1473">
            <v>1.8550000000000001E-2</v>
          </cell>
          <cell r="Z1473">
            <v>2.035E-2</v>
          </cell>
          <cell r="AA1473">
            <v>2.1900000000000003E-2</v>
          </cell>
          <cell r="AB1473">
            <v>2.4450000000000003E-2</v>
          </cell>
          <cell r="AC1473">
            <v>2.6699999999999998E-2</v>
          </cell>
        </row>
        <row r="1474">
          <cell r="T1474">
            <v>38416</v>
          </cell>
          <cell r="U1474">
            <v>1.2501999999999999E-2</v>
          </cell>
          <cell r="V1474">
            <v>1.3220000000000001E-2</v>
          </cell>
          <cell r="W1474">
            <v>1.4499999999999999E-2</v>
          </cell>
          <cell r="X1474">
            <v>1.6650000000000002E-2</v>
          </cell>
          <cell r="Y1474">
            <v>1.8550000000000001E-2</v>
          </cell>
          <cell r="Z1474">
            <v>2.035E-2</v>
          </cell>
          <cell r="AA1474">
            <v>2.1900000000000003E-2</v>
          </cell>
          <cell r="AB1474">
            <v>2.4450000000000003E-2</v>
          </cell>
          <cell r="AC1474">
            <v>2.6699999999999998E-2</v>
          </cell>
        </row>
        <row r="1475">
          <cell r="T1475">
            <v>38415</v>
          </cell>
          <cell r="U1475">
            <v>1.2501999999999999E-2</v>
          </cell>
          <cell r="V1475">
            <v>1.3220000000000001E-2</v>
          </cell>
          <cell r="W1475">
            <v>1.4499999999999999E-2</v>
          </cell>
          <cell r="X1475">
            <v>1.6650000000000002E-2</v>
          </cell>
          <cell r="Y1475">
            <v>1.8550000000000001E-2</v>
          </cell>
          <cell r="Z1475">
            <v>2.035E-2</v>
          </cell>
          <cell r="AA1475">
            <v>2.1900000000000003E-2</v>
          </cell>
          <cell r="AB1475">
            <v>2.4450000000000003E-2</v>
          </cell>
          <cell r="AC1475">
            <v>2.6699999999999998E-2</v>
          </cell>
        </row>
        <row r="1476">
          <cell r="T1476">
            <v>38414</v>
          </cell>
          <cell r="U1476">
            <v>1.2447E-2</v>
          </cell>
          <cell r="V1476">
            <v>1.3158000000000001E-2</v>
          </cell>
          <cell r="W1476">
            <v>1.435E-2</v>
          </cell>
          <cell r="X1476">
            <v>1.6549999999999999E-2</v>
          </cell>
          <cell r="Y1476">
            <v>1.8550000000000001E-2</v>
          </cell>
          <cell r="Z1476">
            <v>2.0250000000000001E-2</v>
          </cell>
          <cell r="AA1476">
            <v>2.1749999999999999E-2</v>
          </cell>
          <cell r="AB1476">
            <v>2.4399999999999998E-2</v>
          </cell>
          <cell r="AC1476">
            <v>2.6900000000000004E-2</v>
          </cell>
        </row>
        <row r="1477">
          <cell r="T1477">
            <v>38413</v>
          </cell>
          <cell r="U1477">
            <v>1.2405999999999999E-2</v>
          </cell>
          <cell r="V1477">
            <v>1.3075000000000002E-2</v>
          </cell>
          <cell r="W1477">
            <v>1.435E-2</v>
          </cell>
          <cell r="X1477">
            <v>1.635E-2</v>
          </cell>
          <cell r="Y1477">
            <v>1.8250000000000002E-2</v>
          </cell>
          <cell r="Z1477">
            <v>1.975E-2</v>
          </cell>
          <cell r="AA1477">
            <v>2.145E-2</v>
          </cell>
          <cell r="AB1477">
            <v>2.3900000000000001E-2</v>
          </cell>
          <cell r="AC1477">
            <v>2.5999999999999995E-2</v>
          </cell>
        </row>
        <row r="1478">
          <cell r="T1478">
            <v>38412</v>
          </cell>
          <cell r="U1478">
            <v>1.2405999999999999E-2</v>
          </cell>
          <cell r="V1478">
            <v>1.3075000000000002E-2</v>
          </cell>
          <cell r="W1478">
            <v>1.4449999999999998E-2</v>
          </cell>
          <cell r="X1478">
            <v>1.635E-2</v>
          </cell>
          <cell r="Y1478">
            <v>1.8250000000000002E-2</v>
          </cell>
          <cell r="Z1478">
            <v>1.9799999999999998E-2</v>
          </cell>
          <cell r="AA1478">
            <v>2.1349999999999997E-2</v>
          </cell>
          <cell r="AB1478">
            <v>2.4000000000000004E-2</v>
          </cell>
          <cell r="AC1478">
            <v>2.5999999999999995E-2</v>
          </cell>
        </row>
        <row r="1479">
          <cell r="T1479">
            <v>38411</v>
          </cell>
          <cell r="U1479">
            <v>1.2378E-2</v>
          </cell>
          <cell r="V1479">
            <v>1.3091999999999999E-2</v>
          </cell>
          <cell r="W1479">
            <v>1.43E-2</v>
          </cell>
          <cell r="X1479">
            <v>1.61E-2</v>
          </cell>
          <cell r="Y1479">
            <v>1.7899999999999999E-2</v>
          </cell>
          <cell r="Z1479">
            <v>1.9400000000000001E-2</v>
          </cell>
          <cell r="AA1479">
            <v>2.1099999999999997E-2</v>
          </cell>
          <cell r="AB1479">
            <v>2.3499999999999997E-2</v>
          </cell>
          <cell r="AC1479">
            <v>2.5899999999999999E-2</v>
          </cell>
        </row>
        <row r="1480">
          <cell r="T1480">
            <v>38410</v>
          </cell>
          <cell r="U1480">
            <v>1.2378E-2</v>
          </cell>
          <cell r="V1480">
            <v>1.3091999999999999E-2</v>
          </cell>
          <cell r="W1480">
            <v>1.43E-2</v>
          </cell>
          <cell r="X1480">
            <v>1.61E-2</v>
          </cell>
          <cell r="Y1480">
            <v>1.7899999999999999E-2</v>
          </cell>
          <cell r="Z1480">
            <v>1.9400000000000001E-2</v>
          </cell>
          <cell r="AA1480">
            <v>2.1099999999999997E-2</v>
          </cell>
          <cell r="AB1480">
            <v>2.3499999999999997E-2</v>
          </cell>
          <cell r="AC1480">
            <v>2.5899999999999999E-2</v>
          </cell>
        </row>
        <row r="1481">
          <cell r="T1481">
            <v>38409</v>
          </cell>
          <cell r="U1481">
            <v>1.2378E-2</v>
          </cell>
          <cell r="V1481">
            <v>1.3091999999999999E-2</v>
          </cell>
          <cell r="W1481">
            <v>1.43E-2</v>
          </cell>
          <cell r="X1481">
            <v>1.61E-2</v>
          </cell>
          <cell r="Y1481">
            <v>1.7899999999999999E-2</v>
          </cell>
          <cell r="Z1481">
            <v>1.9400000000000001E-2</v>
          </cell>
          <cell r="AA1481">
            <v>2.1099999999999997E-2</v>
          </cell>
          <cell r="AB1481">
            <v>2.3499999999999997E-2</v>
          </cell>
          <cell r="AC1481">
            <v>2.5899999999999999E-2</v>
          </cell>
        </row>
        <row r="1482">
          <cell r="T1482">
            <v>38408</v>
          </cell>
          <cell r="U1482">
            <v>1.2378E-2</v>
          </cell>
          <cell r="V1482">
            <v>1.3091999999999999E-2</v>
          </cell>
          <cell r="W1482">
            <v>1.43E-2</v>
          </cell>
          <cell r="X1482">
            <v>1.61E-2</v>
          </cell>
          <cell r="Y1482">
            <v>1.7899999999999999E-2</v>
          </cell>
          <cell r="Z1482">
            <v>1.9400000000000001E-2</v>
          </cell>
          <cell r="AA1482">
            <v>2.1099999999999997E-2</v>
          </cell>
          <cell r="AB1482">
            <v>2.3499999999999997E-2</v>
          </cell>
          <cell r="AC1482">
            <v>2.5899999999999999E-2</v>
          </cell>
        </row>
        <row r="1483">
          <cell r="T1483">
            <v>38407</v>
          </cell>
          <cell r="U1483">
            <v>1.2378E-2</v>
          </cell>
          <cell r="V1483">
            <v>1.3091999999999999E-2</v>
          </cell>
          <cell r="W1483">
            <v>1.4199999999999999E-2</v>
          </cell>
          <cell r="X1483">
            <v>1.5900000000000001E-2</v>
          </cell>
          <cell r="Y1483">
            <v>1.7600000000000001E-2</v>
          </cell>
          <cell r="Z1483">
            <v>1.9099999999999999E-2</v>
          </cell>
          <cell r="AA1483">
            <v>2.0799999999999999E-2</v>
          </cell>
          <cell r="AB1483">
            <v>2.3099999999999996E-2</v>
          </cell>
          <cell r="AC1483">
            <v>2.5599999999999998E-2</v>
          </cell>
        </row>
        <row r="1484">
          <cell r="T1484">
            <v>38406</v>
          </cell>
          <cell r="U1484">
            <v>1.2418999999999999E-2</v>
          </cell>
          <cell r="V1484">
            <v>1.3143999999999999E-2</v>
          </cell>
          <cell r="W1484">
            <v>1.435E-2</v>
          </cell>
          <cell r="X1484">
            <v>1.6250000000000001E-2</v>
          </cell>
          <cell r="Y1484">
            <v>1.805E-2</v>
          </cell>
          <cell r="Z1484">
            <v>1.975E-2</v>
          </cell>
          <cell r="AA1484">
            <v>2.145E-2</v>
          </cell>
          <cell r="AB1484">
            <v>2.3799999999999998E-2</v>
          </cell>
          <cell r="AC1484">
            <v>2.63E-2</v>
          </cell>
        </row>
        <row r="1485">
          <cell r="T1485">
            <v>38405</v>
          </cell>
          <cell r="U1485">
            <v>1.2378E-2</v>
          </cell>
          <cell r="V1485">
            <v>1.3091999999999999E-2</v>
          </cell>
          <cell r="W1485">
            <v>1.435E-2</v>
          </cell>
          <cell r="X1485">
            <v>1.6250000000000001E-2</v>
          </cell>
          <cell r="Y1485">
            <v>1.805E-2</v>
          </cell>
          <cell r="Z1485">
            <v>1.975E-2</v>
          </cell>
          <cell r="AA1485">
            <v>2.145E-2</v>
          </cell>
          <cell r="AB1485">
            <v>2.3899999999999998E-2</v>
          </cell>
          <cell r="AC1485">
            <v>2.6500000000000003E-2</v>
          </cell>
        </row>
        <row r="1486">
          <cell r="T1486">
            <v>38404</v>
          </cell>
          <cell r="U1486">
            <v>1.2350000000000002E-2</v>
          </cell>
          <cell r="V1486">
            <v>1.3139000000000001E-2</v>
          </cell>
          <cell r="W1486">
            <v>1.4499999999999999E-2</v>
          </cell>
          <cell r="X1486">
            <v>1.6500000000000001E-2</v>
          </cell>
          <cell r="Y1486">
            <v>1.8250000000000002E-2</v>
          </cell>
          <cell r="Z1486">
            <v>1.985E-2</v>
          </cell>
          <cell r="AA1486">
            <v>2.1700000000000001E-2</v>
          </cell>
          <cell r="AB1486">
            <v>2.4299999999999999E-2</v>
          </cell>
          <cell r="AC1486">
            <v>2.6699999999999998E-2</v>
          </cell>
        </row>
        <row r="1487">
          <cell r="T1487">
            <v>38403</v>
          </cell>
          <cell r="U1487">
            <v>1.2434000000000001E-2</v>
          </cell>
          <cell r="V1487">
            <v>1.3102000000000001E-2</v>
          </cell>
          <cell r="W1487">
            <v>1.44E-2</v>
          </cell>
          <cell r="X1487">
            <v>1.6299999999999999E-2</v>
          </cell>
          <cell r="Y1487">
            <v>1.8100000000000002E-2</v>
          </cell>
          <cell r="Z1487">
            <v>1.9699999999999999E-2</v>
          </cell>
          <cell r="AA1487">
            <v>2.1500000000000005E-2</v>
          </cell>
          <cell r="AB1487">
            <v>2.4050000000000002E-2</v>
          </cell>
          <cell r="AC1487">
            <v>2.6699999999999998E-2</v>
          </cell>
        </row>
        <row r="1488">
          <cell r="T1488">
            <v>38402</v>
          </cell>
          <cell r="U1488">
            <v>1.2434000000000001E-2</v>
          </cell>
          <cell r="V1488">
            <v>1.3102000000000001E-2</v>
          </cell>
          <cell r="W1488">
            <v>1.44E-2</v>
          </cell>
          <cell r="X1488">
            <v>1.6299999999999999E-2</v>
          </cell>
          <cell r="Y1488">
            <v>1.8100000000000002E-2</v>
          </cell>
          <cell r="Z1488">
            <v>1.9699999999999999E-2</v>
          </cell>
          <cell r="AA1488">
            <v>2.1500000000000005E-2</v>
          </cell>
          <cell r="AB1488">
            <v>2.4050000000000002E-2</v>
          </cell>
          <cell r="AC1488">
            <v>2.6699999999999998E-2</v>
          </cell>
        </row>
        <row r="1489">
          <cell r="T1489">
            <v>38401</v>
          </cell>
          <cell r="U1489">
            <v>1.2434000000000001E-2</v>
          </cell>
          <cell r="V1489">
            <v>1.3102000000000001E-2</v>
          </cell>
          <cell r="W1489">
            <v>1.44E-2</v>
          </cell>
          <cell r="X1489">
            <v>1.6299999999999999E-2</v>
          </cell>
          <cell r="Y1489">
            <v>1.8100000000000002E-2</v>
          </cell>
          <cell r="Z1489">
            <v>1.9699999999999999E-2</v>
          </cell>
          <cell r="AA1489">
            <v>2.1500000000000005E-2</v>
          </cell>
          <cell r="AB1489">
            <v>2.4050000000000002E-2</v>
          </cell>
          <cell r="AC1489">
            <v>2.6699999999999998E-2</v>
          </cell>
        </row>
        <row r="1490">
          <cell r="T1490">
            <v>38400</v>
          </cell>
          <cell r="U1490">
            <v>1.2364E-2</v>
          </cell>
          <cell r="V1490">
            <v>1.3014E-2</v>
          </cell>
          <cell r="W1490">
            <v>1.4249999999999999E-2</v>
          </cell>
          <cell r="X1490">
            <v>1.6250000000000001E-2</v>
          </cell>
          <cell r="Y1490">
            <v>1.805E-2</v>
          </cell>
          <cell r="Z1490">
            <v>1.975E-2</v>
          </cell>
          <cell r="AA1490">
            <v>2.1550000000000003E-2</v>
          </cell>
          <cell r="AB1490">
            <v>2.4000000000000004E-2</v>
          </cell>
          <cell r="AC1490">
            <v>2.6500000000000003E-2</v>
          </cell>
        </row>
        <row r="1491">
          <cell r="T1491">
            <v>38399</v>
          </cell>
          <cell r="U1491">
            <v>1.2434000000000001E-2</v>
          </cell>
          <cell r="V1491">
            <v>1.3102000000000001E-2</v>
          </cell>
          <cell r="W1491">
            <v>1.4249999999999999E-2</v>
          </cell>
          <cell r="X1491">
            <v>1.6250000000000001E-2</v>
          </cell>
          <cell r="Y1491">
            <v>1.805E-2</v>
          </cell>
          <cell r="Z1491">
            <v>1.9550000000000001E-2</v>
          </cell>
          <cell r="AA1491">
            <v>2.1550000000000003E-2</v>
          </cell>
          <cell r="AB1491">
            <v>2.3849999999999996E-2</v>
          </cell>
          <cell r="AC1491">
            <v>2.6200000000000001E-2</v>
          </cell>
        </row>
        <row r="1492">
          <cell r="T1492">
            <v>38398</v>
          </cell>
          <cell r="U1492">
            <v>1.2418999999999999E-2</v>
          </cell>
          <cell r="V1492">
            <v>1.3110999999999999E-2</v>
          </cell>
          <cell r="W1492">
            <v>1.44E-2</v>
          </cell>
          <cell r="X1492">
            <v>1.635E-2</v>
          </cell>
          <cell r="Y1492">
            <v>1.8149999999999999E-2</v>
          </cell>
          <cell r="Z1492">
            <v>1.975E-2</v>
          </cell>
          <cell r="AA1492">
            <v>2.1600000000000001E-2</v>
          </cell>
          <cell r="AB1492">
            <v>2.4000000000000004E-2</v>
          </cell>
          <cell r="AC1492">
            <v>2.6200000000000001E-2</v>
          </cell>
        </row>
        <row r="1493">
          <cell r="T1493">
            <v>38397</v>
          </cell>
          <cell r="U1493">
            <v>1.2503E-2</v>
          </cell>
          <cell r="V1493">
            <v>1.3193999999999999E-2</v>
          </cell>
          <cell r="W1493">
            <v>1.435E-2</v>
          </cell>
          <cell r="X1493">
            <v>1.635E-2</v>
          </cell>
          <cell r="Y1493">
            <v>1.8200000000000001E-2</v>
          </cell>
          <cell r="Z1493">
            <v>1.9899999999999998E-2</v>
          </cell>
          <cell r="AA1493">
            <v>2.1749999999999999E-2</v>
          </cell>
          <cell r="AB1493">
            <v>2.4300000000000002E-2</v>
          </cell>
          <cell r="AC1493">
            <v>2.6699999999999998E-2</v>
          </cell>
        </row>
        <row r="1494">
          <cell r="T1494">
            <v>38396</v>
          </cell>
          <cell r="U1494">
            <v>1.2472E-2</v>
          </cell>
          <cell r="V1494">
            <v>1.3156000000000001E-2</v>
          </cell>
          <cell r="W1494">
            <v>1.44E-2</v>
          </cell>
          <cell r="X1494">
            <v>1.635E-2</v>
          </cell>
          <cell r="Y1494">
            <v>1.8500000000000003E-2</v>
          </cell>
          <cell r="Z1494">
            <v>2.0099999999999996E-2</v>
          </cell>
          <cell r="AA1494">
            <v>2.2000000000000002E-2</v>
          </cell>
          <cell r="AB1494">
            <v>2.46E-2</v>
          </cell>
          <cell r="AC1494">
            <v>2.7000000000000003E-2</v>
          </cell>
        </row>
        <row r="1495">
          <cell r="T1495">
            <v>38395</v>
          </cell>
          <cell r="U1495">
            <v>1.2472E-2</v>
          </cell>
          <cell r="V1495">
            <v>1.3156000000000001E-2</v>
          </cell>
          <cell r="W1495">
            <v>1.44E-2</v>
          </cell>
          <cell r="X1495">
            <v>1.635E-2</v>
          </cell>
          <cell r="Y1495">
            <v>1.8500000000000003E-2</v>
          </cell>
          <cell r="Z1495">
            <v>2.0099999999999996E-2</v>
          </cell>
          <cell r="AA1495">
            <v>2.2000000000000002E-2</v>
          </cell>
          <cell r="AB1495">
            <v>2.46E-2</v>
          </cell>
          <cell r="AC1495">
            <v>2.7000000000000003E-2</v>
          </cell>
        </row>
        <row r="1496">
          <cell r="T1496">
            <v>38394</v>
          </cell>
          <cell r="U1496">
            <v>1.2472E-2</v>
          </cell>
          <cell r="V1496">
            <v>1.3156000000000001E-2</v>
          </cell>
          <cell r="W1496">
            <v>1.44E-2</v>
          </cell>
          <cell r="X1496">
            <v>1.635E-2</v>
          </cell>
          <cell r="Y1496">
            <v>1.8500000000000003E-2</v>
          </cell>
          <cell r="Z1496">
            <v>2.0099999999999996E-2</v>
          </cell>
          <cell r="AA1496">
            <v>2.2000000000000002E-2</v>
          </cell>
          <cell r="AB1496">
            <v>2.46E-2</v>
          </cell>
          <cell r="AC1496">
            <v>2.7000000000000003E-2</v>
          </cell>
        </row>
        <row r="1497">
          <cell r="T1497">
            <v>38393</v>
          </cell>
          <cell r="U1497">
            <v>1.2472E-2</v>
          </cell>
          <cell r="V1497">
            <v>1.3156000000000001E-2</v>
          </cell>
          <cell r="W1497">
            <v>1.44E-2</v>
          </cell>
          <cell r="X1497">
            <v>1.635E-2</v>
          </cell>
          <cell r="Y1497">
            <v>1.8500000000000003E-2</v>
          </cell>
          <cell r="Z1497">
            <v>2.0099999999999996E-2</v>
          </cell>
          <cell r="AA1497">
            <v>2.2000000000000002E-2</v>
          </cell>
          <cell r="AB1497">
            <v>2.46E-2</v>
          </cell>
          <cell r="AC1497">
            <v>2.7000000000000003E-2</v>
          </cell>
        </row>
        <row r="1498">
          <cell r="T1498">
            <v>38392</v>
          </cell>
          <cell r="U1498">
            <v>1.2472E-2</v>
          </cell>
          <cell r="V1498">
            <v>1.3156000000000001E-2</v>
          </cell>
          <cell r="W1498">
            <v>1.44E-2</v>
          </cell>
          <cell r="X1498">
            <v>1.635E-2</v>
          </cell>
          <cell r="Y1498">
            <v>1.8500000000000003E-2</v>
          </cell>
          <cell r="Z1498">
            <v>2.0099999999999996E-2</v>
          </cell>
          <cell r="AA1498">
            <v>2.2000000000000002E-2</v>
          </cell>
          <cell r="AB1498">
            <v>2.46E-2</v>
          </cell>
          <cell r="AC1498">
            <v>2.7000000000000003E-2</v>
          </cell>
        </row>
        <row r="1499">
          <cell r="T1499">
            <v>38391</v>
          </cell>
          <cell r="U1499">
            <v>1.2472E-2</v>
          </cell>
          <cell r="V1499">
            <v>1.3156000000000001E-2</v>
          </cell>
          <cell r="W1499">
            <v>1.44E-2</v>
          </cell>
          <cell r="X1499">
            <v>1.635E-2</v>
          </cell>
          <cell r="Y1499">
            <v>1.8500000000000003E-2</v>
          </cell>
          <cell r="Z1499">
            <v>2.0099999999999996E-2</v>
          </cell>
          <cell r="AA1499">
            <v>2.2000000000000002E-2</v>
          </cell>
          <cell r="AB1499">
            <v>2.46E-2</v>
          </cell>
          <cell r="AC1499">
            <v>2.7000000000000003E-2</v>
          </cell>
        </row>
        <row r="1500">
          <cell r="T1500">
            <v>38390</v>
          </cell>
          <cell r="U1500">
            <v>1.2472E-2</v>
          </cell>
          <cell r="V1500">
            <v>1.3156000000000001E-2</v>
          </cell>
          <cell r="W1500">
            <v>1.44E-2</v>
          </cell>
          <cell r="X1500">
            <v>1.635E-2</v>
          </cell>
          <cell r="Y1500">
            <v>1.8500000000000003E-2</v>
          </cell>
          <cell r="Z1500">
            <v>2.0099999999999996E-2</v>
          </cell>
          <cell r="AA1500">
            <v>2.2000000000000002E-2</v>
          </cell>
          <cell r="AB1500">
            <v>2.46E-2</v>
          </cell>
          <cell r="AC1500">
            <v>2.7000000000000003E-2</v>
          </cell>
        </row>
        <row r="1501">
          <cell r="T1501">
            <v>38389</v>
          </cell>
          <cell r="U1501">
            <v>1.2472E-2</v>
          </cell>
          <cell r="V1501">
            <v>1.3156000000000001E-2</v>
          </cell>
          <cell r="W1501">
            <v>1.44E-2</v>
          </cell>
          <cell r="X1501">
            <v>1.635E-2</v>
          </cell>
          <cell r="Y1501">
            <v>1.8500000000000003E-2</v>
          </cell>
          <cell r="Z1501">
            <v>2.0150000000000001E-2</v>
          </cell>
          <cell r="AA1501">
            <v>2.2000000000000002E-2</v>
          </cell>
          <cell r="AB1501">
            <v>2.46E-2</v>
          </cell>
          <cell r="AC1501">
            <v>2.7000000000000003E-2</v>
          </cell>
        </row>
        <row r="1502">
          <cell r="T1502">
            <v>38388</v>
          </cell>
          <cell r="U1502">
            <v>1.2472E-2</v>
          </cell>
          <cell r="V1502">
            <v>1.3156000000000001E-2</v>
          </cell>
          <cell r="W1502">
            <v>1.44E-2</v>
          </cell>
          <cell r="X1502">
            <v>1.635E-2</v>
          </cell>
          <cell r="Y1502">
            <v>1.8500000000000003E-2</v>
          </cell>
          <cell r="Z1502">
            <v>2.0150000000000001E-2</v>
          </cell>
          <cell r="AA1502">
            <v>2.2000000000000002E-2</v>
          </cell>
          <cell r="AB1502">
            <v>2.46E-2</v>
          </cell>
          <cell r="AC1502">
            <v>2.7000000000000003E-2</v>
          </cell>
        </row>
        <row r="1503">
          <cell r="T1503">
            <v>38387</v>
          </cell>
          <cell r="U1503">
            <v>1.2472E-2</v>
          </cell>
          <cell r="V1503">
            <v>1.3156000000000001E-2</v>
          </cell>
          <cell r="W1503">
            <v>1.44E-2</v>
          </cell>
          <cell r="X1503">
            <v>1.635E-2</v>
          </cell>
          <cell r="Y1503">
            <v>1.8500000000000003E-2</v>
          </cell>
          <cell r="Z1503">
            <v>2.0150000000000001E-2</v>
          </cell>
          <cell r="AA1503">
            <v>2.2000000000000002E-2</v>
          </cell>
          <cell r="AB1503">
            <v>2.46E-2</v>
          </cell>
          <cell r="AC1503">
            <v>2.7000000000000003E-2</v>
          </cell>
        </row>
        <row r="1504">
          <cell r="T1504">
            <v>38386</v>
          </cell>
          <cell r="U1504">
            <v>1.244E-2</v>
          </cell>
          <cell r="V1504">
            <v>1.3062000000000001E-2</v>
          </cell>
          <cell r="W1504">
            <v>1.43E-2</v>
          </cell>
          <cell r="X1504">
            <v>1.6299999999999999E-2</v>
          </cell>
          <cell r="Y1504">
            <v>1.8200000000000001E-2</v>
          </cell>
          <cell r="Z1504">
            <v>1.9899999999999998E-2</v>
          </cell>
          <cell r="AA1504">
            <v>2.1700000000000001E-2</v>
          </cell>
          <cell r="AB1504">
            <v>2.4199999999999999E-2</v>
          </cell>
          <cell r="AC1504">
            <v>2.6799999999999997E-2</v>
          </cell>
        </row>
        <row r="1505">
          <cell r="T1505">
            <v>38385</v>
          </cell>
          <cell r="U1505">
            <v>1.2452000000000001E-2</v>
          </cell>
          <cell r="V1505">
            <v>1.3111999999999999E-2</v>
          </cell>
          <cell r="W1505">
            <v>1.4499999999999999E-2</v>
          </cell>
          <cell r="X1505">
            <v>1.6400000000000001E-2</v>
          </cell>
          <cell r="Y1505">
            <v>1.84E-2</v>
          </cell>
          <cell r="Z1505">
            <v>2.0149999999999998E-2</v>
          </cell>
          <cell r="AA1505">
            <v>2.1900000000000003E-2</v>
          </cell>
          <cell r="AB1505">
            <v>2.4450000000000003E-2</v>
          </cell>
          <cell r="AC1505">
            <v>2.7149999999999997E-2</v>
          </cell>
        </row>
        <row r="1506">
          <cell r="T1506">
            <v>38384</v>
          </cell>
          <cell r="U1506">
            <v>1.2478E-2</v>
          </cell>
          <cell r="V1506">
            <v>1.315E-2</v>
          </cell>
          <cell r="W1506">
            <v>1.4499999999999999E-2</v>
          </cell>
          <cell r="X1506">
            <v>1.6500000000000001E-2</v>
          </cell>
          <cell r="Y1506">
            <v>1.8500000000000003E-2</v>
          </cell>
          <cell r="Z1506">
            <v>2.0400000000000001E-2</v>
          </cell>
          <cell r="AA1506">
            <v>2.2199999999999998E-2</v>
          </cell>
          <cell r="AB1506">
            <v>2.495E-2</v>
          </cell>
          <cell r="AC1506">
            <v>2.6200000000000001E-2</v>
          </cell>
        </row>
        <row r="1507">
          <cell r="T1507">
            <v>38383</v>
          </cell>
          <cell r="U1507">
            <v>1.2402E-2</v>
          </cell>
          <cell r="V1507">
            <v>1.3062000000000001E-2</v>
          </cell>
          <cell r="W1507">
            <v>1.4499999999999999E-2</v>
          </cell>
          <cell r="X1507">
            <v>1.6500000000000001E-2</v>
          </cell>
          <cell r="Y1507">
            <v>1.84E-2</v>
          </cell>
          <cell r="Z1507">
            <v>2.0250000000000001E-2</v>
          </cell>
          <cell r="AA1507">
            <v>2.205E-2</v>
          </cell>
          <cell r="AB1507">
            <v>2.46E-2</v>
          </cell>
          <cell r="AC1507">
            <v>2.6200000000000001E-2</v>
          </cell>
        </row>
        <row r="1508">
          <cell r="T1508">
            <v>38382</v>
          </cell>
          <cell r="U1508">
            <v>1.2424999999999999E-2</v>
          </cell>
          <cell r="V1508">
            <v>1.3188E-2</v>
          </cell>
          <cell r="W1508">
            <v>1.44E-2</v>
          </cell>
          <cell r="X1508">
            <v>1.6449999999999999E-2</v>
          </cell>
          <cell r="Y1508">
            <v>1.8349999999999998E-2</v>
          </cell>
          <cell r="Z1508">
            <v>2.0099999999999996E-2</v>
          </cell>
          <cell r="AA1508">
            <v>2.2099999999999998E-2</v>
          </cell>
          <cell r="AB1508">
            <v>2.4550000000000002E-2</v>
          </cell>
          <cell r="AC1508">
            <v>2.6200000000000001E-2</v>
          </cell>
        </row>
        <row r="1509">
          <cell r="T1509">
            <v>38381</v>
          </cell>
          <cell r="U1509">
            <v>1.2424999999999999E-2</v>
          </cell>
          <cell r="V1509">
            <v>1.3188E-2</v>
          </cell>
          <cell r="W1509">
            <v>1.44E-2</v>
          </cell>
          <cell r="X1509">
            <v>1.6449999999999999E-2</v>
          </cell>
          <cell r="Y1509">
            <v>1.8349999999999998E-2</v>
          </cell>
          <cell r="Z1509">
            <v>2.0099999999999996E-2</v>
          </cell>
          <cell r="AA1509">
            <v>2.2099999999999998E-2</v>
          </cell>
          <cell r="AB1509">
            <v>2.4550000000000002E-2</v>
          </cell>
          <cell r="AC1509">
            <v>2.6200000000000001E-2</v>
          </cell>
        </row>
        <row r="1510">
          <cell r="T1510">
            <v>38380</v>
          </cell>
          <cell r="U1510">
            <v>1.2424999999999999E-2</v>
          </cell>
          <cell r="V1510">
            <v>1.3188E-2</v>
          </cell>
          <cell r="W1510">
            <v>1.44E-2</v>
          </cell>
          <cell r="X1510">
            <v>1.6449999999999999E-2</v>
          </cell>
          <cell r="Y1510">
            <v>1.8349999999999998E-2</v>
          </cell>
          <cell r="Z1510">
            <v>2.0099999999999996E-2</v>
          </cell>
          <cell r="AA1510">
            <v>2.2099999999999998E-2</v>
          </cell>
          <cell r="AB1510">
            <v>2.4550000000000002E-2</v>
          </cell>
          <cell r="AC1510">
            <v>2.6200000000000001E-2</v>
          </cell>
        </row>
        <row r="1511">
          <cell r="T1511">
            <v>38379</v>
          </cell>
          <cell r="U1511">
            <v>1.2503E-2</v>
          </cell>
          <cell r="V1511">
            <v>1.3110999999999999E-2</v>
          </cell>
          <cell r="W1511">
            <v>1.4249999999999999E-2</v>
          </cell>
          <cell r="X1511">
            <v>1.6250000000000001E-2</v>
          </cell>
          <cell r="Y1511">
            <v>1.8250000000000002E-2</v>
          </cell>
          <cell r="Z1511">
            <v>2.0150000000000001E-2</v>
          </cell>
          <cell r="AA1511">
            <v>2.205E-2</v>
          </cell>
          <cell r="AB1511">
            <v>2.4550000000000002E-2</v>
          </cell>
          <cell r="AC1511">
            <v>2.6500000000000003E-2</v>
          </cell>
        </row>
        <row r="1512">
          <cell r="T1512">
            <v>38378</v>
          </cell>
          <cell r="U1512">
            <v>1.2458E-2</v>
          </cell>
          <cell r="V1512">
            <v>1.3097000000000001E-2</v>
          </cell>
          <cell r="W1512">
            <v>1.4999999999999999E-2</v>
          </cell>
          <cell r="X1512">
            <v>1.7000000000000001E-2</v>
          </cell>
          <cell r="Y1512">
            <v>1.8000000000000002E-2</v>
          </cell>
          <cell r="Z1512">
            <v>2.0149999999999998E-2</v>
          </cell>
          <cell r="AA1512">
            <v>2.205E-2</v>
          </cell>
          <cell r="AB1512">
            <v>2.4399999999999998E-2</v>
          </cell>
          <cell r="AC1512">
            <v>2.7000000000000003E-2</v>
          </cell>
        </row>
        <row r="1513">
          <cell r="T1513">
            <v>38377</v>
          </cell>
          <cell r="U1513">
            <v>1.2428E-2</v>
          </cell>
          <cell r="V1513">
            <v>1.3062000000000001E-2</v>
          </cell>
          <cell r="W1513">
            <v>1.4449999999999998E-2</v>
          </cell>
          <cell r="X1513">
            <v>1.6250000000000001E-2</v>
          </cell>
          <cell r="Y1513">
            <v>1.8250000000000002E-2</v>
          </cell>
          <cell r="Z1513">
            <v>2.0150000000000001E-2</v>
          </cell>
          <cell r="AA1513">
            <v>2.205E-2</v>
          </cell>
          <cell r="AB1513">
            <v>2.4249999999999997E-2</v>
          </cell>
          <cell r="AC1513">
            <v>2.7000000000000003E-2</v>
          </cell>
        </row>
        <row r="1514">
          <cell r="T1514">
            <v>38376</v>
          </cell>
          <cell r="U1514">
            <v>1.2457000000000001E-2</v>
          </cell>
          <cell r="V1514">
            <v>1.3080000000000001E-2</v>
          </cell>
          <cell r="W1514">
            <v>1.4499999999999999E-2</v>
          </cell>
          <cell r="X1514">
            <v>1.6400000000000001E-2</v>
          </cell>
          <cell r="Y1514">
            <v>1.8200000000000001E-2</v>
          </cell>
          <cell r="Z1514">
            <v>2.0199999999999999E-2</v>
          </cell>
          <cell r="AA1514">
            <v>2.2099999999999998E-2</v>
          </cell>
          <cell r="AB1514">
            <v>2.4550000000000002E-2</v>
          </cell>
          <cell r="AC1514">
            <v>2.7000000000000003E-2</v>
          </cell>
        </row>
        <row r="1515">
          <cell r="T1515">
            <v>38375</v>
          </cell>
          <cell r="U1515">
            <v>1.2503E-2</v>
          </cell>
          <cell r="V1515">
            <v>1.3146999999999999E-2</v>
          </cell>
          <cell r="W1515">
            <v>1.4499999999999999E-2</v>
          </cell>
          <cell r="X1515">
            <v>1.6549999999999999E-2</v>
          </cell>
          <cell r="Y1515">
            <v>1.83E-2</v>
          </cell>
          <cell r="Z1515">
            <v>2.0250000000000001E-2</v>
          </cell>
          <cell r="AA1515">
            <v>2.1150000000000002E-2</v>
          </cell>
          <cell r="AB1515">
            <v>2.4699999999999996E-2</v>
          </cell>
          <cell r="AC1515">
            <v>2.7000000000000003E-2</v>
          </cell>
        </row>
        <row r="1516">
          <cell r="T1516">
            <v>38374</v>
          </cell>
          <cell r="U1516">
            <v>1.2503E-2</v>
          </cell>
          <cell r="V1516">
            <v>1.3146999999999999E-2</v>
          </cell>
          <cell r="W1516">
            <v>1.4499999999999999E-2</v>
          </cell>
          <cell r="X1516">
            <v>1.6549999999999999E-2</v>
          </cell>
          <cell r="Y1516">
            <v>1.83E-2</v>
          </cell>
          <cell r="Z1516">
            <v>2.0250000000000001E-2</v>
          </cell>
          <cell r="AA1516">
            <v>2.1150000000000002E-2</v>
          </cell>
          <cell r="AB1516">
            <v>2.4699999999999996E-2</v>
          </cell>
          <cell r="AC1516">
            <v>2.7000000000000003E-2</v>
          </cell>
        </row>
        <row r="1517">
          <cell r="T1517">
            <v>38373</v>
          </cell>
          <cell r="U1517">
            <v>1.2503E-2</v>
          </cell>
          <cell r="V1517">
            <v>1.3146999999999999E-2</v>
          </cell>
          <cell r="W1517">
            <v>1.4499999999999999E-2</v>
          </cell>
          <cell r="X1517">
            <v>1.6549999999999999E-2</v>
          </cell>
          <cell r="Y1517">
            <v>1.83E-2</v>
          </cell>
          <cell r="Z1517">
            <v>2.0250000000000001E-2</v>
          </cell>
          <cell r="AA1517">
            <v>2.1150000000000002E-2</v>
          </cell>
          <cell r="AB1517">
            <v>2.4699999999999996E-2</v>
          </cell>
          <cell r="AC1517">
            <v>2.7000000000000003E-2</v>
          </cell>
        </row>
        <row r="1518">
          <cell r="T1518">
            <v>38372</v>
          </cell>
          <cell r="U1518">
            <v>1.248E-2</v>
          </cell>
          <cell r="V1518">
            <v>1.32E-2</v>
          </cell>
          <cell r="W1518">
            <v>1.455E-2</v>
          </cell>
          <cell r="X1518">
            <v>1.6549999999999999E-2</v>
          </cell>
          <cell r="Y1518">
            <v>1.84E-2</v>
          </cell>
          <cell r="Z1518">
            <v>2.0299999999999999E-2</v>
          </cell>
          <cell r="AA1518">
            <v>2.23E-2</v>
          </cell>
          <cell r="AB1518">
            <v>2.4699999999999996E-2</v>
          </cell>
          <cell r="AC1518">
            <v>2.7000000000000003E-2</v>
          </cell>
        </row>
        <row r="1519">
          <cell r="T1519">
            <v>38371</v>
          </cell>
          <cell r="U1519">
            <v>1.2418999999999999E-2</v>
          </cell>
          <cell r="V1519">
            <v>1.3068999999999999E-2</v>
          </cell>
          <cell r="W1519">
            <v>1.44E-2</v>
          </cell>
          <cell r="X1519">
            <v>1.6299999999999999E-2</v>
          </cell>
          <cell r="Y1519">
            <v>1.8200000000000001E-2</v>
          </cell>
          <cell r="Z1519">
            <v>2.0049999999999998E-2</v>
          </cell>
          <cell r="AA1519">
            <v>2.1950000000000004E-2</v>
          </cell>
          <cell r="AB1519">
            <v>2.4399999999999998E-2</v>
          </cell>
          <cell r="AC1519">
            <v>2.7000000000000003E-2</v>
          </cell>
        </row>
        <row r="1520">
          <cell r="T1520">
            <v>38370</v>
          </cell>
          <cell r="U1520">
            <v>1.2565999999999999E-2</v>
          </cell>
          <cell r="V1520">
            <v>1.325E-2</v>
          </cell>
          <cell r="W1520">
            <v>1.455E-2</v>
          </cell>
          <cell r="X1520">
            <v>1.66E-2</v>
          </cell>
          <cell r="Y1520">
            <v>1.8349999999999998E-2</v>
          </cell>
          <cell r="Z1520">
            <v>2.035E-2</v>
          </cell>
          <cell r="AA1520">
            <v>2.23E-2</v>
          </cell>
          <cell r="AB1520">
            <v>2.4799999999999999E-2</v>
          </cell>
          <cell r="AC1520">
            <v>2.7000000000000003E-2</v>
          </cell>
        </row>
        <row r="1521">
          <cell r="T1521">
            <v>38369</v>
          </cell>
          <cell r="U1521">
            <v>1.2392E-2</v>
          </cell>
          <cell r="V1521">
            <v>1.3014E-2</v>
          </cell>
          <cell r="W1521">
            <v>1.4750000000000001E-2</v>
          </cell>
          <cell r="X1521">
            <v>1.67E-2</v>
          </cell>
          <cell r="Y1521">
            <v>1.8550000000000001E-2</v>
          </cell>
          <cell r="Z1521">
            <v>2.06E-2</v>
          </cell>
          <cell r="AA1521">
            <v>2.2550000000000001E-2</v>
          </cell>
          <cell r="AB1521">
            <v>2.5099999999999997E-2</v>
          </cell>
          <cell r="AC1521">
            <v>2.75E-2</v>
          </cell>
        </row>
        <row r="1522">
          <cell r="T1522">
            <v>38368</v>
          </cell>
          <cell r="U1522">
            <v>1.2392E-2</v>
          </cell>
          <cell r="V1522">
            <v>1.3014E-2</v>
          </cell>
          <cell r="W1522">
            <v>1.4800000000000001E-2</v>
          </cell>
          <cell r="X1522">
            <v>1.6549999999999999E-2</v>
          </cell>
          <cell r="Y1522">
            <v>1.8450000000000001E-2</v>
          </cell>
          <cell r="Z1522">
            <v>2.0449999999999999E-2</v>
          </cell>
          <cell r="AA1522">
            <v>2.2450000000000001E-2</v>
          </cell>
          <cell r="AB1522">
            <v>2.5099999999999997E-2</v>
          </cell>
          <cell r="AC1522">
            <v>2.75E-2</v>
          </cell>
        </row>
        <row r="1523">
          <cell r="T1523">
            <v>38367</v>
          </cell>
          <cell r="U1523">
            <v>1.2392E-2</v>
          </cell>
          <cell r="V1523">
            <v>1.3014E-2</v>
          </cell>
          <cell r="W1523">
            <v>1.4800000000000001E-2</v>
          </cell>
          <cell r="X1523">
            <v>1.6549999999999999E-2</v>
          </cell>
          <cell r="Y1523">
            <v>1.8450000000000001E-2</v>
          </cell>
          <cell r="Z1523">
            <v>2.0449999999999999E-2</v>
          </cell>
          <cell r="AA1523">
            <v>2.2450000000000001E-2</v>
          </cell>
          <cell r="AB1523">
            <v>2.5099999999999997E-2</v>
          </cell>
          <cell r="AC1523">
            <v>2.75E-2</v>
          </cell>
        </row>
        <row r="1524">
          <cell r="T1524">
            <v>38366</v>
          </cell>
          <cell r="U1524">
            <v>1.2392E-2</v>
          </cell>
          <cell r="V1524">
            <v>1.3014E-2</v>
          </cell>
          <cell r="W1524">
            <v>1.4800000000000001E-2</v>
          </cell>
          <cell r="X1524">
            <v>1.6549999999999999E-2</v>
          </cell>
          <cell r="Y1524">
            <v>1.8450000000000001E-2</v>
          </cell>
          <cell r="Z1524">
            <v>2.0449999999999999E-2</v>
          </cell>
          <cell r="AA1524">
            <v>2.2450000000000001E-2</v>
          </cell>
          <cell r="AB1524">
            <v>2.5099999999999997E-2</v>
          </cell>
          <cell r="AC1524">
            <v>2.75E-2</v>
          </cell>
        </row>
        <row r="1525">
          <cell r="T1525">
            <v>38365</v>
          </cell>
          <cell r="U1525">
            <v>1.2413E-2</v>
          </cell>
          <cell r="V1525">
            <v>1.3062000000000001E-2</v>
          </cell>
          <cell r="W1525">
            <v>1.47E-2</v>
          </cell>
          <cell r="X1525">
            <v>1.6500000000000001E-2</v>
          </cell>
          <cell r="Y1525">
            <v>1.83E-2</v>
          </cell>
          <cell r="Z1525">
            <v>2.035E-2</v>
          </cell>
          <cell r="AA1525">
            <v>2.2250000000000002E-2</v>
          </cell>
          <cell r="AB1525">
            <v>2.4649999999999998E-2</v>
          </cell>
          <cell r="AC1525">
            <v>2.7400000000000001E-2</v>
          </cell>
        </row>
        <row r="1526">
          <cell r="T1526">
            <v>38364</v>
          </cell>
          <cell r="U1526">
            <v>1.2527999999999999E-2</v>
          </cell>
          <cell r="V1526">
            <v>1.3110999999999999E-2</v>
          </cell>
          <cell r="W1526">
            <v>1.47E-2</v>
          </cell>
          <cell r="X1526">
            <v>1.6749999999999998E-2</v>
          </cell>
          <cell r="Y1526">
            <v>1.865E-2</v>
          </cell>
          <cell r="Z1526">
            <v>2.0649999999999998E-2</v>
          </cell>
          <cell r="AA1526">
            <v>2.2599999999999999E-2</v>
          </cell>
          <cell r="AB1526">
            <v>2.5300000000000003E-2</v>
          </cell>
          <cell r="AC1526">
            <v>2.7999999999999997E-2</v>
          </cell>
        </row>
        <row r="1527">
          <cell r="T1527">
            <v>38363</v>
          </cell>
          <cell r="U1527">
            <v>1.2413E-2</v>
          </cell>
          <cell r="V1527">
            <v>1.3087999999999999E-2</v>
          </cell>
          <cell r="W1527">
            <v>1.47E-2</v>
          </cell>
          <cell r="X1527">
            <v>1.685E-2</v>
          </cell>
          <cell r="Y1527">
            <v>1.8700000000000001E-2</v>
          </cell>
          <cell r="Z1527">
            <v>2.0799999999999999E-2</v>
          </cell>
          <cell r="AA1527">
            <v>2.2700000000000001E-2</v>
          </cell>
          <cell r="AB1527">
            <v>2.5300000000000003E-2</v>
          </cell>
          <cell r="AC1527">
            <v>2.7999999999999997E-2</v>
          </cell>
        </row>
        <row r="1528">
          <cell r="T1528">
            <v>38362</v>
          </cell>
          <cell r="U1528">
            <v>1.2487E-2</v>
          </cell>
          <cell r="V1528">
            <v>1.315E-2</v>
          </cell>
          <cell r="W1528">
            <v>1.4649999999999998E-2</v>
          </cell>
          <cell r="X1528">
            <v>1.67E-2</v>
          </cell>
          <cell r="Y1528">
            <v>1.8599999999999998E-2</v>
          </cell>
          <cell r="Z1528">
            <v>2.06E-2</v>
          </cell>
          <cell r="AA1528">
            <v>2.2550000000000001E-2</v>
          </cell>
          <cell r="AB1528">
            <v>2.5300000000000003E-2</v>
          </cell>
          <cell r="AC1528">
            <v>2.7699999999999999E-2</v>
          </cell>
        </row>
        <row r="1529">
          <cell r="T1529">
            <v>38361</v>
          </cell>
          <cell r="U1529">
            <v>1.2442999999999999E-2</v>
          </cell>
          <cell r="V1529">
            <v>1.3080000000000001E-2</v>
          </cell>
          <cell r="W1529">
            <v>1.46E-2</v>
          </cell>
          <cell r="X1529">
            <v>1.9E-2</v>
          </cell>
          <cell r="Y1529">
            <v>1.8349999999999998E-2</v>
          </cell>
          <cell r="Z1529">
            <v>2.0299999999999999E-2</v>
          </cell>
          <cell r="AA1529">
            <v>2.2200000000000001E-2</v>
          </cell>
          <cell r="AB1529">
            <v>2.4799999999999999E-2</v>
          </cell>
          <cell r="AC1529">
            <v>2.7300000000000001E-2</v>
          </cell>
        </row>
        <row r="1530">
          <cell r="T1530">
            <v>38360</v>
          </cell>
          <cell r="U1530">
            <v>1.2442999999999999E-2</v>
          </cell>
          <cell r="V1530">
            <v>1.3080000000000001E-2</v>
          </cell>
          <cell r="W1530">
            <v>1.46E-2</v>
          </cell>
          <cell r="X1530">
            <v>1.9E-2</v>
          </cell>
          <cell r="Y1530">
            <v>1.8349999999999998E-2</v>
          </cell>
          <cell r="Z1530">
            <v>2.0299999999999999E-2</v>
          </cell>
          <cell r="AA1530">
            <v>2.2200000000000001E-2</v>
          </cell>
          <cell r="AB1530">
            <v>2.4799999999999999E-2</v>
          </cell>
          <cell r="AC1530">
            <v>2.7300000000000001E-2</v>
          </cell>
        </row>
        <row r="1531">
          <cell r="T1531">
            <v>38359</v>
          </cell>
          <cell r="U1531">
            <v>1.2442999999999999E-2</v>
          </cell>
          <cell r="V1531">
            <v>1.3080000000000001E-2</v>
          </cell>
          <cell r="W1531">
            <v>1.46E-2</v>
          </cell>
          <cell r="X1531">
            <v>1.9E-2</v>
          </cell>
          <cell r="Y1531">
            <v>1.8349999999999998E-2</v>
          </cell>
          <cell r="Z1531">
            <v>2.0299999999999999E-2</v>
          </cell>
          <cell r="AA1531">
            <v>2.2200000000000001E-2</v>
          </cell>
          <cell r="AB1531">
            <v>2.4799999999999999E-2</v>
          </cell>
          <cell r="AC1531">
            <v>2.7300000000000001E-2</v>
          </cell>
        </row>
        <row r="1532">
          <cell r="T1532">
            <v>38358</v>
          </cell>
          <cell r="U1532">
            <v>1.2413E-2</v>
          </cell>
          <cell r="V1532">
            <v>1.3062000000000001E-2</v>
          </cell>
          <cell r="W1532">
            <v>1.4800000000000001E-2</v>
          </cell>
          <cell r="X1532">
            <v>1.6749999999999998E-2</v>
          </cell>
          <cell r="Y1532">
            <v>1.8700000000000001E-2</v>
          </cell>
          <cell r="Z1532">
            <v>2.0799999999999999E-2</v>
          </cell>
          <cell r="AA1532">
            <v>2.2550000000000001E-2</v>
          </cell>
          <cell r="AB1532">
            <v>2.52E-2</v>
          </cell>
          <cell r="AC1532">
            <v>2.7300000000000001E-2</v>
          </cell>
        </row>
        <row r="1533">
          <cell r="T1533">
            <v>38357</v>
          </cell>
          <cell r="U1533">
            <v>1.2458E-2</v>
          </cell>
          <cell r="V1533">
            <v>1.3125E-2</v>
          </cell>
          <cell r="W1533">
            <v>1.47E-2</v>
          </cell>
          <cell r="X1533">
            <v>1.6899999999999998E-2</v>
          </cell>
          <cell r="Y1533">
            <v>1.9E-2</v>
          </cell>
          <cell r="Z1533">
            <v>2.0400000000000001E-2</v>
          </cell>
          <cell r="AA1533">
            <v>2.2349999999999998E-2</v>
          </cell>
          <cell r="AB1533">
            <v>2.4699999999999996E-2</v>
          </cell>
          <cell r="AC1533">
            <v>2.7000000000000003E-2</v>
          </cell>
        </row>
        <row r="1534">
          <cell r="T1534">
            <v>38356</v>
          </cell>
          <cell r="U1534">
            <v>1.2413E-2</v>
          </cell>
          <cell r="V1534">
            <v>1.3062000000000001E-2</v>
          </cell>
          <cell r="W1534">
            <v>1.4199999999999999E-2</v>
          </cell>
          <cell r="X1534">
            <v>1.61E-2</v>
          </cell>
          <cell r="Y1534">
            <v>1.8100000000000002E-2</v>
          </cell>
          <cell r="Z1534">
            <v>1.9899999999999998E-2</v>
          </cell>
          <cell r="AA1534">
            <v>2.18E-2</v>
          </cell>
          <cell r="AB1534">
            <v>2.435E-2</v>
          </cell>
          <cell r="AC1534">
            <v>2.6699999999999998E-2</v>
          </cell>
        </row>
        <row r="1535">
          <cell r="T1535">
            <v>38355</v>
          </cell>
          <cell r="U1535">
            <v>1.2458E-2</v>
          </cell>
          <cell r="V1535">
            <v>1.3125E-2</v>
          </cell>
          <cell r="W1535">
            <v>1.41E-2</v>
          </cell>
          <cell r="X1535">
            <v>1.6049999999999998E-2</v>
          </cell>
          <cell r="Y1535">
            <v>1.805E-2</v>
          </cell>
          <cell r="Z1535">
            <v>1.9950000000000002E-2</v>
          </cell>
          <cell r="AA1535">
            <v>2.1850000000000001E-2</v>
          </cell>
          <cell r="AB1535">
            <v>2.4199999999999999E-2</v>
          </cell>
          <cell r="AC1535">
            <v>2.6699999999999998E-2</v>
          </cell>
        </row>
        <row r="1536">
          <cell r="T1536">
            <v>38354</v>
          </cell>
          <cell r="U1536">
            <v>1.2500000000000001E-2</v>
          </cell>
          <cell r="V1536">
            <v>1.3143E-2</v>
          </cell>
          <cell r="W1536">
            <v>1.435E-2</v>
          </cell>
          <cell r="X1536">
            <v>1.6400000000000001E-2</v>
          </cell>
          <cell r="Y1536">
            <v>1.8450000000000001E-2</v>
          </cell>
          <cell r="Z1536">
            <v>2.035E-2</v>
          </cell>
          <cell r="AA1536">
            <v>2.2349999999999998E-2</v>
          </cell>
          <cell r="AB1536">
            <v>2.4699999999999996E-2</v>
          </cell>
          <cell r="AC1536">
            <v>2.7199999999999998E-2</v>
          </cell>
        </row>
        <row r="1537">
          <cell r="T1537">
            <v>38353</v>
          </cell>
          <cell r="U1537">
            <v>1.2500000000000001E-2</v>
          </cell>
          <cell r="V1537">
            <v>1.3143E-2</v>
          </cell>
          <cell r="W1537">
            <v>1.435E-2</v>
          </cell>
          <cell r="X1537">
            <v>1.6400000000000001E-2</v>
          </cell>
          <cell r="Y1537">
            <v>1.8450000000000001E-2</v>
          </cell>
          <cell r="Z1537">
            <v>2.035E-2</v>
          </cell>
          <cell r="AA1537">
            <v>2.2349999999999998E-2</v>
          </cell>
          <cell r="AB1537">
            <v>2.4699999999999996E-2</v>
          </cell>
          <cell r="AC1537">
            <v>2.7199999999999998E-2</v>
          </cell>
        </row>
        <row r="1538">
          <cell r="T1538">
            <v>38352</v>
          </cell>
          <cell r="U1538">
            <v>1.2500000000000001E-2</v>
          </cell>
          <cell r="V1538">
            <v>1.3143E-2</v>
          </cell>
          <cell r="W1538">
            <v>1.435E-2</v>
          </cell>
          <cell r="X1538">
            <v>1.6400000000000001E-2</v>
          </cell>
          <cell r="Y1538">
            <v>1.8450000000000001E-2</v>
          </cell>
          <cell r="Z1538">
            <v>2.035E-2</v>
          </cell>
          <cell r="AA1538">
            <v>2.2349999999999998E-2</v>
          </cell>
          <cell r="AB1538">
            <v>2.4699999999999996E-2</v>
          </cell>
          <cell r="AC1538">
            <v>2.7199999999999998E-2</v>
          </cell>
        </row>
        <row r="1539">
          <cell r="T1539">
            <v>38351</v>
          </cell>
          <cell r="U1539">
            <v>1.2044999999999998E-2</v>
          </cell>
          <cell r="V1539">
            <v>1.2737E-2</v>
          </cell>
          <cell r="W1539">
            <v>1.3849999999999999E-2</v>
          </cell>
          <cell r="X1539">
            <v>1.5800000000000002E-2</v>
          </cell>
          <cell r="Y1539">
            <v>1.7850000000000001E-2</v>
          </cell>
          <cell r="Z1539">
            <v>1.975E-2</v>
          </cell>
          <cell r="AA1539">
            <v>2.1749999999999999E-2</v>
          </cell>
          <cell r="AB1539">
            <v>2.4199999999999999E-2</v>
          </cell>
          <cell r="AC1539">
            <v>2.6699999999999998E-2</v>
          </cell>
        </row>
        <row r="1540">
          <cell r="T1540">
            <v>38350</v>
          </cell>
          <cell r="U1540">
            <v>1.1944999999999999E-2</v>
          </cell>
          <cell r="V1540">
            <v>1.2663000000000001E-2</v>
          </cell>
          <cell r="W1540">
            <v>1.3500000000000002E-2</v>
          </cell>
          <cell r="X1540">
            <v>1.54E-2</v>
          </cell>
          <cell r="Y1540">
            <v>1.7600000000000001E-2</v>
          </cell>
          <cell r="Z1540">
            <v>1.9349999999999999E-2</v>
          </cell>
          <cell r="AA1540">
            <v>2.1400000000000002E-2</v>
          </cell>
          <cell r="AB1540">
            <v>2.4299999999999999E-2</v>
          </cell>
          <cell r="AC1540">
            <v>2.7000000000000003E-2</v>
          </cell>
        </row>
        <row r="1541">
          <cell r="T1541">
            <v>38349</v>
          </cell>
          <cell r="U1541">
            <v>1.1970000000000001E-2</v>
          </cell>
          <cell r="V1541">
            <v>1.2686999999999999E-2</v>
          </cell>
          <cell r="W1541">
            <v>1.3500000000000002E-2</v>
          </cell>
          <cell r="X1541">
            <v>1.5550000000000001E-2</v>
          </cell>
          <cell r="Y1541">
            <v>1.7650000000000002E-2</v>
          </cell>
          <cell r="Z1541">
            <v>1.9699999999999999E-2</v>
          </cell>
          <cell r="AA1541">
            <v>2.1550000000000003E-2</v>
          </cell>
          <cell r="AB1541">
            <v>2.4550000000000002E-2</v>
          </cell>
          <cell r="AC1541">
            <v>2.7000000000000003E-2</v>
          </cell>
        </row>
        <row r="1542">
          <cell r="T1542">
            <v>38348</v>
          </cell>
          <cell r="U1542">
            <v>1.1993999999999999E-2</v>
          </cell>
          <cell r="V1542">
            <v>1.2694E-2</v>
          </cell>
          <cell r="W1542">
            <v>1.3450000000000002E-2</v>
          </cell>
          <cell r="X1542">
            <v>1.5550000000000001E-2</v>
          </cell>
          <cell r="Y1542">
            <v>1.745E-2</v>
          </cell>
          <cell r="Z1542">
            <v>1.9349999999999999E-2</v>
          </cell>
          <cell r="AA1542">
            <v>2.1250000000000002E-2</v>
          </cell>
          <cell r="AB1542">
            <v>2.4000000000000004E-2</v>
          </cell>
          <cell r="AC1542">
            <v>2.6799999999999997E-2</v>
          </cell>
        </row>
        <row r="1543">
          <cell r="T1543">
            <v>38347</v>
          </cell>
          <cell r="U1543">
            <v>1.1927E-2</v>
          </cell>
          <cell r="V1543">
            <v>1.2580000000000001E-2</v>
          </cell>
          <cell r="W1543">
            <v>1.3450000000000002E-2</v>
          </cell>
          <cell r="X1543">
            <v>1.5550000000000001E-2</v>
          </cell>
          <cell r="Y1543">
            <v>1.745E-2</v>
          </cell>
          <cell r="Z1543">
            <v>1.9349999999999999E-2</v>
          </cell>
          <cell r="AA1543">
            <v>2.1250000000000002E-2</v>
          </cell>
          <cell r="AB1543">
            <v>2.4000000000000004E-2</v>
          </cell>
          <cell r="AC1543">
            <v>2.6799999999999997E-2</v>
          </cell>
        </row>
        <row r="1544">
          <cell r="T1544">
            <v>38346</v>
          </cell>
          <cell r="U1544">
            <v>1.1927E-2</v>
          </cell>
          <cell r="V1544">
            <v>1.2580000000000001E-2</v>
          </cell>
          <cell r="W1544">
            <v>1.3450000000000002E-2</v>
          </cell>
          <cell r="X1544">
            <v>1.5550000000000001E-2</v>
          </cell>
          <cell r="Y1544">
            <v>1.745E-2</v>
          </cell>
          <cell r="Z1544">
            <v>1.9349999999999999E-2</v>
          </cell>
          <cell r="AA1544">
            <v>2.1250000000000002E-2</v>
          </cell>
          <cell r="AB1544">
            <v>2.4000000000000004E-2</v>
          </cell>
          <cell r="AC1544">
            <v>2.6799999999999997E-2</v>
          </cell>
        </row>
        <row r="1545">
          <cell r="T1545">
            <v>38345</v>
          </cell>
          <cell r="U1545">
            <v>1.1927E-2</v>
          </cell>
          <cell r="V1545">
            <v>1.2580000000000001E-2</v>
          </cell>
          <cell r="W1545">
            <v>1.3450000000000002E-2</v>
          </cell>
          <cell r="X1545">
            <v>1.5550000000000001E-2</v>
          </cell>
          <cell r="Y1545">
            <v>1.745E-2</v>
          </cell>
          <cell r="Z1545">
            <v>1.9349999999999999E-2</v>
          </cell>
          <cell r="AA1545">
            <v>2.1250000000000002E-2</v>
          </cell>
          <cell r="AB1545">
            <v>2.4000000000000004E-2</v>
          </cell>
          <cell r="AC1545">
            <v>2.6799999999999997E-2</v>
          </cell>
        </row>
        <row r="1546">
          <cell r="T1546">
            <v>38344</v>
          </cell>
          <cell r="U1546">
            <v>1.2088000000000002E-2</v>
          </cell>
          <cell r="V1546">
            <v>1.2891E-2</v>
          </cell>
          <cell r="W1546">
            <v>1.3500000000000002E-2</v>
          </cell>
          <cell r="X1546">
            <v>1.585E-2</v>
          </cell>
          <cell r="Y1546">
            <v>1.7749999999999998E-2</v>
          </cell>
          <cell r="Z1546">
            <v>1.95E-2</v>
          </cell>
          <cell r="AA1546">
            <v>2.1649999999999999E-2</v>
          </cell>
          <cell r="AB1546">
            <v>2.4000000000000004E-2</v>
          </cell>
          <cell r="AC1546">
            <v>2.6749999999999999E-2</v>
          </cell>
        </row>
        <row r="1547">
          <cell r="T1547">
            <v>38343</v>
          </cell>
          <cell r="U1547">
            <v>1.2022E-2</v>
          </cell>
          <cell r="V1547">
            <v>1.2681E-2</v>
          </cell>
          <cell r="W1547">
            <v>1.3599999999999999E-2</v>
          </cell>
          <cell r="X1547">
            <v>1.5950000000000002E-2</v>
          </cell>
          <cell r="Y1547">
            <v>1.77E-2</v>
          </cell>
          <cell r="Z1547">
            <v>1.95E-2</v>
          </cell>
          <cell r="AA1547">
            <v>2.1499999999999998E-2</v>
          </cell>
          <cell r="AB1547">
            <v>2.4000000000000004E-2</v>
          </cell>
          <cell r="AC1547">
            <v>2.6749999999999999E-2</v>
          </cell>
        </row>
        <row r="1548">
          <cell r="T1548">
            <v>38342</v>
          </cell>
          <cell r="U1548">
            <v>1.1911E-2</v>
          </cell>
          <cell r="V1548">
            <v>1.2624999999999999E-2</v>
          </cell>
          <cell r="W1548">
            <v>1.37E-2</v>
          </cell>
          <cell r="X1548">
            <v>1.635E-2</v>
          </cell>
          <cell r="Y1548">
            <v>1.8349999999999998E-2</v>
          </cell>
          <cell r="Z1548">
            <v>2.0299999999999999E-2</v>
          </cell>
          <cell r="AA1548">
            <v>2.2250000000000002E-2</v>
          </cell>
          <cell r="AB1548">
            <v>2.5099999999999997E-2</v>
          </cell>
          <cell r="AC1548">
            <v>2.75E-2</v>
          </cell>
        </row>
        <row r="1549">
          <cell r="T1549">
            <v>38341</v>
          </cell>
          <cell r="U1549">
            <v>1.2022E-2</v>
          </cell>
          <cell r="V1549">
            <v>1.2792E-2</v>
          </cell>
          <cell r="W1549">
            <v>1.37E-2</v>
          </cell>
          <cell r="X1549">
            <v>1.635E-2</v>
          </cell>
          <cell r="Y1549">
            <v>1.8349999999999998E-2</v>
          </cell>
          <cell r="Z1549">
            <v>2.0299999999999999E-2</v>
          </cell>
          <cell r="AA1549">
            <v>2.2250000000000002E-2</v>
          </cell>
          <cell r="AB1549">
            <v>2.5300000000000003E-2</v>
          </cell>
          <cell r="AC1549">
            <v>2.75E-2</v>
          </cell>
        </row>
        <row r="1550">
          <cell r="T1550">
            <v>38340</v>
          </cell>
          <cell r="U1550">
            <v>1.1889E-2</v>
          </cell>
          <cell r="V1550">
            <v>1.2653000000000001E-2</v>
          </cell>
          <cell r="W1550">
            <v>1.375E-2</v>
          </cell>
          <cell r="X1550">
            <v>1.6299999999999999E-2</v>
          </cell>
          <cell r="Y1550">
            <v>1.8349999999999998E-2</v>
          </cell>
          <cell r="Z1550">
            <v>2.0299999999999999E-2</v>
          </cell>
          <cell r="AA1550">
            <v>2.2250000000000002E-2</v>
          </cell>
          <cell r="AB1550">
            <v>2.5300000000000003E-2</v>
          </cell>
          <cell r="AC1550">
            <v>2.75E-2</v>
          </cell>
        </row>
        <row r="1551">
          <cell r="T1551">
            <v>38339</v>
          </cell>
          <cell r="U1551">
            <v>1.1889E-2</v>
          </cell>
          <cell r="V1551">
            <v>1.2653000000000001E-2</v>
          </cell>
          <cell r="W1551">
            <v>1.375E-2</v>
          </cell>
          <cell r="X1551">
            <v>1.6299999999999999E-2</v>
          </cell>
          <cell r="Y1551">
            <v>1.8349999999999998E-2</v>
          </cell>
          <cell r="Z1551">
            <v>2.0299999999999999E-2</v>
          </cell>
          <cell r="AA1551">
            <v>2.2250000000000002E-2</v>
          </cell>
          <cell r="AB1551">
            <v>2.5300000000000003E-2</v>
          </cell>
          <cell r="AC1551">
            <v>2.75E-2</v>
          </cell>
        </row>
        <row r="1552">
          <cell r="T1552">
            <v>38338</v>
          </cell>
          <cell r="U1552">
            <v>1.1889E-2</v>
          </cell>
          <cell r="V1552">
            <v>1.2653000000000001E-2</v>
          </cell>
          <cell r="W1552">
            <v>1.375E-2</v>
          </cell>
          <cell r="X1552">
            <v>1.6299999999999999E-2</v>
          </cell>
          <cell r="Y1552">
            <v>1.8349999999999998E-2</v>
          </cell>
          <cell r="Z1552">
            <v>2.0299999999999999E-2</v>
          </cell>
          <cell r="AA1552">
            <v>2.2250000000000002E-2</v>
          </cell>
          <cell r="AB1552">
            <v>2.5300000000000003E-2</v>
          </cell>
          <cell r="AC1552">
            <v>2.75E-2</v>
          </cell>
        </row>
        <row r="1553">
          <cell r="T1553">
            <v>38337</v>
          </cell>
          <cell r="U1553">
            <v>1.1975E-2</v>
          </cell>
          <cell r="V1553">
            <v>1.265E-2</v>
          </cell>
          <cell r="W1553">
            <v>1.3599999999999999E-2</v>
          </cell>
          <cell r="X1553">
            <v>1.61E-2</v>
          </cell>
          <cell r="Y1553">
            <v>1.8250000000000002E-2</v>
          </cell>
          <cell r="Z1553">
            <v>2.0250000000000001E-2</v>
          </cell>
          <cell r="AA1553">
            <v>2.215E-2</v>
          </cell>
          <cell r="AB1553">
            <v>2.4900000000000002E-2</v>
          </cell>
          <cell r="AC1553">
            <v>2.7199999999999998E-2</v>
          </cell>
        </row>
        <row r="1554">
          <cell r="T1554">
            <v>38336</v>
          </cell>
          <cell r="U1554">
            <v>1.1975E-2</v>
          </cell>
          <cell r="V1554">
            <v>1.265E-2</v>
          </cell>
          <cell r="W1554">
            <v>1.37E-2</v>
          </cell>
          <cell r="X1554">
            <v>1.6150000000000001E-2</v>
          </cell>
          <cell r="Y1554">
            <v>1.8349999999999998E-2</v>
          </cell>
          <cell r="Z1554">
            <v>2.0299999999999999E-2</v>
          </cell>
          <cell r="AA1554">
            <v>2.2250000000000002E-2</v>
          </cell>
          <cell r="AB1554">
            <v>2.4900000000000002E-2</v>
          </cell>
          <cell r="AC1554">
            <v>2.7199999999999998E-2</v>
          </cell>
        </row>
        <row r="1555">
          <cell r="T1555">
            <v>38335</v>
          </cell>
          <cell r="U1555">
            <v>1.1875E-2</v>
          </cell>
          <cell r="V1555">
            <v>1.2500000000000001E-2</v>
          </cell>
          <cell r="W1555">
            <v>1.355E-2</v>
          </cell>
          <cell r="X1555">
            <v>1.5900000000000001E-2</v>
          </cell>
          <cell r="Y1555">
            <v>1.8149999999999999E-2</v>
          </cell>
          <cell r="Z1555">
            <v>2.0150000000000001E-2</v>
          </cell>
          <cell r="AA1555">
            <v>2.2099999999999998E-2</v>
          </cell>
          <cell r="AB1555">
            <v>2.4900000000000002E-2</v>
          </cell>
          <cell r="AC1555">
            <v>2.7199999999999998E-2</v>
          </cell>
        </row>
        <row r="1556">
          <cell r="T1556">
            <v>38334</v>
          </cell>
          <cell r="U1556">
            <v>1.1911E-2</v>
          </cell>
          <cell r="V1556">
            <v>1.2583E-2</v>
          </cell>
          <cell r="W1556">
            <v>1.3500000000000002E-2</v>
          </cell>
          <cell r="X1556">
            <v>1.5900000000000001E-2</v>
          </cell>
          <cell r="Y1556">
            <v>1.8200000000000001E-2</v>
          </cell>
          <cell r="Z1556">
            <v>2.0099999999999996E-2</v>
          </cell>
          <cell r="AA1556">
            <v>2.215E-2</v>
          </cell>
          <cell r="AB1556">
            <v>2.5000000000000001E-2</v>
          </cell>
          <cell r="AC1556">
            <v>2.7199999999999998E-2</v>
          </cell>
        </row>
        <row r="1557">
          <cell r="T1557">
            <v>38333</v>
          </cell>
          <cell r="U1557">
            <v>1.2033E-2</v>
          </cell>
          <cell r="V1557">
            <v>1.2737E-2</v>
          </cell>
          <cell r="W1557">
            <v>1.355E-2</v>
          </cell>
          <cell r="X1557">
            <v>1.5950000000000002E-2</v>
          </cell>
          <cell r="Y1557">
            <v>1.805E-2</v>
          </cell>
          <cell r="Z1557">
            <v>2.0049999999999998E-2</v>
          </cell>
          <cell r="AA1557">
            <v>2.205E-2</v>
          </cell>
          <cell r="AB1557">
            <v>2.5000000000000001E-2</v>
          </cell>
          <cell r="AC1557">
            <v>2.7000000000000003E-2</v>
          </cell>
        </row>
        <row r="1558">
          <cell r="T1558">
            <v>38332</v>
          </cell>
          <cell r="U1558">
            <v>1.2033E-2</v>
          </cell>
          <cell r="V1558">
            <v>1.2737E-2</v>
          </cell>
          <cell r="W1558">
            <v>1.355E-2</v>
          </cell>
          <cell r="X1558">
            <v>1.5950000000000002E-2</v>
          </cell>
          <cell r="Y1558">
            <v>1.805E-2</v>
          </cell>
          <cell r="Z1558">
            <v>2.0049999999999998E-2</v>
          </cell>
          <cell r="AA1558">
            <v>2.205E-2</v>
          </cell>
          <cell r="AB1558">
            <v>2.5000000000000001E-2</v>
          </cell>
          <cell r="AC1558">
            <v>2.7000000000000003E-2</v>
          </cell>
        </row>
        <row r="1559">
          <cell r="T1559">
            <v>38331</v>
          </cell>
          <cell r="U1559">
            <v>1.2033E-2</v>
          </cell>
          <cell r="V1559">
            <v>1.2737E-2</v>
          </cell>
          <cell r="W1559">
            <v>1.355E-2</v>
          </cell>
          <cell r="X1559">
            <v>1.5950000000000002E-2</v>
          </cell>
          <cell r="Y1559">
            <v>1.805E-2</v>
          </cell>
          <cell r="Z1559">
            <v>2.0049999999999998E-2</v>
          </cell>
          <cell r="AA1559">
            <v>2.205E-2</v>
          </cell>
          <cell r="AB1559">
            <v>2.5000000000000001E-2</v>
          </cell>
          <cell r="AC1559">
            <v>2.7000000000000003E-2</v>
          </cell>
        </row>
        <row r="1560">
          <cell r="T1560">
            <v>38330</v>
          </cell>
          <cell r="U1560">
            <v>1.1947000000000001E-2</v>
          </cell>
          <cell r="V1560">
            <v>1.2578000000000001E-2</v>
          </cell>
          <cell r="W1560">
            <v>1.3500000000000002E-2</v>
          </cell>
          <cell r="X1560">
            <v>1.5700000000000002E-2</v>
          </cell>
          <cell r="Y1560">
            <v>1.8000000000000002E-2</v>
          </cell>
          <cell r="Z1560">
            <v>0.02</v>
          </cell>
          <cell r="AA1560">
            <v>2.1850000000000001E-2</v>
          </cell>
          <cell r="AB1560">
            <v>2.4500000000000001E-2</v>
          </cell>
          <cell r="AC1560">
            <v>2.7000000000000003E-2</v>
          </cell>
        </row>
        <row r="1561">
          <cell r="T1561">
            <v>38329</v>
          </cell>
          <cell r="U1561">
            <v>1.1847000000000002E-2</v>
          </cell>
          <cell r="V1561">
            <v>1.2458E-2</v>
          </cell>
          <cell r="W1561">
            <v>1.3450000000000002E-2</v>
          </cell>
          <cell r="X1561">
            <v>1.575E-2</v>
          </cell>
          <cell r="Y1561">
            <v>1.805E-2</v>
          </cell>
          <cell r="Z1561">
            <v>2.0049999999999998E-2</v>
          </cell>
          <cell r="AA1561">
            <v>2.1899999999999999E-2</v>
          </cell>
          <cell r="AB1561">
            <v>2.4699999999999996E-2</v>
          </cell>
          <cell r="AC1561">
            <v>2.7000000000000003E-2</v>
          </cell>
        </row>
        <row r="1562">
          <cell r="T1562">
            <v>38328</v>
          </cell>
          <cell r="U1562">
            <v>1.1939E-2</v>
          </cell>
          <cell r="V1562">
            <v>1.2583E-2</v>
          </cell>
          <cell r="W1562">
            <v>1.3650000000000001E-2</v>
          </cell>
          <cell r="X1562">
            <v>1.5950000000000002E-2</v>
          </cell>
          <cell r="Y1562">
            <v>1.8500000000000003E-2</v>
          </cell>
          <cell r="Z1562">
            <v>2.035E-2</v>
          </cell>
          <cell r="AA1562">
            <v>2.2349999999999998E-2</v>
          </cell>
          <cell r="AB1562">
            <v>2.5099999999999997E-2</v>
          </cell>
          <cell r="AC1562">
            <v>2.75E-2</v>
          </cell>
        </row>
        <row r="1563">
          <cell r="T1563">
            <v>38327</v>
          </cell>
          <cell r="U1563">
            <v>1.1950000000000001E-2</v>
          </cell>
          <cell r="V1563">
            <v>1.2636000000000001E-2</v>
          </cell>
          <cell r="W1563">
            <v>1.4499999999999999E-2</v>
          </cell>
          <cell r="X1563">
            <v>1.7000000000000001E-2</v>
          </cell>
          <cell r="Y1563">
            <v>1.9E-2</v>
          </cell>
          <cell r="Z1563">
            <v>2.0750000000000001E-2</v>
          </cell>
          <cell r="AA1563">
            <v>2.2499999999999999E-2</v>
          </cell>
          <cell r="AB1563">
            <v>2.5499999999999998E-2</v>
          </cell>
          <cell r="AC1563">
            <v>2.7999999999999997E-2</v>
          </cell>
        </row>
        <row r="1564">
          <cell r="T1564">
            <v>38326</v>
          </cell>
          <cell r="U1564">
            <v>1.1957000000000001E-2</v>
          </cell>
          <cell r="V1564">
            <v>1.2760000000000001E-2</v>
          </cell>
          <cell r="W1564">
            <v>1.4049999999999998E-2</v>
          </cell>
          <cell r="X1564">
            <v>1.6449999999999999E-2</v>
          </cell>
          <cell r="Y1564">
            <v>1.9099999999999999E-2</v>
          </cell>
          <cell r="Z1564">
            <v>2.1100000000000004E-2</v>
          </cell>
          <cell r="AA1564">
            <v>2.3049999999999998E-2</v>
          </cell>
          <cell r="AB1564">
            <v>2.5700000000000004E-2</v>
          </cell>
          <cell r="AC1564">
            <v>2.8499999999999998E-2</v>
          </cell>
        </row>
        <row r="1565">
          <cell r="T1565">
            <v>38325</v>
          </cell>
          <cell r="U1565">
            <v>1.1957000000000001E-2</v>
          </cell>
          <cell r="V1565">
            <v>1.2760000000000001E-2</v>
          </cell>
          <cell r="W1565">
            <v>1.4049999999999998E-2</v>
          </cell>
          <cell r="X1565">
            <v>1.6449999999999999E-2</v>
          </cell>
          <cell r="Y1565">
            <v>1.9099999999999999E-2</v>
          </cell>
          <cell r="Z1565">
            <v>2.1100000000000004E-2</v>
          </cell>
          <cell r="AA1565">
            <v>2.3049999999999998E-2</v>
          </cell>
          <cell r="AB1565">
            <v>2.5700000000000004E-2</v>
          </cell>
          <cell r="AC1565">
            <v>2.8499999999999998E-2</v>
          </cell>
        </row>
        <row r="1566">
          <cell r="T1566">
            <v>38324</v>
          </cell>
          <cell r="U1566">
            <v>1.1957000000000001E-2</v>
          </cell>
          <cell r="V1566">
            <v>1.2760000000000001E-2</v>
          </cell>
          <cell r="W1566">
            <v>1.4049999999999998E-2</v>
          </cell>
          <cell r="X1566">
            <v>1.6449999999999999E-2</v>
          </cell>
          <cell r="Y1566">
            <v>1.9099999999999999E-2</v>
          </cell>
          <cell r="Z1566">
            <v>2.1100000000000004E-2</v>
          </cell>
          <cell r="AA1566">
            <v>2.3049999999999998E-2</v>
          </cell>
          <cell r="AB1566">
            <v>2.5700000000000004E-2</v>
          </cell>
          <cell r="AC1566">
            <v>2.8499999999999998E-2</v>
          </cell>
        </row>
        <row r="1567">
          <cell r="T1567">
            <v>38323</v>
          </cell>
          <cell r="U1567">
            <v>1.1893000000000001E-2</v>
          </cell>
          <cell r="V1567">
            <v>1.2591000000000001E-2</v>
          </cell>
          <cell r="W1567">
            <v>1.3999999999999999E-2</v>
          </cell>
          <cell r="X1567">
            <v>1.635E-2</v>
          </cell>
          <cell r="Y1567">
            <v>1.8950000000000002E-2</v>
          </cell>
          <cell r="Z1567">
            <v>2.085E-2</v>
          </cell>
          <cell r="AA1567">
            <v>2.2850000000000002E-2</v>
          </cell>
          <cell r="AB1567">
            <v>2.5700000000000004E-2</v>
          </cell>
          <cell r="AC1567">
            <v>2.8499999999999998E-2</v>
          </cell>
        </row>
        <row r="1568">
          <cell r="T1568">
            <v>38322</v>
          </cell>
          <cell r="U1568">
            <v>1.1970000000000001E-2</v>
          </cell>
          <cell r="V1568">
            <v>1.2784999999999999E-2</v>
          </cell>
          <cell r="W1568">
            <v>1.3999999999999999E-2</v>
          </cell>
          <cell r="X1568">
            <v>1.6549999999999999E-2</v>
          </cell>
          <cell r="Y1568">
            <v>1.9E-2</v>
          </cell>
          <cell r="Z1568">
            <v>2.1000000000000001E-2</v>
          </cell>
          <cell r="AA1568">
            <v>2.3E-2</v>
          </cell>
          <cell r="AB1568">
            <v>2.5899999999999999E-2</v>
          </cell>
          <cell r="AC1568">
            <v>2.87E-2</v>
          </cell>
        </row>
        <row r="1569">
          <cell r="T1569">
            <v>38321</v>
          </cell>
          <cell r="U1569">
            <v>1.1881999999999998E-2</v>
          </cell>
          <cell r="V1569">
            <v>1.2549999999999999E-2</v>
          </cell>
          <cell r="W1569">
            <v>1.3999999999999999E-2</v>
          </cell>
          <cell r="X1569">
            <v>1.6500000000000001E-2</v>
          </cell>
          <cell r="Y1569">
            <v>1.9299999999999998E-2</v>
          </cell>
          <cell r="Z1569">
            <v>2.1299999999999999E-2</v>
          </cell>
          <cell r="AA1569">
            <v>2.3349999999999999E-2</v>
          </cell>
          <cell r="AB1569">
            <v>2.63E-2</v>
          </cell>
          <cell r="AC1569">
            <v>2.9000000000000005E-2</v>
          </cell>
        </row>
        <row r="1570">
          <cell r="T1570">
            <v>38320</v>
          </cell>
          <cell r="U1570">
            <v>1.2109000000000002E-2</v>
          </cell>
          <cell r="V1570">
            <v>1.2736000000000001E-2</v>
          </cell>
          <cell r="W1570">
            <v>1.4049999999999998E-2</v>
          </cell>
          <cell r="X1570">
            <v>1.6449999999999999E-2</v>
          </cell>
          <cell r="Y1570">
            <v>1.9049999999999997E-2</v>
          </cell>
          <cell r="Z1570">
            <v>2.1250000000000002E-2</v>
          </cell>
          <cell r="AA1570">
            <v>2.315E-2</v>
          </cell>
          <cell r="AB1570">
            <v>2.6200000000000001E-2</v>
          </cell>
          <cell r="AC1570">
            <v>2.8899999999999995E-2</v>
          </cell>
        </row>
        <row r="1571">
          <cell r="T1571">
            <v>38319</v>
          </cell>
          <cell r="U1571">
            <v>1.2133E-2</v>
          </cell>
          <cell r="V1571">
            <v>1.2806E-2</v>
          </cell>
          <cell r="W1571">
            <v>1.3999999999999999E-2</v>
          </cell>
          <cell r="X1571">
            <v>1.6500000000000001E-2</v>
          </cell>
          <cell r="Y1571">
            <v>1.9199999999999998E-2</v>
          </cell>
          <cell r="Z1571">
            <v>2.1349999999999997E-2</v>
          </cell>
          <cell r="AA1571">
            <v>2.3349999999999999E-2</v>
          </cell>
          <cell r="AB1571">
            <v>2.6349999999999998E-2</v>
          </cell>
          <cell r="AC1571">
            <v>2.9100000000000001E-2</v>
          </cell>
        </row>
        <row r="1572">
          <cell r="T1572">
            <v>38318</v>
          </cell>
          <cell r="U1572">
            <v>1.2133E-2</v>
          </cell>
          <cell r="V1572">
            <v>1.2806E-2</v>
          </cell>
          <cell r="W1572">
            <v>1.3999999999999999E-2</v>
          </cell>
          <cell r="X1572">
            <v>1.6500000000000001E-2</v>
          </cell>
          <cell r="Y1572">
            <v>1.9199999999999998E-2</v>
          </cell>
          <cell r="Z1572">
            <v>2.1349999999999997E-2</v>
          </cell>
          <cell r="AA1572">
            <v>2.3349999999999999E-2</v>
          </cell>
          <cell r="AB1572">
            <v>2.6349999999999998E-2</v>
          </cell>
          <cell r="AC1572">
            <v>2.9100000000000001E-2</v>
          </cell>
        </row>
        <row r="1573">
          <cell r="T1573">
            <v>38317</v>
          </cell>
          <cell r="U1573">
            <v>1.2133E-2</v>
          </cell>
          <cell r="V1573">
            <v>1.2806E-2</v>
          </cell>
          <cell r="W1573">
            <v>1.3999999999999999E-2</v>
          </cell>
          <cell r="X1573">
            <v>1.6500000000000001E-2</v>
          </cell>
          <cell r="Y1573">
            <v>1.9199999999999998E-2</v>
          </cell>
          <cell r="Z1573">
            <v>2.1349999999999997E-2</v>
          </cell>
          <cell r="AA1573">
            <v>2.3349999999999999E-2</v>
          </cell>
          <cell r="AB1573">
            <v>2.6349999999999998E-2</v>
          </cell>
          <cell r="AC1573">
            <v>2.9100000000000001E-2</v>
          </cell>
        </row>
        <row r="1574">
          <cell r="T1574">
            <v>38316</v>
          </cell>
          <cell r="U1574">
            <v>1.2119999999999999E-2</v>
          </cell>
          <cell r="V1574">
            <v>1.291E-2</v>
          </cell>
          <cell r="W1574">
            <v>1.4499999999999999E-2</v>
          </cell>
          <cell r="X1574">
            <v>1.6500000000000001E-2</v>
          </cell>
          <cell r="Y1574">
            <v>1.8849999999999999E-2</v>
          </cell>
          <cell r="Z1574">
            <v>2.1000000000000001E-2</v>
          </cell>
          <cell r="AA1574">
            <v>2.29E-2</v>
          </cell>
          <cell r="AB1574">
            <v>2.5699999999999997E-2</v>
          </cell>
          <cell r="AC1574">
            <v>2.8499999999999998E-2</v>
          </cell>
        </row>
        <row r="1575">
          <cell r="T1575">
            <v>38315</v>
          </cell>
          <cell r="U1575">
            <v>1.1916E-2</v>
          </cell>
          <cell r="V1575">
            <v>1.2591000000000001E-2</v>
          </cell>
          <cell r="W1575">
            <v>1.4499999999999999E-2</v>
          </cell>
          <cell r="X1575">
            <v>1.6500000000000001E-2</v>
          </cell>
          <cell r="Y1575">
            <v>1.9E-2</v>
          </cell>
          <cell r="Z1575">
            <v>2.1250000000000002E-2</v>
          </cell>
          <cell r="AA1575">
            <v>2.3349999999999999E-2</v>
          </cell>
          <cell r="AB1575">
            <v>2.6349999999999998E-2</v>
          </cell>
          <cell r="AC1575">
            <v>2.9299999999999996E-2</v>
          </cell>
        </row>
        <row r="1576">
          <cell r="T1576">
            <v>38314</v>
          </cell>
          <cell r="U1576">
            <v>1.2070000000000001E-2</v>
          </cell>
          <cell r="V1576">
            <v>1.2755000000000001E-2</v>
          </cell>
          <cell r="W1576">
            <v>1.4049999999999998E-2</v>
          </cell>
          <cell r="X1576">
            <v>1.635E-2</v>
          </cell>
          <cell r="Y1576">
            <v>1.915E-2</v>
          </cell>
          <cell r="Z1576">
            <v>2.1049999999999999E-2</v>
          </cell>
          <cell r="AA1576">
            <v>2.3049999999999998E-2</v>
          </cell>
          <cell r="AB1576">
            <v>2.6249999999999999E-2</v>
          </cell>
          <cell r="AC1576">
            <v>2.9000000000000005E-2</v>
          </cell>
        </row>
        <row r="1577">
          <cell r="T1577">
            <v>38313</v>
          </cell>
          <cell r="U1577">
            <v>1.1909000000000001E-2</v>
          </cell>
          <cell r="V1577">
            <v>1.2506E-2</v>
          </cell>
          <cell r="W1577">
            <v>1.4049999999999998E-2</v>
          </cell>
          <cell r="X1577">
            <v>1.67E-2</v>
          </cell>
          <cell r="Y1577">
            <v>1.9400000000000001E-2</v>
          </cell>
          <cell r="Z1577">
            <v>2.1499999999999998E-2</v>
          </cell>
          <cell r="AA1577">
            <v>2.3799999999999998E-2</v>
          </cell>
          <cell r="AB1577">
            <v>2.6600000000000002E-2</v>
          </cell>
          <cell r="AC1577">
            <v>2.9500000000000002E-2</v>
          </cell>
        </row>
        <row r="1578">
          <cell r="T1578">
            <v>38312</v>
          </cell>
          <cell r="U1578">
            <v>1.1964999999999998E-2</v>
          </cell>
          <cell r="V1578">
            <v>1.2607999999999999E-2</v>
          </cell>
          <cell r="W1578">
            <v>1.4049999999999998E-2</v>
          </cell>
          <cell r="X1578">
            <v>1.6749999999999998E-2</v>
          </cell>
          <cell r="Y1578">
            <v>1.9349999999999999E-2</v>
          </cell>
          <cell r="Z1578">
            <v>2.145E-2</v>
          </cell>
          <cell r="AA1578">
            <v>2.3449999999999999E-2</v>
          </cell>
          <cell r="AB1578">
            <v>2.6349999999999998E-2</v>
          </cell>
          <cell r="AC1578">
            <v>2.9299999999999996E-2</v>
          </cell>
        </row>
        <row r="1579">
          <cell r="T1579">
            <v>38311</v>
          </cell>
          <cell r="U1579">
            <v>1.1964999999999998E-2</v>
          </cell>
          <cell r="V1579">
            <v>1.2607999999999999E-2</v>
          </cell>
          <cell r="W1579">
            <v>1.4049999999999998E-2</v>
          </cell>
          <cell r="X1579">
            <v>1.6749999999999998E-2</v>
          </cell>
          <cell r="Y1579">
            <v>1.9349999999999999E-2</v>
          </cell>
          <cell r="Z1579">
            <v>2.145E-2</v>
          </cell>
          <cell r="AA1579">
            <v>2.3449999999999999E-2</v>
          </cell>
          <cell r="AB1579">
            <v>2.6349999999999998E-2</v>
          </cell>
          <cell r="AC1579">
            <v>2.9299999999999996E-2</v>
          </cell>
        </row>
        <row r="1580">
          <cell r="T1580">
            <v>38310</v>
          </cell>
          <cell r="U1580">
            <v>1.1964999999999998E-2</v>
          </cell>
          <cell r="V1580">
            <v>1.2607999999999999E-2</v>
          </cell>
          <cell r="W1580">
            <v>1.4049999999999998E-2</v>
          </cell>
          <cell r="X1580">
            <v>1.6749999999999998E-2</v>
          </cell>
          <cell r="Y1580">
            <v>1.9349999999999999E-2</v>
          </cell>
          <cell r="Z1580">
            <v>2.145E-2</v>
          </cell>
          <cell r="AA1580">
            <v>2.3449999999999999E-2</v>
          </cell>
          <cell r="AB1580">
            <v>2.6349999999999998E-2</v>
          </cell>
          <cell r="AC1580">
            <v>2.9299999999999996E-2</v>
          </cell>
        </row>
        <row r="1581">
          <cell r="T1581">
            <v>38309</v>
          </cell>
          <cell r="U1581">
            <v>1.2070000000000001E-2</v>
          </cell>
          <cell r="V1581">
            <v>1.2755000000000001E-2</v>
          </cell>
          <cell r="W1581">
            <v>1.38E-2</v>
          </cell>
          <cell r="X1581">
            <v>1.6250000000000001E-2</v>
          </cell>
          <cell r="Y1581">
            <v>1.9049999999999997E-2</v>
          </cell>
          <cell r="Z1581">
            <v>2.085E-2</v>
          </cell>
          <cell r="AA1581">
            <v>2.3049999999999998E-2</v>
          </cell>
          <cell r="AB1581">
            <v>2.5849999999999998E-2</v>
          </cell>
          <cell r="AC1581">
            <v>2.8799999999999999E-2</v>
          </cell>
        </row>
        <row r="1582">
          <cell r="T1582">
            <v>38308</v>
          </cell>
          <cell r="U1582">
            <v>1.2019999999999999E-2</v>
          </cell>
          <cell r="V1582">
            <v>1.2729999999999998E-2</v>
          </cell>
          <cell r="W1582">
            <v>1.4150000000000001E-2</v>
          </cell>
          <cell r="X1582">
            <v>1.695E-2</v>
          </cell>
          <cell r="Y1582">
            <v>1.975E-2</v>
          </cell>
          <cell r="Z1582">
            <v>2.2200000000000001E-2</v>
          </cell>
          <cell r="AA1582">
            <v>2.4249999999999997E-2</v>
          </cell>
          <cell r="AB1582">
            <v>2.69E-2</v>
          </cell>
          <cell r="AC1582">
            <v>3.0249999999999999E-2</v>
          </cell>
        </row>
        <row r="1583">
          <cell r="T1583">
            <v>38307</v>
          </cell>
          <cell r="U1583">
            <v>1.2119999999999999E-2</v>
          </cell>
          <cell r="V1583">
            <v>1.2855E-2</v>
          </cell>
          <cell r="W1583">
            <v>1.4800000000000001E-2</v>
          </cell>
          <cell r="X1583">
            <v>1.7100000000000001E-2</v>
          </cell>
          <cell r="Y1583">
            <v>1.985E-2</v>
          </cell>
          <cell r="Z1583">
            <v>2.2350000000000002E-2</v>
          </cell>
          <cell r="AA1583">
            <v>2.4500000000000001E-2</v>
          </cell>
          <cell r="AB1583">
            <v>2.7300000000000001E-2</v>
          </cell>
          <cell r="AC1583">
            <v>3.04E-2</v>
          </cell>
        </row>
        <row r="1584">
          <cell r="T1584">
            <v>38306</v>
          </cell>
          <cell r="U1584">
            <v>1.1955E-2</v>
          </cell>
          <cell r="V1584">
            <v>1.2667999999999999E-2</v>
          </cell>
          <cell r="W1584">
            <v>1.44E-2</v>
          </cell>
          <cell r="X1584">
            <v>1.6899999999999998E-2</v>
          </cell>
          <cell r="Y1584">
            <v>1.9799999999999998E-2</v>
          </cell>
          <cell r="Z1584">
            <v>2.2349999999999998E-2</v>
          </cell>
          <cell r="AA1584">
            <v>2.4550000000000002E-2</v>
          </cell>
          <cell r="AB1584">
            <v>2.75E-2</v>
          </cell>
          <cell r="AC1584">
            <v>2.5699999999999997E-2</v>
          </cell>
        </row>
        <row r="1585">
          <cell r="T1585">
            <v>38305</v>
          </cell>
          <cell r="U1585">
            <v>1.2041E-2</v>
          </cell>
          <cell r="V1585">
            <v>1.2714000000000001E-2</v>
          </cell>
          <cell r="W1585">
            <v>1.43E-2</v>
          </cell>
          <cell r="X1585">
            <v>1.7299999999999999E-2</v>
          </cell>
          <cell r="Y1585">
            <v>2.0199999999999999E-2</v>
          </cell>
          <cell r="Z1585">
            <v>2.2850000000000002E-2</v>
          </cell>
          <cell r="AA1585">
            <v>2.4900000000000002E-2</v>
          </cell>
          <cell r="AB1585">
            <v>2.7750000000000004E-2</v>
          </cell>
          <cell r="AC1585">
            <v>2.58E-2</v>
          </cell>
        </row>
        <row r="1586">
          <cell r="T1586">
            <v>38304</v>
          </cell>
          <cell r="U1586">
            <v>1.2041E-2</v>
          </cell>
          <cell r="V1586">
            <v>1.2714000000000001E-2</v>
          </cell>
          <cell r="W1586">
            <v>1.43E-2</v>
          </cell>
          <cell r="X1586">
            <v>1.7299999999999999E-2</v>
          </cell>
          <cell r="Y1586">
            <v>2.0199999999999999E-2</v>
          </cell>
          <cell r="Z1586">
            <v>2.2850000000000002E-2</v>
          </cell>
          <cell r="AA1586">
            <v>2.4900000000000002E-2</v>
          </cell>
          <cell r="AB1586">
            <v>2.7750000000000004E-2</v>
          </cell>
          <cell r="AC1586">
            <v>2.58E-2</v>
          </cell>
        </row>
        <row r="1587">
          <cell r="T1587">
            <v>38303</v>
          </cell>
          <cell r="U1587">
            <v>1.2041E-2</v>
          </cell>
          <cell r="V1587">
            <v>1.2714000000000001E-2</v>
          </cell>
          <cell r="W1587">
            <v>1.43E-2</v>
          </cell>
          <cell r="X1587">
            <v>1.7299999999999999E-2</v>
          </cell>
          <cell r="Y1587">
            <v>2.0199999999999999E-2</v>
          </cell>
          <cell r="Z1587">
            <v>2.2850000000000002E-2</v>
          </cell>
          <cell r="AA1587">
            <v>2.4900000000000002E-2</v>
          </cell>
          <cell r="AB1587">
            <v>2.7750000000000004E-2</v>
          </cell>
          <cell r="AC1587">
            <v>2.58E-2</v>
          </cell>
        </row>
        <row r="1588">
          <cell r="T1588">
            <v>38302</v>
          </cell>
          <cell r="U1588">
            <v>1.1899999999999999E-2</v>
          </cell>
          <cell r="V1588">
            <v>1.2584999999999999E-2</v>
          </cell>
          <cell r="W1588">
            <v>1.43E-2</v>
          </cell>
          <cell r="X1588">
            <v>1.72E-2</v>
          </cell>
          <cell r="Y1588">
            <v>2.0049999999999998E-2</v>
          </cell>
          <cell r="Z1588">
            <v>2.265E-2</v>
          </cell>
          <cell r="AA1588">
            <v>2.4799999999999999E-2</v>
          </cell>
          <cell r="AB1588">
            <v>2.7699999999999999E-2</v>
          </cell>
          <cell r="AC1588">
            <v>3.0949999999999998E-2</v>
          </cell>
        </row>
        <row r="1589">
          <cell r="T1589">
            <v>38301</v>
          </cell>
          <cell r="U1589">
            <v>1.1889E-2</v>
          </cell>
          <cell r="V1589">
            <v>1.2450000000000001E-2</v>
          </cell>
          <cell r="W1589">
            <v>1.44E-2</v>
          </cell>
          <cell r="X1589">
            <v>1.7299999999999999E-2</v>
          </cell>
          <cell r="Y1589">
            <v>2.0299999999999999E-2</v>
          </cell>
          <cell r="Z1589">
            <v>2.29E-2</v>
          </cell>
          <cell r="AA1589">
            <v>2.4900000000000002E-2</v>
          </cell>
          <cell r="AB1589">
            <v>2.7900000000000001E-2</v>
          </cell>
          <cell r="AC1589">
            <v>3.1E-2</v>
          </cell>
        </row>
        <row r="1590">
          <cell r="T1590">
            <v>38300</v>
          </cell>
          <cell r="U1590">
            <v>1.1861E-2</v>
          </cell>
          <cell r="V1590">
            <v>1.2511000000000001E-2</v>
          </cell>
          <cell r="W1590">
            <v>1.46E-2</v>
          </cell>
          <cell r="X1590">
            <v>1.7299999999999999E-2</v>
          </cell>
          <cell r="Y1590">
            <v>2.0499999999999997E-2</v>
          </cell>
          <cell r="Z1590">
            <v>2.3250000000000003E-2</v>
          </cell>
          <cell r="AA1590">
            <v>2.53E-2</v>
          </cell>
          <cell r="AB1590">
            <v>2.8199999999999999E-2</v>
          </cell>
          <cell r="AC1590">
            <v>3.1449999999999999E-2</v>
          </cell>
        </row>
        <row r="1591">
          <cell r="T1591">
            <v>38299</v>
          </cell>
          <cell r="U1591">
            <v>1.2111E-2</v>
          </cell>
          <cell r="V1591">
            <v>1.2733000000000001E-2</v>
          </cell>
          <cell r="W1591">
            <v>1.4750000000000001E-2</v>
          </cell>
          <cell r="X1591">
            <v>1.7749999999999998E-2</v>
          </cell>
          <cell r="Y1591">
            <v>2.085E-2</v>
          </cell>
          <cell r="Z1591">
            <v>2.375E-2</v>
          </cell>
          <cell r="AA1591">
            <v>2.5849999999999998E-2</v>
          </cell>
          <cell r="AB1591">
            <v>2.9000000000000005E-2</v>
          </cell>
          <cell r="AC1591">
            <v>3.2050000000000002E-2</v>
          </cell>
        </row>
        <row r="1592">
          <cell r="T1592">
            <v>38298</v>
          </cell>
          <cell r="U1592">
            <v>1.1937999999999999E-2</v>
          </cell>
          <cell r="V1592">
            <v>1.2584999999999999E-2</v>
          </cell>
          <cell r="W1592">
            <v>1.4449999999999998E-2</v>
          </cell>
          <cell r="X1592">
            <v>1.7399999999999999E-2</v>
          </cell>
          <cell r="Y1592">
            <v>2.0499999999999997E-2</v>
          </cell>
          <cell r="Z1592">
            <v>2.35E-2</v>
          </cell>
          <cell r="AA1592">
            <v>2.5499999999999998E-2</v>
          </cell>
          <cell r="AB1592">
            <v>2.86E-2</v>
          </cell>
          <cell r="AC1592">
            <v>3.2000000000000001E-2</v>
          </cell>
        </row>
        <row r="1593">
          <cell r="T1593">
            <v>38297</v>
          </cell>
          <cell r="U1593">
            <v>1.1937999999999999E-2</v>
          </cell>
          <cell r="V1593">
            <v>1.2584999999999999E-2</v>
          </cell>
          <cell r="W1593">
            <v>1.4449999999999998E-2</v>
          </cell>
          <cell r="X1593">
            <v>1.7399999999999999E-2</v>
          </cell>
          <cell r="Y1593">
            <v>2.0499999999999997E-2</v>
          </cell>
          <cell r="Z1593">
            <v>2.35E-2</v>
          </cell>
          <cell r="AA1593">
            <v>2.5499999999999998E-2</v>
          </cell>
          <cell r="AB1593">
            <v>2.86E-2</v>
          </cell>
          <cell r="AC1593">
            <v>3.2000000000000001E-2</v>
          </cell>
        </row>
        <row r="1594">
          <cell r="T1594">
            <v>38296</v>
          </cell>
          <cell r="U1594">
            <v>1.1937999999999999E-2</v>
          </cell>
          <cell r="V1594">
            <v>1.2584999999999999E-2</v>
          </cell>
          <cell r="W1594">
            <v>1.4449999999999998E-2</v>
          </cell>
          <cell r="X1594">
            <v>1.7399999999999999E-2</v>
          </cell>
          <cell r="Y1594">
            <v>2.0499999999999997E-2</v>
          </cell>
          <cell r="Z1594">
            <v>2.35E-2</v>
          </cell>
          <cell r="AA1594">
            <v>2.5499999999999998E-2</v>
          </cell>
          <cell r="AB1594">
            <v>2.86E-2</v>
          </cell>
          <cell r="AC1594">
            <v>3.2000000000000001E-2</v>
          </cell>
        </row>
        <row r="1595">
          <cell r="T1595">
            <v>38295</v>
          </cell>
          <cell r="U1595">
            <v>1.1955E-2</v>
          </cell>
          <cell r="V1595">
            <v>1.2377000000000001E-2</v>
          </cell>
          <cell r="W1595">
            <v>1.4649999999999998E-2</v>
          </cell>
          <cell r="X1595">
            <v>1.745E-2</v>
          </cell>
          <cell r="Y1595">
            <v>2.0649999999999998E-2</v>
          </cell>
          <cell r="Z1595">
            <v>2.3550000000000001E-2</v>
          </cell>
          <cell r="AA1595">
            <v>2.5649999999999999E-2</v>
          </cell>
          <cell r="AB1595">
            <v>2.87E-2</v>
          </cell>
          <cell r="AC1595">
            <v>3.2000000000000001E-2</v>
          </cell>
        </row>
        <row r="1596">
          <cell r="T1596">
            <v>38294</v>
          </cell>
          <cell r="U1596">
            <v>1.1924999999999998E-2</v>
          </cell>
          <cell r="V1596">
            <v>1.2390000000000002E-2</v>
          </cell>
          <cell r="W1596">
            <v>1.46E-2</v>
          </cell>
          <cell r="X1596">
            <v>1.7600000000000001E-2</v>
          </cell>
          <cell r="Y1596">
            <v>2.1049999999999999E-2</v>
          </cell>
          <cell r="Z1596">
            <v>2.3849999999999996E-2</v>
          </cell>
          <cell r="AA1596">
            <v>2.5949999999999997E-2</v>
          </cell>
          <cell r="AB1596">
            <v>2.9000000000000005E-2</v>
          </cell>
          <cell r="AC1596">
            <v>3.2500000000000001E-2</v>
          </cell>
        </row>
        <row r="1597">
          <cell r="T1597">
            <v>38293</v>
          </cell>
          <cell r="U1597">
            <v>1.2119E-2</v>
          </cell>
          <cell r="V1597">
            <v>1.2766999999999999E-2</v>
          </cell>
          <cell r="W1597">
            <v>1.4649999999999998E-2</v>
          </cell>
          <cell r="X1597">
            <v>1.755E-2</v>
          </cell>
          <cell r="Y1597">
            <v>2.085E-2</v>
          </cell>
          <cell r="Z1597">
            <v>2.3700000000000002E-2</v>
          </cell>
          <cell r="AA1597">
            <v>2.5849999999999998E-2</v>
          </cell>
          <cell r="AB1597">
            <v>2.9050000000000003E-2</v>
          </cell>
          <cell r="AC1597">
            <v>3.2300000000000002E-2</v>
          </cell>
        </row>
        <row r="1598">
          <cell r="T1598">
            <v>38292</v>
          </cell>
          <cell r="U1598">
            <v>1.2092E-2</v>
          </cell>
          <cell r="V1598">
            <v>1.2656000000000001E-2</v>
          </cell>
          <cell r="W1598">
            <v>1.455E-2</v>
          </cell>
          <cell r="X1598">
            <v>1.755E-2</v>
          </cell>
          <cell r="Y1598">
            <v>2.0649999999999998E-2</v>
          </cell>
          <cell r="Z1598">
            <v>2.3550000000000001E-2</v>
          </cell>
          <cell r="AA1598">
            <v>2.5649999999999999E-2</v>
          </cell>
          <cell r="AB1598">
            <v>2.8799999999999999E-2</v>
          </cell>
          <cell r="AC1598">
            <v>3.2199999999999999E-2</v>
          </cell>
        </row>
        <row r="1599">
          <cell r="T1599">
            <v>38291</v>
          </cell>
          <cell r="U1599">
            <v>1.1854999999999999E-2</v>
          </cell>
          <cell r="V1599">
            <v>1.24E-2</v>
          </cell>
          <cell r="W1599">
            <v>1.4649999999999998E-2</v>
          </cell>
          <cell r="X1599">
            <v>1.7500000000000002E-2</v>
          </cell>
          <cell r="Y1599">
            <v>2.07E-2</v>
          </cell>
          <cell r="Z1599">
            <v>2.35E-2</v>
          </cell>
          <cell r="AA1599">
            <v>2.5699999999999997E-2</v>
          </cell>
          <cell r="AB1599">
            <v>2.8799999999999999E-2</v>
          </cell>
          <cell r="AC1599">
            <v>3.2199999999999999E-2</v>
          </cell>
        </row>
        <row r="1600">
          <cell r="T1600">
            <v>38290</v>
          </cell>
          <cell r="U1600">
            <v>1.1854999999999999E-2</v>
          </cell>
          <cell r="V1600">
            <v>1.24E-2</v>
          </cell>
          <cell r="W1600">
            <v>1.4649999999999998E-2</v>
          </cell>
          <cell r="X1600">
            <v>1.7500000000000002E-2</v>
          </cell>
          <cell r="Y1600">
            <v>2.07E-2</v>
          </cell>
          <cell r="Z1600">
            <v>2.35E-2</v>
          </cell>
          <cell r="AA1600">
            <v>2.5699999999999997E-2</v>
          </cell>
          <cell r="AB1600">
            <v>2.8799999999999999E-2</v>
          </cell>
          <cell r="AC1600">
            <v>3.2199999999999999E-2</v>
          </cell>
        </row>
        <row r="1601">
          <cell r="T1601">
            <v>38289</v>
          </cell>
          <cell r="U1601">
            <v>1.1854999999999999E-2</v>
          </cell>
          <cell r="V1601">
            <v>1.24E-2</v>
          </cell>
          <cell r="W1601">
            <v>1.4649999999999998E-2</v>
          </cell>
          <cell r="X1601">
            <v>1.7500000000000002E-2</v>
          </cell>
          <cell r="Y1601">
            <v>2.07E-2</v>
          </cell>
          <cell r="Z1601">
            <v>2.35E-2</v>
          </cell>
          <cell r="AA1601">
            <v>2.5699999999999997E-2</v>
          </cell>
          <cell r="AB1601">
            <v>2.8799999999999999E-2</v>
          </cell>
          <cell r="AC1601">
            <v>3.2199999999999999E-2</v>
          </cell>
        </row>
        <row r="1602">
          <cell r="T1602">
            <v>38288</v>
          </cell>
          <cell r="U1602">
            <v>1.2019999999999999E-2</v>
          </cell>
          <cell r="V1602">
            <v>1.2540000000000001E-2</v>
          </cell>
          <cell r="W1602">
            <v>1.46E-2</v>
          </cell>
          <cell r="X1602">
            <v>1.7500000000000002E-2</v>
          </cell>
          <cell r="Y1602">
            <v>2.06E-2</v>
          </cell>
          <cell r="Z1602">
            <v>2.3550000000000001E-2</v>
          </cell>
          <cell r="AA1602">
            <v>2.5649999999999999E-2</v>
          </cell>
          <cell r="AB1602">
            <v>2.8650000000000002E-2</v>
          </cell>
          <cell r="AC1602">
            <v>3.2149999999999998E-2</v>
          </cell>
        </row>
        <row r="1603">
          <cell r="T1603">
            <v>38287</v>
          </cell>
          <cell r="U1603">
            <v>1.1953E-2</v>
          </cell>
          <cell r="V1603">
            <v>1.2605999999999999E-2</v>
          </cell>
          <cell r="W1603">
            <v>1.55E-2</v>
          </cell>
          <cell r="X1603">
            <v>1.9E-2</v>
          </cell>
          <cell r="Y1603">
            <v>2.0499999999999997E-2</v>
          </cell>
          <cell r="Z1603">
            <v>2.3399999999999997E-2</v>
          </cell>
          <cell r="AA1603">
            <v>2.545E-2</v>
          </cell>
          <cell r="AB1603">
            <v>2.8399999999999998E-2</v>
          </cell>
          <cell r="AC1603">
            <v>3.2099999999999997E-2</v>
          </cell>
        </row>
        <row r="1604">
          <cell r="T1604">
            <v>38286</v>
          </cell>
          <cell r="U1604">
            <v>1.1995E-2</v>
          </cell>
          <cell r="V1604">
            <v>1.244E-2</v>
          </cell>
          <cell r="W1604">
            <v>1.455E-2</v>
          </cell>
          <cell r="X1604">
            <v>1.7349999999999997E-2</v>
          </cell>
          <cell r="Y1604">
            <v>2.0549999999999999E-2</v>
          </cell>
          <cell r="Z1604">
            <v>2.3250000000000003E-2</v>
          </cell>
          <cell r="AA1604">
            <v>2.545E-2</v>
          </cell>
          <cell r="AB1604">
            <v>2.8300000000000002E-2</v>
          </cell>
          <cell r="AC1604">
            <v>3.1699999999999999E-2</v>
          </cell>
        </row>
        <row r="1605">
          <cell r="T1605">
            <v>38285</v>
          </cell>
          <cell r="U1605">
            <v>1.2303999999999999E-2</v>
          </cell>
          <cell r="V1605">
            <v>1.2891999999999999E-2</v>
          </cell>
          <cell r="W1605">
            <v>1.4800000000000001E-2</v>
          </cell>
          <cell r="X1605">
            <v>1.7600000000000001E-2</v>
          </cell>
          <cell r="Y1605">
            <v>2.0750000000000001E-2</v>
          </cell>
          <cell r="Z1605">
            <v>2.3599999999999999E-2</v>
          </cell>
          <cell r="AA1605">
            <v>2.5699999999999997E-2</v>
          </cell>
          <cell r="AB1605">
            <v>2.8899999999999995E-2</v>
          </cell>
          <cell r="AC1605">
            <v>3.27E-2</v>
          </cell>
        </row>
        <row r="1606">
          <cell r="T1606">
            <v>38284</v>
          </cell>
          <cell r="U1606">
            <v>1.2303999999999999E-2</v>
          </cell>
          <cell r="V1606">
            <v>1.2891999999999999E-2</v>
          </cell>
          <cell r="W1606">
            <v>1.4800000000000001E-2</v>
          </cell>
          <cell r="X1606">
            <v>1.7600000000000001E-2</v>
          </cell>
          <cell r="Y1606">
            <v>2.0750000000000001E-2</v>
          </cell>
          <cell r="Z1606">
            <v>2.3599999999999999E-2</v>
          </cell>
          <cell r="AA1606">
            <v>2.5699999999999997E-2</v>
          </cell>
          <cell r="AB1606">
            <v>2.8899999999999995E-2</v>
          </cell>
          <cell r="AC1606">
            <v>3.27E-2</v>
          </cell>
        </row>
        <row r="1607">
          <cell r="T1607">
            <v>38283</v>
          </cell>
          <cell r="U1607">
            <v>1.2303999999999999E-2</v>
          </cell>
          <cell r="V1607">
            <v>1.2891999999999999E-2</v>
          </cell>
          <cell r="W1607">
            <v>1.4800000000000001E-2</v>
          </cell>
          <cell r="X1607">
            <v>1.7600000000000001E-2</v>
          </cell>
          <cell r="Y1607">
            <v>2.0750000000000001E-2</v>
          </cell>
          <cell r="Z1607">
            <v>2.3599999999999999E-2</v>
          </cell>
          <cell r="AA1607">
            <v>2.5699999999999997E-2</v>
          </cell>
          <cell r="AB1607">
            <v>2.8899999999999995E-2</v>
          </cell>
          <cell r="AC1607">
            <v>3.27E-2</v>
          </cell>
        </row>
        <row r="1608">
          <cell r="T1608">
            <v>38282</v>
          </cell>
          <cell r="U1608">
            <v>1.2303999999999999E-2</v>
          </cell>
          <cell r="V1608">
            <v>1.2891999999999999E-2</v>
          </cell>
          <cell r="W1608">
            <v>1.4800000000000001E-2</v>
          </cell>
          <cell r="X1608">
            <v>1.7600000000000001E-2</v>
          </cell>
          <cell r="Y1608">
            <v>2.0750000000000001E-2</v>
          </cell>
          <cell r="Z1608">
            <v>2.3599999999999999E-2</v>
          </cell>
          <cell r="AA1608">
            <v>2.5699999999999997E-2</v>
          </cell>
          <cell r="AB1608">
            <v>2.8899999999999995E-2</v>
          </cell>
          <cell r="AC1608">
            <v>3.27E-2</v>
          </cell>
        </row>
        <row r="1609">
          <cell r="T1609">
            <v>38281</v>
          </cell>
          <cell r="U1609">
            <v>1.2303999999999999E-2</v>
          </cell>
          <cell r="V1609">
            <v>1.2891999999999999E-2</v>
          </cell>
          <cell r="W1609">
            <v>1.55E-2</v>
          </cell>
          <cell r="X1609">
            <v>1.9E-2</v>
          </cell>
          <cell r="Y1609">
            <v>2.0499999999999997E-2</v>
          </cell>
          <cell r="Z1609">
            <v>2.3599999999999999E-2</v>
          </cell>
          <cell r="AA1609">
            <v>2.5649999999999999E-2</v>
          </cell>
          <cell r="AB1609">
            <v>2.87E-2</v>
          </cell>
          <cell r="AC1609">
            <v>3.2400000000000005E-2</v>
          </cell>
        </row>
        <row r="1610">
          <cell r="T1610">
            <v>38280</v>
          </cell>
          <cell r="U1610">
            <v>1.2044999999999998E-2</v>
          </cell>
          <cell r="V1610">
            <v>1.2508999999999999E-2</v>
          </cell>
          <cell r="W1610">
            <v>1.47E-2</v>
          </cell>
          <cell r="X1610">
            <v>1.7749999999999998E-2</v>
          </cell>
          <cell r="Y1610">
            <v>2.085E-2</v>
          </cell>
          <cell r="Z1610">
            <v>2.3650000000000001E-2</v>
          </cell>
          <cell r="AA1610">
            <v>2.5750000000000002E-2</v>
          </cell>
          <cell r="AB1610">
            <v>2.87E-2</v>
          </cell>
          <cell r="AC1610">
            <v>3.2400000000000005E-2</v>
          </cell>
        </row>
        <row r="1611">
          <cell r="T1611">
            <v>38279</v>
          </cell>
          <cell r="U1611">
            <v>1.208E-2</v>
          </cell>
          <cell r="V1611">
            <v>1.2485999999999999E-2</v>
          </cell>
          <cell r="W1611">
            <v>1.4950000000000001E-2</v>
          </cell>
          <cell r="X1611">
            <v>1.7850000000000001E-2</v>
          </cell>
          <cell r="Y1611">
            <v>2.07E-2</v>
          </cell>
          <cell r="Z1611">
            <v>2.3949999999999999E-2</v>
          </cell>
          <cell r="AA1611">
            <v>2.58E-2</v>
          </cell>
          <cell r="AB1611">
            <v>2.9100000000000001E-2</v>
          </cell>
          <cell r="AC1611">
            <v>3.2649999999999998E-2</v>
          </cell>
        </row>
        <row r="1612">
          <cell r="T1612">
            <v>38278</v>
          </cell>
          <cell r="U1612">
            <v>1.2024999999999999E-2</v>
          </cell>
          <cell r="V1612">
            <v>1.2435E-2</v>
          </cell>
          <cell r="W1612">
            <v>1.5049999999999999E-2</v>
          </cell>
          <cell r="X1612">
            <v>1.78E-2</v>
          </cell>
          <cell r="Y1612">
            <v>2.0899999999999998E-2</v>
          </cell>
          <cell r="Z1612">
            <v>2.3949999999999999E-2</v>
          </cell>
          <cell r="AA1612">
            <v>2.605E-2</v>
          </cell>
          <cell r="AB1612">
            <v>2.9100000000000001E-2</v>
          </cell>
          <cell r="AC1612">
            <v>3.2649999999999998E-2</v>
          </cell>
        </row>
        <row r="1613">
          <cell r="T1613">
            <v>38277</v>
          </cell>
          <cell r="U1613">
            <v>1.1950000000000001E-2</v>
          </cell>
          <cell r="V1613">
            <v>1.2355E-2</v>
          </cell>
          <cell r="W1613">
            <v>1.4999999999999999E-2</v>
          </cell>
          <cell r="X1613">
            <v>1.7850000000000001E-2</v>
          </cell>
          <cell r="Y1613">
            <v>2.0899999999999998E-2</v>
          </cell>
          <cell r="Z1613">
            <v>2.375E-2</v>
          </cell>
          <cell r="AA1613">
            <v>2.6000000000000002E-2</v>
          </cell>
          <cell r="AB1613">
            <v>2.8899999999999995E-2</v>
          </cell>
          <cell r="AC1613">
            <v>3.1900000000000005E-2</v>
          </cell>
        </row>
        <row r="1614">
          <cell r="T1614">
            <v>38276</v>
          </cell>
          <cell r="U1614">
            <v>1.1950000000000001E-2</v>
          </cell>
          <cell r="V1614">
            <v>1.2355E-2</v>
          </cell>
          <cell r="W1614">
            <v>1.4999999999999999E-2</v>
          </cell>
          <cell r="X1614">
            <v>1.7850000000000001E-2</v>
          </cell>
          <cell r="Y1614">
            <v>2.0899999999999998E-2</v>
          </cell>
          <cell r="Z1614">
            <v>2.375E-2</v>
          </cell>
          <cell r="AA1614">
            <v>2.6000000000000002E-2</v>
          </cell>
          <cell r="AB1614">
            <v>2.8899999999999995E-2</v>
          </cell>
          <cell r="AC1614">
            <v>3.1900000000000005E-2</v>
          </cell>
        </row>
        <row r="1615">
          <cell r="T1615">
            <v>38275</v>
          </cell>
          <cell r="U1615">
            <v>1.1950000000000001E-2</v>
          </cell>
          <cell r="V1615">
            <v>1.2355E-2</v>
          </cell>
          <cell r="W1615">
            <v>1.4999999999999999E-2</v>
          </cell>
          <cell r="X1615">
            <v>1.7850000000000001E-2</v>
          </cell>
          <cell r="Y1615">
            <v>2.0899999999999998E-2</v>
          </cell>
          <cell r="Z1615">
            <v>2.375E-2</v>
          </cell>
          <cell r="AA1615">
            <v>2.6000000000000002E-2</v>
          </cell>
          <cell r="AB1615">
            <v>2.8899999999999995E-2</v>
          </cell>
          <cell r="AC1615">
            <v>3.1900000000000005E-2</v>
          </cell>
        </row>
        <row r="1616">
          <cell r="T1616">
            <v>38274</v>
          </cell>
          <cell r="U1616">
            <v>1.1867000000000001E-2</v>
          </cell>
          <cell r="V1616">
            <v>1.2421999999999999E-2</v>
          </cell>
          <cell r="W1616">
            <v>1.4849999999999999E-2</v>
          </cell>
          <cell r="X1616">
            <v>1.7749999999999998E-2</v>
          </cell>
          <cell r="Y1616">
            <v>2.085E-2</v>
          </cell>
          <cell r="Z1616">
            <v>2.375E-2</v>
          </cell>
          <cell r="AA1616">
            <v>2.5949999999999997E-2</v>
          </cell>
          <cell r="AB1616">
            <v>2.8899999999999995E-2</v>
          </cell>
          <cell r="AC1616">
            <v>3.1900000000000005E-2</v>
          </cell>
        </row>
        <row r="1617">
          <cell r="T1617">
            <v>38273</v>
          </cell>
          <cell r="U1617">
            <v>1.2038999999999999E-2</v>
          </cell>
          <cell r="V1617">
            <v>1.2532000000000001E-2</v>
          </cell>
          <cell r="W1617">
            <v>1.4999999999999999E-2</v>
          </cell>
          <cell r="X1617">
            <v>1.8100000000000002E-2</v>
          </cell>
          <cell r="Y1617">
            <v>2.0499999999999997E-2</v>
          </cell>
          <cell r="Z1617">
            <v>2.3900000000000001E-2</v>
          </cell>
          <cell r="AA1617">
            <v>2.6000000000000002E-2</v>
          </cell>
          <cell r="AB1617">
            <v>2.895E-2</v>
          </cell>
          <cell r="AC1617">
            <v>2.7050000000000001E-2</v>
          </cell>
        </row>
        <row r="1618">
          <cell r="T1618">
            <v>38272</v>
          </cell>
          <cell r="U1618">
            <v>1.1998E-2</v>
          </cell>
          <cell r="V1618">
            <v>1.2532000000000001E-2</v>
          </cell>
          <cell r="W1618">
            <v>1.4999999999999999E-2</v>
          </cell>
          <cell r="X1618">
            <v>1.7749999999999998E-2</v>
          </cell>
          <cell r="Y1618">
            <v>2.1049999999999999E-2</v>
          </cell>
          <cell r="Z1618">
            <v>2.3949999999999999E-2</v>
          </cell>
          <cell r="AA1618">
            <v>2.5999999999999995E-2</v>
          </cell>
          <cell r="AB1618">
            <v>2.9100000000000001E-2</v>
          </cell>
          <cell r="AC1618">
            <v>2.6950000000000002E-2</v>
          </cell>
        </row>
        <row r="1619">
          <cell r="T1619">
            <v>38271</v>
          </cell>
          <cell r="U1619">
            <v>1.1975E-2</v>
          </cell>
          <cell r="V1619">
            <v>1.26E-2</v>
          </cell>
          <cell r="W1619">
            <v>1.4849999999999999E-2</v>
          </cell>
          <cell r="X1619">
            <v>1.7899999999999999E-2</v>
          </cell>
          <cell r="Y1619">
            <v>2.1250000000000002E-2</v>
          </cell>
          <cell r="Z1619">
            <v>2.4050000000000002E-2</v>
          </cell>
          <cell r="AA1619">
            <v>2.6150000000000003E-2</v>
          </cell>
          <cell r="AB1619">
            <v>2.9100000000000001E-2</v>
          </cell>
          <cell r="AC1619">
            <v>3.2099999999999997E-2</v>
          </cell>
        </row>
        <row r="1620">
          <cell r="T1620">
            <v>38270</v>
          </cell>
          <cell r="U1620">
            <v>1.1998E-2</v>
          </cell>
          <cell r="V1620">
            <v>1.2485999999999999E-2</v>
          </cell>
          <cell r="W1620">
            <v>1.5300000000000001E-2</v>
          </cell>
          <cell r="X1620">
            <v>1.8200000000000001E-2</v>
          </cell>
          <cell r="Y1620">
            <v>2.1349999999999997E-2</v>
          </cell>
          <cell r="Z1620">
            <v>2.4249999999999997E-2</v>
          </cell>
          <cell r="AA1620">
            <v>2.6499999999999999E-2</v>
          </cell>
          <cell r="AB1620">
            <v>2.9500000000000002E-2</v>
          </cell>
          <cell r="AC1620">
            <v>3.2500000000000001E-2</v>
          </cell>
        </row>
        <row r="1621">
          <cell r="T1621">
            <v>38269</v>
          </cell>
          <cell r="U1621">
            <v>1.1998E-2</v>
          </cell>
          <cell r="V1621">
            <v>1.2485999999999999E-2</v>
          </cell>
          <cell r="W1621">
            <v>1.5300000000000001E-2</v>
          </cell>
          <cell r="X1621">
            <v>1.8200000000000001E-2</v>
          </cell>
          <cell r="Y1621">
            <v>2.1349999999999997E-2</v>
          </cell>
          <cell r="Z1621">
            <v>2.4249999999999997E-2</v>
          </cell>
          <cell r="AA1621">
            <v>2.6499999999999999E-2</v>
          </cell>
          <cell r="AB1621">
            <v>2.9500000000000002E-2</v>
          </cell>
          <cell r="AC1621">
            <v>3.2500000000000001E-2</v>
          </cell>
        </row>
        <row r="1622">
          <cell r="T1622">
            <v>38268</v>
          </cell>
          <cell r="U1622">
            <v>1.1998E-2</v>
          </cell>
          <cell r="V1622">
            <v>1.2485999999999999E-2</v>
          </cell>
          <cell r="W1622">
            <v>1.5300000000000001E-2</v>
          </cell>
          <cell r="X1622">
            <v>1.8200000000000001E-2</v>
          </cell>
          <cell r="Y1622">
            <v>2.1349999999999997E-2</v>
          </cell>
          <cell r="Z1622">
            <v>2.4249999999999997E-2</v>
          </cell>
          <cell r="AA1622">
            <v>2.6499999999999999E-2</v>
          </cell>
          <cell r="AB1622">
            <v>2.9500000000000002E-2</v>
          </cell>
          <cell r="AC1622">
            <v>3.2500000000000001E-2</v>
          </cell>
        </row>
        <row r="1623">
          <cell r="T1623">
            <v>38267</v>
          </cell>
          <cell r="U1623">
            <v>1.1767000000000001E-2</v>
          </cell>
          <cell r="V1623">
            <v>1.2275000000000001E-2</v>
          </cell>
          <cell r="W1623">
            <v>1.5150000000000002E-2</v>
          </cell>
          <cell r="X1623">
            <v>1.8149999999999999E-2</v>
          </cell>
          <cell r="Y1623">
            <v>2.1499999999999998E-2</v>
          </cell>
          <cell r="Z1623">
            <v>2.435E-2</v>
          </cell>
          <cell r="AA1623">
            <v>2.6550000000000004E-2</v>
          </cell>
          <cell r="AB1623">
            <v>2.9500000000000002E-2</v>
          </cell>
          <cell r="AC1623">
            <v>3.2500000000000001E-2</v>
          </cell>
        </row>
        <row r="1624">
          <cell r="T1624">
            <v>38266</v>
          </cell>
          <cell r="U1624">
            <v>1.1767000000000001E-2</v>
          </cell>
          <cell r="V1624">
            <v>1.2275000000000001E-2</v>
          </cell>
          <cell r="W1624">
            <v>1.5049999999999999E-2</v>
          </cell>
          <cell r="X1624">
            <v>1.8149999999999999E-2</v>
          </cell>
          <cell r="Y1624">
            <v>2.1349999999999997E-2</v>
          </cell>
          <cell r="Z1624">
            <v>2.4150000000000001E-2</v>
          </cell>
          <cell r="AA1624">
            <v>2.6450000000000001E-2</v>
          </cell>
          <cell r="AB1624">
            <v>2.9299999999999996E-2</v>
          </cell>
          <cell r="AC1624">
            <v>3.2199999999999999E-2</v>
          </cell>
        </row>
        <row r="1625">
          <cell r="T1625">
            <v>38265</v>
          </cell>
          <cell r="U1625">
            <v>1.1822999999999998E-2</v>
          </cell>
          <cell r="V1625">
            <v>1.2364E-2</v>
          </cell>
          <cell r="W1625">
            <v>1.5049999999999999E-2</v>
          </cell>
          <cell r="X1625">
            <v>1.9E-2</v>
          </cell>
          <cell r="Y1625">
            <v>2.0899999999999998E-2</v>
          </cell>
          <cell r="Z1625">
            <v>2.4150000000000001E-2</v>
          </cell>
          <cell r="AA1625">
            <v>2.6150000000000003E-2</v>
          </cell>
          <cell r="AB1625">
            <v>2.9000000000000005E-2</v>
          </cell>
          <cell r="AC1625">
            <v>3.2099999999999997E-2</v>
          </cell>
        </row>
        <row r="1626">
          <cell r="T1626">
            <v>38264</v>
          </cell>
          <cell r="U1626">
            <v>1.1795999999999999E-2</v>
          </cell>
          <cell r="V1626">
            <v>1.2442E-2</v>
          </cell>
          <cell r="W1626">
            <v>1.5049999999999999E-2</v>
          </cell>
          <cell r="X1626">
            <v>1.8349999999999998E-2</v>
          </cell>
          <cell r="Y1626">
            <v>2.1649999999999999E-2</v>
          </cell>
          <cell r="Z1626">
            <v>2.4249999999999997E-2</v>
          </cell>
          <cell r="AA1626">
            <v>2.6249999999999999E-2</v>
          </cell>
          <cell r="AB1626">
            <v>2.92E-2</v>
          </cell>
          <cell r="AC1626">
            <v>3.2099999999999997E-2</v>
          </cell>
        </row>
        <row r="1627">
          <cell r="T1627">
            <v>38263</v>
          </cell>
          <cell r="U1627">
            <v>1.1458999999999999E-2</v>
          </cell>
          <cell r="V1627">
            <v>1.2073E-2</v>
          </cell>
          <cell r="W1627">
            <v>1.4499999999999999E-2</v>
          </cell>
          <cell r="X1627">
            <v>1.8000000000000002E-2</v>
          </cell>
          <cell r="Y1627">
            <v>2.0499999999999997E-2</v>
          </cell>
          <cell r="Z1627">
            <v>2.3700000000000002E-2</v>
          </cell>
          <cell r="AA1627">
            <v>2.58E-2</v>
          </cell>
          <cell r="AB1627">
            <v>2.8799999999999999E-2</v>
          </cell>
          <cell r="AC1627">
            <v>3.1699999999999999E-2</v>
          </cell>
        </row>
        <row r="1628">
          <cell r="T1628">
            <v>38262</v>
          </cell>
          <cell r="U1628">
            <v>1.1458999999999999E-2</v>
          </cell>
          <cell r="V1628">
            <v>1.2073E-2</v>
          </cell>
          <cell r="W1628">
            <v>1.4499999999999999E-2</v>
          </cell>
          <cell r="X1628">
            <v>1.8000000000000002E-2</v>
          </cell>
          <cell r="Y1628">
            <v>2.0499999999999997E-2</v>
          </cell>
          <cell r="Z1628">
            <v>2.3700000000000002E-2</v>
          </cell>
          <cell r="AA1628">
            <v>2.58E-2</v>
          </cell>
          <cell r="AB1628">
            <v>2.8799999999999999E-2</v>
          </cell>
          <cell r="AC1628">
            <v>3.1699999999999999E-2</v>
          </cell>
        </row>
        <row r="1629">
          <cell r="T1629">
            <v>38261</v>
          </cell>
          <cell r="U1629">
            <v>1.1458999999999999E-2</v>
          </cell>
          <cell r="V1629">
            <v>1.2073E-2</v>
          </cell>
          <cell r="W1629">
            <v>1.4499999999999999E-2</v>
          </cell>
          <cell r="X1629">
            <v>1.8000000000000002E-2</v>
          </cell>
          <cell r="Y1629">
            <v>2.0499999999999997E-2</v>
          </cell>
          <cell r="Z1629">
            <v>2.3700000000000002E-2</v>
          </cell>
          <cell r="AA1629">
            <v>2.58E-2</v>
          </cell>
          <cell r="AB1629">
            <v>2.8799999999999999E-2</v>
          </cell>
          <cell r="AC1629">
            <v>3.1699999999999999E-2</v>
          </cell>
        </row>
        <row r="1630">
          <cell r="T1630">
            <v>38260</v>
          </cell>
          <cell r="U1630">
            <v>1.1073E-2</v>
          </cell>
          <cell r="V1630">
            <v>1.1675E-2</v>
          </cell>
          <cell r="W1630">
            <v>1.43E-2</v>
          </cell>
          <cell r="X1630">
            <v>1.7349999999999997E-2</v>
          </cell>
          <cell r="Y1630">
            <v>2.0400000000000001E-2</v>
          </cell>
          <cell r="Z1630">
            <v>2.2749999999999999E-2</v>
          </cell>
          <cell r="AA1630">
            <v>2.495E-2</v>
          </cell>
          <cell r="AB1630">
            <v>2.7900000000000001E-2</v>
          </cell>
          <cell r="AC1630">
            <v>3.0899999999999997E-2</v>
          </cell>
        </row>
        <row r="1631">
          <cell r="T1631">
            <v>38259</v>
          </cell>
          <cell r="U1631">
            <v>1.1056999999999999E-2</v>
          </cell>
          <cell r="V1631">
            <v>1.1668000000000001E-2</v>
          </cell>
          <cell r="W1631">
            <v>1.41E-2</v>
          </cell>
          <cell r="X1631">
            <v>1.7000000000000001E-2</v>
          </cell>
          <cell r="Y1631">
            <v>0.02</v>
          </cell>
          <cell r="Z1631">
            <v>2.2200000000000001E-2</v>
          </cell>
          <cell r="AA1631">
            <v>2.4249999999999997E-2</v>
          </cell>
          <cell r="AB1631">
            <v>2.7199999999999998E-2</v>
          </cell>
          <cell r="AC1631">
            <v>3.0499999999999999E-2</v>
          </cell>
        </row>
        <row r="1632">
          <cell r="T1632">
            <v>38258</v>
          </cell>
          <cell r="U1632">
            <v>1.1087E-2</v>
          </cell>
          <cell r="V1632">
            <v>1.1735000000000001E-2</v>
          </cell>
          <cell r="W1632">
            <v>1.4249999999999999E-2</v>
          </cell>
          <cell r="X1632">
            <v>1.7299999999999999E-2</v>
          </cell>
          <cell r="Y1632">
            <v>2.0299999999999999E-2</v>
          </cell>
          <cell r="Z1632">
            <v>2.2799999999999997E-2</v>
          </cell>
          <cell r="AA1632">
            <v>2.4750000000000001E-2</v>
          </cell>
          <cell r="AB1632">
            <v>2.785E-2</v>
          </cell>
          <cell r="AC1632">
            <v>3.0949999999999998E-2</v>
          </cell>
        </row>
        <row r="1633">
          <cell r="T1633">
            <v>38257</v>
          </cell>
          <cell r="U1633">
            <v>1.1087E-2</v>
          </cell>
          <cell r="V1633">
            <v>1.1735000000000001E-2</v>
          </cell>
          <cell r="W1633">
            <v>1.435E-2</v>
          </cell>
          <cell r="X1633">
            <v>1.745E-2</v>
          </cell>
          <cell r="Y1633">
            <v>2.0299999999999999E-2</v>
          </cell>
          <cell r="Z1633">
            <v>2.2799999999999997E-2</v>
          </cell>
          <cell r="AA1633">
            <v>2.4799999999999999E-2</v>
          </cell>
          <cell r="AB1633">
            <v>2.7800000000000002E-2</v>
          </cell>
          <cell r="AC1633">
            <v>3.0949999999999998E-2</v>
          </cell>
        </row>
        <row r="1634">
          <cell r="T1634">
            <v>38256</v>
          </cell>
          <cell r="U1634">
            <v>1.0963000000000001E-2</v>
          </cell>
          <cell r="V1634">
            <v>1.1585000000000002E-2</v>
          </cell>
          <cell r="W1634">
            <v>1.3899999999999999E-2</v>
          </cell>
          <cell r="X1634">
            <v>1.7000000000000001E-2</v>
          </cell>
          <cell r="Y1634">
            <v>1.9900000000000001E-2</v>
          </cell>
          <cell r="Z1634">
            <v>2.2499999999999999E-2</v>
          </cell>
          <cell r="AA1634">
            <v>2.46E-2</v>
          </cell>
          <cell r="AB1634">
            <v>2.7800000000000002E-2</v>
          </cell>
          <cell r="AC1634">
            <v>3.0949999999999998E-2</v>
          </cell>
        </row>
        <row r="1635">
          <cell r="T1635">
            <v>38255</v>
          </cell>
          <cell r="U1635">
            <v>1.0963000000000001E-2</v>
          </cell>
          <cell r="V1635">
            <v>1.1585000000000002E-2</v>
          </cell>
          <cell r="W1635">
            <v>1.3899999999999999E-2</v>
          </cell>
          <cell r="X1635">
            <v>1.7000000000000001E-2</v>
          </cell>
          <cell r="Y1635">
            <v>1.9900000000000001E-2</v>
          </cell>
          <cell r="Z1635">
            <v>2.2499999999999999E-2</v>
          </cell>
          <cell r="AA1635">
            <v>2.46E-2</v>
          </cell>
          <cell r="AB1635">
            <v>2.7800000000000002E-2</v>
          </cell>
          <cell r="AC1635">
            <v>3.0949999999999998E-2</v>
          </cell>
        </row>
        <row r="1636">
          <cell r="T1636">
            <v>38254</v>
          </cell>
          <cell r="U1636">
            <v>1.0963000000000001E-2</v>
          </cell>
          <cell r="V1636">
            <v>1.1585000000000002E-2</v>
          </cell>
          <cell r="W1636">
            <v>1.3899999999999999E-2</v>
          </cell>
          <cell r="X1636">
            <v>1.7000000000000001E-2</v>
          </cell>
          <cell r="Y1636">
            <v>1.9900000000000001E-2</v>
          </cell>
          <cell r="Z1636">
            <v>2.2499999999999999E-2</v>
          </cell>
          <cell r="AA1636">
            <v>2.46E-2</v>
          </cell>
          <cell r="AB1636">
            <v>2.7800000000000002E-2</v>
          </cell>
          <cell r="AC1636">
            <v>3.0949999999999998E-2</v>
          </cell>
        </row>
        <row r="1637">
          <cell r="T1637">
            <v>38253</v>
          </cell>
          <cell r="U1637">
            <v>1.0936E-2</v>
          </cell>
          <cell r="V1637">
            <v>1.1490999999999999E-2</v>
          </cell>
          <cell r="W1637">
            <v>1.3999999999999999E-2</v>
          </cell>
          <cell r="X1637">
            <v>1.7000000000000001E-2</v>
          </cell>
          <cell r="Y1637">
            <v>0.02</v>
          </cell>
          <cell r="Z1637">
            <v>2.2550000000000001E-2</v>
          </cell>
          <cell r="AA1637">
            <v>2.4500000000000001E-2</v>
          </cell>
          <cell r="AB1637">
            <v>2.7350000000000003E-2</v>
          </cell>
          <cell r="AC1637">
            <v>3.0350000000000002E-2</v>
          </cell>
        </row>
        <row r="1638">
          <cell r="T1638">
            <v>38252</v>
          </cell>
          <cell r="U1638">
            <v>1.0947999999999999E-2</v>
          </cell>
          <cell r="V1638">
            <v>1.1434E-2</v>
          </cell>
          <cell r="W1638">
            <v>1.38E-2</v>
          </cell>
          <cell r="X1638">
            <v>1.6749999999999998E-2</v>
          </cell>
          <cell r="Y1638">
            <v>1.9949999999999999E-2</v>
          </cell>
          <cell r="Z1638">
            <v>2.2250000000000002E-2</v>
          </cell>
          <cell r="AA1638">
            <v>2.435E-2</v>
          </cell>
          <cell r="AB1638">
            <v>2.7199999999999998E-2</v>
          </cell>
          <cell r="AC1638">
            <v>3.0499999999999999E-2</v>
          </cell>
        </row>
        <row r="1639">
          <cell r="T1639">
            <v>38251</v>
          </cell>
          <cell r="U1639">
            <v>1.0963000000000001E-2</v>
          </cell>
          <cell r="V1639">
            <v>1.1439999999999999E-2</v>
          </cell>
          <cell r="W1639">
            <v>1.37E-2</v>
          </cell>
          <cell r="X1639">
            <v>1.6549999999999999E-2</v>
          </cell>
          <cell r="Y1639">
            <v>1.9649999999999997E-2</v>
          </cell>
          <cell r="Z1639">
            <v>2.215E-2</v>
          </cell>
          <cell r="AA1639">
            <v>2.4199999999999999E-2</v>
          </cell>
          <cell r="AB1639">
            <v>2.7000000000000003E-2</v>
          </cell>
          <cell r="AC1639">
            <v>0.03</v>
          </cell>
        </row>
        <row r="1640">
          <cell r="T1640">
            <v>38250</v>
          </cell>
          <cell r="U1640">
            <v>1.1000000000000001E-2</v>
          </cell>
          <cell r="V1640">
            <v>1.1544E-2</v>
          </cell>
          <cell r="W1640">
            <v>1.3849999999999999E-2</v>
          </cell>
          <cell r="X1640">
            <v>1.6549999999999999E-2</v>
          </cell>
          <cell r="Y1640">
            <v>1.9449999999999999E-2</v>
          </cell>
          <cell r="Z1640">
            <v>2.215E-2</v>
          </cell>
          <cell r="AA1640">
            <v>2.4249999999999997E-2</v>
          </cell>
          <cell r="AB1640">
            <v>2.6900000000000004E-2</v>
          </cell>
          <cell r="AC1640">
            <v>3.0099999999999998E-2</v>
          </cell>
        </row>
        <row r="1641">
          <cell r="T1641">
            <v>38249</v>
          </cell>
          <cell r="U1641">
            <v>1.0874999999999999E-2</v>
          </cell>
          <cell r="V1641">
            <v>1.1319999999999998E-2</v>
          </cell>
          <cell r="W1641">
            <v>1.37E-2</v>
          </cell>
          <cell r="X1641">
            <v>1.6250000000000001E-2</v>
          </cell>
          <cell r="Y1641">
            <v>1.9400000000000001E-2</v>
          </cell>
          <cell r="Z1641">
            <v>2.1950000000000004E-2</v>
          </cell>
          <cell r="AA1641">
            <v>2.4E-2</v>
          </cell>
          <cell r="AB1641">
            <v>2.6900000000000004E-2</v>
          </cell>
          <cell r="AC1641">
            <v>3.0099999999999998E-2</v>
          </cell>
        </row>
        <row r="1642">
          <cell r="T1642">
            <v>38248</v>
          </cell>
          <cell r="U1642">
            <v>1.0874999999999999E-2</v>
          </cell>
          <cell r="V1642">
            <v>1.1319999999999998E-2</v>
          </cell>
          <cell r="W1642">
            <v>1.37E-2</v>
          </cell>
          <cell r="X1642">
            <v>1.6250000000000001E-2</v>
          </cell>
          <cell r="Y1642">
            <v>1.9400000000000001E-2</v>
          </cell>
          <cell r="Z1642">
            <v>2.1950000000000004E-2</v>
          </cell>
          <cell r="AA1642">
            <v>2.4E-2</v>
          </cell>
          <cell r="AB1642">
            <v>2.6900000000000004E-2</v>
          </cell>
          <cell r="AC1642">
            <v>3.0099999999999998E-2</v>
          </cell>
        </row>
        <row r="1643">
          <cell r="T1643">
            <v>38247</v>
          </cell>
          <cell r="U1643">
            <v>1.0874999999999999E-2</v>
          </cell>
          <cell r="V1643">
            <v>1.1319999999999998E-2</v>
          </cell>
          <cell r="W1643">
            <v>1.37E-2</v>
          </cell>
          <cell r="X1643">
            <v>1.6250000000000001E-2</v>
          </cell>
          <cell r="Y1643">
            <v>1.9400000000000001E-2</v>
          </cell>
          <cell r="Z1643">
            <v>2.1950000000000004E-2</v>
          </cell>
          <cell r="AA1643">
            <v>2.4E-2</v>
          </cell>
          <cell r="AB1643">
            <v>2.6900000000000004E-2</v>
          </cell>
          <cell r="AC1643">
            <v>3.0099999999999998E-2</v>
          </cell>
        </row>
        <row r="1644">
          <cell r="T1644">
            <v>38246</v>
          </cell>
          <cell r="U1644">
            <v>1.0781000000000001E-2</v>
          </cell>
          <cell r="V1644">
            <v>1.1273E-2</v>
          </cell>
          <cell r="W1644">
            <v>1.3849999999999999E-2</v>
          </cell>
          <cell r="X1644">
            <v>1.6749999999999998E-2</v>
          </cell>
          <cell r="Y1644">
            <v>1.985E-2</v>
          </cell>
          <cell r="Z1644">
            <v>2.265E-2</v>
          </cell>
          <cell r="AA1644">
            <v>2.4750000000000001E-2</v>
          </cell>
          <cell r="AB1644">
            <v>2.7450000000000002E-2</v>
          </cell>
          <cell r="AC1644">
            <v>3.065E-2</v>
          </cell>
        </row>
        <row r="1645">
          <cell r="T1645">
            <v>38245</v>
          </cell>
          <cell r="U1645">
            <v>1.0761E-2</v>
          </cell>
          <cell r="V1645">
            <v>1.1180000000000001E-2</v>
          </cell>
          <cell r="W1645">
            <v>1.38E-2</v>
          </cell>
          <cell r="X1645">
            <v>1.685E-2</v>
          </cell>
          <cell r="Y1645">
            <v>1.975E-2</v>
          </cell>
          <cell r="Z1645">
            <v>2.2349999999999998E-2</v>
          </cell>
          <cell r="AA1645">
            <v>2.4450000000000003E-2</v>
          </cell>
          <cell r="AB1645">
            <v>2.7300000000000001E-2</v>
          </cell>
          <cell r="AC1645">
            <v>3.0499999999999999E-2</v>
          </cell>
        </row>
        <row r="1646">
          <cell r="T1646">
            <v>38244</v>
          </cell>
          <cell r="U1646">
            <v>1.0692999999999999E-2</v>
          </cell>
          <cell r="V1646">
            <v>1.1025E-2</v>
          </cell>
          <cell r="W1646">
            <v>1.38E-2</v>
          </cell>
          <cell r="X1646">
            <v>1.6799999999999999E-2</v>
          </cell>
          <cell r="Y1646">
            <v>1.985E-2</v>
          </cell>
          <cell r="Z1646">
            <v>2.2550000000000001E-2</v>
          </cell>
          <cell r="AA1646">
            <v>2.4550000000000002E-2</v>
          </cell>
          <cell r="AB1646">
            <v>2.75E-2</v>
          </cell>
          <cell r="AC1646">
            <v>3.0800000000000001E-2</v>
          </cell>
        </row>
        <row r="1647">
          <cell r="T1647">
            <v>38243</v>
          </cell>
          <cell r="U1647">
            <v>1.0692999999999999E-2</v>
          </cell>
          <cell r="V1647">
            <v>1.1025E-2</v>
          </cell>
          <cell r="W1647">
            <v>1.375E-2</v>
          </cell>
          <cell r="X1647">
            <v>1.6749999999999998E-2</v>
          </cell>
          <cell r="Y1647">
            <v>2.0250000000000001E-2</v>
          </cell>
          <cell r="Z1647">
            <v>2.2749999999999999E-2</v>
          </cell>
          <cell r="AA1647">
            <v>2.4750000000000001E-2</v>
          </cell>
          <cell r="AB1647">
            <v>2.76E-2</v>
          </cell>
          <cell r="AC1647">
            <v>3.0999999999999996E-2</v>
          </cell>
        </row>
        <row r="1648">
          <cell r="T1648">
            <v>38242</v>
          </cell>
          <cell r="U1648">
            <v>1.0548E-2</v>
          </cell>
          <cell r="V1648">
            <v>1.0874999999999999E-2</v>
          </cell>
          <cell r="W1648">
            <v>1.4499999999999999E-2</v>
          </cell>
          <cell r="X1648">
            <v>1.8000000000000002E-2</v>
          </cell>
          <cell r="Y1648">
            <v>0.02</v>
          </cell>
          <cell r="Z1648">
            <v>2.2749999999999999E-2</v>
          </cell>
          <cell r="AA1648">
            <v>2.4750000000000001E-2</v>
          </cell>
          <cell r="AB1648">
            <v>2.7549999999999998E-2</v>
          </cell>
          <cell r="AC1648">
            <v>3.0999999999999996E-2</v>
          </cell>
        </row>
        <row r="1649">
          <cell r="T1649">
            <v>38241</v>
          </cell>
          <cell r="U1649">
            <v>1.0548E-2</v>
          </cell>
          <cell r="V1649">
            <v>1.0874999999999999E-2</v>
          </cell>
          <cell r="W1649">
            <v>1.4499999999999999E-2</v>
          </cell>
          <cell r="X1649">
            <v>1.8000000000000002E-2</v>
          </cell>
          <cell r="Y1649">
            <v>0.02</v>
          </cell>
          <cell r="Z1649">
            <v>2.2749999999999999E-2</v>
          </cell>
          <cell r="AA1649">
            <v>2.4750000000000001E-2</v>
          </cell>
          <cell r="AB1649">
            <v>2.7549999999999998E-2</v>
          </cell>
          <cell r="AC1649">
            <v>3.0999999999999996E-2</v>
          </cell>
        </row>
        <row r="1650">
          <cell r="T1650">
            <v>38240</v>
          </cell>
          <cell r="U1650">
            <v>1.0548E-2</v>
          </cell>
          <cell r="V1650">
            <v>1.0874999999999999E-2</v>
          </cell>
          <cell r="W1650">
            <v>1.4499999999999999E-2</v>
          </cell>
          <cell r="X1650">
            <v>1.8000000000000002E-2</v>
          </cell>
          <cell r="Y1650">
            <v>0.02</v>
          </cell>
          <cell r="Z1650">
            <v>2.2749999999999999E-2</v>
          </cell>
          <cell r="AA1650">
            <v>2.4750000000000001E-2</v>
          </cell>
          <cell r="AB1650">
            <v>2.7549999999999998E-2</v>
          </cell>
          <cell r="AC1650">
            <v>3.0999999999999996E-2</v>
          </cell>
        </row>
        <row r="1651">
          <cell r="T1651">
            <v>38239</v>
          </cell>
          <cell r="U1651">
            <v>1.0489E-2</v>
          </cell>
          <cell r="V1651">
            <v>1.0872999999999999E-2</v>
          </cell>
          <cell r="W1651">
            <v>1.3599999999999999E-2</v>
          </cell>
          <cell r="X1651">
            <v>1.6799999999999999E-2</v>
          </cell>
          <cell r="Y1651">
            <v>2.0199999999999999E-2</v>
          </cell>
          <cell r="Z1651">
            <v>2.2850000000000002E-2</v>
          </cell>
          <cell r="AA1651">
            <v>2.4799999999999999E-2</v>
          </cell>
          <cell r="AB1651">
            <v>2.7649999999999997E-2</v>
          </cell>
          <cell r="AC1651">
            <v>3.0999999999999996E-2</v>
          </cell>
        </row>
        <row r="1652">
          <cell r="T1652">
            <v>38238</v>
          </cell>
          <cell r="U1652">
            <v>1.0511999999999999E-2</v>
          </cell>
          <cell r="V1652">
            <v>1.0814999999999998E-2</v>
          </cell>
          <cell r="W1652">
            <v>1.3950000000000001E-2</v>
          </cell>
          <cell r="X1652">
            <v>1.7250000000000001E-2</v>
          </cell>
          <cell r="Y1652">
            <v>2.0549999999999999E-2</v>
          </cell>
          <cell r="Z1652">
            <v>2.3250000000000003E-2</v>
          </cell>
          <cell r="AA1652">
            <v>2.53E-2</v>
          </cell>
          <cell r="AB1652">
            <v>2.8300000000000002E-2</v>
          </cell>
          <cell r="AC1652">
            <v>3.1349999999999996E-2</v>
          </cell>
        </row>
        <row r="1653">
          <cell r="T1653">
            <v>38237</v>
          </cell>
          <cell r="U1653">
            <v>1.0703000000000001E-2</v>
          </cell>
          <cell r="V1653">
            <v>1.1030999999999999E-2</v>
          </cell>
          <cell r="W1653">
            <v>1.3950000000000001E-2</v>
          </cell>
          <cell r="X1653">
            <v>1.7349999999999997E-2</v>
          </cell>
          <cell r="Y1653">
            <v>2.085E-2</v>
          </cell>
          <cell r="Z1653">
            <v>2.3250000000000003E-2</v>
          </cell>
          <cell r="AA1653">
            <v>2.5249999999999998E-2</v>
          </cell>
          <cell r="AB1653">
            <v>2.8200000000000003E-2</v>
          </cell>
          <cell r="AC1653">
            <v>3.15E-2</v>
          </cell>
        </row>
        <row r="1654">
          <cell r="T1654">
            <v>38236</v>
          </cell>
          <cell r="U1654">
            <v>1.0511E-2</v>
          </cell>
          <cell r="V1654">
            <v>1.0877E-2</v>
          </cell>
          <cell r="W1654">
            <v>1.3500000000000002E-2</v>
          </cell>
          <cell r="X1654">
            <v>1.7000000000000001E-2</v>
          </cell>
          <cell r="Y1654">
            <v>0.02</v>
          </cell>
          <cell r="Z1654">
            <v>2.3349999999999999E-2</v>
          </cell>
          <cell r="AA1654">
            <v>2.5350000000000001E-2</v>
          </cell>
          <cell r="AB1654">
            <v>2.8200000000000003E-2</v>
          </cell>
          <cell r="AC1654">
            <v>3.15E-2</v>
          </cell>
        </row>
        <row r="1655">
          <cell r="T1655">
            <v>38235</v>
          </cell>
          <cell r="U1655">
            <v>1.0487999999999999E-2</v>
          </cell>
          <cell r="V1655">
            <v>1.0786E-2</v>
          </cell>
          <cell r="W1655">
            <v>1.355E-2</v>
          </cell>
          <cell r="X1655">
            <v>1.6749999999999998E-2</v>
          </cell>
          <cell r="Y1655">
            <v>2.035E-2</v>
          </cell>
          <cell r="Z1655">
            <v>2.2949999999999998E-2</v>
          </cell>
          <cell r="AA1655">
            <v>2.4750000000000001E-2</v>
          </cell>
          <cell r="AB1655">
            <v>2.7949999999999999E-2</v>
          </cell>
          <cell r="AC1655">
            <v>3.1200000000000002E-2</v>
          </cell>
        </row>
        <row r="1656">
          <cell r="T1656">
            <v>38234</v>
          </cell>
          <cell r="U1656">
            <v>1.0487999999999999E-2</v>
          </cell>
          <cell r="V1656">
            <v>1.0786E-2</v>
          </cell>
          <cell r="W1656">
            <v>1.355E-2</v>
          </cell>
          <cell r="X1656">
            <v>1.6749999999999998E-2</v>
          </cell>
          <cell r="Y1656">
            <v>2.035E-2</v>
          </cell>
          <cell r="Z1656">
            <v>2.2949999999999998E-2</v>
          </cell>
          <cell r="AA1656">
            <v>2.4750000000000001E-2</v>
          </cell>
          <cell r="AB1656">
            <v>2.7949999999999999E-2</v>
          </cell>
          <cell r="AC1656">
            <v>3.1200000000000002E-2</v>
          </cell>
        </row>
        <row r="1657">
          <cell r="T1657">
            <v>38233</v>
          </cell>
          <cell r="U1657">
            <v>1.0487999999999999E-2</v>
          </cell>
          <cell r="V1657">
            <v>1.0786E-2</v>
          </cell>
          <cell r="W1657">
            <v>1.355E-2</v>
          </cell>
          <cell r="X1657">
            <v>1.6749999999999998E-2</v>
          </cell>
          <cell r="Y1657">
            <v>2.035E-2</v>
          </cell>
          <cell r="Z1657">
            <v>2.2949999999999998E-2</v>
          </cell>
          <cell r="AA1657">
            <v>2.4750000000000001E-2</v>
          </cell>
          <cell r="AB1657">
            <v>2.7949999999999999E-2</v>
          </cell>
          <cell r="AC1657">
            <v>3.1200000000000002E-2</v>
          </cell>
        </row>
        <row r="1658">
          <cell r="T1658">
            <v>38232</v>
          </cell>
          <cell r="U1658">
            <v>1.0449999999999999E-2</v>
          </cell>
          <cell r="V1658">
            <v>1.0786E-2</v>
          </cell>
          <cell r="W1658">
            <v>1.355E-2</v>
          </cell>
          <cell r="X1658">
            <v>1.6549999999999999E-2</v>
          </cell>
          <cell r="Y1658">
            <v>2.0049999999999998E-2</v>
          </cell>
          <cell r="Z1658">
            <v>2.265E-2</v>
          </cell>
          <cell r="AA1658">
            <v>2.4550000000000002E-2</v>
          </cell>
          <cell r="AB1658">
            <v>2.7350000000000003E-2</v>
          </cell>
          <cell r="AC1658">
            <v>3.0700000000000002E-2</v>
          </cell>
        </row>
        <row r="1659">
          <cell r="T1659">
            <v>38231</v>
          </cell>
          <cell r="U1659">
            <v>1.047E-2</v>
          </cell>
          <cell r="V1659">
            <v>1.069E-2</v>
          </cell>
          <cell r="W1659">
            <v>1.355E-2</v>
          </cell>
          <cell r="X1659">
            <v>1.6449999999999999E-2</v>
          </cell>
          <cell r="Y1659">
            <v>2.0099999999999996E-2</v>
          </cell>
          <cell r="Z1659">
            <v>2.2599999999999999E-2</v>
          </cell>
          <cell r="AA1659">
            <v>2.4500000000000001E-2</v>
          </cell>
          <cell r="AB1659">
            <v>2.75E-2</v>
          </cell>
          <cell r="AC1659">
            <v>3.0800000000000001E-2</v>
          </cell>
        </row>
        <row r="1660">
          <cell r="T1660">
            <v>38230</v>
          </cell>
          <cell r="U1660">
            <v>1.0558000000000001E-2</v>
          </cell>
          <cell r="V1660">
            <v>1.0865E-2</v>
          </cell>
          <cell r="W1660">
            <v>1.3999999999999999E-2</v>
          </cell>
          <cell r="X1660">
            <v>1.6E-2</v>
          </cell>
          <cell r="Y1660">
            <v>1.9950000000000002E-2</v>
          </cell>
          <cell r="Z1660">
            <v>2.2850000000000002E-2</v>
          </cell>
          <cell r="AA1660">
            <v>2.4750000000000001E-2</v>
          </cell>
          <cell r="AB1660">
            <v>2.7450000000000002E-2</v>
          </cell>
          <cell r="AC1660">
            <v>3.1200000000000002E-2</v>
          </cell>
        </row>
        <row r="1661">
          <cell r="T1661">
            <v>38229</v>
          </cell>
          <cell r="U1661">
            <v>1.0538E-2</v>
          </cell>
          <cell r="V1661">
            <v>1.0822E-2</v>
          </cell>
          <cell r="W1661">
            <v>1.355E-2</v>
          </cell>
          <cell r="X1661">
            <v>1.6749999999999998E-2</v>
          </cell>
          <cell r="Y1661">
            <v>2.0449999999999999E-2</v>
          </cell>
          <cell r="Z1661">
            <v>2.3E-2</v>
          </cell>
          <cell r="AA1661">
            <v>2.4500000000000001E-2</v>
          </cell>
          <cell r="AB1661">
            <v>2.775E-2</v>
          </cell>
          <cell r="AC1661">
            <v>3.0549999999999997E-2</v>
          </cell>
        </row>
        <row r="1662">
          <cell r="T1662">
            <v>38228</v>
          </cell>
          <cell r="U1662">
            <v>1.0402E-2</v>
          </cell>
          <cell r="V1662">
            <v>1.0759000000000001E-2</v>
          </cell>
          <cell r="W1662">
            <v>1.34E-2</v>
          </cell>
          <cell r="X1662">
            <v>1.6400000000000001E-2</v>
          </cell>
          <cell r="Y1662">
            <v>2.0400000000000001E-2</v>
          </cell>
          <cell r="Z1662">
            <v>2.2949999999999998E-2</v>
          </cell>
          <cell r="AA1662">
            <v>2.4750000000000001E-2</v>
          </cell>
          <cell r="AB1662">
            <v>2.75E-2</v>
          </cell>
          <cell r="AC1662">
            <v>3.0300000000000004E-2</v>
          </cell>
        </row>
        <row r="1663">
          <cell r="T1663">
            <v>38227</v>
          </cell>
          <cell r="U1663">
            <v>1.0402E-2</v>
          </cell>
          <cell r="V1663">
            <v>1.0759000000000001E-2</v>
          </cell>
          <cell r="W1663">
            <v>1.34E-2</v>
          </cell>
          <cell r="X1663">
            <v>1.6400000000000001E-2</v>
          </cell>
          <cell r="Y1663">
            <v>2.0400000000000001E-2</v>
          </cell>
          <cell r="Z1663">
            <v>2.2949999999999998E-2</v>
          </cell>
          <cell r="AA1663">
            <v>2.4750000000000001E-2</v>
          </cell>
          <cell r="AB1663">
            <v>2.75E-2</v>
          </cell>
          <cell r="AC1663">
            <v>3.0300000000000004E-2</v>
          </cell>
        </row>
        <row r="1664">
          <cell r="T1664">
            <v>38226</v>
          </cell>
          <cell r="U1664">
            <v>1.0402E-2</v>
          </cell>
          <cell r="V1664">
            <v>1.0759000000000001E-2</v>
          </cell>
          <cell r="W1664">
            <v>1.34E-2</v>
          </cell>
          <cell r="X1664">
            <v>1.6400000000000001E-2</v>
          </cell>
          <cell r="Y1664">
            <v>2.0400000000000001E-2</v>
          </cell>
          <cell r="Z1664">
            <v>2.2949999999999998E-2</v>
          </cell>
          <cell r="AA1664">
            <v>2.4750000000000001E-2</v>
          </cell>
          <cell r="AB1664">
            <v>2.75E-2</v>
          </cell>
          <cell r="AC1664">
            <v>3.0300000000000004E-2</v>
          </cell>
        </row>
        <row r="1665">
          <cell r="T1665">
            <v>38225</v>
          </cell>
          <cell r="U1665">
            <v>1.0305E-2</v>
          </cell>
          <cell r="V1665">
            <v>1.0487999999999999E-2</v>
          </cell>
          <cell r="W1665">
            <v>1.3650000000000001E-2</v>
          </cell>
          <cell r="X1665">
            <v>1.7000000000000001E-2</v>
          </cell>
          <cell r="Y1665">
            <v>2.0750000000000001E-2</v>
          </cell>
          <cell r="Z1665">
            <v>2.3550000000000001E-2</v>
          </cell>
          <cell r="AA1665">
            <v>2.5399999999999999E-2</v>
          </cell>
          <cell r="AB1665">
            <v>2.7999999999999997E-2</v>
          </cell>
          <cell r="AC1665">
            <v>3.065E-2</v>
          </cell>
        </row>
        <row r="1666">
          <cell r="T1666">
            <v>38224</v>
          </cell>
          <cell r="U1666">
            <v>1.0323000000000001E-2</v>
          </cell>
          <cell r="V1666">
            <v>1.0702E-2</v>
          </cell>
          <cell r="W1666">
            <v>1.3250000000000001E-2</v>
          </cell>
          <cell r="X1666">
            <v>1.7000000000000001E-2</v>
          </cell>
          <cell r="Y1666">
            <v>2.0799999999999999E-2</v>
          </cell>
          <cell r="Z1666">
            <v>2.3550000000000001E-2</v>
          </cell>
          <cell r="AA1666">
            <v>2.545E-2</v>
          </cell>
          <cell r="AB1666">
            <v>2.8099999999999997E-2</v>
          </cell>
          <cell r="AC1666">
            <v>3.0599999999999995E-2</v>
          </cell>
        </row>
        <row r="1667">
          <cell r="T1667">
            <v>38223</v>
          </cell>
          <cell r="U1667">
            <v>1.0323000000000001E-2</v>
          </cell>
          <cell r="V1667">
            <v>1.0702E-2</v>
          </cell>
          <cell r="W1667">
            <v>1.3250000000000001E-2</v>
          </cell>
          <cell r="X1667">
            <v>1.7000000000000001E-2</v>
          </cell>
          <cell r="Y1667">
            <v>2.0799999999999999E-2</v>
          </cell>
          <cell r="Z1667">
            <v>2.3550000000000001E-2</v>
          </cell>
          <cell r="AA1667">
            <v>2.545E-2</v>
          </cell>
          <cell r="AB1667">
            <v>2.8099999999999997E-2</v>
          </cell>
          <cell r="AC1667">
            <v>3.0599999999999995E-2</v>
          </cell>
        </row>
        <row r="1668">
          <cell r="T1668">
            <v>38222</v>
          </cell>
          <cell r="U1668">
            <v>1.0323000000000001E-2</v>
          </cell>
          <cell r="V1668">
            <v>1.0702E-2</v>
          </cell>
          <cell r="W1668">
            <v>1.3250000000000001E-2</v>
          </cell>
          <cell r="X1668">
            <v>1.7000000000000001E-2</v>
          </cell>
          <cell r="Y1668">
            <v>2.0799999999999999E-2</v>
          </cell>
          <cell r="Z1668">
            <v>2.3550000000000001E-2</v>
          </cell>
          <cell r="AA1668">
            <v>2.545E-2</v>
          </cell>
          <cell r="AB1668">
            <v>2.8099999999999997E-2</v>
          </cell>
          <cell r="AC1668">
            <v>3.0599999999999995E-2</v>
          </cell>
        </row>
        <row r="1669">
          <cell r="T1669">
            <v>38221</v>
          </cell>
          <cell r="U1669">
            <v>1.0277000000000001E-2</v>
          </cell>
          <cell r="V1669">
            <v>1.0543E-2</v>
          </cell>
          <cell r="W1669">
            <v>1.295E-2</v>
          </cell>
          <cell r="X1669">
            <v>1.66E-2</v>
          </cell>
          <cell r="Y1669">
            <v>2.0549999999999999E-2</v>
          </cell>
          <cell r="Z1669">
            <v>2.3300000000000001E-2</v>
          </cell>
          <cell r="AA1669">
            <v>2.52E-2</v>
          </cell>
          <cell r="AB1669">
            <v>2.775E-2</v>
          </cell>
          <cell r="AC1669">
            <v>3.0449999999999998E-2</v>
          </cell>
        </row>
        <row r="1670">
          <cell r="T1670">
            <v>38220</v>
          </cell>
          <cell r="U1670">
            <v>1.0277000000000001E-2</v>
          </cell>
          <cell r="V1670">
            <v>1.0543E-2</v>
          </cell>
          <cell r="W1670">
            <v>1.295E-2</v>
          </cell>
          <cell r="X1670">
            <v>1.66E-2</v>
          </cell>
          <cell r="Y1670">
            <v>2.0549999999999999E-2</v>
          </cell>
          <cell r="Z1670">
            <v>2.3300000000000001E-2</v>
          </cell>
          <cell r="AA1670">
            <v>2.52E-2</v>
          </cell>
          <cell r="AB1670">
            <v>2.775E-2</v>
          </cell>
          <cell r="AC1670">
            <v>3.0449999999999998E-2</v>
          </cell>
        </row>
        <row r="1671">
          <cell r="T1671">
            <v>38219</v>
          </cell>
          <cell r="U1671">
            <v>1.0277000000000001E-2</v>
          </cell>
          <cell r="V1671">
            <v>1.0543E-2</v>
          </cell>
          <cell r="W1671">
            <v>1.295E-2</v>
          </cell>
          <cell r="X1671">
            <v>1.66E-2</v>
          </cell>
          <cell r="Y1671">
            <v>2.0549999999999999E-2</v>
          </cell>
          <cell r="Z1671">
            <v>2.3300000000000001E-2</v>
          </cell>
          <cell r="AA1671">
            <v>2.52E-2</v>
          </cell>
          <cell r="AB1671">
            <v>2.775E-2</v>
          </cell>
          <cell r="AC1671">
            <v>3.0449999999999998E-2</v>
          </cell>
        </row>
        <row r="1672">
          <cell r="T1672">
            <v>38218</v>
          </cell>
          <cell r="U1672">
            <v>1.0277000000000001E-2</v>
          </cell>
          <cell r="V1672">
            <v>1.0543E-2</v>
          </cell>
          <cell r="W1672">
            <v>1.3500000000000002E-2</v>
          </cell>
          <cell r="X1672">
            <v>1.7000000000000001E-2</v>
          </cell>
          <cell r="Y1672">
            <v>2.07E-2</v>
          </cell>
          <cell r="Z1672">
            <v>2.3650000000000001E-2</v>
          </cell>
          <cell r="AA1672">
            <v>2.5600000000000001E-2</v>
          </cell>
          <cell r="AB1672">
            <v>2.7999999999999997E-2</v>
          </cell>
          <cell r="AC1672">
            <v>3.0999999999999996E-2</v>
          </cell>
        </row>
        <row r="1673">
          <cell r="T1673">
            <v>38217</v>
          </cell>
          <cell r="U1673">
            <v>1.0208999999999999E-2</v>
          </cell>
          <cell r="V1673">
            <v>1.0383999999999999E-2</v>
          </cell>
          <cell r="W1673">
            <v>1.295E-2</v>
          </cell>
          <cell r="X1673">
            <v>1.7100000000000001E-2</v>
          </cell>
          <cell r="Y1673">
            <v>2.0750000000000001E-2</v>
          </cell>
          <cell r="Z1673">
            <v>2.3550000000000001E-2</v>
          </cell>
          <cell r="AA1673">
            <v>2.545E-2</v>
          </cell>
          <cell r="AB1673">
            <v>2.7900000000000001E-2</v>
          </cell>
          <cell r="AC1673">
            <v>3.0999999999999996E-2</v>
          </cell>
        </row>
        <row r="1674">
          <cell r="T1674">
            <v>38216</v>
          </cell>
          <cell r="U1674">
            <v>1.0243E-2</v>
          </cell>
          <cell r="V1674">
            <v>1.0546999999999999E-2</v>
          </cell>
          <cell r="W1674">
            <v>1.3500000000000002E-2</v>
          </cell>
          <cell r="X1674">
            <v>1.6749999999999998E-2</v>
          </cell>
          <cell r="Y1674">
            <v>2.0750000000000001E-2</v>
          </cell>
          <cell r="Z1674">
            <v>2.3550000000000001E-2</v>
          </cell>
          <cell r="AA1674">
            <v>2.5549999999999996E-2</v>
          </cell>
          <cell r="AB1674">
            <v>2.8099999999999997E-2</v>
          </cell>
          <cell r="AC1674">
            <v>3.1300000000000001E-2</v>
          </cell>
        </row>
        <row r="1675">
          <cell r="T1675">
            <v>38215</v>
          </cell>
          <cell r="U1675">
            <v>1.0329999999999999E-2</v>
          </cell>
          <cell r="V1675">
            <v>1.0597000000000001E-2</v>
          </cell>
          <cell r="W1675">
            <v>1.2500000000000001E-2</v>
          </cell>
          <cell r="X1675">
            <v>1.7299999999999999E-2</v>
          </cell>
          <cell r="Y1675">
            <v>2.0649999999999998E-2</v>
          </cell>
          <cell r="Z1675">
            <v>2.3650000000000001E-2</v>
          </cell>
          <cell r="AA1675">
            <v>2.5649999999999999E-2</v>
          </cell>
          <cell r="AB1675">
            <v>2.8300000000000002E-2</v>
          </cell>
          <cell r="AC1675">
            <v>3.1099999999999999E-2</v>
          </cell>
        </row>
        <row r="1676">
          <cell r="T1676">
            <v>38214</v>
          </cell>
          <cell r="U1676">
            <v>1.022E-2</v>
          </cell>
          <cell r="V1676">
            <v>1.0498E-2</v>
          </cell>
          <cell r="W1676">
            <v>1.32E-2</v>
          </cell>
          <cell r="X1676">
            <v>1.6899999999999998E-2</v>
          </cell>
          <cell r="Y1676">
            <v>2.1049999999999999E-2</v>
          </cell>
          <cell r="Z1676">
            <v>2.4150000000000001E-2</v>
          </cell>
          <cell r="AA1676">
            <v>2.6249999999999999E-2</v>
          </cell>
          <cell r="AB1676">
            <v>2.8849999999999997E-2</v>
          </cell>
          <cell r="AC1676">
            <v>3.1950000000000006E-2</v>
          </cell>
        </row>
        <row r="1677">
          <cell r="T1677">
            <v>38213</v>
          </cell>
          <cell r="U1677">
            <v>1.022E-2</v>
          </cell>
          <cell r="V1677">
            <v>1.0498E-2</v>
          </cell>
          <cell r="W1677">
            <v>1.32E-2</v>
          </cell>
          <cell r="X1677">
            <v>1.6899999999999998E-2</v>
          </cell>
          <cell r="Y1677">
            <v>2.1049999999999999E-2</v>
          </cell>
          <cell r="Z1677">
            <v>2.4150000000000001E-2</v>
          </cell>
          <cell r="AA1677">
            <v>2.6249999999999999E-2</v>
          </cell>
          <cell r="AB1677">
            <v>2.8849999999999997E-2</v>
          </cell>
          <cell r="AC1677">
            <v>3.1950000000000006E-2</v>
          </cell>
        </row>
        <row r="1678">
          <cell r="T1678">
            <v>38212</v>
          </cell>
          <cell r="U1678">
            <v>1.022E-2</v>
          </cell>
          <cell r="V1678">
            <v>1.0498E-2</v>
          </cell>
          <cell r="W1678">
            <v>1.32E-2</v>
          </cell>
          <cell r="X1678">
            <v>1.6899999999999998E-2</v>
          </cell>
          <cell r="Y1678">
            <v>2.1049999999999999E-2</v>
          </cell>
          <cell r="Z1678">
            <v>2.4150000000000001E-2</v>
          </cell>
          <cell r="AA1678">
            <v>2.6249999999999999E-2</v>
          </cell>
          <cell r="AB1678">
            <v>2.8849999999999997E-2</v>
          </cell>
          <cell r="AC1678">
            <v>3.1950000000000006E-2</v>
          </cell>
        </row>
        <row r="1679">
          <cell r="T1679">
            <v>38211</v>
          </cell>
          <cell r="U1679">
            <v>1.0125E-2</v>
          </cell>
          <cell r="V1679">
            <v>1.0347E-2</v>
          </cell>
          <cell r="W1679">
            <v>1.3349999999999999E-2</v>
          </cell>
          <cell r="X1679">
            <v>1.745E-2</v>
          </cell>
          <cell r="Y1679">
            <v>2.1550000000000003E-2</v>
          </cell>
          <cell r="Z1679">
            <v>2.4750000000000001E-2</v>
          </cell>
          <cell r="AA1679">
            <v>2.6749999999999999E-2</v>
          </cell>
          <cell r="AB1679">
            <v>2.9500000000000002E-2</v>
          </cell>
          <cell r="AC1679">
            <v>3.2500000000000001E-2</v>
          </cell>
        </row>
        <row r="1680">
          <cell r="T1680">
            <v>38210</v>
          </cell>
          <cell r="U1680">
            <v>1.0128999999999999E-2</v>
          </cell>
          <cell r="V1680">
            <v>1.0394E-2</v>
          </cell>
          <cell r="W1680">
            <v>1.37E-2</v>
          </cell>
          <cell r="X1680">
            <v>1.8000000000000002E-2</v>
          </cell>
          <cell r="Y1680">
            <v>2.2000000000000002E-2</v>
          </cell>
          <cell r="Z1680">
            <v>2.4799999999999999E-2</v>
          </cell>
          <cell r="AA1680">
            <v>2.7000000000000003E-2</v>
          </cell>
          <cell r="AB1680">
            <v>2.9500000000000002E-2</v>
          </cell>
          <cell r="AC1680">
            <v>3.2899999999999999E-2</v>
          </cell>
        </row>
        <row r="1681">
          <cell r="T1681">
            <v>38209</v>
          </cell>
          <cell r="U1681">
            <v>1.0093000000000001E-2</v>
          </cell>
          <cell r="V1681">
            <v>1.031E-2</v>
          </cell>
          <cell r="W1681">
            <v>1.3349999999999999E-2</v>
          </cell>
          <cell r="X1681">
            <v>1.7600000000000001E-2</v>
          </cell>
          <cell r="Y1681">
            <v>2.1600000000000001E-2</v>
          </cell>
          <cell r="Z1681">
            <v>2.4450000000000003E-2</v>
          </cell>
          <cell r="AA1681">
            <v>2.6450000000000001E-2</v>
          </cell>
          <cell r="AB1681">
            <v>2.8899999999999995E-2</v>
          </cell>
          <cell r="AC1681">
            <v>3.2149999999999998E-2</v>
          </cell>
        </row>
        <row r="1682">
          <cell r="T1682">
            <v>38208</v>
          </cell>
          <cell r="U1682">
            <v>1.0193000000000001E-2</v>
          </cell>
          <cell r="V1682">
            <v>1.0435000000000002E-2</v>
          </cell>
          <cell r="W1682">
            <v>1.3500000000000002E-2</v>
          </cell>
          <cell r="X1682">
            <v>1.8000000000000002E-2</v>
          </cell>
          <cell r="Y1682">
            <v>2.2000000000000002E-2</v>
          </cell>
          <cell r="Z1682">
            <v>2.4150000000000001E-2</v>
          </cell>
          <cell r="AA1682">
            <v>2.6500000000000003E-2</v>
          </cell>
          <cell r="AB1682">
            <v>2.9500000000000002E-2</v>
          </cell>
          <cell r="AC1682">
            <v>3.2099999999999997E-2</v>
          </cell>
        </row>
        <row r="1683">
          <cell r="T1683">
            <v>38207</v>
          </cell>
          <cell r="U1683">
            <v>1.0147E-2</v>
          </cell>
          <cell r="V1683">
            <v>1.0481000000000001E-2</v>
          </cell>
          <cell r="W1683">
            <v>1.3000000000000001E-2</v>
          </cell>
          <cell r="X1683">
            <v>1.8000000000000002E-2</v>
          </cell>
          <cell r="Y1683">
            <v>2.2000000000000002E-2</v>
          </cell>
          <cell r="Z1683">
            <v>2.5249999999999998E-2</v>
          </cell>
          <cell r="AA1683">
            <v>2.7300000000000005E-2</v>
          </cell>
          <cell r="AB1683">
            <v>0.03</v>
          </cell>
          <cell r="AC1683">
            <v>3.3000000000000002E-2</v>
          </cell>
        </row>
        <row r="1684">
          <cell r="T1684">
            <v>38206</v>
          </cell>
          <cell r="U1684">
            <v>1.0147E-2</v>
          </cell>
          <cell r="V1684">
            <v>1.0481000000000001E-2</v>
          </cell>
          <cell r="W1684">
            <v>1.3000000000000001E-2</v>
          </cell>
          <cell r="X1684">
            <v>1.8000000000000002E-2</v>
          </cell>
          <cell r="Y1684">
            <v>2.2000000000000002E-2</v>
          </cell>
          <cell r="Z1684">
            <v>2.5249999999999998E-2</v>
          </cell>
          <cell r="AA1684">
            <v>2.7300000000000005E-2</v>
          </cell>
          <cell r="AB1684">
            <v>0.03</v>
          </cell>
          <cell r="AC1684">
            <v>3.3000000000000002E-2</v>
          </cell>
        </row>
        <row r="1685">
          <cell r="T1685">
            <v>38205</v>
          </cell>
          <cell r="U1685">
            <v>1.0147E-2</v>
          </cell>
          <cell r="V1685">
            <v>1.0481000000000001E-2</v>
          </cell>
          <cell r="W1685">
            <v>1.3000000000000001E-2</v>
          </cell>
          <cell r="X1685">
            <v>1.8000000000000002E-2</v>
          </cell>
          <cell r="Y1685">
            <v>2.2000000000000002E-2</v>
          </cell>
          <cell r="Z1685">
            <v>2.5249999999999998E-2</v>
          </cell>
          <cell r="AA1685">
            <v>2.7300000000000005E-2</v>
          </cell>
          <cell r="AB1685">
            <v>0.03</v>
          </cell>
          <cell r="AC1685">
            <v>3.3000000000000002E-2</v>
          </cell>
        </row>
        <row r="1686">
          <cell r="T1686">
            <v>38204</v>
          </cell>
          <cell r="U1686">
            <v>1.0255E-2</v>
          </cell>
          <cell r="V1686">
            <v>1.0546999999999999E-2</v>
          </cell>
          <cell r="W1686">
            <v>1.355E-2</v>
          </cell>
          <cell r="X1686">
            <v>1.8100000000000002E-2</v>
          </cell>
          <cell r="Y1686">
            <v>2.2250000000000002E-2</v>
          </cell>
          <cell r="Z1686">
            <v>2.495E-2</v>
          </cell>
          <cell r="AA1686">
            <v>2.6800000000000001E-2</v>
          </cell>
          <cell r="AB1686">
            <v>2.9249999999999998E-2</v>
          </cell>
          <cell r="AC1686">
            <v>3.3599999999999998E-2</v>
          </cell>
        </row>
        <row r="1687">
          <cell r="T1687">
            <v>38203</v>
          </cell>
          <cell r="U1687">
            <v>1.0022E-2</v>
          </cell>
          <cell r="V1687">
            <v>1.0375000000000001E-2</v>
          </cell>
          <cell r="W1687">
            <v>1.355E-2</v>
          </cell>
          <cell r="X1687">
            <v>1.8200000000000001E-2</v>
          </cell>
          <cell r="Y1687">
            <v>2.23E-2</v>
          </cell>
          <cell r="Z1687">
            <v>2.495E-2</v>
          </cell>
          <cell r="AA1687">
            <v>2.69E-2</v>
          </cell>
          <cell r="AB1687">
            <v>2.9100000000000001E-2</v>
          </cell>
          <cell r="AC1687">
            <v>3.1300000000000001E-2</v>
          </cell>
        </row>
        <row r="1688">
          <cell r="T1688">
            <v>38202</v>
          </cell>
          <cell r="U1688">
            <v>1.0069E-2</v>
          </cell>
          <cell r="V1688">
            <v>1.0319E-2</v>
          </cell>
          <cell r="W1688">
            <v>1.3650000000000001E-2</v>
          </cell>
          <cell r="X1688">
            <v>1.8349999999999998E-2</v>
          </cell>
          <cell r="Y1688">
            <v>2.2450000000000001E-2</v>
          </cell>
          <cell r="Z1688">
            <v>2.5099999999999997E-2</v>
          </cell>
          <cell r="AA1688">
            <v>2.7000000000000003E-2</v>
          </cell>
          <cell r="AB1688">
            <v>2.9600000000000001E-2</v>
          </cell>
          <cell r="AC1688">
            <v>3.15E-2</v>
          </cell>
        </row>
        <row r="1689">
          <cell r="T1689">
            <v>38201</v>
          </cell>
          <cell r="U1689">
            <v>1.0117000000000001E-2</v>
          </cell>
          <cell r="V1689">
            <v>1.0375000000000001E-2</v>
          </cell>
          <cell r="W1689">
            <v>1.355E-2</v>
          </cell>
          <cell r="X1689">
            <v>1.805E-2</v>
          </cell>
          <cell r="Y1689">
            <v>2.2250000000000002E-2</v>
          </cell>
          <cell r="Z1689">
            <v>2.4750000000000001E-2</v>
          </cell>
          <cell r="AA1689">
            <v>2.665E-2</v>
          </cell>
          <cell r="AB1689">
            <v>2.8799999999999999E-2</v>
          </cell>
          <cell r="AC1689">
            <v>3.0999999999999996E-2</v>
          </cell>
        </row>
        <row r="1690">
          <cell r="T1690">
            <v>38200</v>
          </cell>
          <cell r="U1690">
            <v>1.0129999999999998E-2</v>
          </cell>
          <cell r="V1690">
            <v>1.0284E-2</v>
          </cell>
          <cell r="W1690">
            <v>1.375E-2</v>
          </cell>
          <cell r="X1690">
            <v>1.8550000000000001E-2</v>
          </cell>
          <cell r="Y1690">
            <v>2.2550000000000001E-2</v>
          </cell>
          <cell r="Z1690">
            <v>2.5249999999999998E-2</v>
          </cell>
          <cell r="AA1690">
            <v>2.6950000000000002E-2</v>
          </cell>
          <cell r="AB1690">
            <v>2.9299999999999996E-2</v>
          </cell>
          <cell r="AC1690">
            <v>3.1699999999999999E-2</v>
          </cell>
        </row>
        <row r="1691">
          <cell r="T1691">
            <v>38199</v>
          </cell>
          <cell r="U1691">
            <v>1.0129999999999998E-2</v>
          </cell>
          <cell r="V1691">
            <v>1.0284E-2</v>
          </cell>
          <cell r="W1691">
            <v>1.375E-2</v>
          </cell>
          <cell r="X1691">
            <v>1.8550000000000001E-2</v>
          </cell>
          <cell r="Y1691">
            <v>2.2550000000000001E-2</v>
          </cell>
          <cell r="Z1691">
            <v>2.5249999999999998E-2</v>
          </cell>
          <cell r="AA1691">
            <v>2.6950000000000002E-2</v>
          </cell>
          <cell r="AB1691">
            <v>2.9299999999999996E-2</v>
          </cell>
          <cell r="AC1691">
            <v>3.1699999999999999E-2</v>
          </cell>
        </row>
        <row r="1692">
          <cell r="T1692">
            <v>38198</v>
          </cell>
          <cell r="U1692">
            <v>1.0129999999999998E-2</v>
          </cell>
          <cell r="V1692">
            <v>1.0284E-2</v>
          </cell>
          <cell r="W1692">
            <v>1.375E-2</v>
          </cell>
          <cell r="X1692">
            <v>1.8550000000000001E-2</v>
          </cell>
          <cell r="Y1692">
            <v>2.2550000000000001E-2</v>
          </cell>
          <cell r="Z1692">
            <v>2.5249999999999998E-2</v>
          </cell>
          <cell r="AA1692">
            <v>2.6950000000000002E-2</v>
          </cell>
          <cell r="AB1692">
            <v>2.9299999999999996E-2</v>
          </cell>
          <cell r="AC1692">
            <v>3.1699999999999999E-2</v>
          </cell>
        </row>
        <row r="1693">
          <cell r="T1693">
            <v>38197</v>
          </cell>
          <cell r="U1693">
            <v>1.0055000000000001E-2</v>
          </cell>
          <cell r="V1693">
            <v>1.0313000000000001E-2</v>
          </cell>
          <cell r="W1693">
            <v>1.3650000000000001E-2</v>
          </cell>
          <cell r="X1693">
            <v>1.84E-2</v>
          </cell>
          <cell r="Y1693">
            <v>2.2550000000000001E-2</v>
          </cell>
          <cell r="Z1693">
            <v>2.5350000000000001E-2</v>
          </cell>
          <cell r="AA1693">
            <v>2.7099999999999999E-2</v>
          </cell>
          <cell r="AB1693">
            <v>2.9400000000000003E-2</v>
          </cell>
          <cell r="AC1693">
            <v>3.0999999999999996E-2</v>
          </cell>
        </row>
        <row r="1694">
          <cell r="T1694">
            <v>38196</v>
          </cell>
          <cell r="U1694">
            <v>1.0107E-2</v>
          </cell>
          <cell r="V1694">
            <v>1.0273000000000001E-2</v>
          </cell>
          <cell r="W1694">
            <v>1.3599999999999999E-2</v>
          </cell>
          <cell r="X1694">
            <v>1.84E-2</v>
          </cell>
          <cell r="Y1694">
            <v>2.2450000000000001E-2</v>
          </cell>
          <cell r="Z1694">
            <v>2.5049999999999999E-2</v>
          </cell>
          <cell r="AA1694">
            <v>2.6749999999999999E-2</v>
          </cell>
          <cell r="AB1694">
            <v>2.92E-2</v>
          </cell>
          <cell r="AC1694">
            <v>3.15E-2</v>
          </cell>
        </row>
        <row r="1695">
          <cell r="T1695">
            <v>38195</v>
          </cell>
          <cell r="U1695">
            <v>1.0107E-2</v>
          </cell>
          <cell r="V1695">
            <v>1.0273000000000001E-2</v>
          </cell>
          <cell r="W1695">
            <v>1.3599999999999999E-2</v>
          </cell>
          <cell r="X1695">
            <v>1.83E-2</v>
          </cell>
          <cell r="Y1695">
            <v>2.2250000000000002E-2</v>
          </cell>
          <cell r="Z1695">
            <v>2.4649999999999998E-2</v>
          </cell>
          <cell r="AA1695">
            <v>2.6600000000000002E-2</v>
          </cell>
          <cell r="AB1695">
            <v>2.9000000000000005E-2</v>
          </cell>
          <cell r="AC1695">
            <v>3.1300000000000001E-2</v>
          </cell>
        </row>
        <row r="1696">
          <cell r="T1696">
            <v>38194</v>
          </cell>
          <cell r="U1696">
            <v>1.0102E-2</v>
          </cell>
          <cell r="V1696">
            <v>1.0351999999999998E-2</v>
          </cell>
          <cell r="W1696">
            <v>1.3349999999999999E-2</v>
          </cell>
          <cell r="X1696">
            <v>1.7950000000000001E-2</v>
          </cell>
          <cell r="Y1696">
            <v>2.1700000000000001E-2</v>
          </cell>
          <cell r="Z1696">
            <v>2.4150000000000001E-2</v>
          </cell>
          <cell r="AA1696">
            <v>2.605E-2</v>
          </cell>
          <cell r="AB1696">
            <v>2.8300000000000002E-2</v>
          </cell>
          <cell r="AC1696">
            <v>3.0499999999999999E-2</v>
          </cell>
        </row>
        <row r="1697">
          <cell r="T1697">
            <v>38193</v>
          </cell>
          <cell r="U1697">
            <v>1.0092E-2</v>
          </cell>
          <cell r="V1697">
            <v>1.0264000000000001E-2</v>
          </cell>
          <cell r="W1697">
            <v>1.3250000000000001E-2</v>
          </cell>
          <cell r="X1697">
            <v>1.7650000000000002E-2</v>
          </cell>
          <cell r="Y1697">
            <v>2.1749999999999999E-2</v>
          </cell>
          <cell r="Z1697">
            <v>2.3849999999999996E-2</v>
          </cell>
          <cell r="AA1697">
            <v>2.5750000000000002E-2</v>
          </cell>
          <cell r="AB1697">
            <v>2.8300000000000002E-2</v>
          </cell>
          <cell r="AC1697">
            <v>3.0499999999999999E-2</v>
          </cell>
        </row>
        <row r="1698">
          <cell r="T1698">
            <v>38192</v>
          </cell>
          <cell r="U1698">
            <v>1.0092E-2</v>
          </cell>
          <cell r="V1698">
            <v>1.0264000000000001E-2</v>
          </cell>
          <cell r="W1698">
            <v>1.3250000000000001E-2</v>
          </cell>
          <cell r="X1698">
            <v>1.7650000000000002E-2</v>
          </cell>
          <cell r="Y1698">
            <v>2.1749999999999999E-2</v>
          </cell>
          <cell r="Z1698">
            <v>2.3849999999999996E-2</v>
          </cell>
          <cell r="AA1698">
            <v>2.5750000000000002E-2</v>
          </cell>
          <cell r="AB1698">
            <v>2.8300000000000002E-2</v>
          </cell>
          <cell r="AC1698">
            <v>3.0499999999999999E-2</v>
          </cell>
        </row>
        <row r="1699">
          <cell r="T1699">
            <v>38191</v>
          </cell>
          <cell r="U1699">
            <v>1.0092E-2</v>
          </cell>
          <cell r="V1699">
            <v>1.0264000000000001E-2</v>
          </cell>
          <cell r="W1699">
            <v>1.3250000000000001E-2</v>
          </cell>
          <cell r="X1699">
            <v>1.7650000000000002E-2</v>
          </cell>
          <cell r="Y1699">
            <v>2.1749999999999999E-2</v>
          </cell>
          <cell r="Z1699">
            <v>2.3849999999999996E-2</v>
          </cell>
          <cell r="AA1699">
            <v>2.5750000000000002E-2</v>
          </cell>
          <cell r="AB1699">
            <v>2.8300000000000002E-2</v>
          </cell>
          <cell r="AC1699">
            <v>3.0499999999999999E-2</v>
          </cell>
        </row>
        <row r="1700">
          <cell r="T1700">
            <v>38190</v>
          </cell>
          <cell r="U1700">
            <v>1.0083E-2</v>
          </cell>
          <cell r="V1700">
            <v>1.0364999999999999E-2</v>
          </cell>
          <cell r="W1700">
            <v>1.3450000000000002E-2</v>
          </cell>
          <cell r="X1700">
            <v>1.805E-2</v>
          </cell>
          <cell r="Y1700">
            <v>2.215E-2</v>
          </cell>
          <cell r="Z1700">
            <v>2.435E-2</v>
          </cell>
          <cell r="AA1700">
            <v>2.6100000000000002E-2</v>
          </cell>
          <cell r="AB1700">
            <v>2.8300000000000002E-2</v>
          </cell>
          <cell r="AC1700">
            <v>3.0499999999999999E-2</v>
          </cell>
        </row>
        <row r="1701">
          <cell r="T1701">
            <v>38189</v>
          </cell>
          <cell r="U1701">
            <v>1.0067999999999999E-2</v>
          </cell>
          <cell r="V1701">
            <v>1.0284E-2</v>
          </cell>
          <cell r="W1701">
            <v>1.3500000000000002E-2</v>
          </cell>
          <cell r="X1701">
            <v>1.7950000000000001E-2</v>
          </cell>
          <cell r="Y1701">
            <v>2.205E-2</v>
          </cell>
          <cell r="Z1701">
            <v>2.4199999999999999E-2</v>
          </cell>
          <cell r="AA1701">
            <v>2.6099999999999998E-2</v>
          </cell>
          <cell r="AB1701">
            <v>2.7999999999999997E-2</v>
          </cell>
          <cell r="AC1701">
            <v>0.03</v>
          </cell>
        </row>
        <row r="1702">
          <cell r="T1702">
            <v>38188</v>
          </cell>
          <cell r="U1702">
            <v>1.0125E-2</v>
          </cell>
          <cell r="V1702">
            <v>1.0422000000000001E-2</v>
          </cell>
          <cell r="W1702">
            <v>1.3250000000000001E-2</v>
          </cell>
          <cell r="X1702">
            <v>1.7650000000000002E-2</v>
          </cell>
          <cell r="Y1702">
            <v>2.1649999999999999E-2</v>
          </cell>
          <cell r="Z1702">
            <v>2.3650000000000001E-2</v>
          </cell>
          <cell r="AA1702">
            <v>2.5750000000000002E-2</v>
          </cell>
          <cell r="AB1702">
            <v>2.75E-2</v>
          </cell>
          <cell r="AC1702">
            <v>2.9500000000000002E-2</v>
          </cell>
        </row>
        <row r="1703">
          <cell r="T1703">
            <v>38187</v>
          </cell>
          <cell r="U1703">
            <v>1.0067999999999999E-2</v>
          </cell>
          <cell r="V1703">
            <v>1.0284E-2</v>
          </cell>
          <cell r="W1703">
            <v>1.3250000000000001E-2</v>
          </cell>
          <cell r="X1703">
            <v>1.7650000000000002E-2</v>
          </cell>
          <cell r="Y1703">
            <v>2.1749999999999999E-2</v>
          </cell>
          <cell r="Z1703">
            <v>2.3949999999999999E-2</v>
          </cell>
          <cell r="AA1703">
            <v>2.5849999999999998E-2</v>
          </cell>
          <cell r="AB1703">
            <v>2.76E-2</v>
          </cell>
          <cell r="AC1703">
            <v>2.9500000000000002E-2</v>
          </cell>
        </row>
        <row r="1704">
          <cell r="T1704">
            <v>38186</v>
          </cell>
          <cell r="U1704">
            <v>1.0052E-2</v>
          </cell>
          <cell r="V1704">
            <v>1.0333000000000002E-2</v>
          </cell>
          <cell r="W1704">
            <v>1.2850000000000002E-2</v>
          </cell>
          <cell r="X1704">
            <v>1.8250000000000002E-2</v>
          </cell>
          <cell r="Y1704">
            <v>2.2250000000000002E-2</v>
          </cell>
          <cell r="Z1704">
            <v>2.4450000000000003E-2</v>
          </cell>
          <cell r="AA1704">
            <v>2.6349999999999998E-2</v>
          </cell>
          <cell r="AB1704">
            <v>2.835E-2</v>
          </cell>
          <cell r="AC1704">
            <v>3.0350000000000002E-2</v>
          </cell>
        </row>
        <row r="1705">
          <cell r="T1705">
            <v>38185</v>
          </cell>
          <cell r="U1705">
            <v>1.0052E-2</v>
          </cell>
          <cell r="V1705">
            <v>1.0333000000000002E-2</v>
          </cell>
          <cell r="W1705">
            <v>1.2850000000000002E-2</v>
          </cell>
          <cell r="X1705">
            <v>1.8250000000000002E-2</v>
          </cell>
          <cell r="Y1705">
            <v>2.2250000000000002E-2</v>
          </cell>
          <cell r="Z1705">
            <v>2.4450000000000003E-2</v>
          </cell>
          <cell r="AA1705">
            <v>2.6349999999999998E-2</v>
          </cell>
          <cell r="AB1705">
            <v>2.835E-2</v>
          </cell>
          <cell r="AC1705">
            <v>3.0350000000000002E-2</v>
          </cell>
        </row>
        <row r="1706">
          <cell r="T1706">
            <v>38184</v>
          </cell>
          <cell r="U1706">
            <v>1.0052E-2</v>
          </cell>
          <cell r="V1706">
            <v>1.0333000000000002E-2</v>
          </cell>
          <cell r="W1706">
            <v>1.2850000000000002E-2</v>
          </cell>
          <cell r="X1706">
            <v>1.8250000000000002E-2</v>
          </cell>
          <cell r="Y1706">
            <v>2.2250000000000002E-2</v>
          </cell>
          <cell r="Z1706">
            <v>2.4450000000000003E-2</v>
          </cell>
          <cell r="AA1706">
            <v>2.6349999999999998E-2</v>
          </cell>
          <cell r="AB1706">
            <v>2.835E-2</v>
          </cell>
          <cell r="AC1706">
            <v>3.0350000000000002E-2</v>
          </cell>
        </row>
        <row r="1707">
          <cell r="T1707">
            <v>38183</v>
          </cell>
          <cell r="U1707">
            <v>1.0057E-2</v>
          </cell>
          <cell r="V1707">
            <v>1.0273000000000001E-2</v>
          </cell>
          <cell r="W1707">
            <v>1.2850000000000002E-2</v>
          </cell>
          <cell r="X1707">
            <v>1.805E-2</v>
          </cell>
          <cell r="Y1707">
            <v>2.215E-2</v>
          </cell>
          <cell r="Z1707">
            <v>2.4249999999999997E-2</v>
          </cell>
          <cell r="AA1707">
            <v>2.6150000000000003E-2</v>
          </cell>
          <cell r="AB1707">
            <v>2.7900000000000001E-2</v>
          </cell>
          <cell r="AC1707">
            <v>3.0300000000000004E-2</v>
          </cell>
        </row>
        <row r="1708">
          <cell r="T1708">
            <v>38182</v>
          </cell>
          <cell r="U1708">
            <v>1.0052E-2</v>
          </cell>
          <cell r="V1708">
            <v>1.0417000000000001E-2</v>
          </cell>
          <cell r="W1708">
            <v>1.2850000000000002E-2</v>
          </cell>
          <cell r="X1708">
            <v>1.7749999999999998E-2</v>
          </cell>
          <cell r="Y1708">
            <v>2.1950000000000004E-2</v>
          </cell>
          <cell r="Z1708">
            <v>2.4050000000000002E-2</v>
          </cell>
          <cell r="AA1708">
            <v>2.5899999999999999E-2</v>
          </cell>
          <cell r="AB1708">
            <v>2.7699999999999999E-2</v>
          </cell>
          <cell r="AC1708">
            <v>2.9299999999999996E-2</v>
          </cell>
        </row>
        <row r="1709">
          <cell r="T1709">
            <v>38181</v>
          </cell>
          <cell r="U1709">
            <v>1.0142999999999999E-2</v>
          </cell>
          <cell r="V1709">
            <v>1.0431999999999999E-2</v>
          </cell>
          <cell r="W1709">
            <v>1.3349999999999999E-2</v>
          </cell>
          <cell r="X1709">
            <v>1.7850000000000001E-2</v>
          </cell>
          <cell r="Y1709">
            <v>2.1950000000000004E-2</v>
          </cell>
          <cell r="Z1709">
            <v>2.3949999999999999E-2</v>
          </cell>
          <cell r="AA1709">
            <v>2.605E-2</v>
          </cell>
          <cell r="AB1709">
            <v>2.8200000000000003E-2</v>
          </cell>
          <cell r="AC1709">
            <v>2.9299999999999996E-2</v>
          </cell>
        </row>
        <row r="1710">
          <cell r="T1710">
            <v>38180</v>
          </cell>
          <cell r="U1710">
            <v>9.9310000000000006E-3</v>
          </cell>
          <cell r="V1710">
            <v>1.0139E-2</v>
          </cell>
          <cell r="W1710">
            <v>1.3300000000000001E-2</v>
          </cell>
          <cell r="X1710">
            <v>1.7850000000000001E-2</v>
          </cell>
          <cell r="Y1710">
            <v>2.1950000000000004E-2</v>
          </cell>
          <cell r="Z1710">
            <v>2.3949999999999999E-2</v>
          </cell>
          <cell r="AA1710">
            <v>2.5999999999999995E-2</v>
          </cell>
          <cell r="AB1710">
            <v>2.8099999999999997E-2</v>
          </cell>
          <cell r="AC1710">
            <v>2.9500000000000002E-2</v>
          </cell>
        </row>
        <row r="1711">
          <cell r="T1711">
            <v>38179</v>
          </cell>
          <cell r="U1711">
            <v>1.0119E-2</v>
          </cell>
          <cell r="V1711">
            <v>1.0313000000000001E-2</v>
          </cell>
          <cell r="W1711">
            <v>1.3500000000000002E-2</v>
          </cell>
          <cell r="X1711">
            <v>1.8000000000000002E-2</v>
          </cell>
          <cell r="Y1711">
            <v>2.2000000000000002E-2</v>
          </cell>
          <cell r="Z1711">
            <v>2.4050000000000002E-2</v>
          </cell>
          <cell r="AA1711">
            <v>2.5999999999999995E-2</v>
          </cell>
          <cell r="AB1711">
            <v>2.7800000000000002E-2</v>
          </cell>
          <cell r="AC1711">
            <v>2.92E-2</v>
          </cell>
        </row>
        <row r="1712">
          <cell r="T1712">
            <v>38178</v>
          </cell>
          <cell r="U1712">
            <v>1.0119E-2</v>
          </cell>
          <cell r="V1712">
            <v>1.0313000000000001E-2</v>
          </cell>
          <cell r="W1712">
            <v>1.3500000000000002E-2</v>
          </cell>
          <cell r="X1712">
            <v>1.8000000000000002E-2</v>
          </cell>
          <cell r="Y1712">
            <v>2.2000000000000002E-2</v>
          </cell>
          <cell r="Z1712">
            <v>2.4050000000000002E-2</v>
          </cell>
          <cell r="AA1712">
            <v>2.5999999999999995E-2</v>
          </cell>
          <cell r="AB1712">
            <v>2.7800000000000002E-2</v>
          </cell>
          <cell r="AC1712">
            <v>2.92E-2</v>
          </cell>
        </row>
        <row r="1713">
          <cell r="T1713">
            <v>38177</v>
          </cell>
          <cell r="U1713">
            <v>1.0119E-2</v>
          </cell>
          <cell r="V1713">
            <v>1.0313000000000001E-2</v>
          </cell>
          <cell r="W1713">
            <v>1.3500000000000002E-2</v>
          </cell>
          <cell r="X1713">
            <v>1.8000000000000002E-2</v>
          </cell>
          <cell r="Y1713">
            <v>2.2000000000000002E-2</v>
          </cell>
          <cell r="Z1713">
            <v>2.4050000000000002E-2</v>
          </cell>
          <cell r="AA1713">
            <v>2.5999999999999995E-2</v>
          </cell>
          <cell r="AB1713">
            <v>2.7800000000000002E-2</v>
          </cell>
          <cell r="AC1713">
            <v>2.92E-2</v>
          </cell>
        </row>
        <row r="1714">
          <cell r="T1714">
            <v>38176</v>
          </cell>
          <cell r="U1714">
            <v>1.0304000000000001E-2</v>
          </cell>
          <cell r="V1714">
            <v>1.0749999999999999E-2</v>
          </cell>
          <cell r="W1714">
            <v>1.3450000000000002E-2</v>
          </cell>
          <cell r="X1714">
            <v>1.805E-2</v>
          </cell>
          <cell r="Y1714">
            <v>2.205E-2</v>
          </cell>
          <cell r="Z1714">
            <v>2.4150000000000001E-2</v>
          </cell>
          <cell r="AA1714">
            <v>2.605E-2</v>
          </cell>
          <cell r="AB1714">
            <v>2.7999999999999997E-2</v>
          </cell>
          <cell r="AC1714">
            <v>2.92E-2</v>
          </cell>
        </row>
        <row r="1715">
          <cell r="T1715">
            <v>38175</v>
          </cell>
          <cell r="U1715">
            <v>1.0086999999999999E-2</v>
          </cell>
          <cell r="V1715">
            <v>1.0324999999999999E-2</v>
          </cell>
          <cell r="W1715">
            <v>1.3650000000000001E-2</v>
          </cell>
          <cell r="X1715">
            <v>1.8250000000000002E-2</v>
          </cell>
          <cell r="Y1715">
            <v>2.2349999999999998E-2</v>
          </cell>
          <cell r="Z1715">
            <v>2.4649999999999998E-2</v>
          </cell>
          <cell r="AA1715">
            <v>2.6450000000000001E-2</v>
          </cell>
          <cell r="AB1715">
            <v>2.8200000000000003E-2</v>
          </cell>
          <cell r="AC1715">
            <v>2.955E-2</v>
          </cell>
        </row>
        <row r="1716">
          <cell r="T1716">
            <v>38174</v>
          </cell>
          <cell r="U1716">
            <v>1.0086999999999999E-2</v>
          </cell>
          <cell r="V1716">
            <v>1.0324999999999999E-2</v>
          </cell>
          <cell r="W1716">
            <v>1.355E-2</v>
          </cell>
          <cell r="X1716">
            <v>1.8000000000000002E-2</v>
          </cell>
          <cell r="Y1716">
            <v>2.2349999999999998E-2</v>
          </cell>
          <cell r="Z1716">
            <v>2.4649999999999998E-2</v>
          </cell>
          <cell r="AA1716">
            <v>2.6450000000000001E-2</v>
          </cell>
          <cell r="AB1716">
            <v>2.8200000000000003E-2</v>
          </cell>
          <cell r="AC1716">
            <v>2.9299999999999996E-2</v>
          </cell>
        </row>
        <row r="1717">
          <cell r="T1717">
            <v>38173</v>
          </cell>
          <cell r="U1717">
            <v>1.0137E-2</v>
          </cell>
          <cell r="V1717">
            <v>1.0425E-2</v>
          </cell>
          <cell r="W1717">
            <v>1.3650000000000001E-2</v>
          </cell>
          <cell r="X1717">
            <v>1.8349999999999998E-2</v>
          </cell>
          <cell r="Y1717">
            <v>2.2349999999999998E-2</v>
          </cell>
          <cell r="Z1717">
            <v>2.4750000000000001E-2</v>
          </cell>
          <cell r="AA1717">
            <v>2.665E-2</v>
          </cell>
          <cell r="AB1717">
            <v>2.8200000000000003E-2</v>
          </cell>
          <cell r="AC1717">
            <v>2.9299999999999996E-2</v>
          </cell>
        </row>
        <row r="1718">
          <cell r="T1718">
            <v>38172</v>
          </cell>
          <cell r="U1718">
            <v>1.01E-2</v>
          </cell>
          <cell r="V1718">
            <v>1.0313000000000001E-2</v>
          </cell>
          <cell r="W1718">
            <v>1.375E-2</v>
          </cell>
          <cell r="X1718">
            <v>1.8550000000000001E-2</v>
          </cell>
          <cell r="Y1718">
            <v>2.2949999999999998E-2</v>
          </cell>
          <cell r="Z1718">
            <v>2.5249999999999998E-2</v>
          </cell>
          <cell r="AA1718">
            <v>2.7099999999999999E-2</v>
          </cell>
          <cell r="AB1718">
            <v>2.9000000000000005E-2</v>
          </cell>
          <cell r="AC1718">
            <v>0.03</v>
          </cell>
        </row>
        <row r="1719">
          <cell r="T1719">
            <v>38171</v>
          </cell>
          <cell r="U1719">
            <v>1.01E-2</v>
          </cell>
          <cell r="V1719">
            <v>1.0313000000000001E-2</v>
          </cell>
          <cell r="W1719">
            <v>1.375E-2</v>
          </cell>
          <cell r="X1719">
            <v>1.8550000000000001E-2</v>
          </cell>
          <cell r="Y1719">
            <v>2.2949999999999998E-2</v>
          </cell>
          <cell r="Z1719">
            <v>2.5249999999999998E-2</v>
          </cell>
          <cell r="AA1719">
            <v>2.7099999999999999E-2</v>
          </cell>
          <cell r="AB1719">
            <v>2.9000000000000005E-2</v>
          </cell>
          <cell r="AC1719">
            <v>0.03</v>
          </cell>
        </row>
        <row r="1720">
          <cell r="T1720">
            <v>38170</v>
          </cell>
          <cell r="U1720">
            <v>1.01E-2</v>
          </cell>
          <cell r="V1720">
            <v>1.0313000000000001E-2</v>
          </cell>
          <cell r="W1720">
            <v>1.375E-2</v>
          </cell>
          <cell r="X1720">
            <v>1.8550000000000001E-2</v>
          </cell>
          <cell r="Y1720">
            <v>2.2949999999999998E-2</v>
          </cell>
          <cell r="Z1720">
            <v>2.5249999999999998E-2</v>
          </cell>
          <cell r="AA1720">
            <v>2.7099999999999999E-2</v>
          </cell>
          <cell r="AB1720">
            <v>2.9000000000000005E-2</v>
          </cell>
          <cell r="AC1720">
            <v>0.03</v>
          </cell>
        </row>
        <row r="1721">
          <cell r="T1721">
            <v>38169</v>
          </cell>
          <cell r="U1721">
            <v>1.0321E-2</v>
          </cell>
          <cell r="V1721">
            <v>1.0696000000000001E-2</v>
          </cell>
          <cell r="W1721">
            <v>1.38E-2</v>
          </cell>
          <cell r="X1721">
            <v>1.865E-2</v>
          </cell>
          <cell r="Y1721">
            <v>2.3049999999999998E-2</v>
          </cell>
          <cell r="Z1721">
            <v>2.5399999999999999E-2</v>
          </cell>
          <cell r="AA1721">
            <v>2.7450000000000002E-2</v>
          </cell>
          <cell r="AB1721">
            <v>2.92E-2</v>
          </cell>
          <cell r="AC1721">
            <v>3.0249999999999999E-2</v>
          </cell>
        </row>
        <row r="1722">
          <cell r="T1722">
            <v>38168</v>
          </cell>
          <cell r="U1722">
            <v>1.0166E-2</v>
          </cell>
          <cell r="V1722">
            <v>1.0359E-2</v>
          </cell>
          <cell r="W1722">
            <v>1.3950000000000001E-2</v>
          </cell>
          <cell r="X1722">
            <v>1.8749999999999999E-2</v>
          </cell>
          <cell r="Y1722">
            <v>2.3049999999999998E-2</v>
          </cell>
          <cell r="Z1722">
            <v>2.5549999999999996E-2</v>
          </cell>
          <cell r="AA1722">
            <v>2.7450000000000002E-2</v>
          </cell>
          <cell r="AB1722">
            <v>2.9299999999999996E-2</v>
          </cell>
          <cell r="AC1722">
            <v>3.0499999999999999E-2</v>
          </cell>
        </row>
        <row r="1723">
          <cell r="T1723">
            <v>38167</v>
          </cell>
          <cell r="U1723">
            <v>1.0343999999999999E-2</v>
          </cell>
          <cell r="V1723">
            <v>1.0719000000000001E-2</v>
          </cell>
          <cell r="W1723">
            <v>1.3950000000000001E-2</v>
          </cell>
          <cell r="X1723">
            <v>1.8950000000000002E-2</v>
          </cell>
          <cell r="Y1723">
            <v>2.3250000000000003E-2</v>
          </cell>
          <cell r="Z1723">
            <v>2.5750000000000002E-2</v>
          </cell>
          <cell r="AA1723">
            <v>2.76E-2</v>
          </cell>
          <cell r="AB1723">
            <v>2.9299999999999996E-2</v>
          </cell>
          <cell r="AC1723">
            <v>3.0499999999999999E-2</v>
          </cell>
        </row>
        <row r="1724">
          <cell r="T1724">
            <v>38166</v>
          </cell>
          <cell r="U1724">
            <v>1.0175E-2</v>
          </cell>
          <cell r="V1724">
            <v>1.0458E-2</v>
          </cell>
          <cell r="W1724">
            <v>1.3900000000000001E-2</v>
          </cell>
          <cell r="X1724">
            <v>1.865E-2</v>
          </cell>
          <cell r="Y1724">
            <v>2.2850000000000002E-2</v>
          </cell>
          <cell r="Z1724">
            <v>2.5549999999999996E-2</v>
          </cell>
          <cell r="AA1724">
            <v>2.725E-2</v>
          </cell>
          <cell r="AB1724">
            <v>2.9100000000000001E-2</v>
          </cell>
          <cell r="AC1724">
            <v>3.0499999999999999E-2</v>
          </cell>
        </row>
        <row r="1725">
          <cell r="T1725">
            <v>38165</v>
          </cell>
          <cell r="U1725">
            <v>1.0425E-2</v>
          </cell>
          <cell r="V1725">
            <v>1.0825E-2</v>
          </cell>
          <cell r="W1725">
            <v>1.4049999999999998E-2</v>
          </cell>
          <cell r="X1725">
            <v>1.8950000000000002E-2</v>
          </cell>
          <cell r="Y1725">
            <v>2.3399999999999997E-2</v>
          </cell>
          <cell r="Z1725">
            <v>2.5649999999999999E-2</v>
          </cell>
          <cell r="AA1725">
            <v>2.7549999999999998E-2</v>
          </cell>
          <cell r="AB1725">
            <v>2.9500000000000002E-2</v>
          </cell>
          <cell r="AC1725">
            <v>3.0800000000000001E-2</v>
          </cell>
        </row>
        <row r="1726">
          <cell r="T1726">
            <v>38164</v>
          </cell>
          <cell r="U1726">
            <v>1.0425E-2</v>
          </cell>
          <cell r="V1726">
            <v>1.0825E-2</v>
          </cell>
          <cell r="W1726">
            <v>1.4049999999999998E-2</v>
          </cell>
          <cell r="X1726">
            <v>1.8950000000000002E-2</v>
          </cell>
          <cell r="Y1726">
            <v>2.3399999999999997E-2</v>
          </cell>
          <cell r="Z1726">
            <v>2.5649999999999999E-2</v>
          </cell>
          <cell r="AA1726">
            <v>2.7549999999999998E-2</v>
          </cell>
          <cell r="AB1726">
            <v>2.9500000000000002E-2</v>
          </cell>
          <cell r="AC1726">
            <v>3.0800000000000001E-2</v>
          </cell>
        </row>
        <row r="1727">
          <cell r="T1727">
            <v>38163</v>
          </cell>
          <cell r="U1727">
            <v>1.0425E-2</v>
          </cell>
          <cell r="V1727">
            <v>1.0825E-2</v>
          </cell>
          <cell r="W1727">
            <v>1.4049999999999998E-2</v>
          </cell>
          <cell r="X1727">
            <v>1.8950000000000002E-2</v>
          </cell>
          <cell r="Y1727">
            <v>2.3399999999999997E-2</v>
          </cell>
          <cell r="Z1727">
            <v>2.5649999999999999E-2</v>
          </cell>
          <cell r="AA1727">
            <v>2.7549999999999998E-2</v>
          </cell>
          <cell r="AB1727">
            <v>2.9500000000000002E-2</v>
          </cell>
          <cell r="AC1727">
            <v>3.0800000000000001E-2</v>
          </cell>
        </row>
        <row r="1728">
          <cell r="T1728">
            <v>38162</v>
          </cell>
          <cell r="U1728">
            <v>1.01E-2</v>
          </cell>
          <cell r="V1728">
            <v>1.0263E-2</v>
          </cell>
          <cell r="W1728">
            <v>1.41E-2</v>
          </cell>
          <cell r="X1728">
            <v>1.9049999999999997E-2</v>
          </cell>
          <cell r="Y1728">
            <v>2.3199999999999998E-2</v>
          </cell>
          <cell r="Z1728">
            <v>2.58E-2</v>
          </cell>
          <cell r="AA1728">
            <v>2.7400000000000001E-2</v>
          </cell>
          <cell r="AB1728">
            <v>2.9299999999999996E-2</v>
          </cell>
          <cell r="AC1728">
            <v>3.0899999999999997E-2</v>
          </cell>
        </row>
        <row r="1729">
          <cell r="T1729">
            <v>38161</v>
          </cell>
          <cell r="U1729">
            <v>1.0175E-2</v>
          </cell>
          <cell r="V1729">
            <v>1.035E-2</v>
          </cell>
          <cell r="W1729">
            <v>1.4049999999999998E-2</v>
          </cell>
          <cell r="X1729">
            <v>1.8849999999999999E-2</v>
          </cell>
          <cell r="Y1729">
            <v>2.29E-2</v>
          </cell>
          <cell r="Z1729">
            <v>2.5750000000000002E-2</v>
          </cell>
          <cell r="AA1729">
            <v>2.76E-2</v>
          </cell>
          <cell r="AB1729">
            <v>2.9299999999999996E-2</v>
          </cell>
          <cell r="AC1729">
            <v>3.0899999999999997E-2</v>
          </cell>
        </row>
        <row r="1730">
          <cell r="T1730">
            <v>38160</v>
          </cell>
          <cell r="U1730">
            <v>1.0175E-2</v>
          </cell>
          <cell r="V1730">
            <v>1.035E-2</v>
          </cell>
          <cell r="W1730">
            <v>1.4249999999999999E-2</v>
          </cell>
          <cell r="X1730">
            <v>1.915E-2</v>
          </cell>
          <cell r="Y1730">
            <v>2.3199999999999998E-2</v>
          </cell>
          <cell r="Z1730">
            <v>2.5750000000000002E-2</v>
          </cell>
          <cell r="AA1730">
            <v>2.7450000000000002E-2</v>
          </cell>
          <cell r="AB1730">
            <v>2.92E-2</v>
          </cell>
          <cell r="AC1730">
            <v>3.0899999999999997E-2</v>
          </cell>
        </row>
        <row r="1731">
          <cell r="T1731">
            <v>38159</v>
          </cell>
          <cell r="U1731">
            <v>1.0175E-2</v>
          </cell>
          <cell r="V1731">
            <v>1.035E-2</v>
          </cell>
          <cell r="W1731">
            <v>1.4249999999999999E-2</v>
          </cell>
          <cell r="X1731">
            <v>1.915E-2</v>
          </cell>
          <cell r="Y1731">
            <v>2.3199999999999998E-2</v>
          </cell>
          <cell r="Z1731">
            <v>2.5750000000000002E-2</v>
          </cell>
          <cell r="AA1731">
            <v>2.7450000000000002E-2</v>
          </cell>
          <cell r="AB1731">
            <v>2.92E-2</v>
          </cell>
          <cell r="AC1731">
            <v>3.0899999999999997E-2</v>
          </cell>
        </row>
        <row r="1732">
          <cell r="T1732">
            <v>38158</v>
          </cell>
          <cell r="U1732">
            <v>1.0175E-2</v>
          </cell>
          <cell r="V1732">
            <v>1.035E-2</v>
          </cell>
          <cell r="W1732">
            <v>1.4249999999999999E-2</v>
          </cell>
          <cell r="X1732">
            <v>1.89E-2</v>
          </cell>
          <cell r="Y1732">
            <v>2.3E-2</v>
          </cell>
          <cell r="Z1732">
            <v>2.5499999999999998E-2</v>
          </cell>
          <cell r="AA1732">
            <v>2.725E-2</v>
          </cell>
          <cell r="AB1732">
            <v>2.9000000000000005E-2</v>
          </cell>
          <cell r="AC1732">
            <v>3.0700000000000002E-2</v>
          </cell>
        </row>
        <row r="1733">
          <cell r="T1733">
            <v>38157</v>
          </cell>
          <cell r="U1733">
            <v>1.0175E-2</v>
          </cell>
          <cell r="V1733">
            <v>1.035E-2</v>
          </cell>
          <cell r="W1733">
            <v>1.4249999999999999E-2</v>
          </cell>
          <cell r="X1733">
            <v>1.89E-2</v>
          </cell>
          <cell r="Y1733">
            <v>2.3E-2</v>
          </cell>
          <cell r="Z1733">
            <v>2.5499999999999998E-2</v>
          </cell>
          <cell r="AA1733">
            <v>2.725E-2</v>
          </cell>
          <cell r="AB1733">
            <v>2.9000000000000005E-2</v>
          </cell>
          <cell r="AC1733">
            <v>3.0700000000000002E-2</v>
          </cell>
        </row>
        <row r="1734">
          <cell r="T1734">
            <v>38156</v>
          </cell>
          <cell r="U1734">
            <v>1.0175E-2</v>
          </cell>
          <cell r="V1734">
            <v>1.035E-2</v>
          </cell>
          <cell r="W1734">
            <v>1.4249999999999999E-2</v>
          </cell>
          <cell r="X1734">
            <v>1.89E-2</v>
          </cell>
          <cell r="Y1734">
            <v>2.3E-2</v>
          </cell>
          <cell r="Z1734">
            <v>2.5499999999999998E-2</v>
          </cell>
          <cell r="AA1734">
            <v>2.725E-2</v>
          </cell>
          <cell r="AB1734">
            <v>2.9000000000000005E-2</v>
          </cell>
          <cell r="AC1734">
            <v>3.0700000000000002E-2</v>
          </cell>
        </row>
        <row r="1735">
          <cell r="T1735">
            <v>38155</v>
          </cell>
          <cell r="U1735">
            <v>1.0234E-2</v>
          </cell>
          <cell r="V1735">
            <v>1.0375000000000001E-2</v>
          </cell>
          <cell r="W1735">
            <v>1.4449999999999998E-2</v>
          </cell>
          <cell r="X1735">
            <v>1.8950000000000002E-2</v>
          </cell>
          <cell r="Y1735">
            <v>2.315E-2</v>
          </cell>
          <cell r="Z1735">
            <v>2.5649999999999999E-2</v>
          </cell>
          <cell r="AA1735">
            <v>2.7549999999999998E-2</v>
          </cell>
          <cell r="AB1735">
            <v>2.9299999999999996E-2</v>
          </cell>
          <cell r="AC1735">
            <v>3.0999999999999996E-2</v>
          </cell>
        </row>
        <row r="1736">
          <cell r="T1736">
            <v>38154</v>
          </cell>
          <cell r="U1736">
            <v>1.0114000000000001E-2</v>
          </cell>
          <cell r="V1736">
            <v>1.0295E-2</v>
          </cell>
          <cell r="W1736">
            <v>1.4249999999999999E-2</v>
          </cell>
          <cell r="X1736">
            <v>1.9049999999999997E-2</v>
          </cell>
          <cell r="Y1736">
            <v>2.315E-2</v>
          </cell>
          <cell r="Z1736">
            <v>2.5750000000000002E-2</v>
          </cell>
          <cell r="AA1736">
            <v>2.7650000000000001E-2</v>
          </cell>
          <cell r="AB1736">
            <v>2.9399999999999999E-2</v>
          </cell>
          <cell r="AC1736">
            <v>3.0999999999999996E-2</v>
          </cell>
        </row>
        <row r="1737">
          <cell r="T1737">
            <v>38153</v>
          </cell>
          <cell r="U1737">
            <v>1.0125E-2</v>
          </cell>
          <cell r="V1737">
            <v>1.0324999999999999E-2</v>
          </cell>
          <cell r="W1737">
            <v>1.4449999999999998E-2</v>
          </cell>
          <cell r="X1737">
            <v>1.9049999999999997E-2</v>
          </cell>
          <cell r="Y1737">
            <v>2.3449999999999999E-2</v>
          </cell>
          <cell r="Z1737">
            <v>2.5949999999999997E-2</v>
          </cell>
          <cell r="AA1737">
            <v>2.7949999999999999E-2</v>
          </cell>
          <cell r="AB1737">
            <v>2.98E-2</v>
          </cell>
          <cell r="AC1737">
            <v>3.1399999999999997E-2</v>
          </cell>
        </row>
        <row r="1738">
          <cell r="T1738">
            <v>38152</v>
          </cell>
          <cell r="U1738">
            <v>1.0114000000000001E-2</v>
          </cell>
          <cell r="V1738">
            <v>1.0295E-2</v>
          </cell>
          <cell r="W1738">
            <v>1.4449999999999998E-2</v>
          </cell>
          <cell r="X1738">
            <v>1.9049999999999997E-2</v>
          </cell>
          <cell r="Y1738">
            <v>2.3349999999999999E-2</v>
          </cell>
          <cell r="Z1738">
            <v>2.5949999999999997E-2</v>
          </cell>
          <cell r="AA1738">
            <v>2.775E-2</v>
          </cell>
          <cell r="AB1738">
            <v>2.9500000000000002E-2</v>
          </cell>
          <cell r="AC1738">
            <v>3.0999999999999996E-2</v>
          </cell>
        </row>
        <row r="1739">
          <cell r="T1739">
            <v>38151</v>
          </cell>
          <cell r="U1739">
            <v>1.0153000000000001E-2</v>
          </cell>
          <cell r="V1739">
            <v>1.0305999999999999E-2</v>
          </cell>
          <cell r="W1739">
            <v>1.4249999999999999E-2</v>
          </cell>
          <cell r="X1739">
            <v>1.8799999999999997E-2</v>
          </cell>
          <cell r="Y1739">
            <v>2.3E-2</v>
          </cell>
          <cell r="Z1739">
            <v>2.5399999999999999E-2</v>
          </cell>
          <cell r="AA1739">
            <v>2.7450000000000002E-2</v>
          </cell>
          <cell r="AB1739">
            <v>2.9100000000000001E-2</v>
          </cell>
          <cell r="AC1739">
            <v>3.0499999999999999E-2</v>
          </cell>
        </row>
        <row r="1740">
          <cell r="T1740">
            <v>38150</v>
          </cell>
          <cell r="U1740">
            <v>1.0153000000000001E-2</v>
          </cell>
          <cell r="V1740">
            <v>1.0305999999999999E-2</v>
          </cell>
          <cell r="W1740">
            <v>1.4249999999999999E-2</v>
          </cell>
          <cell r="X1740">
            <v>1.8799999999999997E-2</v>
          </cell>
          <cell r="Y1740">
            <v>2.3E-2</v>
          </cell>
          <cell r="Z1740">
            <v>2.5399999999999999E-2</v>
          </cell>
          <cell r="AA1740">
            <v>2.7450000000000002E-2</v>
          </cell>
          <cell r="AB1740">
            <v>2.9100000000000001E-2</v>
          </cell>
          <cell r="AC1740">
            <v>3.0499999999999999E-2</v>
          </cell>
        </row>
        <row r="1741">
          <cell r="T1741">
            <v>38149</v>
          </cell>
          <cell r="U1741">
            <v>1.0153000000000001E-2</v>
          </cell>
          <cell r="V1741">
            <v>1.0305999999999999E-2</v>
          </cell>
          <cell r="W1741">
            <v>1.4249999999999999E-2</v>
          </cell>
          <cell r="X1741">
            <v>1.8799999999999997E-2</v>
          </cell>
          <cell r="Y1741">
            <v>2.3E-2</v>
          </cell>
          <cell r="Z1741">
            <v>2.5399999999999999E-2</v>
          </cell>
          <cell r="AA1741">
            <v>2.7450000000000002E-2</v>
          </cell>
          <cell r="AB1741">
            <v>2.9100000000000001E-2</v>
          </cell>
          <cell r="AC1741">
            <v>3.0499999999999999E-2</v>
          </cell>
        </row>
        <row r="1742">
          <cell r="T1742">
            <v>38148</v>
          </cell>
          <cell r="U1742">
            <v>1.0091000000000001E-2</v>
          </cell>
          <cell r="V1742">
            <v>1.0273000000000001E-2</v>
          </cell>
          <cell r="W1742">
            <v>1.4249999999999999E-2</v>
          </cell>
          <cell r="X1742">
            <v>1.8749999999999999E-2</v>
          </cell>
          <cell r="Y1742">
            <v>2.2850000000000002E-2</v>
          </cell>
          <cell r="Z1742">
            <v>2.545E-2</v>
          </cell>
          <cell r="AA1742">
            <v>2.7349999999999999E-2</v>
          </cell>
          <cell r="AB1742">
            <v>2.92E-2</v>
          </cell>
          <cell r="AC1742">
            <v>3.0800000000000001E-2</v>
          </cell>
        </row>
        <row r="1743">
          <cell r="T1743">
            <v>38147</v>
          </cell>
          <cell r="U1743">
            <v>1.008E-2</v>
          </cell>
          <cell r="V1743">
            <v>1.0260999999999999E-2</v>
          </cell>
          <cell r="W1743">
            <v>1.3999999999999999E-2</v>
          </cell>
          <cell r="X1743">
            <v>1.8200000000000001E-2</v>
          </cell>
          <cell r="Y1743">
            <v>2.2349999999999998E-2</v>
          </cell>
          <cell r="Z1743">
            <v>2.4849999999999997E-2</v>
          </cell>
          <cell r="AA1743">
            <v>2.6950000000000002E-2</v>
          </cell>
          <cell r="AB1743">
            <v>2.8799999999999999E-2</v>
          </cell>
          <cell r="AC1743">
            <v>3.0499999999999999E-2</v>
          </cell>
        </row>
        <row r="1744">
          <cell r="T1744">
            <v>38146</v>
          </cell>
          <cell r="U1744">
            <v>1.0057E-2</v>
          </cell>
          <cell r="V1744">
            <v>1.0216000000000001E-2</v>
          </cell>
          <cell r="W1744">
            <v>1.3650000000000001E-2</v>
          </cell>
          <cell r="X1744">
            <v>1.7650000000000002E-2</v>
          </cell>
          <cell r="Y1744">
            <v>2.1850000000000001E-2</v>
          </cell>
          <cell r="Z1744">
            <v>2.4550000000000002E-2</v>
          </cell>
          <cell r="AA1744">
            <v>2.6450000000000001E-2</v>
          </cell>
          <cell r="AB1744">
            <v>2.8300000000000002E-2</v>
          </cell>
          <cell r="AC1744">
            <v>0.03</v>
          </cell>
        </row>
        <row r="1745">
          <cell r="T1745">
            <v>38145</v>
          </cell>
          <cell r="U1745">
            <v>9.9660000000000009E-3</v>
          </cell>
          <cell r="V1745">
            <v>1.0182E-2</v>
          </cell>
          <cell r="W1745">
            <v>1.3950000000000001E-2</v>
          </cell>
          <cell r="X1745">
            <v>1.7950000000000001E-2</v>
          </cell>
          <cell r="Y1745">
            <v>2.2099999999999998E-2</v>
          </cell>
          <cell r="Z1745">
            <v>2.4900000000000002E-2</v>
          </cell>
          <cell r="AA1745">
            <v>2.6950000000000002E-2</v>
          </cell>
          <cell r="AB1745">
            <v>2.9000000000000005E-2</v>
          </cell>
          <cell r="AC1745">
            <v>3.0999999999999996E-2</v>
          </cell>
        </row>
        <row r="1746">
          <cell r="T1746">
            <v>38144</v>
          </cell>
          <cell r="U1746">
            <v>9.9979999999999999E-3</v>
          </cell>
          <cell r="V1746">
            <v>1.0241E-2</v>
          </cell>
          <cell r="W1746">
            <v>1.3650000000000001E-2</v>
          </cell>
          <cell r="X1746">
            <v>1.7650000000000002E-2</v>
          </cell>
          <cell r="Y1746">
            <v>2.205E-2</v>
          </cell>
          <cell r="Z1746">
            <v>2.4649999999999998E-2</v>
          </cell>
          <cell r="AA1746">
            <v>2.665E-2</v>
          </cell>
          <cell r="AB1746">
            <v>2.8499999999999998E-2</v>
          </cell>
          <cell r="AC1746">
            <v>3.0499999999999999E-2</v>
          </cell>
        </row>
        <row r="1747">
          <cell r="T1747">
            <v>38143</v>
          </cell>
          <cell r="U1747">
            <v>9.9979999999999999E-3</v>
          </cell>
          <cell r="V1747">
            <v>1.0241E-2</v>
          </cell>
          <cell r="W1747">
            <v>1.3650000000000001E-2</v>
          </cell>
          <cell r="X1747">
            <v>1.7650000000000002E-2</v>
          </cell>
          <cell r="Y1747">
            <v>2.205E-2</v>
          </cell>
          <cell r="Z1747">
            <v>2.4649999999999998E-2</v>
          </cell>
          <cell r="AA1747">
            <v>2.665E-2</v>
          </cell>
          <cell r="AB1747">
            <v>2.8499999999999998E-2</v>
          </cell>
          <cell r="AC1747">
            <v>3.0499999999999999E-2</v>
          </cell>
        </row>
        <row r="1748">
          <cell r="T1748">
            <v>38142</v>
          </cell>
          <cell r="U1748">
            <v>9.9979999999999999E-3</v>
          </cell>
          <cell r="V1748">
            <v>1.0241E-2</v>
          </cell>
          <cell r="W1748">
            <v>1.3650000000000001E-2</v>
          </cell>
          <cell r="X1748">
            <v>1.7650000000000002E-2</v>
          </cell>
          <cell r="Y1748">
            <v>2.205E-2</v>
          </cell>
          <cell r="Z1748">
            <v>2.4649999999999998E-2</v>
          </cell>
          <cell r="AA1748">
            <v>2.665E-2</v>
          </cell>
          <cell r="AB1748">
            <v>2.8499999999999998E-2</v>
          </cell>
          <cell r="AC1748">
            <v>3.0499999999999999E-2</v>
          </cell>
        </row>
        <row r="1749">
          <cell r="T1749">
            <v>38141</v>
          </cell>
          <cell r="U1749">
            <v>9.9979999999999999E-3</v>
          </cell>
          <cell r="V1749">
            <v>1.0241E-2</v>
          </cell>
          <cell r="W1749">
            <v>1.4049999999999998E-2</v>
          </cell>
          <cell r="X1749">
            <v>1.8250000000000002E-2</v>
          </cell>
          <cell r="Y1749">
            <v>2.265E-2</v>
          </cell>
          <cell r="Z1749">
            <v>2.5249999999999998E-2</v>
          </cell>
          <cell r="AA1749">
            <v>2.725E-2</v>
          </cell>
          <cell r="AB1749">
            <v>2.9299999999999996E-2</v>
          </cell>
          <cell r="AC1749">
            <v>3.1200000000000002E-2</v>
          </cell>
        </row>
        <row r="1750">
          <cell r="T1750">
            <v>38140</v>
          </cell>
          <cell r="U1750">
            <v>9.951999999999999E-3</v>
          </cell>
          <cell r="V1750">
            <v>1.0218E-2</v>
          </cell>
          <cell r="W1750">
            <v>1.4049999999999998E-2</v>
          </cell>
          <cell r="X1750">
            <v>1.8149999999999999E-2</v>
          </cell>
          <cell r="Y1750">
            <v>2.2550000000000001E-2</v>
          </cell>
          <cell r="Z1750">
            <v>2.5150000000000002E-2</v>
          </cell>
          <cell r="AA1750">
            <v>2.7149999999999997E-2</v>
          </cell>
          <cell r="AB1750">
            <v>2.9299999999999996E-2</v>
          </cell>
          <cell r="AC1750">
            <v>3.1200000000000002E-2</v>
          </cell>
        </row>
        <row r="1751">
          <cell r="T1751">
            <v>38139</v>
          </cell>
          <cell r="U1751">
            <v>9.951999999999999E-3</v>
          </cell>
          <cell r="V1751">
            <v>1.0218E-2</v>
          </cell>
          <cell r="W1751">
            <v>1.4049999999999998E-2</v>
          </cell>
          <cell r="X1751">
            <v>1.8149999999999999E-2</v>
          </cell>
          <cell r="Y1751">
            <v>2.2550000000000001E-2</v>
          </cell>
          <cell r="Z1751">
            <v>2.5150000000000002E-2</v>
          </cell>
          <cell r="AA1751">
            <v>2.7149999999999997E-2</v>
          </cell>
          <cell r="AB1751">
            <v>2.9299999999999996E-2</v>
          </cell>
          <cell r="AC1751">
            <v>3.1200000000000002E-2</v>
          </cell>
        </row>
        <row r="1752">
          <cell r="T1752">
            <v>38138</v>
          </cell>
          <cell r="U1752">
            <v>9.8860000000000007E-3</v>
          </cell>
          <cell r="V1752">
            <v>1.0184E-2</v>
          </cell>
          <cell r="W1752">
            <v>1.4049999999999998E-2</v>
          </cell>
          <cell r="X1752">
            <v>1.805E-2</v>
          </cell>
          <cell r="Y1752">
            <v>2.2450000000000001E-2</v>
          </cell>
          <cell r="Z1752">
            <v>2.5049999999999999E-2</v>
          </cell>
          <cell r="AA1752">
            <v>2.6950000000000002E-2</v>
          </cell>
          <cell r="AB1752">
            <v>2.9299999999999996E-2</v>
          </cell>
          <cell r="AC1752">
            <v>3.1200000000000002E-2</v>
          </cell>
        </row>
        <row r="1753">
          <cell r="T1753">
            <v>38137</v>
          </cell>
          <cell r="U1753">
            <v>9.9340000000000001E-3</v>
          </cell>
          <cell r="V1753">
            <v>1.0222E-2</v>
          </cell>
          <cell r="W1753">
            <v>1.3900000000000001E-2</v>
          </cell>
          <cell r="X1753">
            <v>1.83E-2</v>
          </cell>
          <cell r="Y1753">
            <v>2.2749999999999999E-2</v>
          </cell>
          <cell r="Z1753">
            <v>2.5249999999999998E-2</v>
          </cell>
          <cell r="AA1753">
            <v>2.7149999999999997E-2</v>
          </cell>
          <cell r="AB1753">
            <v>2.9299999999999996E-2</v>
          </cell>
          <cell r="AC1753">
            <v>3.1100000000000003E-2</v>
          </cell>
        </row>
        <row r="1754">
          <cell r="T1754">
            <v>38136</v>
          </cell>
          <cell r="U1754">
            <v>9.9340000000000001E-3</v>
          </cell>
          <cell r="V1754">
            <v>1.0222E-2</v>
          </cell>
          <cell r="W1754">
            <v>1.3900000000000001E-2</v>
          </cell>
          <cell r="X1754">
            <v>1.83E-2</v>
          </cell>
          <cell r="Y1754">
            <v>2.2749999999999999E-2</v>
          </cell>
          <cell r="Z1754">
            <v>2.5249999999999998E-2</v>
          </cell>
          <cell r="AA1754">
            <v>2.7149999999999997E-2</v>
          </cell>
          <cell r="AB1754">
            <v>2.9299999999999996E-2</v>
          </cell>
          <cell r="AC1754">
            <v>3.1100000000000003E-2</v>
          </cell>
        </row>
        <row r="1755">
          <cell r="T1755">
            <v>38135</v>
          </cell>
          <cell r="U1755">
            <v>9.9340000000000001E-3</v>
          </cell>
          <cell r="V1755">
            <v>1.0222E-2</v>
          </cell>
          <cell r="W1755">
            <v>1.3900000000000001E-2</v>
          </cell>
          <cell r="X1755">
            <v>1.83E-2</v>
          </cell>
          <cell r="Y1755">
            <v>2.2749999999999999E-2</v>
          </cell>
          <cell r="Z1755">
            <v>2.5249999999999998E-2</v>
          </cell>
          <cell r="AA1755">
            <v>2.7149999999999997E-2</v>
          </cell>
          <cell r="AB1755">
            <v>2.9299999999999996E-2</v>
          </cell>
          <cell r="AC1755">
            <v>3.1100000000000003E-2</v>
          </cell>
        </row>
        <row r="1756">
          <cell r="T1756">
            <v>38134</v>
          </cell>
          <cell r="U1756">
            <v>1.0024999999999999E-2</v>
          </cell>
          <cell r="V1756">
            <v>1.0336000000000001E-2</v>
          </cell>
          <cell r="W1756">
            <v>1.3950000000000001E-2</v>
          </cell>
          <cell r="X1756">
            <v>1.8349999999999998E-2</v>
          </cell>
          <cell r="Y1756">
            <v>2.2949999999999998E-2</v>
          </cell>
          <cell r="Z1756">
            <v>2.5549999999999996E-2</v>
          </cell>
          <cell r="AA1756">
            <v>2.7450000000000002E-2</v>
          </cell>
          <cell r="AB1756">
            <v>2.9500000000000002E-2</v>
          </cell>
          <cell r="AC1756">
            <v>3.15E-2</v>
          </cell>
        </row>
        <row r="1757">
          <cell r="T1757">
            <v>38133</v>
          </cell>
          <cell r="U1757">
            <v>9.8409999999999991E-3</v>
          </cell>
          <cell r="V1757">
            <v>1.0139E-2</v>
          </cell>
          <cell r="W1757">
            <v>1.4449999999999998E-2</v>
          </cell>
          <cell r="X1757">
            <v>1.8749999999999999E-2</v>
          </cell>
          <cell r="Y1757">
            <v>2.3650000000000001E-2</v>
          </cell>
          <cell r="Z1757">
            <v>2.605E-2</v>
          </cell>
          <cell r="AA1757">
            <v>2.8049999999999999E-2</v>
          </cell>
          <cell r="AB1757">
            <v>3.0300000000000004E-2</v>
          </cell>
          <cell r="AC1757">
            <v>3.2199999999999999E-2</v>
          </cell>
        </row>
        <row r="1758">
          <cell r="T1758">
            <v>38132</v>
          </cell>
          <cell r="U1758">
            <v>9.8119999999999995E-3</v>
          </cell>
          <cell r="V1758">
            <v>1.0089999999999998E-2</v>
          </cell>
          <cell r="W1758">
            <v>1.4449999999999998E-2</v>
          </cell>
          <cell r="X1758">
            <v>1.8799999999999997E-2</v>
          </cell>
          <cell r="Y1758">
            <v>2.3300000000000001E-2</v>
          </cell>
          <cell r="Z1758">
            <v>2.5750000000000002E-2</v>
          </cell>
          <cell r="AA1758">
            <v>2.7799999999999998E-2</v>
          </cell>
          <cell r="AB1758">
            <v>2.9900000000000003E-2</v>
          </cell>
          <cell r="AC1758">
            <v>3.2199999999999999E-2</v>
          </cell>
        </row>
        <row r="1759">
          <cell r="T1759">
            <v>38131</v>
          </cell>
          <cell r="U1759">
            <v>9.9750000000000012E-3</v>
          </cell>
          <cell r="V1759">
            <v>1.0275000000000001E-2</v>
          </cell>
          <cell r="W1759">
            <v>1.435E-2</v>
          </cell>
          <cell r="X1759">
            <v>1.8550000000000001E-2</v>
          </cell>
          <cell r="Y1759">
            <v>2.3250000000000003E-2</v>
          </cell>
          <cell r="Z1759">
            <v>2.5849999999999998E-2</v>
          </cell>
          <cell r="AA1759">
            <v>2.775E-2</v>
          </cell>
          <cell r="AB1759">
            <v>2.9900000000000003E-2</v>
          </cell>
          <cell r="AC1759">
            <v>3.2000000000000001E-2</v>
          </cell>
        </row>
        <row r="1760">
          <cell r="T1760">
            <v>38130</v>
          </cell>
          <cell r="U1760">
            <v>9.9430000000000004E-3</v>
          </cell>
          <cell r="V1760">
            <v>1.0343E-2</v>
          </cell>
          <cell r="W1760">
            <v>1.3950000000000001E-2</v>
          </cell>
          <cell r="X1760">
            <v>1.8149999999999999E-2</v>
          </cell>
          <cell r="Y1760">
            <v>2.2749999999999999E-2</v>
          </cell>
          <cell r="Z1760">
            <v>2.5249999999999998E-2</v>
          </cell>
          <cell r="AA1760">
            <v>2.7149999999999997E-2</v>
          </cell>
          <cell r="AB1760">
            <v>2.92E-2</v>
          </cell>
          <cell r="AC1760">
            <v>3.1200000000000002E-2</v>
          </cell>
        </row>
        <row r="1761">
          <cell r="T1761">
            <v>38129</v>
          </cell>
          <cell r="U1761">
            <v>9.9430000000000004E-3</v>
          </cell>
          <cell r="V1761">
            <v>1.0343E-2</v>
          </cell>
          <cell r="W1761">
            <v>1.3950000000000001E-2</v>
          </cell>
          <cell r="X1761">
            <v>1.8149999999999999E-2</v>
          </cell>
          <cell r="Y1761">
            <v>2.2749999999999999E-2</v>
          </cell>
          <cell r="Z1761">
            <v>2.5249999999999998E-2</v>
          </cell>
          <cell r="AA1761">
            <v>2.7149999999999997E-2</v>
          </cell>
          <cell r="AB1761">
            <v>2.92E-2</v>
          </cell>
          <cell r="AC1761">
            <v>3.1200000000000002E-2</v>
          </cell>
        </row>
        <row r="1762">
          <cell r="T1762">
            <v>38128</v>
          </cell>
          <cell r="U1762">
            <v>9.9430000000000004E-3</v>
          </cell>
          <cell r="V1762">
            <v>1.0343E-2</v>
          </cell>
          <cell r="W1762">
            <v>1.3950000000000001E-2</v>
          </cell>
          <cell r="X1762">
            <v>1.8149999999999999E-2</v>
          </cell>
          <cell r="Y1762">
            <v>2.2749999999999999E-2</v>
          </cell>
          <cell r="Z1762">
            <v>2.5249999999999998E-2</v>
          </cell>
          <cell r="AA1762">
            <v>2.7149999999999997E-2</v>
          </cell>
          <cell r="AB1762">
            <v>2.92E-2</v>
          </cell>
          <cell r="AC1762">
            <v>3.1200000000000002E-2</v>
          </cell>
        </row>
        <row r="1763">
          <cell r="T1763">
            <v>38127</v>
          </cell>
          <cell r="U1763">
            <v>9.9190000000000007E-3</v>
          </cell>
          <cell r="V1763">
            <v>1.0268999999999999E-2</v>
          </cell>
          <cell r="W1763">
            <v>1.4249999999999999E-2</v>
          </cell>
          <cell r="X1763">
            <v>1.84E-2</v>
          </cell>
          <cell r="Y1763">
            <v>2.29E-2</v>
          </cell>
          <cell r="Z1763">
            <v>2.5499999999999998E-2</v>
          </cell>
          <cell r="AA1763">
            <v>2.7350000000000003E-2</v>
          </cell>
          <cell r="AB1763">
            <v>2.92E-2</v>
          </cell>
          <cell r="AC1763">
            <v>3.15E-2</v>
          </cell>
        </row>
        <row r="1764">
          <cell r="T1764">
            <v>38126</v>
          </cell>
          <cell r="U1764">
            <v>9.979E-3</v>
          </cell>
          <cell r="V1764">
            <v>1.0379000000000001E-2</v>
          </cell>
          <cell r="W1764">
            <v>1.3849999999999999E-2</v>
          </cell>
          <cell r="X1764">
            <v>1.8250000000000002E-2</v>
          </cell>
          <cell r="Y1764">
            <v>2.265E-2</v>
          </cell>
          <cell r="Z1764">
            <v>2.5249999999999998E-2</v>
          </cell>
          <cell r="AA1764">
            <v>2.725E-2</v>
          </cell>
          <cell r="AB1764">
            <v>2.9000000000000005E-2</v>
          </cell>
          <cell r="AC1764">
            <v>3.15E-2</v>
          </cell>
        </row>
        <row r="1765">
          <cell r="T1765">
            <v>38125</v>
          </cell>
          <cell r="U1765">
            <v>9.8519999999999996E-3</v>
          </cell>
          <cell r="V1765">
            <v>1.0218E-2</v>
          </cell>
          <cell r="W1765">
            <v>1.3450000000000002E-2</v>
          </cell>
          <cell r="X1765">
            <v>1.7650000000000002E-2</v>
          </cell>
          <cell r="Y1765">
            <v>2.2099999999999998E-2</v>
          </cell>
          <cell r="Z1765">
            <v>2.435E-2</v>
          </cell>
          <cell r="AA1765">
            <v>2.6550000000000004E-2</v>
          </cell>
          <cell r="AB1765">
            <v>2.8499999999999998E-2</v>
          </cell>
          <cell r="AC1765">
            <v>3.0800000000000001E-2</v>
          </cell>
        </row>
        <row r="1766">
          <cell r="T1766">
            <v>38124</v>
          </cell>
          <cell r="U1766">
            <v>9.887E-3</v>
          </cell>
          <cell r="V1766">
            <v>1.0215E-2</v>
          </cell>
          <cell r="W1766">
            <v>1.3450000000000002E-2</v>
          </cell>
          <cell r="X1766">
            <v>1.7749999999999998E-2</v>
          </cell>
          <cell r="Y1766">
            <v>2.2349999999999998E-2</v>
          </cell>
          <cell r="Z1766">
            <v>2.4750000000000001E-2</v>
          </cell>
          <cell r="AA1766">
            <v>2.6800000000000001E-2</v>
          </cell>
          <cell r="AB1766">
            <v>2.9000000000000005E-2</v>
          </cell>
          <cell r="AC1766">
            <v>3.1300000000000001E-2</v>
          </cell>
        </row>
        <row r="1767">
          <cell r="T1767">
            <v>38123</v>
          </cell>
          <cell r="U1767">
            <v>9.9249999999999998E-3</v>
          </cell>
          <cell r="V1767">
            <v>1.027E-2</v>
          </cell>
          <cell r="W1767">
            <v>1.375E-2</v>
          </cell>
          <cell r="X1767">
            <v>1.9E-2</v>
          </cell>
          <cell r="Y1767">
            <v>2.3499999999999997E-2</v>
          </cell>
          <cell r="Z1767">
            <v>2.5949999999999997E-2</v>
          </cell>
          <cell r="AA1767">
            <v>2.7999999999999997E-2</v>
          </cell>
          <cell r="AB1767">
            <v>3.0200000000000001E-2</v>
          </cell>
          <cell r="AC1767">
            <v>3.2300000000000002E-2</v>
          </cell>
        </row>
        <row r="1768">
          <cell r="T1768">
            <v>38122</v>
          </cell>
          <cell r="U1768">
            <v>9.9249999999999998E-3</v>
          </cell>
          <cell r="V1768">
            <v>1.027E-2</v>
          </cell>
          <cell r="W1768">
            <v>1.375E-2</v>
          </cell>
          <cell r="X1768">
            <v>1.9E-2</v>
          </cell>
          <cell r="Y1768">
            <v>2.3499999999999997E-2</v>
          </cell>
          <cell r="Z1768">
            <v>2.5949999999999997E-2</v>
          </cell>
          <cell r="AA1768">
            <v>2.7999999999999997E-2</v>
          </cell>
          <cell r="AB1768">
            <v>3.0200000000000001E-2</v>
          </cell>
          <cell r="AC1768">
            <v>3.2300000000000002E-2</v>
          </cell>
        </row>
        <row r="1769">
          <cell r="T1769">
            <v>38121</v>
          </cell>
          <cell r="U1769">
            <v>9.9249999999999998E-3</v>
          </cell>
          <cell r="V1769">
            <v>1.027E-2</v>
          </cell>
          <cell r="W1769">
            <v>1.375E-2</v>
          </cell>
          <cell r="X1769">
            <v>1.9E-2</v>
          </cell>
          <cell r="Y1769">
            <v>2.3499999999999997E-2</v>
          </cell>
          <cell r="Z1769">
            <v>2.5949999999999997E-2</v>
          </cell>
          <cell r="AA1769">
            <v>2.7999999999999997E-2</v>
          </cell>
          <cell r="AB1769">
            <v>3.0200000000000001E-2</v>
          </cell>
          <cell r="AC1769">
            <v>3.2300000000000002E-2</v>
          </cell>
        </row>
        <row r="1770">
          <cell r="T1770">
            <v>38120</v>
          </cell>
          <cell r="U1770">
            <v>1.0211E-2</v>
          </cell>
          <cell r="V1770">
            <v>1.0664E-2</v>
          </cell>
          <cell r="W1770">
            <v>1.4049999999999998E-2</v>
          </cell>
          <cell r="X1770">
            <v>1.8799999999999997E-2</v>
          </cell>
          <cell r="Y1770">
            <v>2.315E-2</v>
          </cell>
          <cell r="Z1770">
            <v>2.5649999999999999E-2</v>
          </cell>
          <cell r="AA1770">
            <v>2.7650000000000001E-2</v>
          </cell>
          <cell r="AB1770">
            <v>2.9699999999999997E-2</v>
          </cell>
          <cell r="AC1770">
            <v>3.1699999999999999E-2</v>
          </cell>
        </row>
        <row r="1771">
          <cell r="T1771">
            <v>38119</v>
          </cell>
          <cell r="U1771">
            <v>9.951999999999999E-3</v>
          </cell>
          <cell r="V1771">
            <v>1.0267999999999999E-2</v>
          </cell>
          <cell r="W1771">
            <v>1.3650000000000001E-2</v>
          </cell>
          <cell r="X1771">
            <v>1.8149999999999999E-2</v>
          </cell>
          <cell r="Y1771">
            <v>2.2250000000000002E-2</v>
          </cell>
          <cell r="Z1771">
            <v>2.4849999999999997E-2</v>
          </cell>
          <cell r="AA1771">
            <v>2.7050000000000001E-2</v>
          </cell>
          <cell r="AB1771">
            <v>2.9100000000000001E-2</v>
          </cell>
          <cell r="AC1771">
            <v>3.0800000000000001E-2</v>
          </cell>
        </row>
        <row r="1772">
          <cell r="T1772">
            <v>38118</v>
          </cell>
          <cell r="U1772">
            <v>9.9850000000000008E-3</v>
          </cell>
          <cell r="V1772">
            <v>1.0345E-2</v>
          </cell>
          <cell r="W1772">
            <v>1.355E-2</v>
          </cell>
          <cell r="X1772">
            <v>1.8149999999999999E-2</v>
          </cell>
          <cell r="Y1772">
            <v>2.205E-2</v>
          </cell>
          <cell r="Z1772">
            <v>2.4649999999999998E-2</v>
          </cell>
          <cell r="AA1772">
            <v>2.6800000000000001E-2</v>
          </cell>
          <cell r="AB1772">
            <v>2.8849999999999997E-2</v>
          </cell>
          <cell r="AC1772">
            <v>3.0700000000000002E-2</v>
          </cell>
        </row>
        <row r="1773">
          <cell r="T1773">
            <v>38117</v>
          </cell>
          <cell r="U1773">
            <v>1.0163E-2</v>
          </cell>
          <cell r="V1773">
            <v>1.0525E-2</v>
          </cell>
          <cell r="W1773">
            <v>1.375E-2</v>
          </cell>
          <cell r="X1773">
            <v>1.8200000000000001E-2</v>
          </cell>
          <cell r="Y1773">
            <v>2.2099999999999998E-2</v>
          </cell>
          <cell r="Z1773">
            <v>2.4900000000000002E-2</v>
          </cell>
          <cell r="AA1773">
            <v>2.6900000000000004E-2</v>
          </cell>
          <cell r="AB1773">
            <v>2.9000000000000005E-2</v>
          </cell>
          <cell r="AC1773">
            <v>3.0800000000000001E-2</v>
          </cell>
        </row>
        <row r="1774">
          <cell r="T1774">
            <v>38116</v>
          </cell>
          <cell r="U1774">
            <v>1.0043999999999999E-2</v>
          </cell>
          <cell r="V1774">
            <v>1.0369E-2</v>
          </cell>
          <cell r="W1774">
            <v>1.3050000000000001E-2</v>
          </cell>
          <cell r="X1774">
            <v>1.7049999999999999E-2</v>
          </cell>
          <cell r="Y1774">
            <v>2.0799999999999999E-2</v>
          </cell>
          <cell r="Z1774">
            <v>2.3449999999999999E-2</v>
          </cell>
          <cell r="AA1774">
            <v>2.5499999999999998E-2</v>
          </cell>
          <cell r="AB1774">
            <v>2.75E-2</v>
          </cell>
          <cell r="AC1774">
            <v>2.9500000000000002E-2</v>
          </cell>
        </row>
        <row r="1775">
          <cell r="T1775">
            <v>38115</v>
          </cell>
          <cell r="U1775">
            <v>1.0043999999999999E-2</v>
          </cell>
          <cell r="V1775">
            <v>1.0369E-2</v>
          </cell>
          <cell r="W1775">
            <v>1.3050000000000001E-2</v>
          </cell>
          <cell r="X1775">
            <v>1.7049999999999999E-2</v>
          </cell>
          <cell r="Y1775">
            <v>2.0799999999999999E-2</v>
          </cell>
          <cell r="Z1775">
            <v>2.3449999999999999E-2</v>
          </cell>
          <cell r="AA1775">
            <v>2.5499999999999998E-2</v>
          </cell>
          <cell r="AB1775">
            <v>2.75E-2</v>
          </cell>
          <cell r="AC1775">
            <v>2.9500000000000002E-2</v>
          </cell>
        </row>
        <row r="1776">
          <cell r="T1776">
            <v>38114</v>
          </cell>
          <cell r="U1776">
            <v>1.0043999999999999E-2</v>
          </cell>
          <cell r="V1776">
            <v>1.0369E-2</v>
          </cell>
          <cell r="W1776">
            <v>1.3050000000000001E-2</v>
          </cell>
          <cell r="X1776">
            <v>1.7049999999999999E-2</v>
          </cell>
          <cell r="Y1776">
            <v>2.0799999999999999E-2</v>
          </cell>
          <cell r="Z1776">
            <v>2.3449999999999999E-2</v>
          </cell>
          <cell r="AA1776">
            <v>2.5499999999999998E-2</v>
          </cell>
          <cell r="AB1776">
            <v>2.75E-2</v>
          </cell>
          <cell r="AC1776">
            <v>2.9500000000000002E-2</v>
          </cell>
        </row>
        <row r="1777">
          <cell r="T1777">
            <v>38113</v>
          </cell>
          <cell r="U1777">
            <v>1.0104E-2</v>
          </cell>
          <cell r="V1777">
            <v>1.0449999999999999E-2</v>
          </cell>
          <cell r="W1777">
            <v>1.295E-2</v>
          </cell>
          <cell r="X1777">
            <v>1.7049999999999999E-2</v>
          </cell>
          <cell r="Y1777">
            <v>2.1049999999999999E-2</v>
          </cell>
          <cell r="Z1777">
            <v>2.375E-2</v>
          </cell>
          <cell r="AA1777">
            <v>2.5750000000000002E-2</v>
          </cell>
          <cell r="AB1777">
            <v>2.775E-2</v>
          </cell>
          <cell r="AC1777">
            <v>2.9500000000000002E-2</v>
          </cell>
        </row>
        <row r="1778">
          <cell r="T1778">
            <v>38112</v>
          </cell>
          <cell r="U1778">
            <v>1.0008999999999999E-2</v>
          </cell>
          <cell r="V1778">
            <v>1.0336000000000001E-2</v>
          </cell>
          <cell r="W1778">
            <v>1.2549999999999999E-2</v>
          </cell>
          <cell r="X1778">
            <v>1.6449999999999999E-2</v>
          </cell>
          <cell r="Y1778">
            <v>2.0449999999999999E-2</v>
          </cell>
          <cell r="Z1778">
            <v>2.3250000000000003E-2</v>
          </cell>
          <cell r="AA1778">
            <v>2.5049999999999999E-2</v>
          </cell>
          <cell r="AB1778">
            <v>2.7300000000000001E-2</v>
          </cell>
          <cell r="AC1778">
            <v>2.9299999999999996E-2</v>
          </cell>
        </row>
        <row r="1779">
          <cell r="T1779">
            <v>38111</v>
          </cell>
          <cell r="U1779">
            <v>1.0244E-2</v>
          </cell>
          <cell r="V1779">
            <v>1.06E-2</v>
          </cell>
          <cell r="W1779">
            <v>1.2349999999999998E-2</v>
          </cell>
          <cell r="X1779">
            <v>1.6250000000000001E-2</v>
          </cell>
          <cell r="Y1779">
            <v>2.0250000000000001E-2</v>
          </cell>
          <cell r="Z1779">
            <v>2.2850000000000002E-2</v>
          </cell>
          <cell r="AA1779">
            <v>2.4849999999999997E-2</v>
          </cell>
          <cell r="AB1779">
            <v>2.7099999999999999E-2</v>
          </cell>
          <cell r="AC1779">
            <v>2.92E-2</v>
          </cell>
        </row>
        <row r="1780">
          <cell r="T1780">
            <v>38110</v>
          </cell>
          <cell r="U1780">
            <v>1.0121E-2</v>
          </cell>
          <cell r="V1780">
            <v>1.0525E-2</v>
          </cell>
          <cell r="W1780">
            <v>1.2349999999999998E-2</v>
          </cell>
          <cell r="X1780">
            <v>1.6150000000000001E-2</v>
          </cell>
          <cell r="Y1780">
            <v>2.0049999999999998E-2</v>
          </cell>
          <cell r="Z1780">
            <v>2.2749999999999999E-2</v>
          </cell>
          <cell r="AA1780">
            <v>2.4750000000000001E-2</v>
          </cell>
          <cell r="AB1780">
            <v>2.6900000000000004E-2</v>
          </cell>
          <cell r="AC1780">
            <v>2.9000000000000005E-2</v>
          </cell>
        </row>
        <row r="1781">
          <cell r="T1781">
            <v>38109</v>
          </cell>
          <cell r="U1781">
            <v>1.0211E-2</v>
          </cell>
          <cell r="V1781">
            <v>1.0521000000000001E-2</v>
          </cell>
          <cell r="W1781">
            <v>1.2349999999999998E-2</v>
          </cell>
          <cell r="X1781">
            <v>1.635E-2</v>
          </cell>
          <cell r="Y1781">
            <v>2.035E-2</v>
          </cell>
          <cell r="Z1781">
            <v>2.3049999999999998E-2</v>
          </cell>
          <cell r="AA1781">
            <v>2.5049999999999999E-2</v>
          </cell>
          <cell r="AB1781">
            <v>2.7099999999999999E-2</v>
          </cell>
          <cell r="AC1781">
            <v>2.9299999999999996E-2</v>
          </cell>
        </row>
        <row r="1782">
          <cell r="T1782">
            <v>38108</v>
          </cell>
          <cell r="U1782">
            <v>1.0211E-2</v>
          </cell>
          <cell r="V1782">
            <v>1.0521000000000001E-2</v>
          </cell>
          <cell r="W1782">
            <v>1.2349999999999998E-2</v>
          </cell>
          <cell r="X1782">
            <v>1.635E-2</v>
          </cell>
          <cell r="Y1782">
            <v>2.035E-2</v>
          </cell>
          <cell r="Z1782">
            <v>2.3049999999999998E-2</v>
          </cell>
          <cell r="AA1782">
            <v>2.5049999999999999E-2</v>
          </cell>
          <cell r="AB1782">
            <v>2.7099999999999999E-2</v>
          </cell>
          <cell r="AC1782">
            <v>2.9299999999999996E-2</v>
          </cell>
        </row>
        <row r="1783">
          <cell r="T1783">
            <v>38107</v>
          </cell>
          <cell r="U1783">
            <v>1.0211E-2</v>
          </cell>
          <cell r="V1783">
            <v>1.0521000000000001E-2</v>
          </cell>
          <cell r="W1783">
            <v>1.2349999999999998E-2</v>
          </cell>
          <cell r="X1783">
            <v>1.635E-2</v>
          </cell>
          <cell r="Y1783">
            <v>2.035E-2</v>
          </cell>
          <cell r="Z1783">
            <v>2.3049999999999998E-2</v>
          </cell>
          <cell r="AA1783">
            <v>2.5049999999999999E-2</v>
          </cell>
          <cell r="AB1783">
            <v>2.7099999999999999E-2</v>
          </cell>
          <cell r="AC1783">
            <v>2.9299999999999996E-2</v>
          </cell>
        </row>
        <row r="1784">
          <cell r="T1784">
            <v>38106</v>
          </cell>
          <cell r="U1784">
            <v>1.0008999999999999E-2</v>
          </cell>
          <cell r="V1784">
            <v>1.0314E-2</v>
          </cell>
          <cell r="W1784">
            <v>1.225E-2</v>
          </cell>
          <cell r="X1784">
            <v>1.6150000000000001E-2</v>
          </cell>
          <cell r="Y1784">
            <v>2.0250000000000001E-2</v>
          </cell>
          <cell r="Z1784">
            <v>2.2749999999999999E-2</v>
          </cell>
          <cell r="AA1784">
            <v>2.4750000000000001E-2</v>
          </cell>
          <cell r="AB1784">
            <v>2.7000000000000003E-2</v>
          </cell>
          <cell r="AC1784">
            <v>2.9000000000000005E-2</v>
          </cell>
        </row>
        <row r="1785">
          <cell r="T1785">
            <v>38105</v>
          </cell>
          <cell r="U1785">
            <v>9.9979999999999999E-3</v>
          </cell>
          <cell r="V1785">
            <v>1.0302E-2</v>
          </cell>
          <cell r="W1785">
            <v>1.205E-2</v>
          </cell>
          <cell r="X1785">
            <v>1.575E-2</v>
          </cell>
          <cell r="Y1785">
            <v>1.9799999999999998E-2</v>
          </cell>
          <cell r="Z1785">
            <v>2.215E-2</v>
          </cell>
          <cell r="AA1785">
            <v>2.4050000000000002E-2</v>
          </cell>
          <cell r="AB1785">
            <v>2.63E-2</v>
          </cell>
          <cell r="AC1785">
            <v>2.8499999999999998E-2</v>
          </cell>
        </row>
        <row r="1786">
          <cell r="T1786">
            <v>38104</v>
          </cell>
          <cell r="U1786">
            <v>9.9670000000000002E-3</v>
          </cell>
          <cell r="V1786">
            <v>1.0267E-2</v>
          </cell>
          <cell r="W1786">
            <v>1.205E-2</v>
          </cell>
          <cell r="X1786">
            <v>1.575E-2</v>
          </cell>
          <cell r="Y1786">
            <v>1.975E-2</v>
          </cell>
          <cell r="Z1786">
            <v>2.205E-2</v>
          </cell>
          <cell r="AA1786">
            <v>2.3949999999999999E-2</v>
          </cell>
          <cell r="AB1786">
            <v>2.5999999999999995E-2</v>
          </cell>
          <cell r="AC1786">
            <v>2.7999999999999997E-2</v>
          </cell>
        </row>
        <row r="1787">
          <cell r="T1787">
            <v>38103</v>
          </cell>
          <cell r="U1787">
            <v>9.7999999999999997E-3</v>
          </cell>
          <cell r="V1787">
            <v>1.0042000000000001E-2</v>
          </cell>
          <cell r="W1787">
            <v>1.1850000000000001E-2</v>
          </cell>
          <cell r="X1787">
            <v>1.5550000000000001E-2</v>
          </cell>
          <cell r="Y1787">
            <v>1.9449999999999999E-2</v>
          </cell>
          <cell r="Z1787">
            <v>2.1950000000000004E-2</v>
          </cell>
          <cell r="AA1787">
            <v>2.375E-2</v>
          </cell>
          <cell r="AB1787">
            <v>2.5999999999999995E-2</v>
          </cell>
          <cell r="AC1787">
            <v>2.7999999999999997E-2</v>
          </cell>
        </row>
        <row r="1788">
          <cell r="T1788">
            <v>38102</v>
          </cell>
          <cell r="U1788">
            <v>9.8189999999999996E-3</v>
          </cell>
          <cell r="V1788">
            <v>1.0062999999999999E-2</v>
          </cell>
          <cell r="W1788">
            <v>1.145E-2</v>
          </cell>
          <cell r="X1788">
            <v>1.4750000000000001E-2</v>
          </cell>
          <cell r="Y1788">
            <v>1.8749999999999999E-2</v>
          </cell>
          <cell r="Z1788">
            <v>2.1299999999999999E-2</v>
          </cell>
          <cell r="AA1788">
            <v>2.3199999999999998E-2</v>
          </cell>
          <cell r="AB1788">
            <v>2.5300000000000003E-2</v>
          </cell>
          <cell r="AC1788">
            <v>2.7999999999999997E-2</v>
          </cell>
        </row>
        <row r="1789">
          <cell r="T1789">
            <v>38101</v>
          </cell>
          <cell r="U1789">
            <v>9.8189999999999996E-3</v>
          </cell>
          <cell r="V1789">
            <v>1.0062999999999999E-2</v>
          </cell>
          <cell r="W1789">
            <v>1.145E-2</v>
          </cell>
          <cell r="X1789">
            <v>1.4750000000000001E-2</v>
          </cell>
          <cell r="Y1789">
            <v>1.8749999999999999E-2</v>
          </cell>
          <cell r="Z1789">
            <v>2.1299999999999999E-2</v>
          </cell>
          <cell r="AA1789">
            <v>2.3199999999999998E-2</v>
          </cell>
          <cell r="AB1789">
            <v>2.5300000000000003E-2</v>
          </cell>
          <cell r="AC1789">
            <v>2.7999999999999997E-2</v>
          </cell>
        </row>
        <row r="1790">
          <cell r="T1790">
            <v>38100</v>
          </cell>
          <cell r="U1790">
            <v>9.8189999999999996E-3</v>
          </cell>
          <cell r="V1790">
            <v>1.0062999999999999E-2</v>
          </cell>
          <cell r="W1790">
            <v>1.145E-2</v>
          </cell>
          <cell r="X1790">
            <v>1.4750000000000001E-2</v>
          </cell>
          <cell r="Y1790">
            <v>1.8749999999999999E-2</v>
          </cell>
          <cell r="Z1790">
            <v>2.1299999999999999E-2</v>
          </cell>
          <cell r="AA1790">
            <v>2.3199999999999998E-2</v>
          </cell>
          <cell r="AB1790">
            <v>2.5300000000000003E-2</v>
          </cell>
          <cell r="AC1790">
            <v>2.7999999999999997E-2</v>
          </cell>
        </row>
        <row r="1791">
          <cell r="T1791">
            <v>38099</v>
          </cell>
          <cell r="U1791">
            <v>9.9399999999999992E-3</v>
          </cell>
          <cell r="V1791">
            <v>1.0189999999999999E-2</v>
          </cell>
          <cell r="W1791">
            <v>1.1549999999999998E-2</v>
          </cell>
          <cell r="X1791">
            <v>1.4950000000000001E-2</v>
          </cell>
          <cell r="Y1791">
            <v>1.9049999999999997E-2</v>
          </cell>
          <cell r="Z1791">
            <v>2.1550000000000003E-2</v>
          </cell>
          <cell r="AA1791">
            <v>2.3449999999999999E-2</v>
          </cell>
          <cell r="AB1791">
            <v>2.5700000000000004E-2</v>
          </cell>
          <cell r="AC1791">
            <v>2.7999999999999997E-2</v>
          </cell>
        </row>
        <row r="1792">
          <cell r="T1792">
            <v>38098</v>
          </cell>
          <cell r="U1792">
            <v>9.9399999999999992E-3</v>
          </cell>
          <cell r="V1792">
            <v>1.0189999999999999E-2</v>
          </cell>
          <cell r="W1792">
            <v>1.1749999999999998E-2</v>
          </cell>
          <cell r="X1792">
            <v>1.5150000000000002E-2</v>
          </cell>
          <cell r="Y1792">
            <v>1.9349999999999999E-2</v>
          </cell>
          <cell r="Z1792">
            <v>2.1749999999999999E-2</v>
          </cell>
          <cell r="AA1792">
            <v>2.3449999999999999E-2</v>
          </cell>
          <cell r="AB1792">
            <v>2.58E-2</v>
          </cell>
          <cell r="AC1792">
            <v>2.8499999999999998E-2</v>
          </cell>
        </row>
        <row r="1793">
          <cell r="T1793">
            <v>38097</v>
          </cell>
          <cell r="U1793">
            <v>9.8999999999999991E-3</v>
          </cell>
          <cell r="V1793">
            <v>1.0147999999999999E-2</v>
          </cell>
          <cell r="W1793">
            <v>1.1350000000000001E-2</v>
          </cell>
          <cell r="X1793">
            <v>1.4449999999999998E-2</v>
          </cell>
          <cell r="Y1793">
            <v>1.8450000000000001E-2</v>
          </cell>
          <cell r="Z1793">
            <v>2.0649999999999998E-2</v>
          </cell>
          <cell r="AA1793">
            <v>2.265E-2</v>
          </cell>
          <cell r="AB1793">
            <v>2.4850000000000004E-2</v>
          </cell>
          <cell r="AC1793">
            <v>2.7000000000000003E-2</v>
          </cell>
        </row>
        <row r="1794">
          <cell r="T1794">
            <v>38096</v>
          </cell>
          <cell r="U1794">
            <v>9.8999999999999991E-3</v>
          </cell>
          <cell r="V1794">
            <v>1.0147999999999999E-2</v>
          </cell>
          <cell r="W1794">
            <v>1.1350000000000001E-2</v>
          </cell>
          <cell r="X1794">
            <v>1.4249999999999999E-2</v>
          </cell>
          <cell r="Y1794">
            <v>1.8349999999999998E-2</v>
          </cell>
          <cell r="Z1794">
            <v>2.0549999999999999E-2</v>
          </cell>
          <cell r="AA1794">
            <v>2.2450000000000001E-2</v>
          </cell>
          <cell r="AB1794">
            <v>2.46E-2</v>
          </cell>
          <cell r="AC1794">
            <v>2.7000000000000003E-2</v>
          </cell>
        </row>
        <row r="1795">
          <cell r="T1795">
            <v>38095</v>
          </cell>
          <cell r="U1795">
            <v>9.9290000000000003E-3</v>
          </cell>
          <cell r="V1795">
            <v>1.0200000000000001E-2</v>
          </cell>
          <cell r="W1795">
            <v>1.1549999999999998E-2</v>
          </cell>
          <cell r="X1795">
            <v>1.4449999999999998E-2</v>
          </cell>
          <cell r="Y1795">
            <v>1.8450000000000001E-2</v>
          </cell>
          <cell r="Z1795">
            <v>2.0750000000000001E-2</v>
          </cell>
          <cell r="AA1795">
            <v>2.2700000000000001E-2</v>
          </cell>
          <cell r="AB1795">
            <v>2.5000000000000001E-2</v>
          </cell>
          <cell r="AC1795">
            <v>2.7300000000000001E-2</v>
          </cell>
        </row>
        <row r="1796">
          <cell r="T1796">
            <v>38094</v>
          </cell>
          <cell r="U1796">
            <v>9.9290000000000003E-3</v>
          </cell>
          <cell r="V1796">
            <v>1.0200000000000001E-2</v>
          </cell>
          <cell r="W1796">
            <v>1.1549999999999998E-2</v>
          </cell>
          <cell r="X1796">
            <v>1.4449999999999998E-2</v>
          </cell>
          <cell r="Y1796">
            <v>1.8450000000000001E-2</v>
          </cell>
          <cell r="Z1796">
            <v>2.0750000000000001E-2</v>
          </cell>
          <cell r="AA1796">
            <v>2.2700000000000001E-2</v>
          </cell>
          <cell r="AB1796">
            <v>2.5000000000000001E-2</v>
          </cell>
          <cell r="AC1796">
            <v>2.7300000000000001E-2</v>
          </cell>
        </row>
        <row r="1797">
          <cell r="T1797">
            <v>38093</v>
          </cell>
          <cell r="U1797">
            <v>9.9290000000000003E-3</v>
          </cell>
          <cell r="V1797">
            <v>1.0200000000000001E-2</v>
          </cell>
          <cell r="W1797">
            <v>1.1549999999999998E-2</v>
          </cell>
          <cell r="X1797">
            <v>1.4449999999999998E-2</v>
          </cell>
          <cell r="Y1797">
            <v>1.8450000000000001E-2</v>
          </cell>
          <cell r="Z1797">
            <v>2.0750000000000001E-2</v>
          </cell>
          <cell r="AA1797">
            <v>2.2700000000000001E-2</v>
          </cell>
          <cell r="AB1797">
            <v>2.5000000000000001E-2</v>
          </cell>
          <cell r="AC1797">
            <v>2.7300000000000001E-2</v>
          </cell>
        </row>
        <row r="1798">
          <cell r="T1798">
            <v>38092</v>
          </cell>
          <cell r="U1798">
            <v>9.8999999999999991E-3</v>
          </cell>
          <cell r="V1798">
            <v>1.0149999999999999E-2</v>
          </cell>
          <cell r="W1798">
            <v>1.1549999999999998E-2</v>
          </cell>
          <cell r="X1798">
            <v>1.455E-2</v>
          </cell>
          <cell r="Y1798">
            <v>1.8550000000000001E-2</v>
          </cell>
          <cell r="Z1798">
            <v>2.0949999999999996E-2</v>
          </cell>
          <cell r="AA1798">
            <v>2.265E-2</v>
          </cell>
          <cell r="AB1798">
            <v>2.4799999999999999E-2</v>
          </cell>
          <cell r="AC1798">
            <v>2.7000000000000003E-2</v>
          </cell>
        </row>
        <row r="1799">
          <cell r="T1799">
            <v>38091</v>
          </cell>
          <cell r="U1799">
            <v>1.004E-2</v>
          </cell>
          <cell r="V1799">
            <v>1.0263E-2</v>
          </cell>
          <cell r="W1799">
            <v>1.1549999999999998E-2</v>
          </cell>
          <cell r="X1799">
            <v>1.4750000000000001E-2</v>
          </cell>
          <cell r="Y1799">
            <v>1.865E-2</v>
          </cell>
          <cell r="Z1799">
            <v>2.1049999999999999E-2</v>
          </cell>
          <cell r="AA1799">
            <v>2.2550000000000001E-2</v>
          </cell>
          <cell r="AB1799">
            <v>2.4799999999999999E-2</v>
          </cell>
          <cell r="AC1799">
            <v>2.7000000000000003E-2</v>
          </cell>
        </row>
        <row r="1800">
          <cell r="T1800">
            <v>38090</v>
          </cell>
          <cell r="U1800">
            <v>9.9850000000000008E-3</v>
          </cell>
          <cell r="V1800">
            <v>1.0189999999999999E-2</v>
          </cell>
          <cell r="W1800">
            <v>1.125E-2</v>
          </cell>
          <cell r="X1800">
            <v>1.4249999999999999E-2</v>
          </cell>
          <cell r="Y1800">
            <v>1.805E-2</v>
          </cell>
          <cell r="Z1800">
            <v>2.035E-2</v>
          </cell>
          <cell r="AA1800">
            <v>2.1950000000000004E-2</v>
          </cell>
          <cell r="AB1800">
            <v>2.4299999999999999E-2</v>
          </cell>
          <cell r="AC1800">
            <v>2.7199999999999998E-2</v>
          </cell>
        </row>
        <row r="1801">
          <cell r="T1801">
            <v>38089</v>
          </cell>
          <cell r="U1801">
            <v>1.0085E-2</v>
          </cell>
          <cell r="V1801">
            <v>1.0289999999999999E-2</v>
          </cell>
          <cell r="W1801">
            <v>1.125E-2</v>
          </cell>
          <cell r="X1801">
            <v>1.3950000000000001E-2</v>
          </cell>
          <cell r="Y1801">
            <v>1.7650000000000002E-2</v>
          </cell>
          <cell r="Z1801">
            <v>1.975E-2</v>
          </cell>
          <cell r="AA1801">
            <v>2.1649999999999999E-2</v>
          </cell>
          <cell r="AB1801">
            <v>2.41E-2</v>
          </cell>
          <cell r="AC1801">
            <v>2.6900000000000004E-2</v>
          </cell>
        </row>
        <row r="1802">
          <cell r="T1802">
            <v>38088</v>
          </cell>
          <cell r="U1802">
            <v>9.9930000000000001E-3</v>
          </cell>
          <cell r="V1802">
            <v>1.0241E-2</v>
          </cell>
          <cell r="W1802">
            <v>1.125E-2</v>
          </cell>
          <cell r="X1802">
            <v>1.375E-2</v>
          </cell>
          <cell r="Y1802">
            <v>1.7250000000000001E-2</v>
          </cell>
          <cell r="Z1802">
            <v>1.925E-2</v>
          </cell>
          <cell r="AA1802">
            <v>2.1250000000000002E-2</v>
          </cell>
          <cell r="AB1802">
            <v>2.3499999999999997E-2</v>
          </cell>
          <cell r="AC1802">
            <v>2.63E-2</v>
          </cell>
        </row>
        <row r="1803">
          <cell r="T1803">
            <v>38087</v>
          </cell>
          <cell r="U1803">
            <v>9.9930000000000001E-3</v>
          </cell>
          <cell r="V1803">
            <v>1.0241E-2</v>
          </cell>
          <cell r="W1803">
            <v>1.125E-2</v>
          </cell>
          <cell r="X1803">
            <v>1.375E-2</v>
          </cell>
          <cell r="Y1803">
            <v>1.7250000000000001E-2</v>
          </cell>
          <cell r="Z1803">
            <v>1.925E-2</v>
          </cell>
          <cell r="AA1803">
            <v>2.1250000000000002E-2</v>
          </cell>
          <cell r="AB1803">
            <v>2.3499999999999997E-2</v>
          </cell>
          <cell r="AC1803">
            <v>2.63E-2</v>
          </cell>
        </row>
        <row r="1804">
          <cell r="T1804">
            <v>38086</v>
          </cell>
          <cell r="U1804">
            <v>9.9930000000000001E-3</v>
          </cell>
          <cell r="V1804">
            <v>1.0241E-2</v>
          </cell>
          <cell r="W1804">
            <v>1.125E-2</v>
          </cell>
          <cell r="X1804">
            <v>1.375E-2</v>
          </cell>
          <cell r="Y1804">
            <v>1.7250000000000001E-2</v>
          </cell>
          <cell r="Z1804">
            <v>1.925E-2</v>
          </cell>
          <cell r="AA1804">
            <v>2.1250000000000002E-2</v>
          </cell>
          <cell r="AB1804">
            <v>2.3499999999999997E-2</v>
          </cell>
          <cell r="AC1804">
            <v>2.63E-2</v>
          </cell>
        </row>
        <row r="1805">
          <cell r="T1805">
            <v>38085</v>
          </cell>
          <cell r="U1805">
            <v>1.03E-2</v>
          </cell>
          <cell r="V1805">
            <v>1.0503999999999999E-2</v>
          </cell>
          <cell r="W1805">
            <v>1.125E-2</v>
          </cell>
          <cell r="X1805">
            <v>1.3849999999999999E-2</v>
          </cell>
          <cell r="Y1805">
            <v>1.7600000000000001E-2</v>
          </cell>
          <cell r="Z1805">
            <v>1.925E-2</v>
          </cell>
          <cell r="AA1805">
            <v>2.1250000000000002E-2</v>
          </cell>
          <cell r="AB1805">
            <v>2.3499999999999997E-2</v>
          </cell>
          <cell r="AC1805">
            <v>2.63E-2</v>
          </cell>
        </row>
        <row r="1806">
          <cell r="T1806">
            <v>38084</v>
          </cell>
          <cell r="U1806">
            <v>1.0142999999999999E-2</v>
          </cell>
          <cell r="V1806">
            <v>1.0327999999999999E-2</v>
          </cell>
          <cell r="W1806">
            <v>1.1350000000000001E-2</v>
          </cell>
          <cell r="X1806">
            <v>1.435E-2</v>
          </cell>
          <cell r="Y1806">
            <v>1.7650000000000002E-2</v>
          </cell>
          <cell r="Z1806">
            <v>1.9649999999999997E-2</v>
          </cell>
          <cell r="AA1806">
            <v>2.1649999999999999E-2</v>
          </cell>
          <cell r="AB1806">
            <v>2.4299999999999999E-2</v>
          </cell>
          <cell r="AC1806">
            <v>2.6699999999999998E-2</v>
          </cell>
        </row>
        <row r="1807">
          <cell r="T1807">
            <v>38083</v>
          </cell>
          <cell r="U1807">
            <v>1.0142999999999999E-2</v>
          </cell>
          <cell r="V1807">
            <v>1.0327999999999999E-2</v>
          </cell>
          <cell r="W1807">
            <v>1.145E-2</v>
          </cell>
          <cell r="X1807">
            <v>1.455E-2</v>
          </cell>
          <cell r="Y1807">
            <v>1.7749999999999998E-2</v>
          </cell>
          <cell r="Z1807">
            <v>1.975E-2</v>
          </cell>
          <cell r="AA1807">
            <v>2.1749999999999999E-2</v>
          </cell>
          <cell r="AB1807">
            <v>2.4299999999999999E-2</v>
          </cell>
          <cell r="AC1807">
            <v>2.6349999999999998E-2</v>
          </cell>
        </row>
        <row r="1808">
          <cell r="T1808">
            <v>38082</v>
          </cell>
          <cell r="U1808">
            <v>1.0085E-2</v>
          </cell>
          <cell r="V1808">
            <v>1.0281999999999999E-2</v>
          </cell>
          <cell r="W1808">
            <v>1.1599999999999999E-2</v>
          </cell>
          <cell r="X1808">
            <v>1.4499999999999999E-2</v>
          </cell>
          <cell r="Y1808">
            <v>1.7500000000000002E-2</v>
          </cell>
          <cell r="Z1808">
            <v>1.9449999999999999E-2</v>
          </cell>
          <cell r="AA1808">
            <v>2.1500000000000005E-2</v>
          </cell>
          <cell r="AB1808">
            <v>2.4000000000000004E-2</v>
          </cell>
          <cell r="AC1808">
            <v>2.6200000000000001E-2</v>
          </cell>
        </row>
        <row r="1809">
          <cell r="T1809">
            <v>38081</v>
          </cell>
          <cell r="U1809">
            <v>1.0135E-2</v>
          </cell>
          <cell r="V1809">
            <v>1.0307999999999999E-2</v>
          </cell>
          <cell r="W1809">
            <v>1.1299999999999999E-2</v>
          </cell>
          <cell r="X1809">
            <v>1.3650000000000001E-2</v>
          </cell>
          <cell r="Y1809">
            <v>1.6650000000000002E-2</v>
          </cell>
          <cell r="Z1809">
            <v>1.8550000000000001E-2</v>
          </cell>
          <cell r="AA1809">
            <v>2.0449999999999999E-2</v>
          </cell>
          <cell r="AB1809">
            <v>2.3E-2</v>
          </cell>
          <cell r="AC1809">
            <v>2.5000000000000001E-2</v>
          </cell>
        </row>
        <row r="1810">
          <cell r="T1810">
            <v>38080</v>
          </cell>
          <cell r="U1810">
            <v>1.0135E-2</v>
          </cell>
          <cell r="V1810">
            <v>1.0307999999999999E-2</v>
          </cell>
          <cell r="W1810">
            <v>1.1299999999999999E-2</v>
          </cell>
          <cell r="X1810">
            <v>1.3650000000000001E-2</v>
          </cell>
          <cell r="Y1810">
            <v>1.6650000000000002E-2</v>
          </cell>
          <cell r="Z1810">
            <v>1.8550000000000001E-2</v>
          </cell>
          <cell r="AA1810">
            <v>2.0449999999999999E-2</v>
          </cell>
          <cell r="AB1810">
            <v>2.3E-2</v>
          </cell>
          <cell r="AC1810">
            <v>2.5000000000000001E-2</v>
          </cell>
        </row>
        <row r="1811">
          <cell r="T1811">
            <v>38079</v>
          </cell>
          <cell r="U1811">
            <v>1.0135E-2</v>
          </cell>
          <cell r="V1811">
            <v>1.0307999999999999E-2</v>
          </cell>
          <cell r="W1811">
            <v>1.1299999999999999E-2</v>
          </cell>
          <cell r="X1811">
            <v>1.3650000000000001E-2</v>
          </cell>
          <cell r="Y1811">
            <v>1.6650000000000002E-2</v>
          </cell>
          <cell r="Z1811">
            <v>1.8550000000000001E-2</v>
          </cell>
          <cell r="AA1811">
            <v>2.0449999999999999E-2</v>
          </cell>
          <cell r="AB1811">
            <v>2.3E-2</v>
          </cell>
          <cell r="AC1811">
            <v>2.5000000000000001E-2</v>
          </cell>
        </row>
        <row r="1812">
          <cell r="T1812">
            <v>38078</v>
          </cell>
          <cell r="U1812">
            <v>1.0197000000000001E-2</v>
          </cell>
          <cell r="V1812">
            <v>1.0382000000000001E-2</v>
          </cell>
          <cell r="W1812">
            <v>1.115E-2</v>
          </cell>
          <cell r="X1812">
            <v>1.3349999999999999E-2</v>
          </cell>
          <cell r="Y1812">
            <v>1.6399999999999998E-2</v>
          </cell>
          <cell r="Z1812">
            <v>1.8149999999999999E-2</v>
          </cell>
          <cell r="AA1812">
            <v>2.0049999999999998E-2</v>
          </cell>
          <cell r="AB1812">
            <v>2.2499999999999999E-2</v>
          </cell>
          <cell r="AC1812">
            <v>2.4500000000000001E-2</v>
          </cell>
        </row>
        <row r="1813">
          <cell r="T1813">
            <v>38077</v>
          </cell>
          <cell r="U1813">
            <v>1.0433E-2</v>
          </cell>
          <cell r="V1813">
            <v>1.0671E-2</v>
          </cell>
          <cell r="W1813">
            <v>1.1299999999999999E-2</v>
          </cell>
          <cell r="X1813">
            <v>1.3450000000000002E-2</v>
          </cell>
          <cell r="Y1813">
            <v>1.6449999999999999E-2</v>
          </cell>
          <cell r="Z1813">
            <v>1.8349999999999998E-2</v>
          </cell>
          <cell r="AA1813">
            <v>2.0250000000000001E-2</v>
          </cell>
          <cell r="AB1813">
            <v>2.2800000000000001E-2</v>
          </cell>
          <cell r="AC1813">
            <v>2.46E-2</v>
          </cell>
        </row>
        <row r="1814">
          <cell r="T1814">
            <v>38076</v>
          </cell>
          <cell r="U1814">
            <v>1.03E-2</v>
          </cell>
          <cell r="V1814">
            <v>1.0539E-2</v>
          </cell>
          <cell r="W1814">
            <v>1.1299999999999999E-2</v>
          </cell>
          <cell r="X1814">
            <v>1.355E-2</v>
          </cell>
          <cell r="Y1814">
            <v>1.6549999999999999E-2</v>
          </cell>
          <cell r="Z1814">
            <v>1.8450000000000001E-2</v>
          </cell>
          <cell r="AA1814">
            <v>2.0250000000000001E-2</v>
          </cell>
          <cell r="AB1814">
            <v>2.23E-2</v>
          </cell>
          <cell r="AC1814">
            <v>2.41E-2</v>
          </cell>
        </row>
        <row r="1815">
          <cell r="T1815">
            <v>38075</v>
          </cell>
          <cell r="U1815">
            <v>1.0259000000000001E-2</v>
          </cell>
          <cell r="V1815">
            <v>1.0434000000000001E-2</v>
          </cell>
          <cell r="W1815">
            <v>1.1299999999999999E-2</v>
          </cell>
          <cell r="X1815">
            <v>1.3349999999999999E-2</v>
          </cell>
          <cell r="Y1815">
            <v>1.6200000000000003E-2</v>
          </cell>
          <cell r="Z1815">
            <v>1.8149999999999999E-2</v>
          </cell>
          <cell r="AA1815">
            <v>2.0049999999999998E-2</v>
          </cell>
          <cell r="AB1815">
            <v>2.2199999999999998E-2</v>
          </cell>
          <cell r="AC1815">
            <v>2.4000000000000004E-2</v>
          </cell>
        </row>
        <row r="1816">
          <cell r="T1816">
            <v>38074</v>
          </cell>
          <cell r="U1816">
            <v>1.0209999999999999E-2</v>
          </cell>
          <cell r="V1816">
            <v>1.0351999999999998E-2</v>
          </cell>
          <cell r="W1816">
            <v>1.115E-2</v>
          </cell>
          <cell r="X1816">
            <v>1.3349999999999999E-2</v>
          </cell>
          <cell r="Y1816">
            <v>1.575E-2</v>
          </cell>
          <cell r="Z1816">
            <v>1.7650000000000002E-2</v>
          </cell>
          <cell r="AA1816">
            <v>1.9649999999999997E-2</v>
          </cell>
          <cell r="AB1816">
            <v>2.1799999999999996E-2</v>
          </cell>
          <cell r="AC1816">
            <v>2.3899999999999998E-2</v>
          </cell>
        </row>
        <row r="1817">
          <cell r="T1817">
            <v>38073</v>
          </cell>
          <cell r="U1817">
            <v>1.0209999999999999E-2</v>
          </cell>
          <cell r="V1817">
            <v>1.0351999999999998E-2</v>
          </cell>
          <cell r="W1817">
            <v>1.115E-2</v>
          </cell>
          <cell r="X1817">
            <v>1.3349999999999999E-2</v>
          </cell>
          <cell r="Y1817">
            <v>1.575E-2</v>
          </cell>
          <cell r="Z1817">
            <v>1.7650000000000002E-2</v>
          </cell>
          <cell r="AA1817">
            <v>1.9649999999999997E-2</v>
          </cell>
          <cell r="AB1817">
            <v>2.1799999999999996E-2</v>
          </cell>
          <cell r="AC1817">
            <v>2.3899999999999998E-2</v>
          </cell>
        </row>
        <row r="1818">
          <cell r="T1818">
            <v>38072</v>
          </cell>
          <cell r="U1818">
            <v>1.0209999999999999E-2</v>
          </cell>
          <cell r="V1818">
            <v>1.0351999999999998E-2</v>
          </cell>
          <cell r="W1818">
            <v>1.115E-2</v>
          </cell>
          <cell r="X1818">
            <v>1.3349999999999999E-2</v>
          </cell>
          <cell r="Y1818">
            <v>1.575E-2</v>
          </cell>
          <cell r="Z1818">
            <v>1.7650000000000002E-2</v>
          </cell>
          <cell r="AA1818">
            <v>1.9649999999999997E-2</v>
          </cell>
          <cell r="AB1818">
            <v>2.1799999999999996E-2</v>
          </cell>
          <cell r="AC1818">
            <v>2.3899999999999998E-2</v>
          </cell>
        </row>
        <row r="1819">
          <cell r="T1819">
            <v>38071</v>
          </cell>
          <cell r="U1819">
            <v>1.0263E-2</v>
          </cell>
          <cell r="V1819">
            <v>1.0441000000000001E-2</v>
          </cell>
          <cell r="W1819">
            <v>1.1049999999999999E-2</v>
          </cell>
          <cell r="X1819">
            <v>1.3050000000000001E-2</v>
          </cell>
          <cell r="Y1819">
            <v>1.525E-2</v>
          </cell>
          <cell r="Z1819">
            <v>1.745E-2</v>
          </cell>
          <cell r="AA1819">
            <v>1.9449999999999999E-2</v>
          </cell>
          <cell r="AB1819">
            <v>2.1500000000000005E-2</v>
          </cell>
          <cell r="AC1819">
            <v>2.3700000000000002E-2</v>
          </cell>
        </row>
        <row r="1820">
          <cell r="T1820">
            <v>38070</v>
          </cell>
          <cell r="U1820">
            <v>1.0217E-2</v>
          </cell>
          <cell r="V1820">
            <v>1.0398000000000001E-2</v>
          </cell>
          <cell r="W1820">
            <v>1.115E-2</v>
          </cell>
          <cell r="X1820">
            <v>1.3250000000000001E-2</v>
          </cell>
          <cell r="Y1820">
            <v>1.5650000000000001E-2</v>
          </cell>
          <cell r="Z1820">
            <v>1.755E-2</v>
          </cell>
          <cell r="AA1820">
            <v>1.9550000000000001E-2</v>
          </cell>
          <cell r="AB1820">
            <v>2.1799999999999996E-2</v>
          </cell>
          <cell r="AC1820">
            <v>2.4000000000000004E-2</v>
          </cell>
        </row>
        <row r="1821">
          <cell r="T1821">
            <v>38069</v>
          </cell>
          <cell r="U1821">
            <v>1.0356000000000001E-2</v>
          </cell>
          <cell r="V1821">
            <v>1.0565999999999999E-2</v>
          </cell>
          <cell r="W1821">
            <v>1.1049999999999999E-2</v>
          </cell>
          <cell r="X1821">
            <v>1.315E-2</v>
          </cell>
          <cell r="Y1821">
            <v>1.5449999999999998E-2</v>
          </cell>
          <cell r="Z1821">
            <v>1.7349999999999997E-2</v>
          </cell>
          <cell r="AA1821">
            <v>1.9550000000000001E-2</v>
          </cell>
          <cell r="AB1821">
            <v>2.1799999999999996E-2</v>
          </cell>
          <cell r="AC1821">
            <v>2.4000000000000004E-2</v>
          </cell>
        </row>
        <row r="1822">
          <cell r="T1822">
            <v>38068</v>
          </cell>
          <cell r="U1822">
            <v>9.9979999999999999E-3</v>
          </cell>
          <cell r="V1822">
            <v>1.0263E-2</v>
          </cell>
          <cell r="W1822">
            <v>1.1000000000000001E-2</v>
          </cell>
          <cell r="X1822">
            <v>1.3000000000000001E-2</v>
          </cell>
          <cell r="Y1822">
            <v>1.55E-2</v>
          </cell>
          <cell r="Z1822">
            <v>1.7100000000000001E-2</v>
          </cell>
          <cell r="AA1822">
            <v>1.9299999999999998E-2</v>
          </cell>
          <cell r="AB1822">
            <v>2.1550000000000003E-2</v>
          </cell>
          <cell r="AC1822">
            <v>2.3550000000000001E-2</v>
          </cell>
        </row>
        <row r="1823">
          <cell r="T1823">
            <v>38067</v>
          </cell>
          <cell r="U1823">
            <v>9.9729999999999992E-3</v>
          </cell>
          <cell r="V1823">
            <v>1.0240000000000001E-2</v>
          </cell>
          <cell r="W1823">
            <v>1.0950000000000001E-2</v>
          </cell>
          <cell r="X1823">
            <v>1.295E-2</v>
          </cell>
          <cell r="Y1823">
            <v>1.5150000000000002E-2</v>
          </cell>
          <cell r="Z1823">
            <v>1.7049999999999999E-2</v>
          </cell>
          <cell r="AA1823">
            <v>1.9049999999999997E-2</v>
          </cell>
          <cell r="AB1823">
            <v>2.1299999999999999E-2</v>
          </cell>
          <cell r="AC1823">
            <v>2.3300000000000001E-2</v>
          </cell>
        </row>
        <row r="1824">
          <cell r="T1824">
            <v>38066</v>
          </cell>
          <cell r="U1824">
            <v>9.9729999999999992E-3</v>
          </cell>
          <cell r="V1824">
            <v>1.0240000000000001E-2</v>
          </cell>
          <cell r="W1824">
            <v>1.0950000000000001E-2</v>
          </cell>
          <cell r="X1824">
            <v>1.295E-2</v>
          </cell>
          <cell r="Y1824">
            <v>1.5150000000000002E-2</v>
          </cell>
          <cell r="Z1824">
            <v>1.7049999999999999E-2</v>
          </cell>
          <cell r="AA1824">
            <v>1.9049999999999997E-2</v>
          </cell>
          <cell r="AB1824">
            <v>2.1299999999999999E-2</v>
          </cell>
          <cell r="AC1824">
            <v>2.3300000000000001E-2</v>
          </cell>
        </row>
        <row r="1825">
          <cell r="T1825">
            <v>38065</v>
          </cell>
          <cell r="U1825">
            <v>9.9729999999999992E-3</v>
          </cell>
          <cell r="V1825">
            <v>1.0240000000000001E-2</v>
          </cell>
          <cell r="W1825">
            <v>1.0950000000000001E-2</v>
          </cell>
          <cell r="X1825">
            <v>1.295E-2</v>
          </cell>
          <cell r="Y1825">
            <v>1.5150000000000002E-2</v>
          </cell>
          <cell r="Z1825">
            <v>1.7049999999999999E-2</v>
          </cell>
          <cell r="AA1825">
            <v>1.9049999999999997E-2</v>
          </cell>
          <cell r="AB1825">
            <v>2.1299999999999999E-2</v>
          </cell>
          <cell r="AC1825">
            <v>2.3300000000000001E-2</v>
          </cell>
        </row>
        <row r="1826">
          <cell r="T1826">
            <v>38064</v>
          </cell>
          <cell r="U1826">
            <v>1.0336000000000001E-2</v>
          </cell>
          <cell r="V1826">
            <v>1.0575000000000001E-2</v>
          </cell>
          <cell r="W1826">
            <v>1.0950000000000001E-2</v>
          </cell>
          <cell r="X1826">
            <v>1.3250000000000001E-2</v>
          </cell>
          <cell r="Y1826">
            <v>1.575E-2</v>
          </cell>
          <cell r="Z1826">
            <v>1.7850000000000001E-2</v>
          </cell>
          <cell r="AA1826">
            <v>1.975E-2</v>
          </cell>
          <cell r="AB1826">
            <v>2.2000000000000002E-2</v>
          </cell>
          <cell r="AC1826">
            <v>2.41E-2</v>
          </cell>
        </row>
        <row r="1827">
          <cell r="T1827">
            <v>38063</v>
          </cell>
          <cell r="U1827">
            <v>1.0149999999999999E-2</v>
          </cell>
          <cell r="V1827">
            <v>1.0391999999999998E-2</v>
          </cell>
          <cell r="W1827">
            <v>1.085E-2</v>
          </cell>
          <cell r="X1827">
            <v>1.3300000000000001E-2</v>
          </cell>
          <cell r="Y1827">
            <v>1.5600000000000001E-2</v>
          </cell>
          <cell r="Z1827">
            <v>1.755E-2</v>
          </cell>
          <cell r="AA1827">
            <v>1.9449999999999999E-2</v>
          </cell>
          <cell r="AB1827">
            <v>2.1700000000000001E-2</v>
          </cell>
          <cell r="AC1827">
            <v>2.3700000000000002E-2</v>
          </cell>
        </row>
        <row r="1828">
          <cell r="T1828">
            <v>38062</v>
          </cell>
          <cell r="U1828">
            <v>9.8839999999999987E-3</v>
          </cell>
          <cell r="V1828">
            <v>1.0139E-2</v>
          </cell>
          <cell r="W1828">
            <v>1.1049999999999999E-2</v>
          </cell>
          <cell r="X1828">
            <v>1.3450000000000002E-2</v>
          </cell>
          <cell r="Y1828">
            <v>1.5950000000000002E-2</v>
          </cell>
          <cell r="Z1828">
            <v>1.7950000000000001E-2</v>
          </cell>
          <cell r="AA1828">
            <v>1.9649999999999997E-2</v>
          </cell>
          <cell r="AB1828">
            <v>2.2099999999999998E-2</v>
          </cell>
          <cell r="AC1828">
            <v>2.41E-2</v>
          </cell>
        </row>
        <row r="1829">
          <cell r="T1829">
            <v>38061</v>
          </cell>
          <cell r="U1829">
            <v>1.0267E-2</v>
          </cell>
          <cell r="V1829">
            <v>1.0503999999999999E-2</v>
          </cell>
          <cell r="W1829">
            <v>1.1049999999999999E-2</v>
          </cell>
          <cell r="X1829">
            <v>1.3450000000000002E-2</v>
          </cell>
          <cell r="Y1829">
            <v>1.5950000000000002E-2</v>
          </cell>
          <cell r="Z1829">
            <v>1.7749999999999998E-2</v>
          </cell>
          <cell r="AA1829">
            <v>1.985E-2</v>
          </cell>
          <cell r="AB1829">
            <v>2.2099999999999998E-2</v>
          </cell>
          <cell r="AC1829">
            <v>2.41E-2</v>
          </cell>
        </row>
        <row r="1830">
          <cell r="T1830">
            <v>38060</v>
          </cell>
          <cell r="U1830">
            <v>1.0048E-2</v>
          </cell>
          <cell r="V1830">
            <v>1.0278000000000001E-2</v>
          </cell>
          <cell r="W1830">
            <v>1.0500000000000001E-2</v>
          </cell>
          <cell r="X1830">
            <v>1.3450000000000002E-2</v>
          </cell>
          <cell r="Y1830">
            <v>1.5900000000000001E-2</v>
          </cell>
          <cell r="Z1830">
            <v>1.7950000000000001E-2</v>
          </cell>
          <cell r="AA1830">
            <v>1.9950000000000002E-2</v>
          </cell>
          <cell r="AB1830">
            <v>2.2199999999999998E-2</v>
          </cell>
          <cell r="AC1830">
            <v>2.4199999999999999E-2</v>
          </cell>
        </row>
        <row r="1831">
          <cell r="T1831">
            <v>38059</v>
          </cell>
          <cell r="U1831">
            <v>1.0048E-2</v>
          </cell>
          <cell r="V1831">
            <v>1.0278000000000001E-2</v>
          </cell>
          <cell r="W1831">
            <v>1.0500000000000001E-2</v>
          </cell>
          <cell r="X1831">
            <v>1.3450000000000002E-2</v>
          </cell>
          <cell r="Y1831">
            <v>1.5900000000000001E-2</v>
          </cell>
          <cell r="Z1831">
            <v>1.7950000000000001E-2</v>
          </cell>
          <cell r="AA1831">
            <v>1.9950000000000002E-2</v>
          </cell>
          <cell r="AB1831">
            <v>2.2199999999999998E-2</v>
          </cell>
          <cell r="AC1831">
            <v>2.4199999999999999E-2</v>
          </cell>
        </row>
        <row r="1832">
          <cell r="T1832">
            <v>38058</v>
          </cell>
          <cell r="U1832">
            <v>1.0048E-2</v>
          </cell>
          <cell r="V1832">
            <v>1.0278000000000001E-2</v>
          </cell>
          <cell r="W1832">
            <v>1.0500000000000001E-2</v>
          </cell>
          <cell r="X1832">
            <v>1.3450000000000002E-2</v>
          </cell>
          <cell r="Y1832">
            <v>1.5900000000000001E-2</v>
          </cell>
          <cell r="Z1832">
            <v>1.7950000000000001E-2</v>
          </cell>
          <cell r="AA1832">
            <v>1.9950000000000002E-2</v>
          </cell>
          <cell r="AB1832">
            <v>2.2199999999999998E-2</v>
          </cell>
          <cell r="AC1832">
            <v>2.4199999999999999E-2</v>
          </cell>
        </row>
        <row r="1833">
          <cell r="T1833">
            <v>38057</v>
          </cell>
          <cell r="U1833">
            <v>1.0388999999999999E-2</v>
          </cell>
          <cell r="V1833">
            <v>1.0629E-2</v>
          </cell>
          <cell r="W1833">
            <v>1.1049999999999999E-2</v>
          </cell>
          <cell r="X1833">
            <v>1.355E-2</v>
          </cell>
          <cell r="Y1833">
            <v>1.6049999999999998E-2</v>
          </cell>
          <cell r="Z1833">
            <v>1.7850000000000001E-2</v>
          </cell>
          <cell r="AA1833">
            <v>1.985E-2</v>
          </cell>
          <cell r="AB1833">
            <v>2.2099999999999998E-2</v>
          </cell>
          <cell r="AC1833">
            <v>2.41E-2</v>
          </cell>
        </row>
        <row r="1834">
          <cell r="T1834">
            <v>38056</v>
          </cell>
          <cell r="U1834">
            <v>1.0085E-2</v>
          </cell>
          <cell r="V1834">
            <v>1.0215E-2</v>
          </cell>
          <cell r="W1834">
            <v>1.1049999999999999E-2</v>
          </cell>
          <cell r="X1834">
            <v>1.355E-2</v>
          </cell>
          <cell r="Y1834">
            <v>1.5950000000000002E-2</v>
          </cell>
          <cell r="Z1834">
            <v>1.7950000000000001E-2</v>
          </cell>
          <cell r="AA1834">
            <v>1.9950000000000002E-2</v>
          </cell>
          <cell r="AB1834">
            <v>2.2199999999999998E-2</v>
          </cell>
          <cell r="AC1834">
            <v>2.4199999999999999E-2</v>
          </cell>
        </row>
        <row r="1835">
          <cell r="T1835">
            <v>38055</v>
          </cell>
          <cell r="U1835">
            <v>1.0035000000000001E-2</v>
          </cell>
          <cell r="V1835">
            <v>1.0265E-2</v>
          </cell>
          <cell r="W1835">
            <v>1.1049999999999999E-2</v>
          </cell>
          <cell r="X1835">
            <v>1.3450000000000002E-2</v>
          </cell>
          <cell r="Y1835">
            <v>1.575E-2</v>
          </cell>
          <cell r="Z1835">
            <v>1.7749999999999998E-2</v>
          </cell>
          <cell r="AA1835">
            <v>1.975E-2</v>
          </cell>
          <cell r="AB1835">
            <v>2.1899999999999999E-2</v>
          </cell>
          <cell r="AC1835">
            <v>2.4000000000000004E-2</v>
          </cell>
        </row>
        <row r="1836">
          <cell r="T1836">
            <v>38054</v>
          </cell>
          <cell r="U1836">
            <v>1.0157000000000001E-2</v>
          </cell>
          <cell r="V1836">
            <v>1.0355000000000001E-2</v>
          </cell>
          <cell r="W1836">
            <v>1.0750000000000003E-2</v>
          </cell>
          <cell r="X1836">
            <v>1.3349999999999999E-2</v>
          </cell>
          <cell r="Y1836">
            <v>1.575E-2</v>
          </cell>
          <cell r="Z1836">
            <v>1.7749999999999998E-2</v>
          </cell>
          <cell r="AA1836">
            <v>1.9649999999999997E-2</v>
          </cell>
          <cell r="AB1836">
            <v>2.1900000000000003E-2</v>
          </cell>
          <cell r="AC1836">
            <v>2.41E-2</v>
          </cell>
        </row>
        <row r="1837">
          <cell r="T1837">
            <v>38053</v>
          </cell>
          <cell r="U1837">
            <v>1.0403000000000001E-2</v>
          </cell>
          <cell r="V1837">
            <v>1.0644000000000001E-2</v>
          </cell>
          <cell r="W1837">
            <v>1.1350000000000001E-2</v>
          </cell>
          <cell r="X1837">
            <v>1.4150000000000001E-2</v>
          </cell>
          <cell r="Y1837">
            <v>1.6549999999999999E-2</v>
          </cell>
          <cell r="Z1837">
            <v>1.8550000000000001E-2</v>
          </cell>
          <cell r="AA1837">
            <v>2.0449999999999999E-2</v>
          </cell>
          <cell r="AB1837">
            <v>2.2700000000000001E-2</v>
          </cell>
          <cell r="AC1837">
            <v>2.5000000000000001E-2</v>
          </cell>
        </row>
        <row r="1838">
          <cell r="T1838">
            <v>38052</v>
          </cell>
          <cell r="U1838">
            <v>1.0403000000000001E-2</v>
          </cell>
          <cell r="V1838">
            <v>1.0644000000000001E-2</v>
          </cell>
          <cell r="W1838">
            <v>1.1350000000000001E-2</v>
          </cell>
          <cell r="X1838">
            <v>1.4150000000000001E-2</v>
          </cell>
          <cell r="Y1838">
            <v>1.6549999999999999E-2</v>
          </cell>
          <cell r="Z1838">
            <v>1.8550000000000001E-2</v>
          </cell>
          <cell r="AA1838">
            <v>2.0449999999999999E-2</v>
          </cell>
          <cell r="AB1838">
            <v>2.2700000000000001E-2</v>
          </cell>
          <cell r="AC1838">
            <v>2.5000000000000001E-2</v>
          </cell>
        </row>
        <row r="1839">
          <cell r="T1839">
            <v>38051</v>
          </cell>
          <cell r="U1839">
            <v>1.0403000000000001E-2</v>
          </cell>
          <cell r="V1839">
            <v>1.0644000000000001E-2</v>
          </cell>
          <cell r="W1839">
            <v>1.1350000000000001E-2</v>
          </cell>
          <cell r="X1839">
            <v>1.4150000000000001E-2</v>
          </cell>
          <cell r="Y1839">
            <v>1.6549999999999999E-2</v>
          </cell>
          <cell r="Z1839">
            <v>1.8550000000000001E-2</v>
          </cell>
          <cell r="AA1839">
            <v>2.0449999999999999E-2</v>
          </cell>
          <cell r="AB1839">
            <v>2.2700000000000001E-2</v>
          </cell>
          <cell r="AC1839">
            <v>2.5000000000000001E-2</v>
          </cell>
        </row>
        <row r="1840">
          <cell r="T1840">
            <v>38050</v>
          </cell>
          <cell r="U1840">
            <v>1.0371999999999999E-2</v>
          </cell>
          <cell r="V1840">
            <v>1.0487999999999999E-2</v>
          </cell>
          <cell r="W1840">
            <v>1.125E-2</v>
          </cell>
          <cell r="X1840">
            <v>1.4249999999999999E-2</v>
          </cell>
          <cell r="Y1840">
            <v>1.6749999999999998E-2</v>
          </cell>
          <cell r="Z1840">
            <v>1.8749999999999999E-2</v>
          </cell>
          <cell r="AA1840">
            <v>2.0750000000000001E-2</v>
          </cell>
          <cell r="AB1840">
            <v>2.3E-2</v>
          </cell>
          <cell r="AC1840">
            <v>2.5599999999999998E-2</v>
          </cell>
        </row>
        <row r="1841">
          <cell r="T1841">
            <v>38049</v>
          </cell>
          <cell r="U1841">
            <v>1.0604000000000001E-2</v>
          </cell>
          <cell r="V1841">
            <v>1.0843E-2</v>
          </cell>
          <cell r="W1841">
            <v>1.125E-2</v>
          </cell>
          <cell r="X1841">
            <v>1.3950000000000001E-2</v>
          </cell>
          <cell r="Y1841">
            <v>1.6549999999999999E-2</v>
          </cell>
          <cell r="Z1841">
            <v>1.8550000000000001E-2</v>
          </cell>
          <cell r="AA1841">
            <v>2.0549999999999999E-2</v>
          </cell>
          <cell r="AB1841">
            <v>2.2850000000000002E-2</v>
          </cell>
          <cell r="AC1841">
            <v>2.5499999999999998E-2</v>
          </cell>
        </row>
        <row r="1842">
          <cell r="T1842">
            <v>38048</v>
          </cell>
          <cell r="U1842">
            <v>1.018E-2</v>
          </cell>
          <cell r="V1842">
            <v>1.0355000000000001E-2</v>
          </cell>
          <cell r="W1842">
            <v>1.0950000000000001E-2</v>
          </cell>
          <cell r="X1842">
            <v>1.375E-2</v>
          </cell>
          <cell r="Y1842">
            <v>1.6400000000000001E-2</v>
          </cell>
          <cell r="Z1842">
            <v>1.8250000000000002E-2</v>
          </cell>
          <cell r="AA1842">
            <v>2.0250000000000001E-2</v>
          </cell>
          <cell r="AB1842">
            <v>2.2499999999999999E-2</v>
          </cell>
          <cell r="AC1842">
            <v>2.5099999999999997E-2</v>
          </cell>
        </row>
        <row r="1843">
          <cell r="T1843">
            <v>38047</v>
          </cell>
          <cell r="U1843">
            <v>9.9729999999999992E-3</v>
          </cell>
          <cell r="V1843">
            <v>1.0251999999999999E-2</v>
          </cell>
          <cell r="W1843">
            <v>1.0950000000000001E-2</v>
          </cell>
          <cell r="X1843">
            <v>1.3450000000000002E-2</v>
          </cell>
          <cell r="Y1843">
            <v>1.5950000000000002E-2</v>
          </cell>
          <cell r="Z1843">
            <v>1.7850000000000001E-2</v>
          </cell>
          <cell r="AA1843">
            <v>1.985E-2</v>
          </cell>
          <cell r="AB1843">
            <v>2.1900000000000003E-2</v>
          </cell>
          <cell r="AC1843">
            <v>2.4500000000000001E-2</v>
          </cell>
        </row>
        <row r="1844">
          <cell r="T1844">
            <v>38046</v>
          </cell>
          <cell r="U1844">
            <v>9.8099999999999993E-3</v>
          </cell>
          <cell r="V1844">
            <v>1.0105999999999999E-2</v>
          </cell>
          <cell r="W1844">
            <v>1.0249999999999999E-2</v>
          </cell>
          <cell r="X1844">
            <v>1.375E-2</v>
          </cell>
          <cell r="Y1844">
            <v>1.6250000000000001E-2</v>
          </cell>
          <cell r="Z1844">
            <v>1.8349999999999998E-2</v>
          </cell>
          <cell r="AA1844">
            <v>2.0250000000000001E-2</v>
          </cell>
          <cell r="AB1844">
            <v>2.2400000000000003E-2</v>
          </cell>
          <cell r="AC1844">
            <v>2.5000000000000001E-2</v>
          </cell>
        </row>
        <row r="1845">
          <cell r="T1845">
            <v>38045</v>
          </cell>
          <cell r="U1845">
            <v>9.8099999999999993E-3</v>
          </cell>
          <cell r="V1845">
            <v>1.0105999999999999E-2</v>
          </cell>
          <cell r="W1845">
            <v>1.0249999999999999E-2</v>
          </cell>
          <cell r="X1845">
            <v>1.375E-2</v>
          </cell>
          <cell r="Y1845">
            <v>1.6250000000000001E-2</v>
          </cell>
          <cell r="Z1845">
            <v>1.8349999999999998E-2</v>
          </cell>
          <cell r="AA1845">
            <v>2.0250000000000001E-2</v>
          </cell>
          <cell r="AB1845">
            <v>2.2400000000000003E-2</v>
          </cell>
          <cell r="AC1845">
            <v>2.5000000000000001E-2</v>
          </cell>
        </row>
        <row r="1846">
          <cell r="T1846">
            <v>38044</v>
          </cell>
          <cell r="U1846">
            <v>9.8099999999999993E-3</v>
          </cell>
          <cell r="V1846">
            <v>1.0105999999999999E-2</v>
          </cell>
          <cell r="W1846">
            <v>1.0249999999999999E-2</v>
          </cell>
          <cell r="X1846">
            <v>1.375E-2</v>
          </cell>
          <cell r="Y1846">
            <v>1.6250000000000001E-2</v>
          </cell>
          <cell r="Z1846">
            <v>1.8349999999999998E-2</v>
          </cell>
          <cell r="AA1846">
            <v>2.0250000000000001E-2</v>
          </cell>
          <cell r="AB1846">
            <v>2.2400000000000003E-2</v>
          </cell>
          <cell r="AC1846">
            <v>2.5000000000000001E-2</v>
          </cell>
        </row>
        <row r="1847">
          <cell r="T1847">
            <v>38043</v>
          </cell>
          <cell r="U1847">
            <v>9.895000000000001E-3</v>
          </cell>
          <cell r="V1847">
            <v>1.0275000000000001E-2</v>
          </cell>
          <cell r="W1847">
            <v>0.01</v>
          </cell>
          <cell r="X1847">
            <v>1.3000000000000001E-2</v>
          </cell>
          <cell r="Y1847">
            <v>1.55E-2</v>
          </cell>
          <cell r="Z1847">
            <v>1.8149999999999999E-2</v>
          </cell>
          <cell r="AA1847">
            <v>2.0049999999999998E-2</v>
          </cell>
          <cell r="AB1847">
            <v>2.2199999999999998E-2</v>
          </cell>
          <cell r="AC1847">
            <v>2.4799999999999999E-2</v>
          </cell>
        </row>
        <row r="1848">
          <cell r="T1848">
            <v>38042</v>
          </cell>
          <cell r="U1848">
            <v>9.7809999999999998E-3</v>
          </cell>
          <cell r="V1848">
            <v>1.0105999999999999E-2</v>
          </cell>
          <cell r="W1848">
            <v>1.085E-2</v>
          </cell>
          <cell r="X1848">
            <v>1.3450000000000002E-2</v>
          </cell>
          <cell r="Y1848">
            <v>1.6049999999999998E-2</v>
          </cell>
          <cell r="Z1848">
            <v>1.805E-2</v>
          </cell>
          <cell r="AA1848">
            <v>2.0049999999999998E-2</v>
          </cell>
          <cell r="AB1848">
            <v>2.2000000000000002E-2</v>
          </cell>
          <cell r="AC1848">
            <v>2.4199999999999999E-2</v>
          </cell>
        </row>
        <row r="1849">
          <cell r="T1849">
            <v>38041</v>
          </cell>
          <cell r="U1849">
            <v>9.8999999999999991E-3</v>
          </cell>
          <cell r="V1849">
            <v>1.0128E-2</v>
          </cell>
          <cell r="W1849">
            <v>1.0950000000000001E-2</v>
          </cell>
          <cell r="X1849">
            <v>1.3849999999999999E-2</v>
          </cell>
          <cell r="Y1849">
            <v>1.6549999999999999E-2</v>
          </cell>
          <cell r="Z1849">
            <v>1.8550000000000001E-2</v>
          </cell>
          <cell r="AA1849">
            <v>2.0449999999999999E-2</v>
          </cell>
          <cell r="AB1849">
            <v>2.2700000000000001E-2</v>
          </cell>
          <cell r="AC1849">
            <v>2.52E-2</v>
          </cell>
        </row>
        <row r="1850">
          <cell r="T1850">
            <v>38040</v>
          </cell>
          <cell r="U1850">
            <v>9.8300000000000002E-3</v>
          </cell>
          <cell r="V1850">
            <v>1.0139E-2</v>
          </cell>
          <cell r="W1850">
            <v>1.085E-2</v>
          </cell>
          <cell r="X1850">
            <v>1.375E-2</v>
          </cell>
          <cell r="Y1850">
            <v>1.6549999999999999E-2</v>
          </cell>
          <cell r="Z1850">
            <v>1.8450000000000001E-2</v>
          </cell>
          <cell r="AA1850">
            <v>2.0400000000000001E-2</v>
          </cell>
          <cell r="AB1850">
            <v>2.2599999999999999E-2</v>
          </cell>
          <cell r="AC1850">
            <v>2.5000000000000001E-2</v>
          </cell>
        </row>
        <row r="1851">
          <cell r="T1851">
            <v>38039</v>
          </cell>
          <cell r="U1851">
            <v>9.8300000000000002E-3</v>
          </cell>
          <cell r="V1851">
            <v>1.0139E-2</v>
          </cell>
          <cell r="W1851">
            <v>1.0750000000000003E-2</v>
          </cell>
          <cell r="X1851">
            <v>1.3450000000000002E-2</v>
          </cell>
          <cell r="Y1851">
            <v>1.6150000000000001E-2</v>
          </cell>
          <cell r="Z1851">
            <v>1.805E-2</v>
          </cell>
          <cell r="AA1851">
            <v>2.0049999999999998E-2</v>
          </cell>
          <cell r="AB1851">
            <v>2.23E-2</v>
          </cell>
          <cell r="AC1851">
            <v>2.4699999999999996E-2</v>
          </cell>
        </row>
        <row r="1852">
          <cell r="T1852">
            <v>38038</v>
          </cell>
          <cell r="U1852">
            <v>9.8300000000000002E-3</v>
          </cell>
          <cell r="V1852">
            <v>1.0139E-2</v>
          </cell>
          <cell r="W1852">
            <v>1.0750000000000003E-2</v>
          </cell>
          <cell r="X1852">
            <v>1.3450000000000002E-2</v>
          </cell>
          <cell r="Y1852">
            <v>1.6150000000000001E-2</v>
          </cell>
          <cell r="Z1852">
            <v>1.805E-2</v>
          </cell>
          <cell r="AA1852">
            <v>2.0049999999999998E-2</v>
          </cell>
          <cell r="AB1852">
            <v>2.23E-2</v>
          </cell>
          <cell r="AC1852">
            <v>2.4699999999999996E-2</v>
          </cell>
        </row>
        <row r="1853">
          <cell r="T1853">
            <v>38037</v>
          </cell>
          <cell r="U1853">
            <v>9.8300000000000002E-3</v>
          </cell>
          <cell r="V1853">
            <v>1.0139E-2</v>
          </cell>
          <cell r="W1853">
            <v>1.0750000000000003E-2</v>
          </cell>
          <cell r="X1853">
            <v>1.3450000000000002E-2</v>
          </cell>
          <cell r="Y1853">
            <v>1.6150000000000001E-2</v>
          </cell>
          <cell r="Z1853">
            <v>1.805E-2</v>
          </cell>
          <cell r="AA1853">
            <v>2.0049999999999998E-2</v>
          </cell>
          <cell r="AB1853">
            <v>2.23E-2</v>
          </cell>
          <cell r="AC1853">
            <v>2.4699999999999996E-2</v>
          </cell>
        </row>
        <row r="1854">
          <cell r="T1854">
            <v>38036</v>
          </cell>
          <cell r="U1854">
            <v>9.7190000000000002E-3</v>
          </cell>
          <cell r="V1854">
            <v>1.0085E-2</v>
          </cell>
          <cell r="W1854">
            <v>1.0750000000000003E-2</v>
          </cell>
          <cell r="X1854">
            <v>1.3650000000000001E-2</v>
          </cell>
          <cell r="Y1854">
            <v>1.6449999999999999E-2</v>
          </cell>
          <cell r="Z1854">
            <v>1.8450000000000001E-2</v>
          </cell>
          <cell r="AA1854">
            <v>2.0449999999999999E-2</v>
          </cell>
          <cell r="AB1854">
            <v>2.2700000000000001E-2</v>
          </cell>
          <cell r="AC1854">
            <v>2.52E-2</v>
          </cell>
        </row>
        <row r="1855">
          <cell r="T1855">
            <v>38035</v>
          </cell>
          <cell r="U1855">
            <v>9.7470000000000005E-3</v>
          </cell>
          <cell r="V1855">
            <v>1.0284E-2</v>
          </cell>
          <cell r="W1855">
            <v>1.0550000000000002E-2</v>
          </cell>
          <cell r="X1855">
            <v>1.3450000000000002E-2</v>
          </cell>
          <cell r="Y1855">
            <v>1.6150000000000001E-2</v>
          </cell>
          <cell r="Z1855">
            <v>1.7950000000000001E-2</v>
          </cell>
          <cell r="AA1855">
            <v>2.0049999999999998E-2</v>
          </cell>
          <cell r="AB1855">
            <v>2.2099999999999998E-2</v>
          </cell>
          <cell r="AC1855">
            <v>2.4299999999999999E-2</v>
          </cell>
        </row>
        <row r="1856">
          <cell r="T1856">
            <v>38034</v>
          </cell>
          <cell r="U1856">
            <v>9.784000000000001E-3</v>
          </cell>
          <cell r="V1856">
            <v>1.0139E-2</v>
          </cell>
          <cell r="W1856">
            <v>1.1049999999999999E-2</v>
          </cell>
          <cell r="X1856">
            <v>1.4049999999999998E-2</v>
          </cell>
          <cell r="Y1856">
            <v>1.695E-2</v>
          </cell>
          <cell r="Z1856">
            <v>1.8950000000000002E-2</v>
          </cell>
          <cell r="AA1856">
            <v>2.0949999999999996E-2</v>
          </cell>
          <cell r="AB1856">
            <v>2.3099999999999996E-2</v>
          </cell>
          <cell r="AC1856">
            <v>2.5399999999999999E-2</v>
          </cell>
        </row>
        <row r="1857">
          <cell r="T1857">
            <v>38033</v>
          </cell>
          <cell r="U1857">
            <v>9.7999999999999997E-3</v>
          </cell>
          <cell r="V1857">
            <v>1.0189999999999999E-2</v>
          </cell>
          <cell r="W1857">
            <v>1.1299999999999999E-2</v>
          </cell>
          <cell r="X1857">
            <v>1.4499999999999999E-2</v>
          </cell>
          <cell r="Y1857">
            <v>1.8000000000000002E-2</v>
          </cell>
          <cell r="Z1857">
            <v>1.975E-2</v>
          </cell>
          <cell r="AA1857">
            <v>2.1649999999999999E-2</v>
          </cell>
          <cell r="AB1857">
            <v>2.3899999999999998E-2</v>
          </cell>
          <cell r="AC1857">
            <v>2.6200000000000001E-2</v>
          </cell>
        </row>
        <row r="1858">
          <cell r="T1858">
            <v>38032</v>
          </cell>
          <cell r="U1858">
            <v>9.7999999999999997E-3</v>
          </cell>
          <cell r="V1858">
            <v>1.0200000000000001E-2</v>
          </cell>
          <cell r="W1858">
            <v>1.1549999999999998E-2</v>
          </cell>
          <cell r="X1858">
            <v>1.4649999999999998E-2</v>
          </cell>
          <cell r="Y1858">
            <v>1.805E-2</v>
          </cell>
          <cell r="Z1858">
            <v>2.0049999999999998E-2</v>
          </cell>
          <cell r="AA1858">
            <v>2.1950000000000004E-2</v>
          </cell>
          <cell r="AB1858">
            <v>2.4199999999999999E-2</v>
          </cell>
          <cell r="AC1858">
            <v>2.6500000000000003E-2</v>
          </cell>
        </row>
        <row r="1859">
          <cell r="T1859">
            <v>38031</v>
          </cell>
          <cell r="U1859">
            <v>9.7999999999999997E-3</v>
          </cell>
          <cell r="V1859">
            <v>1.0200000000000001E-2</v>
          </cell>
          <cell r="W1859">
            <v>1.1549999999999998E-2</v>
          </cell>
          <cell r="X1859">
            <v>1.4649999999999998E-2</v>
          </cell>
          <cell r="Y1859">
            <v>1.805E-2</v>
          </cell>
          <cell r="Z1859">
            <v>2.0049999999999998E-2</v>
          </cell>
          <cell r="AA1859">
            <v>2.1950000000000004E-2</v>
          </cell>
          <cell r="AB1859">
            <v>2.4199999999999999E-2</v>
          </cell>
          <cell r="AC1859">
            <v>2.6500000000000003E-2</v>
          </cell>
        </row>
        <row r="1860">
          <cell r="T1860">
            <v>38030</v>
          </cell>
          <cell r="U1860">
            <v>9.7999999999999997E-3</v>
          </cell>
          <cell r="V1860">
            <v>1.0200000000000001E-2</v>
          </cell>
          <cell r="W1860">
            <v>1.1549999999999998E-2</v>
          </cell>
          <cell r="X1860">
            <v>1.4649999999999998E-2</v>
          </cell>
          <cell r="Y1860">
            <v>1.805E-2</v>
          </cell>
          <cell r="Z1860">
            <v>2.0049999999999998E-2</v>
          </cell>
          <cell r="AA1860">
            <v>2.1950000000000004E-2</v>
          </cell>
          <cell r="AB1860">
            <v>2.4199999999999999E-2</v>
          </cell>
          <cell r="AC1860">
            <v>2.6500000000000003E-2</v>
          </cell>
        </row>
        <row r="1861">
          <cell r="T1861">
            <v>38029</v>
          </cell>
          <cell r="U1861">
            <v>9.9769999999999998E-3</v>
          </cell>
          <cell r="V1861">
            <v>1.0294000000000001E-2</v>
          </cell>
          <cell r="W1861">
            <v>1.1650000000000001E-2</v>
          </cell>
          <cell r="X1861">
            <v>1.4750000000000001E-2</v>
          </cell>
          <cell r="Y1861">
            <v>1.805E-2</v>
          </cell>
          <cell r="Z1861">
            <v>1.9950000000000002E-2</v>
          </cell>
          <cell r="AA1861">
            <v>2.1950000000000004E-2</v>
          </cell>
          <cell r="AB1861">
            <v>2.4150000000000001E-2</v>
          </cell>
          <cell r="AC1861">
            <v>2.6500000000000003E-2</v>
          </cell>
        </row>
        <row r="1862">
          <cell r="T1862">
            <v>38028</v>
          </cell>
          <cell r="U1862">
            <v>9.9410000000000002E-3</v>
          </cell>
          <cell r="V1862">
            <v>1.0275000000000001E-2</v>
          </cell>
          <cell r="W1862">
            <v>1.1749999999999998E-2</v>
          </cell>
          <cell r="X1862">
            <v>1.5150000000000002E-2</v>
          </cell>
          <cell r="Y1862">
            <v>1.8450000000000001E-2</v>
          </cell>
          <cell r="Z1862">
            <v>2.0449999999999999E-2</v>
          </cell>
          <cell r="AA1862">
            <v>2.2450000000000001E-2</v>
          </cell>
          <cell r="AB1862">
            <v>2.4699999999999996E-2</v>
          </cell>
          <cell r="AC1862">
            <v>2.7000000000000003E-2</v>
          </cell>
        </row>
        <row r="1863">
          <cell r="T1863">
            <v>38027</v>
          </cell>
          <cell r="U1863">
            <v>9.9670000000000002E-3</v>
          </cell>
          <cell r="V1863">
            <v>1.0345999999999999E-2</v>
          </cell>
          <cell r="W1863">
            <v>1.1749999999999998E-2</v>
          </cell>
          <cell r="X1863">
            <v>1.5350000000000001E-2</v>
          </cell>
          <cell r="Y1863">
            <v>1.865E-2</v>
          </cell>
          <cell r="Z1863">
            <v>2.0549999999999999E-2</v>
          </cell>
          <cell r="AA1863">
            <v>2.265E-2</v>
          </cell>
          <cell r="AB1863">
            <v>2.5000000000000001E-2</v>
          </cell>
          <cell r="AC1863">
            <v>2.7400000000000001E-2</v>
          </cell>
        </row>
        <row r="1864">
          <cell r="T1864">
            <v>38026</v>
          </cell>
          <cell r="U1864">
            <v>9.9319999999999999E-3</v>
          </cell>
          <cell r="V1864">
            <v>1.0275000000000001E-2</v>
          </cell>
          <cell r="W1864">
            <v>1.1749999999999998E-2</v>
          </cell>
          <cell r="X1864">
            <v>1.525E-2</v>
          </cell>
          <cell r="Y1864">
            <v>1.8349999999999998E-2</v>
          </cell>
          <cell r="Z1864">
            <v>2.0449999999999999E-2</v>
          </cell>
          <cell r="AA1864">
            <v>2.2450000000000001E-2</v>
          </cell>
          <cell r="AB1864">
            <v>2.5099999999999997E-2</v>
          </cell>
          <cell r="AC1864">
            <v>2.75E-2</v>
          </cell>
        </row>
        <row r="1865">
          <cell r="T1865">
            <v>38025</v>
          </cell>
          <cell r="U1865">
            <v>9.9670000000000002E-3</v>
          </cell>
          <cell r="V1865">
            <v>1.0345999999999999E-2</v>
          </cell>
          <cell r="W1865">
            <v>1.1949999999999999E-2</v>
          </cell>
          <cell r="X1865">
            <v>1.525E-2</v>
          </cell>
          <cell r="Y1865">
            <v>1.8450000000000001E-2</v>
          </cell>
          <cell r="Z1865">
            <v>2.0649999999999998E-2</v>
          </cell>
          <cell r="AA1865">
            <v>2.265E-2</v>
          </cell>
          <cell r="AB1865">
            <v>2.5300000000000003E-2</v>
          </cell>
          <cell r="AC1865">
            <v>2.7699999999999999E-2</v>
          </cell>
        </row>
        <row r="1866">
          <cell r="T1866">
            <v>38024</v>
          </cell>
          <cell r="U1866">
            <v>9.9670000000000002E-3</v>
          </cell>
          <cell r="V1866">
            <v>1.0345999999999999E-2</v>
          </cell>
          <cell r="W1866">
            <v>1.1949999999999999E-2</v>
          </cell>
          <cell r="X1866">
            <v>1.525E-2</v>
          </cell>
          <cell r="Y1866">
            <v>1.8450000000000001E-2</v>
          </cell>
          <cell r="Z1866">
            <v>2.0649999999999998E-2</v>
          </cell>
          <cell r="AA1866">
            <v>2.265E-2</v>
          </cell>
          <cell r="AB1866">
            <v>2.5300000000000003E-2</v>
          </cell>
          <cell r="AC1866">
            <v>2.7699999999999999E-2</v>
          </cell>
        </row>
        <row r="1867">
          <cell r="T1867">
            <v>38023</v>
          </cell>
          <cell r="U1867">
            <v>9.9670000000000002E-3</v>
          </cell>
          <cell r="V1867">
            <v>1.0345999999999999E-2</v>
          </cell>
          <cell r="W1867">
            <v>1.1949999999999999E-2</v>
          </cell>
          <cell r="X1867">
            <v>1.525E-2</v>
          </cell>
          <cell r="Y1867">
            <v>1.8450000000000001E-2</v>
          </cell>
          <cell r="Z1867">
            <v>2.0649999999999998E-2</v>
          </cell>
          <cell r="AA1867">
            <v>2.265E-2</v>
          </cell>
          <cell r="AB1867">
            <v>2.5300000000000003E-2</v>
          </cell>
          <cell r="AC1867">
            <v>2.7699999999999999E-2</v>
          </cell>
        </row>
        <row r="1868">
          <cell r="T1868">
            <v>38022</v>
          </cell>
          <cell r="U1868">
            <v>9.9979999999999999E-3</v>
          </cell>
          <cell r="V1868">
            <v>1.0398000000000001E-2</v>
          </cell>
          <cell r="W1868">
            <v>1.1749999999999998E-2</v>
          </cell>
          <cell r="X1868">
            <v>1.5150000000000002E-2</v>
          </cell>
          <cell r="Y1868">
            <v>1.8349999999999998E-2</v>
          </cell>
          <cell r="Z1868">
            <v>2.0449999999999999E-2</v>
          </cell>
          <cell r="AA1868">
            <v>2.2450000000000001E-2</v>
          </cell>
          <cell r="AB1868">
            <v>2.5099999999999997E-2</v>
          </cell>
          <cell r="AC1868">
            <v>2.75E-2</v>
          </cell>
        </row>
        <row r="1869">
          <cell r="T1869">
            <v>38021</v>
          </cell>
          <cell r="U1869">
            <v>9.9979999999999999E-3</v>
          </cell>
          <cell r="V1869">
            <v>1.0398000000000001E-2</v>
          </cell>
          <cell r="W1869">
            <v>1.1749999999999998E-2</v>
          </cell>
          <cell r="X1869">
            <v>1.5049999999999999E-2</v>
          </cell>
          <cell r="Y1869">
            <v>1.8250000000000002E-2</v>
          </cell>
          <cell r="Z1869">
            <v>2.035E-2</v>
          </cell>
          <cell r="AA1869">
            <v>2.2250000000000002E-2</v>
          </cell>
          <cell r="AB1869">
            <v>2.5000000000000001E-2</v>
          </cell>
          <cell r="AC1869">
            <v>2.7400000000000001E-2</v>
          </cell>
        </row>
        <row r="1870">
          <cell r="T1870">
            <v>38020</v>
          </cell>
          <cell r="U1870">
            <v>1.0053000000000001E-2</v>
          </cell>
          <cell r="V1870">
            <v>1.0362E-2</v>
          </cell>
          <cell r="W1870">
            <v>1.1650000000000001E-2</v>
          </cell>
          <cell r="X1870">
            <v>1.4950000000000001E-2</v>
          </cell>
          <cell r="Y1870">
            <v>1.805E-2</v>
          </cell>
          <cell r="Z1870">
            <v>2.0150000000000001E-2</v>
          </cell>
          <cell r="AA1870">
            <v>2.215E-2</v>
          </cell>
          <cell r="AB1870">
            <v>2.4699999999999996E-2</v>
          </cell>
          <cell r="AC1870">
            <v>2.7099999999999999E-2</v>
          </cell>
        </row>
        <row r="1871">
          <cell r="T1871">
            <v>38019</v>
          </cell>
          <cell r="U1871">
            <v>1.0139E-2</v>
          </cell>
          <cell r="V1871">
            <v>1.0641000000000001E-2</v>
          </cell>
          <cell r="W1871">
            <v>1.1749999999999998E-2</v>
          </cell>
          <cell r="X1871">
            <v>1.5049999999999999E-2</v>
          </cell>
          <cell r="Y1871">
            <v>1.8250000000000002E-2</v>
          </cell>
          <cell r="Z1871">
            <v>2.0449999999999999E-2</v>
          </cell>
          <cell r="AA1871">
            <v>2.2349999999999998E-2</v>
          </cell>
          <cell r="AB1871">
            <v>2.4900000000000002E-2</v>
          </cell>
          <cell r="AC1871">
            <v>2.7300000000000001E-2</v>
          </cell>
        </row>
        <row r="1872">
          <cell r="T1872">
            <v>38018</v>
          </cell>
          <cell r="U1872">
            <v>1.0187E-2</v>
          </cell>
          <cell r="V1872">
            <v>1.0455000000000001E-2</v>
          </cell>
          <cell r="W1872">
            <v>1.1749999999999998E-2</v>
          </cell>
          <cell r="X1872">
            <v>1.5150000000000002E-2</v>
          </cell>
          <cell r="Y1872">
            <v>1.8250000000000002E-2</v>
          </cell>
          <cell r="Z1872">
            <v>2.0449999999999999E-2</v>
          </cell>
          <cell r="AA1872">
            <v>2.2450000000000001E-2</v>
          </cell>
          <cell r="AB1872">
            <v>2.5000000000000001E-2</v>
          </cell>
          <cell r="AC1872">
            <v>2.7400000000000001E-2</v>
          </cell>
        </row>
        <row r="1873">
          <cell r="T1873">
            <v>38017</v>
          </cell>
          <cell r="U1873">
            <v>1.0187E-2</v>
          </cell>
          <cell r="V1873">
            <v>1.0455000000000001E-2</v>
          </cell>
          <cell r="W1873">
            <v>1.1749999999999998E-2</v>
          </cell>
          <cell r="X1873">
            <v>1.5150000000000002E-2</v>
          </cell>
          <cell r="Y1873">
            <v>1.8250000000000002E-2</v>
          </cell>
          <cell r="Z1873">
            <v>2.0449999999999999E-2</v>
          </cell>
          <cell r="AA1873">
            <v>2.2450000000000001E-2</v>
          </cell>
          <cell r="AB1873">
            <v>2.5000000000000001E-2</v>
          </cell>
          <cell r="AC1873">
            <v>2.7400000000000001E-2</v>
          </cell>
        </row>
        <row r="1874">
          <cell r="T1874">
            <v>38016</v>
          </cell>
          <cell r="U1874">
            <v>1.0187E-2</v>
          </cell>
          <cell r="V1874">
            <v>1.0455000000000001E-2</v>
          </cell>
          <cell r="W1874">
            <v>1.1749999999999998E-2</v>
          </cell>
          <cell r="X1874">
            <v>1.5150000000000002E-2</v>
          </cell>
          <cell r="Y1874">
            <v>1.8250000000000002E-2</v>
          </cell>
          <cell r="Z1874">
            <v>2.0449999999999999E-2</v>
          </cell>
          <cell r="AA1874">
            <v>2.2450000000000001E-2</v>
          </cell>
          <cell r="AB1874">
            <v>2.5000000000000001E-2</v>
          </cell>
          <cell r="AC1874">
            <v>2.7400000000000001E-2</v>
          </cell>
        </row>
        <row r="1875">
          <cell r="T1875">
            <v>38015</v>
          </cell>
          <cell r="U1875">
            <v>1.0278000000000001E-2</v>
          </cell>
          <cell r="V1875">
            <v>1.0781000000000001E-2</v>
          </cell>
          <cell r="W1875">
            <v>1.1749999999999998E-2</v>
          </cell>
          <cell r="X1875">
            <v>1.5049999999999999E-2</v>
          </cell>
          <cell r="Y1875">
            <v>1.8250000000000002E-2</v>
          </cell>
          <cell r="Z1875">
            <v>2.0449999999999999E-2</v>
          </cell>
          <cell r="AA1875">
            <v>2.2349999999999998E-2</v>
          </cell>
          <cell r="AB1875">
            <v>2.5099999999999997E-2</v>
          </cell>
          <cell r="AC1875">
            <v>2.7400000000000001E-2</v>
          </cell>
        </row>
        <row r="1876">
          <cell r="T1876">
            <v>38014</v>
          </cell>
          <cell r="U1876">
            <v>1.0375000000000001E-2</v>
          </cell>
          <cell r="V1876">
            <v>1.0821000000000001E-2</v>
          </cell>
          <cell r="W1876">
            <v>1.1749999999999998E-2</v>
          </cell>
          <cell r="X1876">
            <v>1.525E-2</v>
          </cell>
          <cell r="Y1876">
            <v>1.8250000000000002E-2</v>
          </cell>
          <cell r="Z1876">
            <v>2.0549999999999999E-2</v>
          </cell>
          <cell r="AA1876">
            <v>2.2550000000000001E-2</v>
          </cell>
          <cell r="AB1876">
            <v>2.52E-2</v>
          </cell>
          <cell r="AC1876">
            <v>2.75E-2</v>
          </cell>
        </row>
        <row r="1877">
          <cell r="T1877">
            <v>38013</v>
          </cell>
          <cell r="U1877">
            <v>1.0318000000000001E-2</v>
          </cell>
          <cell r="V1877">
            <v>1.0704999999999999E-2</v>
          </cell>
          <cell r="W1877">
            <v>1.1850000000000001E-2</v>
          </cell>
          <cell r="X1877">
            <v>1.5150000000000002E-2</v>
          </cell>
          <cell r="Y1877">
            <v>1.8250000000000002E-2</v>
          </cell>
          <cell r="Z1877">
            <v>2.0549999999999999E-2</v>
          </cell>
          <cell r="AA1877">
            <v>2.2450000000000001E-2</v>
          </cell>
          <cell r="AB1877">
            <v>2.5099999999999997E-2</v>
          </cell>
          <cell r="AC1877">
            <v>2.7400000000000001E-2</v>
          </cell>
        </row>
        <row r="1878">
          <cell r="T1878">
            <v>38012</v>
          </cell>
          <cell r="U1878">
            <v>1.0388999999999999E-2</v>
          </cell>
          <cell r="V1878">
            <v>1.0610999999999999E-2</v>
          </cell>
          <cell r="W1878">
            <v>1.1650000000000001E-2</v>
          </cell>
          <cell r="X1878">
            <v>1.4750000000000001E-2</v>
          </cell>
          <cell r="Y1878">
            <v>1.7749999999999998E-2</v>
          </cell>
          <cell r="Z1878">
            <v>1.975E-2</v>
          </cell>
          <cell r="AA1878">
            <v>2.1850000000000001E-2</v>
          </cell>
          <cell r="AB1878">
            <v>2.46E-2</v>
          </cell>
          <cell r="AC1878">
            <v>2.6900000000000004E-2</v>
          </cell>
        </row>
        <row r="1879">
          <cell r="T1879">
            <v>38011</v>
          </cell>
          <cell r="U1879">
            <v>1.0388999999999999E-2</v>
          </cell>
          <cell r="V1879">
            <v>1.0610999999999999E-2</v>
          </cell>
          <cell r="W1879">
            <v>1.1650000000000001E-2</v>
          </cell>
          <cell r="X1879">
            <v>1.4750000000000001E-2</v>
          </cell>
          <cell r="Y1879">
            <v>1.7749999999999998E-2</v>
          </cell>
          <cell r="Z1879">
            <v>1.975E-2</v>
          </cell>
          <cell r="AA1879">
            <v>2.1850000000000001E-2</v>
          </cell>
          <cell r="AB1879">
            <v>2.46E-2</v>
          </cell>
          <cell r="AC1879">
            <v>2.6900000000000004E-2</v>
          </cell>
        </row>
        <row r="1880">
          <cell r="T1880">
            <v>38010</v>
          </cell>
          <cell r="U1880">
            <v>1.0388999999999999E-2</v>
          </cell>
          <cell r="V1880">
            <v>1.0610999999999999E-2</v>
          </cell>
          <cell r="W1880">
            <v>1.1650000000000001E-2</v>
          </cell>
          <cell r="X1880">
            <v>1.4750000000000001E-2</v>
          </cell>
          <cell r="Y1880">
            <v>1.7749999999999998E-2</v>
          </cell>
          <cell r="Z1880">
            <v>1.975E-2</v>
          </cell>
          <cell r="AA1880">
            <v>2.1850000000000001E-2</v>
          </cell>
          <cell r="AB1880">
            <v>2.46E-2</v>
          </cell>
          <cell r="AC1880">
            <v>2.6900000000000004E-2</v>
          </cell>
        </row>
        <row r="1881">
          <cell r="T1881">
            <v>38009</v>
          </cell>
          <cell r="U1881">
            <v>1.0388999999999999E-2</v>
          </cell>
          <cell r="V1881">
            <v>1.0610999999999999E-2</v>
          </cell>
          <cell r="W1881">
            <v>1.1650000000000001E-2</v>
          </cell>
          <cell r="X1881">
            <v>1.4750000000000001E-2</v>
          </cell>
          <cell r="Y1881">
            <v>1.7749999999999998E-2</v>
          </cell>
          <cell r="Z1881">
            <v>1.975E-2</v>
          </cell>
          <cell r="AA1881">
            <v>2.1850000000000001E-2</v>
          </cell>
          <cell r="AB1881">
            <v>2.46E-2</v>
          </cell>
          <cell r="AC1881">
            <v>2.6900000000000004E-2</v>
          </cell>
        </row>
        <row r="1882">
          <cell r="T1882">
            <v>38008</v>
          </cell>
          <cell r="U1882">
            <v>1.0388999999999999E-2</v>
          </cell>
          <cell r="V1882">
            <v>1.0610999999999999E-2</v>
          </cell>
          <cell r="W1882">
            <v>1.1650000000000001E-2</v>
          </cell>
          <cell r="X1882">
            <v>1.4750000000000001E-2</v>
          </cell>
          <cell r="Y1882">
            <v>1.7749999999999998E-2</v>
          </cell>
          <cell r="Z1882">
            <v>1.975E-2</v>
          </cell>
          <cell r="AA1882">
            <v>2.1850000000000001E-2</v>
          </cell>
          <cell r="AB1882">
            <v>2.46E-2</v>
          </cell>
          <cell r="AC1882">
            <v>2.6900000000000004E-2</v>
          </cell>
        </row>
        <row r="1883">
          <cell r="T1883">
            <v>38007</v>
          </cell>
          <cell r="U1883">
            <v>1.0388999999999999E-2</v>
          </cell>
          <cell r="V1883">
            <v>1.0610999999999999E-2</v>
          </cell>
          <cell r="W1883">
            <v>1.1650000000000001E-2</v>
          </cell>
          <cell r="X1883">
            <v>1.4750000000000001E-2</v>
          </cell>
          <cell r="Y1883">
            <v>1.7749999999999998E-2</v>
          </cell>
          <cell r="Z1883">
            <v>1.975E-2</v>
          </cell>
          <cell r="AA1883">
            <v>2.1850000000000001E-2</v>
          </cell>
          <cell r="AB1883">
            <v>2.46E-2</v>
          </cell>
          <cell r="AC1883">
            <v>2.6900000000000004E-2</v>
          </cell>
        </row>
        <row r="1884">
          <cell r="T1884">
            <v>38006</v>
          </cell>
          <cell r="U1884">
            <v>1.0388999999999999E-2</v>
          </cell>
          <cell r="V1884">
            <v>1.0610999999999999E-2</v>
          </cell>
          <cell r="W1884">
            <v>1.1650000000000001E-2</v>
          </cell>
          <cell r="X1884">
            <v>1.4750000000000001E-2</v>
          </cell>
          <cell r="Y1884">
            <v>1.7749999999999998E-2</v>
          </cell>
          <cell r="Z1884">
            <v>1.975E-2</v>
          </cell>
          <cell r="AA1884">
            <v>2.1850000000000001E-2</v>
          </cell>
          <cell r="AB1884">
            <v>2.46E-2</v>
          </cell>
          <cell r="AC1884">
            <v>2.6900000000000004E-2</v>
          </cell>
        </row>
        <row r="1885">
          <cell r="T1885">
            <v>38005</v>
          </cell>
          <cell r="U1885">
            <v>1.0385999999999999E-2</v>
          </cell>
          <cell r="V1885">
            <v>1.0727E-2</v>
          </cell>
          <cell r="W1885">
            <v>1.1650000000000001E-2</v>
          </cell>
          <cell r="X1885">
            <v>1.4750000000000001E-2</v>
          </cell>
          <cell r="Y1885">
            <v>1.7749999999999998E-2</v>
          </cell>
          <cell r="Z1885">
            <v>1.975E-2</v>
          </cell>
          <cell r="AA1885">
            <v>2.1850000000000001E-2</v>
          </cell>
          <cell r="AB1885">
            <v>2.46E-2</v>
          </cell>
          <cell r="AC1885">
            <v>2.6900000000000004E-2</v>
          </cell>
        </row>
        <row r="1886">
          <cell r="T1886">
            <v>38004</v>
          </cell>
          <cell r="U1886">
            <v>1.0364E-2</v>
          </cell>
          <cell r="V1886">
            <v>1.0727E-2</v>
          </cell>
          <cell r="W1886">
            <v>1.1549999999999998E-2</v>
          </cell>
          <cell r="X1886">
            <v>1.4649999999999998E-2</v>
          </cell>
          <cell r="Y1886">
            <v>1.745E-2</v>
          </cell>
          <cell r="Z1886">
            <v>1.9649999999999997E-2</v>
          </cell>
          <cell r="AA1886">
            <v>2.1850000000000001E-2</v>
          </cell>
          <cell r="AB1886">
            <v>2.46E-2</v>
          </cell>
          <cell r="AC1886">
            <v>2.7199999999999998E-2</v>
          </cell>
        </row>
        <row r="1887">
          <cell r="T1887">
            <v>38003</v>
          </cell>
          <cell r="U1887">
            <v>1.0364E-2</v>
          </cell>
          <cell r="V1887">
            <v>1.0727E-2</v>
          </cell>
          <cell r="W1887">
            <v>1.1549999999999998E-2</v>
          </cell>
          <cell r="X1887">
            <v>1.4649999999999998E-2</v>
          </cell>
          <cell r="Y1887">
            <v>1.745E-2</v>
          </cell>
          <cell r="Z1887">
            <v>1.9649999999999997E-2</v>
          </cell>
          <cell r="AA1887">
            <v>2.1850000000000001E-2</v>
          </cell>
          <cell r="AB1887">
            <v>2.46E-2</v>
          </cell>
          <cell r="AC1887">
            <v>2.7199999999999998E-2</v>
          </cell>
        </row>
        <row r="1888">
          <cell r="T1888">
            <v>38002</v>
          </cell>
          <cell r="U1888">
            <v>1.0364E-2</v>
          </cell>
          <cell r="V1888">
            <v>1.0727E-2</v>
          </cell>
          <cell r="W1888">
            <v>1.1549999999999998E-2</v>
          </cell>
          <cell r="X1888">
            <v>1.4649999999999998E-2</v>
          </cell>
          <cell r="Y1888">
            <v>1.745E-2</v>
          </cell>
          <cell r="Z1888">
            <v>1.9649999999999997E-2</v>
          </cell>
          <cell r="AA1888">
            <v>2.1850000000000001E-2</v>
          </cell>
          <cell r="AB1888">
            <v>2.46E-2</v>
          </cell>
          <cell r="AC1888">
            <v>2.7199999999999998E-2</v>
          </cell>
        </row>
        <row r="1889">
          <cell r="T1889">
            <v>38001</v>
          </cell>
          <cell r="U1889">
            <v>1.0354E-2</v>
          </cell>
          <cell r="V1889">
            <v>1.0688E-2</v>
          </cell>
          <cell r="W1889">
            <v>1.1549999999999998E-2</v>
          </cell>
          <cell r="X1889">
            <v>1.455E-2</v>
          </cell>
          <cell r="Y1889">
            <v>1.755E-2</v>
          </cell>
          <cell r="Z1889">
            <v>1.985E-2</v>
          </cell>
          <cell r="AA1889">
            <v>2.205E-2</v>
          </cell>
          <cell r="AB1889">
            <v>2.4699999999999996E-2</v>
          </cell>
          <cell r="AC1889">
            <v>2.7300000000000001E-2</v>
          </cell>
        </row>
        <row r="1890">
          <cell r="T1890">
            <v>38000</v>
          </cell>
          <cell r="U1890">
            <v>1.0364E-2</v>
          </cell>
          <cell r="V1890">
            <v>1.0682000000000001E-2</v>
          </cell>
          <cell r="W1890">
            <v>1.1549999999999998E-2</v>
          </cell>
          <cell r="X1890">
            <v>1.4449999999999998E-2</v>
          </cell>
          <cell r="Y1890">
            <v>1.7349999999999997E-2</v>
          </cell>
          <cell r="Z1890">
            <v>1.9649999999999997E-2</v>
          </cell>
          <cell r="AA1890">
            <v>2.1850000000000001E-2</v>
          </cell>
          <cell r="AB1890">
            <v>2.4400000000000005E-2</v>
          </cell>
          <cell r="AC1890">
            <v>2.7000000000000003E-2</v>
          </cell>
        </row>
        <row r="1891">
          <cell r="T1891">
            <v>37999</v>
          </cell>
          <cell r="U1891">
            <v>1.0500000000000001E-2</v>
          </cell>
          <cell r="V1891">
            <v>1.0888999999999999E-2</v>
          </cell>
          <cell r="W1891">
            <v>1.1749999999999998E-2</v>
          </cell>
          <cell r="X1891">
            <v>1.5150000000000002E-2</v>
          </cell>
          <cell r="Y1891">
            <v>1.8250000000000002E-2</v>
          </cell>
          <cell r="Z1891">
            <v>2.0649999999999998E-2</v>
          </cell>
          <cell r="AA1891">
            <v>2.2850000000000002E-2</v>
          </cell>
          <cell r="AB1891">
            <v>2.5499999999999998E-2</v>
          </cell>
          <cell r="AC1891">
            <v>2.8099999999999997E-2</v>
          </cell>
        </row>
        <row r="1892">
          <cell r="T1892">
            <v>37998</v>
          </cell>
          <cell r="U1892">
            <v>1.0545000000000001E-2</v>
          </cell>
          <cell r="V1892">
            <v>1.0841E-2</v>
          </cell>
          <cell r="W1892">
            <v>1.2699999999999999E-2</v>
          </cell>
          <cell r="X1892">
            <v>1.6250000000000001E-2</v>
          </cell>
          <cell r="Y1892">
            <v>1.8250000000000002E-2</v>
          </cell>
          <cell r="Z1892">
            <v>2.0649999999999998E-2</v>
          </cell>
          <cell r="AA1892">
            <v>2.3049999999999998E-2</v>
          </cell>
          <cell r="AB1892">
            <v>2.5700000000000004E-2</v>
          </cell>
          <cell r="AC1892">
            <v>2.8300000000000002E-2</v>
          </cell>
        </row>
        <row r="1893">
          <cell r="T1893">
            <v>37997</v>
          </cell>
          <cell r="U1893">
            <v>1.0500000000000001E-2</v>
          </cell>
          <cell r="V1893">
            <v>1.0800000000000001E-2</v>
          </cell>
          <cell r="W1893">
            <v>1.2999999999999998E-2</v>
          </cell>
          <cell r="X1893">
            <v>1.6500000000000001E-2</v>
          </cell>
          <cell r="Y1893">
            <v>0.02</v>
          </cell>
          <cell r="Z1893">
            <v>2.145E-2</v>
          </cell>
          <cell r="AA1893">
            <v>2.375E-2</v>
          </cell>
          <cell r="AB1893">
            <v>2.6100000000000002E-2</v>
          </cell>
          <cell r="AC1893">
            <v>2.9500000000000002E-2</v>
          </cell>
        </row>
        <row r="1894">
          <cell r="T1894">
            <v>37996</v>
          </cell>
          <cell r="U1894">
            <v>1.0500000000000001E-2</v>
          </cell>
          <cell r="V1894">
            <v>1.0800000000000001E-2</v>
          </cell>
          <cell r="W1894">
            <v>1.2999999999999998E-2</v>
          </cell>
          <cell r="X1894">
            <v>1.6500000000000001E-2</v>
          </cell>
          <cell r="Y1894">
            <v>0.02</v>
          </cell>
          <cell r="Z1894">
            <v>2.145E-2</v>
          </cell>
          <cell r="AA1894">
            <v>2.375E-2</v>
          </cell>
          <cell r="AB1894">
            <v>2.6100000000000002E-2</v>
          </cell>
          <cell r="AC1894">
            <v>2.9500000000000002E-2</v>
          </cell>
        </row>
        <row r="1895">
          <cell r="T1895">
            <v>37995</v>
          </cell>
          <cell r="U1895">
            <v>1.0500000000000001E-2</v>
          </cell>
          <cell r="V1895">
            <v>1.0800000000000001E-2</v>
          </cell>
          <cell r="W1895">
            <v>1.2999999999999998E-2</v>
          </cell>
          <cell r="X1895">
            <v>1.6500000000000001E-2</v>
          </cell>
          <cell r="Y1895">
            <v>0.02</v>
          </cell>
          <cell r="Z1895">
            <v>2.145E-2</v>
          </cell>
          <cell r="AA1895">
            <v>2.375E-2</v>
          </cell>
          <cell r="AB1895">
            <v>2.6100000000000002E-2</v>
          </cell>
          <cell r="AC1895">
            <v>2.9500000000000002E-2</v>
          </cell>
        </row>
        <row r="1896">
          <cell r="T1896">
            <v>37994</v>
          </cell>
          <cell r="U1896">
            <v>1.0521000000000001E-2</v>
          </cell>
          <cell r="V1896">
            <v>1.0811999999999999E-2</v>
          </cell>
          <cell r="W1896">
            <v>1.1949999999999999E-2</v>
          </cell>
          <cell r="X1896">
            <v>1.5350000000000001E-2</v>
          </cell>
          <cell r="Y1896">
            <v>1.8749999999999999E-2</v>
          </cell>
          <cell r="Z1896">
            <v>2.1150000000000002E-2</v>
          </cell>
          <cell r="AA1896">
            <v>2.3449999999999999E-2</v>
          </cell>
          <cell r="AB1896">
            <v>2.6100000000000002E-2</v>
          </cell>
          <cell r="AC1896">
            <v>2.9100000000000001E-2</v>
          </cell>
        </row>
        <row r="1897">
          <cell r="T1897">
            <v>37993</v>
          </cell>
          <cell r="U1897">
            <v>1.0521000000000001E-2</v>
          </cell>
          <cell r="V1897">
            <v>1.0832999999999999E-2</v>
          </cell>
          <cell r="W1897">
            <v>1.1850000000000001E-2</v>
          </cell>
          <cell r="X1897">
            <v>1.525E-2</v>
          </cell>
          <cell r="Y1897">
            <v>1.865E-2</v>
          </cell>
          <cell r="Z1897">
            <v>2.1150000000000002E-2</v>
          </cell>
          <cell r="AA1897">
            <v>2.3449999999999999E-2</v>
          </cell>
          <cell r="AB1897">
            <v>2.6200000000000001E-2</v>
          </cell>
          <cell r="AC1897">
            <v>2.92E-2</v>
          </cell>
        </row>
        <row r="1898">
          <cell r="T1898">
            <v>37992</v>
          </cell>
          <cell r="U1898">
            <v>1.0593999999999999E-2</v>
          </cell>
          <cell r="V1898">
            <v>1.1094E-2</v>
          </cell>
          <cell r="W1898">
            <v>1.205E-2</v>
          </cell>
          <cell r="X1898">
            <v>1.5350000000000001E-2</v>
          </cell>
          <cell r="Y1898">
            <v>1.8550000000000001E-2</v>
          </cell>
          <cell r="Z1898">
            <v>2.1150000000000002E-2</v>
          </cell>
          <cell r="AA1898">
            <v>2.3449999999999999E-2</v>
          </cell>
          <cell r="AB1898">
            <v>2.6200000000000001E-2</v>
          </cell>
          <cell r="AC1898">
            <v>2.92E-2</v>
          </cell>
        </row>
        <row r="1899">
          <cell r="T1899">
            <v>37991</v>
          </cell>
          <cell r="U1899">
            <v>1.0549999999999999E-2</v>
          </cell>
          <cell r="V1899">
            <v>1.0775E-2</v>
          </cell>
          <cell r="W1899">
            <v>1.225E-2</v>
          </cell>
          <cell r="X1899">
            <v>1.575E-2</v>
          </cell>
          <cell r="Y1899">
            <v>1.8950000000000002E-2</v>
          </cell>
          <cell r="Z1899">
            <v>2.1550000000000003E-2</v>
          </cell>
          <cell r="AA1899">
            <v>2.3949999999999999E-2</v>
          </cell>
          <cell r="AB1899">
            <v>2.6699999999999998E-2</v>
          </cell>
          <cell r="AC1899">
            <v>2.9699999999999997E-2</v>
          </cell>
        </row>
        <row r="1900">
          <cell r="T1900">
            <v>37990</v>
          </cell>
          <cell r="U1900">
            <v>1.0604000000000001E-2</v>
          </cell>
          <cell r="V1900">
            <v>1.0874999999999999E-2</v>
          </cell>
          <cell r="W1900">
            <v>1.2149999999999999E-2</v>
          </cell>
          <cell r="X1900">
            <v>1.5550000000000001E-2</v>
          </cell>
          <cell r="Y1900">
            <v>1.8849999999999999E-2</v>
          </cell>
          <cell r="Z1900">
            <v>2.1250000000000002E-2</v>
          </cell>
          <cell r="AA1900">
            <v>2.3849999999999996E-2</v>
          </cell>
          <cell r="AB1900">
            <v>2.6799999999999997E-2</v>
          </cell>
          <cell r="AC1900">
            <v>2.9299999999999996E-2</v>
          </cell>
        </row>
        <row r="1901">
          <cell r="T1901">
            <v>37989</v>
          </cell>
          <cell r="U1901">
            <v>1.0604000000000001E-2</v>
          </cell>
          <cell r="V1901">
            <v>1.0874999999999999E-2</v>
          </cell>
          <cell r="W1901">
            <v>1.2149999999999999E-2</v>
          </cell>
          <cell r="X1901">
            <v>1.5550000000000001E-2</v>
          </cell>
          <cell r="Y1901">
            <v>1.8849999999999999E-2</v>
          </cell>
          <cell r="Z1901">
            <v>2.1250000000000002E-2</v>
          </cell>
          <cell r="AA1901">
            <v>2.3849999999999996E-2</v>
          </cell>
          <cell r="AB1901">
            <v>2.6799999999999997E-2</v>
          </cell>
          <cell r="AC1901">
            <v>2.9299999999999996E-2</v>
          </cell>
        </row>
        <row r="1902">
          <cell r="T1902">
            <v>37988</v>
          </cell>
          <cell r="U1902">
            <v>1.0604000000000001E-2</v>
          </cell>
          <cell r="V1902">
            <v>1.0874999999999999E-2</v>
          </cell>
          <cell r="W1902">
            <v>1.2149999999999999E-2</v>
          </cell>
          <cell r="X1902">
            <v>1.5550000000000001E-2</v>
          </cell>
          <cell r="Y1902">
            <v>1.8849999999999999E-2</v>
          </cell>
          <cell r="Z1902">
            <v>2.1250000000000002E-2</v>
          </cell>
          <cell r="AA1902">
            <v>2.3849999999999996E-2</v>
          </cell>
          <cell r="AB1902">
            <v>2.6799999999999997E-2</v>
          </cell>
          <cell r="AC1902">
            <v>2.9299999999999996E-2</v>
          </cell>
        </row>
        <row r="1903">
          <cell r="T1903">
            <v>37987</v>
          </cell>
          <cell r="U1903">
            <v>1.0593999999999999E-2</v>
          </cell>
          <cell r="V1903">
            <v>1.0895999999999999E-2</v>
          </cell>
          <cell r="W1903">
            <v>1.1749999999999998E-2</v>
          </cell>
          <cell r="X1903">
            <v>1.5049999999999999E-2</v>
          </cell>
          <cell r="Y1903">
            <v>1.8250000000000002E-2</v>
          </cell>
          <cell r="Z1903">
            <v>2.0649999999999998E-2</v>
          </cell>
          <cell r="AA1903">
            <v>2.2850000000000002E-2</v>
          </cell>
          <cell r="AB1903">
            <v>2.5399999999999999E-2</v>
          </cell>
          <cell r="AC1903">
            <v>2.7900000000000001E-2</v>
          </cell>
        </row>
        <row r="1904">
          <cell r="T1904">
            <v>37986</v>
          </cell>
          <cell r="U1904">
            <v>1.0593999999999999E-2</v>
          </cell>
          <cell r="V1904">
            <v>1.0895999999999999E-2</v>
          </cell>
          <cell r="W1904">
            <v>1.1749999999999998E-2</v>
          </cell>
          <cell r="X1904">
            <v>1.5049999999999999E-2</v>
          </cell>
          <cell r="Y1904">
            <v>1.8250000000000002E-2</v>
          </cell>
          <cell r="Z1904">
            <v>2.0649999999999998E-2</v>
          </cell>
          <cell r="AA1904">
            <v>2.2850000000000002E-2</v>
          </cell>
          <cell r="AB1904">
            <v>2.5399999999999999E-2</v>
          </cell>
          <cell r="AC1904">
            <v>2.7900000000000001E-2</v>
          </cell>
        </row>
        <row r="1905">
          <cell r="T1905">
            <v>37985</v>
          </cell>
          <cell r="U1905">
            <v>1.0593999999999999E-2</v>
          </cell>
          <cell r="V1905">
            <v>1.0895999999999999E-2</v>
          </cell>
          <cell r="W1905">
            <v>1.2349999999999998E-2</v>
          </cell>
          <cell r="X1905">
            <v>1.5350000000000001E-2</v>
          </cell>
          <cell r="Y1905">
            <v>1.8450000000000001E-2</v>
          </cell>
          <cell r="Z1905">
            <v>2.0949999999999996E-2</v>
          </cell>
          <cell r="AA1905">
            <v>2.3250000000000003E-2</v>
          </cell>
          <cell r="AB1905">
            <v>2.58E-2</v>
          </cell>
          <cell r="AC1905">
            <v>2.8300000000000002E-2</v>
          </cell>
        </row>
        <row r="1906">
          <cell r="T1906">
            <v>37984</v>
          </cell>
          <cell r="U1906">
            <v>1.0557E-2</v>
          </cell>
          <cell r="V1906">
            <v>1.0886E-2</v>
          </cell>
          <cell r="W1906">
            <v>1.1650000000000001E-2</v>
          </cell>
          <cell r="X1906">
            <v>1.455E-2</v>
          </cell>
          <cell r="Y1906">
            <v>1.7749999999999998E-2</v>
          </cell>
          <cell r="Z1906">
            <v>2.0250000000000001E-2</v>
          </cell>
          <cell r="AA1906">
            <v>2.265E-2</v>
          </cell>
          <cell r="AB1906">
            <v>2.5599999999999998E-2</v>
          </cell>
          <cell r="AC1906">
            <v>2.7699999999999999E-2</v>
          </cell>
        </row>
        <row r="1907">
          <cell r="T1907">
            <v>37983</v>
          </cell>
          <cell r="U1907">
            <v>1.0562E-2</v>
          </cell>
          <cell r="V1907">
            <v>1.0925000000000001E-2</v>
          </cell>
          <cell r="W1907">
            <v>1.1749999999999998E-2</v>
          </cell>
          <cell r="X1907">
            <v>1.4849999999999999E-2</v>
          </cell>
          <cell r="Y1907">
            <v>1.8250000000000002E-2</v>
          </cell>
          <cell r="Z1907">
            <v>2.0750000000000001E-2</v>
          </cell>
          <cell r="AA1907">
            <v>2.315E-2</v>
          </cell>
          <cell r="AB1907">
            <v>2.5899999999999999E-2</v>
          </cell>
          <cell r="AC1907">
            <v>2.8200000000000003E-2</v>
          </cell>
        </row>
        <row r="1908">
          <cell r="T1908">
            <v>37982</v>
          </cell>
          <cell r="U1908">
            <v>1.0562E-2</v>
          </cell>
          <cell r="V1908">
            <v>1.0925000000000001E-2</v>
          </cell>
          <cell r="W1908">
            <v>1.1749999999999998E-2</v>
          </cell>
          <cell r="X1908">
            <v>1.4849999999999999E-2</v>
          </cell>
          <cell r="Y1908">
            <v>1.8250000000000002E-2</v>
          </cell>
          <cell r="Z1908">
            <v>2.0750000000000001E-2</v>
          </cell>
          <cell r="AA1908">
            <v>2.315E-2</v>
          </cell>
          <cell r="AB1908">
            <v>2.5899999999999999E-2</v>
          </cell>
          <cell r="AC1908">
            <v>2.8200000000000003E-2</v>
          </cell>
        </row>
        <row r="1909">
          <cell r="T1909">
            <v>37981</v>
          </cell>
          <cell r="U1909">
            <v>1.0562E-2</v>
          </cell>
          <cell r="V1909">
            <v>1.0925000000000001E-2</v>
          </cell>
          <cell r="W1909">
            <v>1.1749999999999998E-2</v>
          </cell>
          <cell r="X1909">
            <v>1.4849999999999999E-2</v>
          </cell>
          <cell r="Y1909">
            <v>1.8250000000000002E-2</v>
          </cell>
          <cell r="Z1909">
            <v>2.0750000000000001E-2</v>
          </cell>
          <cell r="AA1909">
            <v>2.315E-2</v>
          </cell>
          <cell r="AB1909">
            <v>2.5899999999999999E-2</v>
          </cell>
          <cell r="AC1909">
            <v>2.8200000000000003E-2</v>
          </cell>
        </row>
        <row r="1910">
          <cell r="T1910">
            <v>37980</v>
          </cell>
          <cell r="U1910">
            <v>1.0538E-2</v>
          </cell>
          <cell r="V1910">
            <v>1.0825E-2</v>
          </cell>
          <cell r="W1910">
            <v>1.1949999999999999E-2</v>
          </cell>
          <cell r="X1910">
            <v>1.4950000000000001E-2</v>
          </cell>
          <cell r="Y1910">
            <v>1.8250000000000002E-2</v>
          </cell>
          <cell r="Z1910">
            <v>2.0750000000000001E-2</v>
          </cell>
          <cell r="AA1910">
            <v>2.2949999999999998E-2</v>
          </cell>
          <cell r="AB1910">
            <v>2.5700000000000004E-2</v>
          </cell>
          <cell r="AC1910">
            <v>2.7999999999999997E-2</v>
          </cell>
        </row>
        <row r="1911">
          <cell r="T1911">
            <v>37979</v>
          </cell>
          <cell r="U1911">
            <v>1.0613999999999998E-2</v>
          </cell>
          <cell r="V1911">
            <v>1.0886E-2</v>
          </cell>
          <cell r="W1911">
            <v>1.1949999999999999E-2</v>
          </cell>
          <cell r="X1911">
            <v>1.4950000000000001E-2</v>
          </cell>
          <cell r="Y1911">
            <v>1.8250000000000002E-2</v>
          </cell>
          <cell r="Z1911">
            <v>2.0750000000000001E-2</v>
          </cell>
          <cell r="AA1911">
            <v>2.2949999999999998E-2</v>
          </cell>
          <cell r="AB1911">
            <v>2.5700000000000004E-2</v>
          </cell>
          <cell r="AC1911">
            <v>2.7999999999999997E-2</v>
          </cell>
        </row>
        <row r="1912">
          <cell r="T1912">
            <v>37978</v>
          </cell>
          <cell r="U1912">
            <v>1.0591E-2</v>
          </cell>
          <cell r="V1912">
            <v>1.0909E-2</v>
          </cell>
          <cell r="W1912">
            <v>1.1850000000000001E-2</v>
          </cell>
          <cell r="X1912">
            <v>1.4750000000000001E-2</v>
          </cell>
          <cell r="Y1912">
            <v>1.8349999999999998E-2</v>
          </cell>
          <cell r="Z1912">
            <v>2.085E-2</v>
          </cell>
          <cell r="AA1912">
            <v>2.315E-2</v>
          </cell>
          <cell r="AB1912">
            <v>2.5899999999999999E-2</v>
          </cell>
          <cell r="AC1912">
            <v>2.8200000000000003E-2</v>
          </cell>
        </row>
        <row r="1913">
          <cell r="T1913">
            <v>37977</v>
          </cell>
          <cell r="U1913">
            <v>1.0625000000000001E-2</v>
          </cell>
          <cell r="V1913">
            <v>1.1107000000000001E-2</v>
          </cell>
          <cell r="W1913">
            <v>1.1949999999999999E-2</v>
          </cell>
          <cell r="X1913">
            <v>1.4750000000000001E-2</v>
          </cell>
          <cell r="Y1913">
            <v>1.8450000000000001E-2</v>
          </cell>
          <cell r="Z1913">
            <v>2.0949999999999996E-2</v>
          </cell>
          <cell r="AA1913">
            <v>2.3250000000000003E-2</v>
          </cell>
          <cell r="AB1913">
            <v>2.5599999999999998E-2</v>
          </cell>
          <cell r="AC1913">
            <v>2.8300000000000002E-2</v>
          </cell>
        </row>
        <row r="1914">
          <cell r="T1914">
            <v>37976</v>
          </cell>
          <cell r="U1914">
            <v>1.0609E-2</v>
          </cell>
          <cell r="V1914">
            <v>1.1030999999999999E-2</v>
          </cell>
          <cell r="W1914">
            <v>1.1749999999999998E-2</v>
          </cell>
          <cell r="X1914">
            <v>1.435E-2</v>
          </cell>
          <cell r="Y1914">
            <v>1.8149999999999999E-2</v>
          </cell>
          <cell r="Z1914">
            <v>2.0549999999999999E-2</v>
          </cell>
          <cell r="AA1914">
            <v>2.2850000000000002E-2</v>
          </cell>
          <cell r="AB1914">
            <v>2.5599999999999998E-2</v>
          </cell>
          <cell r="AC1914">
            <v>2.8399999999999998E-2</v>
          </cell>
        </row>
        <row r="1915">
          <cell r="T1915">
            <v>37975</v>
          </cell>
          <cell r="U1915">
            <v>1.0609E-2</v>
          </cell>
          <cell r="V1915">
            <v>1.1030999999999999E-2</v>
          </cell>
          <cell r="W1915">
            <v>1.1749999999999998E-2</v>
          </cell>
          <cell r="X1915">
            <v>1.435E-2</v>
          </cell>
          <cell r="Y1915">
            <v>1.8149999999999999E-2</v>
          </cell>
          <cell r="Z1915">
            <v>2.0549999999999999E-2</v>
          </cell>
          <cell r="AA1915">
            <v>2.2850000000000002E-2</v>
          </cell>
          <cell r="AB1915">
            <v>2.5599999999999998E-2</v>
          </cell>
          <cell r="AC1915">
            <v>2.8399999999999998E-2</v>
          </cell>
        </row>
        <row r="1916">
          <cell r="T1916">
            <v>37974</v>
          </cell>
          <cell r="U1916">
            <v>1.0609E-2</v>
          </cell>
          <cell r="V1916">
            <v>1.1030999999999999E-2</v>
          </cell>
          <cell r="W1916">
            <v>1.1749999999999998E-2</v>
          </cell>
          <cell r="X1916">
            <v>1.435E-2</v>
          </cell>
          <cell r="Y1916">
            <v>1.8149999999999999E-2</v>
          </cell>
          <cell r="Z1916">
            <v>2.0549999999999999E-2</v>
          </cell>
          <cell r="AA1916">
            <v>2.2850000000000002E-2</v>
          </cell>
          <cell r="AB1916">
            <v>2.5599999999999998E-2</v>
          </cell>
          <cell r="AC1916">
            <v>2.8399999999999998E-2</v>
          </cell>
        </row>
        <row r="1917">
          <cell r="T1917">
            <v>37973</v>
          </cell>
          <cell r="U1917">
            <v>1.0295E-2</v>
          </cell>
          <cell r="V1917">
            <v>1.0567999999999999E-2</v>
          </cell>
          <cell r="W1917">
            <v>1.18E-2</v>
          </cell>
          <cell r="X1917">
            <v>1.4849999999999999E-2</v>
          </cell>
          <cell r="Y1917">
            <v>1.8349999999999998E-2</v>
          </cell>
          <cell r="Z1917">
            <v>2.1049999999999999E-2</v>
          </cell>
          <cell r="AA1917">
            <v>2.3250000000000003E-2</v>
          </cell>
          <cell r="AB1917">
            <v>2.5999999999999995E-2</v>
          </cell>
          <cell r="AC1917">
            <v>2.8300000000000002E-2</v>
          </cell>
        </row>
        <row r="1918">
          <cell r="T1918">
            <v>37972</v>
          </cell>
          <cell r="U1918">
            <v>1.0307E-2</v>
          </cell>
          <cell r="V1918">
            <v>1.0636000000000001E-2</v>
          </cell>
          <cell r="W1918">
            <v>1.1749999999999998E-2</v>
          </cell>
          <cell r="X1918">
            <v>1.4950000000000001E-2</v>
          </cell>
          <cell r="Y1918">
            <v>1.8550000000000001E-2</v>
          </cell>
          <cell r="Z1918">
            <v>2.1150000000000002E-2</v>
          </cell>
          <cell r="AA1918">
            <v>2.3250000000000003E-2</v>
          </cell>
          <cell r="AB1918">
            <v>2.5899999999999999E-2</v>
          </cell>
          <cell r="AC1918">
            <v>2.8200000000000003E-2</v>
          </cell>
        </row>
        <row r="1919">
          <cell r="T1919">
            <v>37971</v>
          </cell>
          <cell r="U1919">
            <v>1.0216000000000001E-2</v>
          </cell>
          <cell r="V1919">
            <v>1.0455000000000001E-2</v>
          </cell>
          <cell r="W1919">
            <v>1.1949999999999999E-2</v>
          </cell>
          <cell r="X1919">
            <v>1.5449999999999998E-2</v>
          </cell>
          <cell r="Y1919">
            <v>1.925E-2</v>
          </cell>
          <cell r="Z1919">
            <v>2.1749999999999999E-2</v>
          </cell>
          <cell r="AA1919">
            <v>2.3650000000000001E-2</v>
          </cell>
          <cell r="AB1919">
            <v>2.6200000000000001E-2</v>
          </cell>
          <cell r="AC1919">
            <v>2.8200000000000003E-2</v>
          </cell>
        </row>
        <row r="1920">
          <cell r="T1920">
            <v>37970</v>
          </cell>
          <cell r="U1920">
            <v>1.0073E-2</v>
          </cell>
          <cell r="V1920">
            <v>1.0396000000000001E-2</v>
          </cell>
          <cell r="W1920">
            <v>1.1949999999999999E-2</v>
          </cell>
          <cell r="X1920">
            <v>1.525E-2</v>
          </cell>
          <cell r="Y1920">
            <v>1.9049999999999997E-2</v>
          </cell>
          <cell r="Z1920">
            <v>2.145E-2</v>
          </cell>
          <cell r="AA1920">
            <v>2.3349999999999999E-2</v>
          </cell>
          <cell r="AB1920">
            <v>2.5999999999999995E-2</v>
          </cell>
          <cell r="AC1920">
            <v>2.7999999999999997E-2</v>
          </cell>
        </row>
        <row r="1921">
          <cell r="T1921">
            <v>37969</v>
          </cell>
          <cell r="U1921">
            <v>1.0232000000000002E-2</v>
          </cell>
          <cell r="V1921">
            <v>1.0786E-2</v>
          </cell>
          <cell r="W1921">
            <v>1.1650000000000001E-2</v>
          </cell>
          <cell r="X1921">
            <v>1.4750000000000001E-2</v>
          </cell>
          <cell r="Y1921">
            <v>1.8450000000000001E-2</v>
          </cell>
          <cell r="Z1921">
            <v>2.0949999999999996E-2</v>
          </cell>
          <cell r="AA1921">
            <v>2.2749999999999999E-2</v>
          </cell>
          <cell r="AB1921">
            <v>2.5499999999999998E-2</v>
          </cell>
          <cell r="AC1921">
            <v>2.75E-2</v>
          </cell>
        </row>
        <row r="1922">
          <cell r="T1922">
            <v>37968</v>
          </cell>
          <cell r="U1922">
            <v>1.0232000000000002E-2</v>
          </cell>
          <cell r="V1922">
            <v>1.0786E-2</v>
          </cell>
          <cell r="W1922">
            <v>1.1650000000000001E-2</v>
          </cell>
          <cell r="X1922">
            <v>1.4750000000000001E-2</v>
          </cell>
          <cell r="Y1922">
            <v>1.8450000000000001E-2</v>
          </cell>
          <cell r="Z1922">
            <v>2.0949999999999996E-2</v>
          </cell>
          <cell r="AA1922">
            <v>2.2749999999999999E-2</v>
          </cell>
          <cell r="AB1922">
            <v>2.5499999999999998E-2</v>
          </cell>
          <cell r="AC1922">
            <v>2.75E-2</v>
          </cell>
        </row>
        <row r="1923">
          <cell r="T1923">
            <v>37967</v>
          </cell>
          <cell r="U1923">
            <v>1.0232000000000002E-2</v>
          </cell>
          <cell r="V1923">
            <v>1.0786E-2</v>
          </cell>
          <cell r="W1923">
            <v>1.1650000000000001E-2</v>
          </cell>
          <cell r="X1923">
            <v>1.4750000000000001E-2</v>
          </cell>
          <cell r="Y1923">
            <v>1.8450000000000001E-2</v>
          </cell>
          <cell r="Z1923">
            <v>2.0949999999999996E-2</v>
          </cell>
          <cell r="AA1923">
            <v>2.2749999999999999E-2</v>
          </cell>
          <cell r="AB1923">
            <v>2.5499999999999998E-2</v>
          </cell>
          <cell r="AC1923">
            <v>2.75E-2</v>
          </cell>
        </row>
        <row r="1924">
          <cell r="T1924">
            <v>37966</v>
          </cell>
          <cell r="U1924">
            <v>1.0114000000000001E-2</v>
          </cell>
          <cell r="V1924">
            <v>1.0500000000000001E-2</v>
          </cell>
          <cell r="W1924">
            <v>1.1949999999999999E-2</v>
          </cell>
          <cell r="X1924">
            <v>1.5049999999999999E-2</v>
          </cell>
          <cell r="Y1924">
            <v>1.8749999999999999E-2</v>
          </cell>
          <cell r="Z1924">
            <v>2.1250000000000002E-2</v>
          </cell>
          <cell r="AA1924">
            <v>2.3049999999999998E-2</v>
          </cell>
          <cell r="AB1924">
            <v>2.5899999999999999E-2</v>
          </cell>
          <cell r="AC1924">
            <v>2.7999999999999997E-2</v>
          </cell>
        </row>
        <row r="1925">
          <cell r="T1925">
            <v>37965</v>
          </cell>
          <cell r="U1925">
            <v>1.0142999999999999E-2</v>
          </cell>
          <cell r="V1925">
            <v>1.0749999999999999E-2</v>
          </cell>
          <cell r="W1925">
            <v>1.1850000000000001E-2</v>
          </cell>
          <cell r="X1925">
            <v>1.4950000000000001E-2</v>
          </cell>
          <cell r="Y1925">
            <v>1.8749999999999999E-2</v>
          </cell>
          <cell r="Z1925">
            <v>2.1150000000000002E-2</v>
          </cell>
          <cell r="AA1925">
            <v>2.3049999999999998E-2</v>
          </cell>
          <cell r="AB1925">
            <v>2.5700000000000004E-2</v>
          </cell>
          <cell r="AC1925">
            <v>2.7999999999999997E-2</v>
          </cell>
        </row>
        <row r="1926">
          <cell r="T1926">
            <v>37964</v>
          </cell>
          <cell r="U1926">
            <v>9.92E-3</v>
          </cell>
          <cell r="V1926">
            <v>1.0136000000000001E-2</v>
          </cell>
          <cell r="W1926">
            <v>1.1549999999999998E-2</v>
          </cell>
          <cell r="X1926">
            <v>1.4750000000000001E-2</v>
          </cell>
          <cell r="Y1926">
            <v>1.8550000000000001E-2</v>
          </cell>
          <cell r="Z1926">
            <v>2.1150000000000002E-2</v>
          </cell>
          <cell r="AA1926">
            <v>2.2949999999999998E-2</v>
          </cell>
          <cell r="AB1926">
            <v>2.5700000000000004E-2</v>
          </cell>
          <cell r="AC1926">
            <v>2.7999999999999997E-2</v>
          </cell>
        </row>
        <row r="1927">
          <cell r="T1927">
            <v>37963</v>
          </cell>
          <cell r="U1927">
            <v>0.01</v>
          </cell>
          <cell r="V1927">
            <v>1.0392999999999999E-2</v>
          </cell>
          <cell r="W1927">
            <v>1.1549999999999998E-2</v>
          </cell>
          <cell r="X1927">
            <v>1.4849999999999999E-2</v>
          </cell>
          <cell r="Y1927">
            <v>1.865E-2</v>
          </cell>
          <cell r="Z1927">
            <v>2.1150000000000002E-2</v>
          </cell>
          <cell r="AA1927">
            <v>2.3049999999999998E-2</v>
          </cell>
          <cell r="AB1927">
            <v>2.58E-2</v>
          </cell>
          <cell r="AC1927">
            <v>2.7699999999999999E-2</v>
          </cell>
        </row>
        <row r="1928">
          <cell r="T1928">
            <v>37962</v>
          </cell>
          <cell r="U1928">
            <v>9.9369999999999997E-3</v>
          </cell>
          <cell r="V1928">
            <v>1.0219000000000001E-2</v>
          </cell>
          <cell r="W1928">
            <v>1.1749999999999998E-2</v>
          </cell>
          <cell r="X1928">
            <v>1.525E-2</v>
          </cell>
          <cell r="Y1928">
            <v>1.8950000000000002E-2</v>
          </cell>
          <cell r="Z1928">
            <v>2.1550000000000003E-2</v>
          </cell>
          <cell r="AA1928">
            <v>2.3449999999999999E-2</v>
          </cell>
          <cell r="AB1928">
            <v>2.6100000000000002E-2</v>
          </cell>
          <cell r="AC1928">
            <v>2.7999999999999997E-2</v>
          </cell>
        </row>
        <row r="1929">
          <cell r="T1929">
            <v>37961</v>
          </cell>
          <cell r="U1929">
            <v>9.9369999999999997E-3</v>
          </cell>
          <cell r="V1929">
            <v>1.0219000000000001E-2</v>
          </cell>
          <cell r="W1929">
            <v>1.1749999999999998E-2</v>
          </cell>
          <cell r="X1929">
            <v>1.525E-2</v>
          </cell>
          <cell r="Y1929">
            <v>1.8950000000000002E-2</v>
          </cell>
          <cell r="Z1929">
            <v>2.1550000000000003E-2</v>
          </cell>
          <cell r="AA1929">
            <v>2.3449999999999999E-2</v>
          </cell>
          <cell r="AB1929">
            <v>2.6100000000000002E-2</v>
          </cell>
          <cell r="AC1929">
            <v>2.7999999999999997E-2</v>
          </cell>
        </row>
        <row r="1930">
          <cell r="T1930">
            <v>37960</v>
          </cell>
          <cell r="U1930">
            <v>9.9369999999999997E-3</v>
          </cell>
          <cell r="V1930">
            <v>1.0219000000000001E-2</v>
          </cell>
          <cell r="W1930">
            <v>1.1749999999999998E-2</v>
          </cell>
          <cell r="X1930">
            <v>1.525E-2</v>
          </cell>
          <cell r="Y1930">
            <v>1.8950000000000002E-2</v>
          </cell>
          <cell r="Z1930">
            <v>2.1550000000000003E-2</v>
          </cell>
          <cell r="AA1930">
            <v>2.3449999999999999E-2</v>
          </cell>
          <cell r="AB1930">
            <v>2.6100000000000002E-2</v>
          </cell>
          <cell r="AC1930">
            <v>2.7999999999999997E-2</v>
          </cell>
        </row>
        <row r="1931">
          <cell r="T1931">
            <v>37959</v>
          </cell>
          <cell r="U1931">
            <v>9.5689999999999994E-3</v>
          </cell>
          <cell r="V1931">
            <v>9.8670000000000008E-3</v>
          </cell>
          <cell r="W1931">
            <v>1.1850000000000001E-2</v>
          </cell>
          <cell r="X1931">
            <v>1.5550000000000001E-2</v>
          </cell>
          <cell r="Y1931">
            <v>1.925E-2</v>
          </cell>
          <cell r="Z1931">
            <v>2.1749999999999999E-2</v>
          </cell>
          <cell r="AA1931">
            <v>2.375E-2</v>
          </cell>
          <cell r="AB1931">
            <v>2.63E-2</v>
          </cell>
          <cell r="AC1931">
            <v>2.8300000000000002E-2</v>
          </cell>
        </row>
        <row r="1932">
          <cell r="T1932">
            <v>37958</v>
          </cell>
          <cell r="U1932">
            <v>9.75E-3</v>
          </cell>
          <cell r="V1932">
            <v>9.9419999999999994E-3</v>
          </cell>
          <cell r="W1932">
            <v>1.1749999999999998E-2</v>
          </cell>
          <cell r="X1932">
            <v>1.525E-2</v>
          </cell>
          <cell r="Y1932">
            <v>1.925E-2</v>
          </cell>
          <cell r="Z1932">
            <v>2.1749999999999999E-2</v>
          </cell>
          <cell r="AA1932">
            <v>2.3550000000000001E-2</v>
          </cell>
          <cell r="AB1932">
            <v>2.63E-2</v>
          </cell>
          <cell r="AC1932">
            <v>2.8300000000000002E-2</v>
          </cell>
        </row>
        <row r="1933">
          <cell r="T1933">
            <v>37957</v>
          </cell>
          <cell r="U1933">
            <v>9.6880000000000004E-3</v>
          </cell>
          <cell r="V1933">
            <v>9.8969999999999995E-3</v>
          </cell>
          <cell r="W1933">
            <v>1.1899999999999999E-2</v>
          </cell>
          <cell r="X1933">
            <v>1.6E-2</v>
          </cell>
          <cell r="Y1933">
            <v>0.02</v>
          </cell>
          <cell r="Z1933">
            <v>2.1749999999999999E-2</v>
          </cell>
          <cell r="AA1933">
            <v>2.4500000000000001E-2</v>
          </cell>
          <cell r="AB1933">
            <v>2.75E-2</v>
          </cell>
          <cell r="AC1933">
            <v>2.8799999999999999E-2</v>
          </cell>
        </row>
        <row r="1934">
          <cell r="T1934">
            <v>37956</v>
          </cell>
          <cell r="U1934">
            <v>9.5569999999999995E-3</v>
          </cell>
          <cell r="V1934">
            <v>9.7050000000000001E-3</v>
          </cell>
          <cell r="W1934">
            <v>1.1749999999999998E-2</v>
          </cell>
          <cell r="X1934">
            <v>1.5350000000000001E-2</v>
          </cell>
          <cell r="Y1934">
            <v>1.9349999999999999E-2</v>
          </cell>
          <cell r="Z1934">
            <v>2.1749999999999999E-2</v>
          </cell>
          <cell r="AA1934">
            <v>2.3849999999999996E-2</v>
          </cell>
          <cell r="AB1934">
            <v>2.6600000000000002E-2</v>
          </cell>
          <cell r="AC1934">
            <v>2.8600000000000004E-2</v>
          </cell>
        </row>
        <row r="1935">
          <cell r="T1935">
            <v>37955</v>
          </cell>
          <cell r="U1935">
            <v>9.5569999999999995E-3</v>
          </cell>
          <cell r="V1935">
            <v>9.7269999999999995E-3</v>
          </cell>
          <cell r="W1935">
            <v>1.145E-2</v>
          </cell>
          <cell r="X1935">
            <v>1.4950000000000001E-2</v>
          </cell>
          <cell r="Y1935">
            <v>1.8749999999999999E-2</v>
          </cell>
          <cell r="Z1935">
            <v>2.1150000000000002E-2</v>
          </cell>
          <cell r="AA1935">
            <v>2.315E-2</v>
          </cell>
          <cell r="AB1935">
            <v>2.58E-2</v>
          </cell>
          <cell r="AC1935">
            <v>2.7999999999999997E-2</v>
          </cell>
        </row>
        <row r="1936">
          <cell r="T1936">
            <v>37954</v>
          </cell>
          <cell r="U1936">
            <v>9.5569999999999995E-3</v>
          </cell>
          <cell r="V1936">
            <v>9.7269999999999995E-3</v>
          </cell>
          <cell r="W1936">
            <v>1.145E-2</v>
          </cell>
          <cell r="X1936">
            <v>1.4950000000000001E-2</v>
          </cell>
          <cell r="Y1936">
            <v>1.8749999999999999E-2</v>
          </cell>
          <cell r="Z1936">
            <v>2.1150000000000002E-2</v>
          </cell>
          <cell r="AA1936">
            <v>2.315E-2</v>
          </cell>
          <cell r="AB1936">
            <v>2.58E-2</v>
          </cell>
          <cell r="AC1936">
            <v>2.7999999999999997E-2</v>
          </cell>
        </row>
        <row r="1937">
          <cell r="T1937">
            <v>37953</v>
          </cell>
          <cell r="U1937">
            <v>9.5569999999999995E-3</v>
          </cell>
          <cell r="V1937">
            <v>9.7269999999999995E-3</v>
          </cell>
          <cell r="W1937">
            <v>1.145E-2</v>
          </cell>
          <cell r="X1937">
            <v>1.4950000000000001E-2</v>
          </cell>
          <cell r="Y1937">
            <v>1.8749999999999999E-2</v>
          </cell>
          <cell r="Z1937">
            <v>2.1150000000000002E-2</v>
          </cell>
          <cell r="AA1937">
            <v>2.315E-2</v>
          </cell>
          <cell r="AB1937">
            <v>2.58E-2</v>
          </cell>
          <cell r="AC1937">
            <v>2.7999999999999997E-2</v>
          </cell>
        </row>
        <row r="1938">
          <cell r="T1938">
            <v>37952</v>
          </cell>
          <cell r="U1938">
            <v>9.4999999999999998E-3</v>
          </cell>
          <cell r="V1938">
            <v>9.6589999999999992E-3</v>
          </cell>
          <cell r="W1938">
            <v>1.1350000000000001E-2</v>
          </cell>
          <cell r="X1938">
            <v>1.4999999999999999E-2</v>
          </cell>
          <cell r="Y1938">
            <v>1.8550000000000001E-2</v>
          </cell>
          <cell r="Z1938">
            <v>2.0750000000000001E-2</v>
          </cell>
          <cell r="AA1938">
            <v>2.35E-2</v>
          </cell>
          <cell r="AB1938">
            <v>2.6000000000000002E-2</v>
          </cell>
          <cell r="AC1938">
            <v>2.76E-2</v>
          </cell>
        </row>
        <row r="1939">
          <cell r="T1939">
            <v>37951</v>
          </cell>
          <cell r="U1939">
            <v>9.4999999999999998E-3</v>
          </cell>
          <cell r="V1939">
            <v>9.6589999999999992E-3</v>
          </cell>
          <cell r="W1939">
            <v>1.1350000000000001E-2</v>
          </cell>
          <cell r="X1939">
            <v>1.4750000000000001E-2</v>
          </cell>
          <cell r="Y1939">
            <v>1.8550000000000001E-2</v>
          </cell>
          <cell r="Z1939">
            <v>2.085E-2</v>
          </cell>
          <cell r="AA1939">
            <v>2.2949999999999998E-2</v>
          </cell>
          <cell r="AB1939">
            <v>2.5599999999999998E-2</v>
          </cell>
          <cell r="AC1939">
            <v>2.7800000000000002E-2</v>
          </cell>
        </row>
        <row r="1940">
          <cell r="T1940">
            <v>37950</v>
          </cell>
          <cell r="U1940">
            <v>9.4999999999999998E-3</v>
          </cell>
          <cell r="V1940">
            <v>9.6589999999999992E-3</v>
          </cell>
          <cell r="W1940">
            <v>1.1000000000000001E-2</v>
          </cell>
          <cell r="X1940">
            <v>1.4499999999999999E-2</v>
          </cell>
          <cell r="Y1940">
            <v>1.8500000000000003E-2</v>
          </cell>
          <cell r="Z1940">
            <v>2.1150000000000002E-2</v>
          </cell>
          <cell r="AA1940">
            <v>2.3250000000000003E-2</v>
          </cell>
          <cell r="AB1940">
            <v>2.58E-2</v>
          </cell>
          <cell r="AC1940">
            <v>2.7999999999999997E-2</v>
          </cell>
        </row>
        <row r="1941">
          <cell r="T1941">
            <v>37949</v>
          </cell>
          <cell r="U1941">
            <v>9.4999999999999998E-3</v>
          </cell>
          <cell r="V1941">
            <v>9.6589999999999992E-3</v>
          </cell>
          <cell r="W1941">
            <v>1.2000000000000002E-2</v>
          </cell>
          <cell r="X1941">
            <v>1.6E-2</v>
          </cell>
          <cell r="Y1941">
            <v>1.9049999999999997E-2</v>
          </cell>
          <cell r="Z1941">
            <v>2.145E-2</v>
          </cell>
          <cell r="AA1941">
            <v>2.3449999999999999E-2</v>
          </cell>
          <cell r="AB1941">
            <v>2.7000000000000003E-2</v>
          </cell>
          <cell r="AC1941">
            <v>2.8300000000000002E-2</v>
          </cell>
        </row>
        <row r="1942">
          <cell r="T1942">
            <v>37948</v>
          </cell>
          <cell r="U1942">
            <v>9.5449999999999997E-3</v>
          </cell>
          <cell r="V1942">
            <v>9.7729999999999987E-3</v>
          </cell>
          <cell r="W1942">
            <v>1.15E-2</v>
          </cell>
          <cell r="X1942">
            <v>1.4999999999999999E-2</v>
          </cell>
          <cell r="Y1942">
            <v>1.9049999999999997E-2</v>
          </cell>
          <cell r="Z1942">
            <v>2.145E-2</v>
          </cell>
          <cell r="AA1942">
            <v>2.3550000000000001E-2</v>
          </cell>
          <cell r="AB1942">
            <v>2.5899999999999999E-2</v>
          </cell>
          <cell r="AC1942">
            <v>2.8099999999999997E-2</v>
          </cell>
        </row>
        <row r="1943">
          <cell r="T1943">
            <v>37947</v>
          </cell>
          <cell r="U1943">
            <v>9.5449999999999997E-3</v>
          </cell>
          <cell r="V1943">
            <v>9.7729999999999987E-3</v>
          </cell>
          <cell r="W1943">
            <v>1.15E-2</v>
          </cell>
          <cell r="X1943">
            <v>1.4999999999999999E-2</v>
          </cell>
          <cell r="Y1943">
            <v>1.9049999999999997E-2</v>
          </cell>
          <cell r="Z1943">
            <v>2.145E-2</v>
          </cell>
          <cell r="AA1943">
            <v>2.3550000000000001E-2</v>
          </cell>
          <cell r="AB1943">
            <v>2.5899999999999999E-2</v>
          </cell>
          <cell r="AC1943">
            <v>2.8099999999999997E-2</v>
          </cell>
        </row>
        <row r="1944">
          <cell r="T1944">
            <v>37946</v>
          </cell>
          <cell r="U1944">
            <v>9.5449999999999997E-3</v>
          </cell>
          <cell r="V1944">
            <v>9.7729999999999987E-3</v>
          </cell>
          <cell r="W1944">
            <v>1.15E-2</v>
          </cell>
          <cell r="X1944">
            <v>1.4999999999999999E-2</v>
          </cell>
          <cell r="Y1944">
            <v>1.9049999999999997E-2</v>
          </cell>
          <cell r="Z1944">
            <v>2.145E-2</v>
          </cell>
          <cell r="AA1944">
            <v>2.3550000000000001E-2</v>
          </cell>
          <cell r="AB1944">
            <v>2.5899999999999999E-2</v>
          </cell>
          <cell r="AC1944">
            <v>2.8099999999999997E-2</v>
          </cell>
        </row>
        <row r="1945">
          <cell r="T1945">
            <v>37945</v>
          </cell>
          <cell r="U1945">
            <v>9.5630000000000003E-3</v>
          </cell>
          <cell r="V1945">
            <v>9.7809999999999998E-3</v>
          </cell>
          <cell r="W1945">
            <v>1.145E-2</v>
          </cell>
          <cell r="X1945">
            <v>1.4950000000000001E-2</v>
          </cell>
          <cell r="Y1945">
            <v>1.915E-2</v>
          </cell>
          <cell r="Z1945">
            <v>2.1550000000000003E-2</v>
          </cell>
          <cell r="AA1945">
            <v>2.3650000000000001E-2</v>
          </cell>
          <cell r="AB1945">
            <v>2.5999999999999995E-2</v>
          </cell>
          <cell r="AC1945">
            <v>2.8300000000000002E-2</v>
          </cell>
        </row>
        <row r="1946">
          <cell r="T1946">
            <v>37944</v>
          </cell>
          <cell r="U1946">
            <v>9.4029999999999999E-3</v>
          </cell>
          <cell r="V1946">
            <v>9.7079999999999996E-3</v>
          </cell>
          <cell r="W1946">
            <v>1.1549999999999998E-2</v>
          </cell>
          <cell r="X1946">
            <v>1.525E-2</v>
          </cell>
          <cell r="Y1946">
            <v>1.9449999999999999E-2</v>
          </cell>
          <cell r="Z1946">
            <v>2.1649999999999999E-2</v>
          </cell>
          <cell r="AA1946">
            <v>2.4050000000000002E-2</v>
          </cell>
          <cell r="AB1946">
            <v>2.63E-2</v>
          </cell>
          <cell r="AC1946">
            <v>2.8600000000000004E-2</v>
          </cell>
        </row>
        <row r="1947">
          <cell r="T1947">
            <v>37943</v>
          </cell>
          <cell r="U1947">
            <v>9.5209999999999999E-3</v>
          </cell>
          <cell r="V1947">
            <v>9.7809999999999998E-3</v>
          </cell>
          <cell r="W1947">
            <v>1.1749999999999998E-2</v>
          </cell>
          <cell r="X1947">
            <v>1.5650000000000001E-2</v>
          </cell>
          <cell r="Y1947">
            <v>1.975E-2</v>
          </cell>
          <cell r="Z1947">
            <v>2.215E-2</v>
          </cell>
          <cell r="AA1947">
            <v>2.435E-2</v>
          </cell>
          <cell r="AB1947">
            <v>2.6600000000000002E-2</v>
          </cell>
          <cell r="AC1947">
            <v>2.8899999999999995E-2</v>
          </cell>
        </row>
        <row r="1948">
          <cell r="T1948">
            <v>37942</v>
          </cell>
          <cell r="U1948">
            <v>9.4879999999999999E-3</v>
          </cell>
          <cell r="V1948">
            <v>9.7689999999999999E-3</v>
          </cell>
          <cell r="W1948">
            <v>1.29E-2</v>
          </cell>
          <cell r="X1948">
            <v>1.5600000000000001E-2</v>
          </cell>
          <cell r="Y1948">
            <v>2.07E-2</v>
          </cell>
          <cell r="Z1948">
            <v>2.1700000000000001E-2</v>
          </cell>
          <cell r="AA1948">
            <v>2.52E-2</v>
          </cell>
          <cell r="AB1948">
            <v>2.75E-2</v>
          </cell>
          <cell r="AC1948">
            <v>2.8300000000000002E-2</v>
          </cell>
        </row>
        <row r="1949">
          <cell r="T1949">
            <v>37941</v>
          </cell>
          <cell r="U1949">
            <v>9.4179999999999993E-3</v>
          </cell>
          <cell r="V1949">
            <v>9.6799999999999994E-3</v>
          </cell>
          <cell r="W1949">
            <v>1.2699999999999999E-2</v>
          </cell>
          <cell r="X1949">
            <v>1.575E-2</v>
          </cell>
          <cell r="Y1949">
            <v>1.985E-2</v>
          </cell>
          <cell r="Z1949">
            <v>2.2349999999999998E-2</v>
          </cell>
          <cell r="AA1949">
            <v>2.4450000000000003E-2</v>
          </cell>
          <cell r="AB1949">
            <v>2.6799999999999997E-2</v>
          </cell>
          <cell r="AC1949">
            <v>2.9100000000000001E-2</v>
          </cell>
        </row>
        <row r="1950">
          <cell r="T1950">
            <v>37940</v>
          </cell>
          <cell r="U1950">
            <v>9.4179999999999993E-3</v>
          </cell>
          <cell r="V1950">
            <v>9.6799999999999994E-3</v>
          </cell>
          <cell r="W1950">
            <v>1.2699999999999999E-2</v>
          </cell>
          <cell r="X1950">
            <v>1.575E-2</v>
          </cell>
          <cell r="Y1950">
            <v>1.985E-2</v>
          </cell>
          <cell r="Z1950">
            <v>2.2349999999999998E-2</v>
          </cell>
          <cell r="AA1950">
            <v>2.4450000000000003E-2</v>
          </cell>
          <cell r="AB1950">
            <v>2.6799999999999997E-2</v>
          </cell>
          <cell r="AC1950">
            <v>2.9100000000000001E-2</v>
          </cell>
        </row>
        <row r="1951">
          <cell r="T1951">
            <v>37939</v>
          </cell>
          <cell r="U1951">
            <v>9.4179999999999993E-3</v>
          </cell>
          <cell r="V1951">
            <v>9.6799999999999994E-3</v>
          </cell>
          <cell r="W1951">
            <v>1.2699999999999999E-2</v>
          </cell>
          <cell r="X1951">
            <v>1.575E-2</v>
          </cell>
          <cell r="Y1951">
            <v>1.985E-2</v>
          </cell>
          <cell r="Z1951">
            <v>2.2349999999999998E-2</v>
          </cell>
          <cell r="AA1951">
            <v>2.4450000000000003E-2</v>
          </cell>
          <cell r="AB1951">
            <v>2.6799999999999997E-2</v>
          </cell>
          <cell r="AC1951">
            <v>2.9100000000000001E-2</v>
          </cell>
        </row>
        <row r="1952">
          <cell r="T1952">
            <v>37938</v>
          </cell>
          <cell r="U1952">
            <v>9.4579999999999994E-3</v>
          </cell>
          <cell r="V1952">
            <v>9.6880000000000004E-3</v>
          </cell>
          <cell r="W1952">
            <v>1.2799999999999999E-2</v>
          </cell>
          <cell r="X1952">
            <v>1.66E-2</v>
          </cell>
          <cell r="Y1952">
            <v>2.07E-2</v>
          </cell>
          <cell r="Z1952">
            <v>2.2250000000000002E-2</v>
          </cell>
          <cell r="AA1952">
            <v>2.52E-2</v>
          </cell>
          <cell r="AB1952">
            <v>2.75E-2</v>
          </cell>
          <cell r="AC1952">
            <v>2.9000000000000005E-2</v>
          </cell>
        </row>
        <row r="1953">
          <cell r="T1953">
            <v>37937</v>
          </cell>
          <cell r="U1953">
            <v>9.3469999999999994E-3</v>
          </cell>
          <cell r="V1953">
            <v>9.6249999999999999E-3</v>
          </cell>
          <cell r="W1953">
            <v>1.2799999999999999E-2</v>
          </cell>
          <cell r="X1953">
            <v>1.66E-2</v>
          </cell>
          <cell r="Y1953">
            <v>2.07E-2</v>
          </cell>
          <cell r="Z1953">
            <v>2.2250000000000002E-2</v>
          </cell>
          <cell r="AA1953">
            <v>2.52E-2</v>
          </cell>
          <cell r="AB1953">
            <v>2.75E-2</v>
          </cell>
          <cell r="AC1953">
            <v>2.9000000000000005E-2</v>
          </cell>
        </row>
        <row r="1954">
          <cell r="T1954">
            <v>37936</v>
          </cell>
          <cell r="U1954">
            <v>9.5449999999999997E-3</v>
          </cell>
          <cell r="V1954">
            <v>9.784000000000001E-3</v>
          </cell>
          <cell r="W1954">
            <v>1.2799999999999999E-2</v>
          </cell>
          <cell r="X1954">
            <v>1.6500000000000001E-2</v>
          </cell>
          <cell r="Y1954">
            <v>2.0499999999999997E-2</v>
          </cell>
          <cell r="Z1954">
            <v>2.215E-2</v>
          </cell>
          <cell r="AA1954">
            <v>2.4450000000000003E-2</v>
          </cell>
          <cell r="AB1954">
            <v>2.7000000000000003E-2</v>
          </cell>
          <cell r="AC1954">
            <v>2.9000000000000005E-2</v>
          </cell>
        </row>
        <row r="1955">
          <cell r="T1955">
            <v>37935</v>
          </cell>
          <cell r="U1955">
            <v>9.5209999999999999E-3</v>
          </cell>
          <cell r="V1955">
            <v>9.7400000000000004E-3</v>
          </cell>
          <cell r="W1955">
            <v>1.1949999999999999E-2</v>
          </cell>
          <cell r="X1955">
            <v>1.5950000000000002E-2</v>
          </cell>
          <cell r="Y1955">
            <v>1.975E-2</v>
          </cell>
          <cell r="Z1955">
            <v>2.2250000000000002E-2</v>
          </cell>
          <cell r="AA1955">
            <v>2.4450000000000003E-2</v>
          </cell>
          <cell r="AB1955">
            <v>2.6799999999999997E-2</v>
          </cell>
          <cell r="AC1955">
            <v>2.9500000000000002E-2</v>
          </cell>
        </row>
        <row r="1956">
          <cell r="T1956">
            <v>37934</v>
          </cell>
          <cell r="U1956">
            <v>9.5209999999999999E-3</v>
          </cell>
          <cell r="V1956">
            <v>9.7400000000000004E-3</v>
          </cell>
          <cell r="W1956">
            <v>1.2799999999999999E-2</v>
          </cell>
          <cell r="X1956">
            <v>1.5950000000000002E-2</v>
          </cell>
          <cell r="Y1956">
            <v>2.0049999999999998E-2</v>
          </cell>
          <cell r="Z1956">
            <v>2.2450000000000001E-2</v>
          </cell>
          <cell r="AA1956">
            <v>2.4550000000000002E-2</v>
          </cell>
          <cell r="AB1956">
            <v>2.6900000000000004E-2</v>
          </cell>
          <cell r="AC1956">
            <v>2.9600000000000001E-2</v>
          </cell>
        </row>
        <row r="1957">
          <cell r="T1957">
            <v>37933</v>
          </cell>
          <cell r="U1957">
            <v>9.5209999999999999E-3</v>
          </cell>
          <cell r="V1957">
            <v>9.7400000000000004E-3</v>
          </cell>
          <cell r="W1957">
            <v>1.2799999999999999E-2</v>
          </cell>
          <cell r="X1957">
            <v>1.5950000000000002E-2</v>
          </cell>
          <cell r="Y1957">
            <v>2.0049999999999998E-2</v>
          </cell>
          <cell r="Z1957">
            <v>2.2450000000000001E-2</v>
          </cell>
          <cell r="AA1957">
            <v>2.4550000000000002E-2</v>
          </cell>
          <cell r="AB1957">
            <v>2.6900000000000004E-2</v>
          </cell>
          <cell r="AC1957">
            <v>2.9600000000000001E-2</v>
          </cell>
        </row>
        <row r="1958">
          <cell r="T1958">
            <v>37932</v>
          </cell>
          <cell r="U1958">
            <v>9.5209999999999999E-3</v>
          </cell>
          <cell r="V1958">
            <v>9.7400000000000004E-3</v>
          </cell>
          <cell r="W1958">
            <v>1.2799999999999999E-2</v>
          </cell>
          <cell r="X1958">
            <v>1.5950000000000002E-2</v>
          </cell>
          <cell r="Y1958">
            <v>2.0049999999999998E-2</v>
          </cell>
          <cell r="Z1958">
            <v>2.2450000000000001E-2</v>
          </cell>
          <cell r="AA1958">
            <v>2.4550000000000002E-2</v>
          </cell>
          <cell r="AB1958">
            <v>2.6900000000000004E-2</v>
          </cell>
          <cell r="AC1958">
            <v>2.9600000000000001E-2</v>
          </cell>
        </row>
        <row r="1959">
          <cell r="T1959">
            <v>37931</v>
          </cell>
          <cell r="U1959">
            <v>9.5209999999999999E-3</v>
          </cell>
          <cell r="V1959">
            <v>9.7400000000000004E-3</v>
          </cell>
          <cell r="W1959">
            <v>1.2799999999999999E-2</v>
          </cell>
          <cell r="X1959">
            <v>1.6500000000000001E-2</v>
          </cell>
          <cell r="Y1959">
            <v>2.0499999999999997E-2</v>
          </cell>
          <cell r="Z1959">
            <v>2.2550000000000001E-2</v>
          </cell>
          <cell r="AA1959">
            <v>2.4750000000000001E-2</v>
          </cell>
          <cell r="AB1959">
            <v>2.7999999999999997E-2</v>
          </cell>
          <cell r="AC1959">
            <v>2.9500000000000002E-2</v>
          </cell>
        </row>
        <row r="1960">
          <cell r="T1960">
            <v>37930</v>
          </cell>
          <cell r="U1960">
            <v>9.5209999999999999E-3</v>
          </cell>
          <cell r="V1960">
            <v>9.8230000000000001E-3</v>
          </cell>
          <cell r="W1960">
            <v>1.2799999999999999E-2</v>
          </cell>
          <cell r="X1960">
            <v>1.6049999999999998E-2</v>
          </cell>
          <cell r="Y1960">
            <v>2.0250000000000001E-2</v>
          </cell>
          <cell r="Z1960">
            <v>2.2749999999999999E-2</v>
          </cell>
          <cell r="AA1960">
            <v>2.5499999999999998E-2</v>
          </cell>
          <cell r="AB1960">
            <v>2.7999999999999997E-2</v>
          </cell>
          <cell r="AC1960">
            <v>2.98E-2</v>
          </cell>
        </row>
        <row r="1961">
          <cell r="T1961">
            <v>37929</v>
          </cell>
          <cell r="U1961">
            <v>9.4999999999999998E-3</v>
          </cell>
          <cell r="V1961">
            <v>9.8440000000000003E-3</v>
          </cell>
          <cell r="W1961">
            <v>1.1949999999999999E-2</v>
          </cell>
          <cell r="X1961">
            <v>1.6E-2</v>
          </cell>
          <cell r="Y1961">
            <v>2.0499999999999997E-2</v>
          </cell>
          <cell r="Z1961">
            <v>2.265E-2</v>
          </cell>
          <cell r="AA1961">
            <v>2.5700000000000004E-2</v>
          </cell>
          <cell r="AB1961">
            <v>2.7999999999999997E-2</v>
          </cell>
          <cell r="AC1961">
            <v>2.9900000000000003E-2</v>
          </cell>
        </row>
        <row r="1962">
          <cell r="T1962">
            <v>37928</v>
          </cell>
          <cell r="U1962">
            <v>9.5519999999999997E-3</v>
          </cell>
          <cell r="V1962">
            <v>9.8650000000000005E-3</v>
          </cell>
          <cell r="W1962">
            <v>1.15E-2</v>
          </cell>
          <cell r="X1962">
            <v>1.55E-2</v>
          </cell>
          <cell r="Y1962">
            <v>1.95E-2</v>
          </cell>
          <cell r="Z1962">
            <v>2.2450000000000001E-2</v>
          </cell>
          <cell r="AA1962">
            <v>2.495E-2</v>
          </cell>
          <cell r="AB1962">
            <v>2.7199999999999998E-2</v>
          </cell>
          <cell r="AC1962">
            <v>2.98E-2</v>
          </cell>
        </row>
        <row r="1963">
          <cell r="T1963">
            <v>37927</v>
          </cell>
          <cell r="U1963">
            <v>9.6249999999999999E-3</v>
          </cell>
          <cell r="V1963">
            <v>9.9369999999999997E-3</v>
          </cell>
          <cell r="W1963">
            <v>1.1749999999999998E-2</v>
          </cell>
          <cell r="X1963">
            <v>1.575E-2</v>
          </cell>
          <cell r="Y1963">
            <v>1.9950000000000002E-2</v>
          </cell>
          <cell r="Z1963">
            <v>2.2450000000000001E-2</v>
          </cell>
          <cell r="AA1963">
            <v>2.4849999999999997E-2</v>
          </cell>
          <cell r="AB1963">
            <v>2.7199999999999998E-2</v>
          </cell>
          <cell r="AC1963">
            <v>2.98E-2</v>
          </cell>
        </row>
        <row r="1964">
          <cell r="T1964">
            <v>37926</v>
          </cell>
          <cell r="U1964">
            <v>9.6249999999999999E-3</v>
          </cell>
          <cell r="V1964">
            <v>9.9369999999999997E-3</v>
          </cell>
          <cell r="W1964">
            <v>1.1749999999999998E-2</v>
          </cell>
          <cell r="X1964">
            <v>1.575E-2</v>
          </cell>
          <cell r="Y1964">
            <v>1.9950000000000002E-2</v>
          </cell>
          <cell r="Z1964">
            <v>2.2450000000000001E-2</v>
          </cell>
          <cell r="AA1964">
            <v>2.4849999999999997E-2</v>
          </cell>
          <cell r="AB1964">
            <v>2.7199999999999998E-2</v>
          </cell>
          <cell r="AC1964">
            <v>2.98E-2</v>
          </cell>
        </row>
        <row r="1965">
          <cell r="T1965">
            <v>37925</v>
          </cell>
          <cell r="U1965">
            <v>9.6249999999999999E-3</v>
          </cell>
          <cell r="V1965">
            <v>9.9369999999999997E-3</v>
          </cell>
          <cell r="W1965">
            <v>1.1749999999999998E-2</v>
          </cell>
          <cell r="X1965">
            <v>1.575E-2</v>
          </cell>
          <cell r="Y1965">
            <v>1.9950000000000002E-2</v>
          </cell>
          <cell r="Z1965">
            <v>2.2450000000000001E-2</v>
          </cell>
          <cell r="AA1965">
            <v>2.4849999999999997E-2</v>
          </cell>
          <cell r="AB1965">
            <v>2.7199999999999998E-2</v>
          </cell>
          <cell r="AC1965">
            <v>2.98E-2</v>
          </cell>
        </row>
        <row r="1966">
          <cell r="T1966">
            <v>37924</v>
          </cell>
          <cell r="U1966">
            <v>9.5770000000000004E-3</v>
          </cell>
          <cell r="V1966">
            <v>9.8849999999999997E-3</v>
          </cell>
          <cell r="W1966">
            <v>1.2000000000000002E-2</v>
          </cell>
          <cell r="X1966">
            <v>1.6049999999999998E-2</v>
          </cell>
          <cell r="Y1966">
            <v>2.035E-2</v>
          </cell>
          <cell r="Z1966">
            <v>2.2850000000000002E-2</v>
          </cell>
          <cell r="AA1966">
            <v>2.5049999999999999E-2</v>
          </cell>
          <cell r="AB1966">
            <v>2.7300000000000001E-2</v>
          </cell>
          <cell r="AC1966">
            <v>2.98E-2</v>
          </cell>
        </row>
        <row r="1967">
          <cell r="T1967">
            <v>37923</v>
          </cell>
          <cell r="U1967">
            <v>9.4059999999999994E-3</v>
          </cell>
          <cell r="V1967">
            <v>9.7190000000000002E-3</v>
          </cell>
          <cell r="W1967">
            <v>1.2000000000000002E-2</v>
          </cell>
          <cell r="X1967">
            <v>1.5950000000000002E-2</v>
          </cell>
          <cell r="Y1967">
            <v>0.02</v>
          </cell>
          <cell r="Z1967">
            <v>2.2850000000000002E-2</v>
          </cell>
          <cell r="AA1967">
            <v>2.5049999999999999E-2</v>
          </cell>
          <cell r="AB1967">
            <v>2.75E-2</v>
          </cell>
          <cell r="AC1967">
            <v>2.9900000000000003E-2</v>
          </cell>
        </row>
        <row r="1968">
          <cell r="T1968">
            <v>37922</v>
          </cell>
          <cell r="U1968">
            <v>9.469E-3</v>
          </cell>
          <cell r="V1968">
            <v>9.75E-3</v>
          </cell>
          <cell r="W1968">
            <v>1.1749999999999998E-2</v>
          </cell>
          <cell r="X1968">
            <v>1.5950000000000002E-2</v>
          </cell>
          <cell r="Y1968">
            <v>2.0250000000000001E-2</v>
          </cell>
          <cell r="Z1968">
            <v>2.2749999999999999E-2</v>
          </cell>
          <cell r="AA1968">
            <v>2.5249999999999998E-2</v>
          </cell>
          <cell r="AB1968">
            <v>2.75E-2</v>
          </cell>
          <cell r="AC1968">
            <v>0.03</v>
          </cell>
        </row>
        <row r="1969">
          <cell r="T1969">
            <v>37921</v>
          </cell>
          <cell r="U1969">
            <v>9.417E-3</v>
          </cell>
          <cell r="V1969">
            <v>9.7079999999999996E-3</v>
          </cell>
          <cell r="W1969">
            <v>1.1749999999999998E-2</v>
          </cell>
          <cell r="X1969">
            <v>1.585E-2</v>
          </cell>
          <cell r="Y1969">
            <v>1.975E-2</v>
          </cell>
          <cell r="Z1969">
            <v>2.2550000000000001E-2</v>
          </cell>
          <cell r="AA1969">
            <v>2.4750000000000001E-2</v>
          </cell>
          <cell r="AB1969">
            <v>2.7000000000000003E-2</v>
          </cell>
          <cell r="AC1969">
            <v>2.9500000000000002E-2</v>
          </cell>
        </row>
        <row r="1970">
          <cell r="T1970">
            <v>37920</v>
          </cell>
          <cell r="U1970">
            <v>9.417E-3</v>
          </cell>
          <cell r="V1970">
            <v>9.7289999999999998E-3</v>
          </cell>
          <cell r="W1970">
            <v>1.225E-2</v>
          </cell>
          <cell r="X1970">
            <v>1.6E-2</v>
          </cell>
          <cell r="Y1970">
            <v>0.02</v>
          </cell>
          <cell r="Z1970">
            <v>2.2250000000000002E-2</v>
          </cell>
          <cell r="AA1970">
            <v>2.5000000000000001E-2</v>
          </cell>
          <cell r="AB1970">
            <v>2.75E-2</v>
          </cell>
          <cell r="AC1970">
            <v>2.8600000000000004E-2</v>
          </cell>
        </row>
        <row r="1971">
          <cell r="T1971">
            <v>37919</v>
          </cell>
          <cell r="U1971">
            <v>9.417E-3</v>
          </cell>
          <cell r="V1971">
            <v>9.7289999999999998E-3</v>
          </cell>
          <cell r="W1971">
            <v>1.225E-2</v>
          </cell>
          <cell r="X1971">
            <v>1.6E-2</v>
          </cell>
          <cell r="Y1971">
            <v>0.02</v>
          </cell>
          <cell r="Z1971">
            <v>2.2250000000000002E-2</v>
          </cell>
          <cell r="AA1971">
            <v>2.5000000000000001E-2</v>
          </cell>
          <cell r="AB1971">
            <v>2.75E-2</v>
          </cell>
          <cell r="AC1971">
            <v>2.8600000000000004E-2</v>
          </cell>
        </row>
        <row r="1972">
          <cell r="T1972">
            <v>37918</v>
          </cell>
          <cell r="U1972">
            <v>9.417E-3</v>
          </cell>
          <cell r="V1972">
            <v>9.7289999999999998E-3</v>
          </cell>
          <cell r="W1972">
            <v>1.225E-2</v>
          </cell>
          <cell r="X1972">
            <v>1.6E-2</v>
          </cell>
          <cell r="Y1972">
            <v>0.02</v>
          </cell>
          <cell r="Z1972">
            <v>2.2250000000000002E-2</v>
          </cell>
          <cell r="AA1972">
            <v>2.5000000000000001E-2</v>
          </cell>
          <cell r="AB1972">
            <v>2.75E-2</v>
          </cell>
          <cell r="AC1972">
            <v>2.8600000000000004E-2</v>
          </cell>
        </row>
        <row r="1973">
          <cell r="T1973">
            <v>37917</v>
          </cell>
          <cell r="U1973">
            <v>9.4380000000000002E-3</v>
          </cell>
          <cell r="V1973">
            <v>9.7289999999999998E-3</v>
          </cell>
          <cell r="W1973">
            <v>1.1549999999999998E-2</v>
          </cell>
          <cell r="X1973">
            <v>1.5550000000000001E-2</v>
          </cell>
          <cell r="Y1973">
            <v>1.9349999999999999E-2</v>
          </cell>
          <cell r="Z1973">
            <v>2.205E-2</v>
          </cell>
          <cell r="AA1973">
            <v>2.435E-2</v>
          </cell>
          <cell r="AB1973">
            <v>2.6500000000000003E-2</v>
          </cell>
          <cell r="AC1973">
            <v>2.87E-2</v>
          </cell>
        </row>
        <row r="1974">
          <cell r="T1974">
            <v>37916</v>
          </cell>
          <cell r="U1974">
            <v>9.4380000000000002E-3</v>
          </cell>
          <cell r="V1974">
            <v>9.7289999999999998E-3</v>
          </cell>
          <cell r="W1974">
            <v>1.1549999999999998E-2</v>
          </cell>
          <cell r="X1974">
            <v>1.585E-2</v>
          </cell>
          <cell r="Y1974">
            <v>1.9950000000000002E-2</v>
          </cell>
          <cell r="Z1974">
            <v>2.265E-2</v>
          </cell>
          <cell r="AA1974">
            <v>2.495E-2</v>
          </cell>
          <cell r="AB1974">
            <v>2.7000000000000003E-2</v>
          </cell>
          <cell r="AC1974">
            <v>2.92E-2</v>
          </cell>
        </row>
        <row r="1975">
          <cell r="T1975">
            <v>37915</v>
          </cell>
          <cell r="U1975">
            <v>9.4999999999999998E-3</v>
          </cell>
          <cell r="V1975">
            <v>9.7949999999999999E-3</v>
          </cell>
          <cell r="W1975">
            <v>1.1549999999999998E-2</v>
          </cell>
          <cell r="X1975">
            <v>1.5950000000000002E-2</v>
          </cell>
          <cell r="Y1975">
            <v>2.0049999999999998E-2</v>
          </cell>
          <cell r="Z1975">
            <v>2.2749999999999999E-2</v>
          </cell>
          <cell r="AA1975">
            <v>2.5150000000000002E-2</v>
          </cell>
          <cell r="AB1975">
            <v>2.7300000000000001E-2</v>
          </cell>
          <cell r="AC1975">
            <v>2.9500000000000002E-2</v>
          </cell>
        </row>
        <row r="1976">
          <cell r="T1976">
            <v>37914</v>
          </cell>
          <cell r="U1976">
            <v>9.4999999999999998E-3</v>
          </cell>
          <cell r="V1976">
            <v>9.7949999999999999E-3</v>
          </cell>
          <cell r="W1976">
            <v>1.1650000000000001E-2</v>
          </cell>
          <cell r="X1976">
            <v>1.5600000000000001E-2</v>
          </cell>
          <cell r="Y1976">
            <v>1.975E-2</v>
          </cell>
          <cell r="Z1976">
            <v>2.2949999999999998E-2</v>
          </cell>
          <cell r="AA1976">
            <v>2.5249999999999998E-2</v>
          </cell>
          <cell r="AB1976">
            <v>2.75E-2</v>
          </cell>
          <cell r="AC1976">
            <v>2.9500000000000002E-2</v>
          </cell>
        </row>
        <row r="1977">
          <cell r="T1977">
            <v>37913</v>
          </cell>
          <cell r="U1977">
            <v>9.4999999999999998E-3</v>
          </cell>
          <cell r="V1977">
            <v>9.7949999999999999E-3</v>
          </cell>
          <cell r="W1977">
            <v>1.125E-2</v>
          </cell>
          <cell r="X1977">
            <v>1.6549999999999999E-2</v>
          </cell>
          <cell r="Y1977">
            <v>1.9649999999999997E-2</v>
          </cell>
          <cell r="Z1977">
            <v>2.2349999999999998E-2</v>
          </cell>
          <cell r="AA1977">
            <v>2.4450000000000003E-2</v>
          </cell>
          <cell r="AB1977">
            <v>2.6799999999999997E-2</v>
          </cell>
          <cell r="AC1977">
            <v>2.9299999999999996E-2</v>
          </cell>
        </row>
        <row r="1978">
          <cell r="T1978">
            <v>37912</v>
          </cell>
          <cell r="U1978">
            <v>9.4999999999999998E-3</v>
          </cell>
          <cell r="V1978">
            <v>9.7949999999999999E-3</v>
          </cell>
          <cell r="W1978">
            <v>1.125E-2</v>
          </cell>
          <cell r="X1978">
            <v>1.6549999999999999E-2</v>
          </cell>
          <cell r="Y1978">
            <v>1.9649999999999997E-2</v>
          </cell>
          <cell r="Z1978">
            <v>2.2349999999999998E-2</v>
          </cell>
          <cell r="AA1978">
            <v>2.4450000000000003E-2</v>
          </cell>
          <cell r="AB1978">
            <v>2.6799999999999997E-2</v>
          </cell>
          <cell r="AC1978">
            <v>2.9299999999999996E-2</v>
          </cell>
        </row>
        <row r="1979">
          <cell r="T1979">
            <v>37911</v>
          </cell>
          <cell r="U1979">
            <v>9.4999999999999998E-3</v>
          </cell>
          <cell r="V1979">
            <v>9.7949999999999999E-3</v>
          </cell>
          <cell r="W1979">
            <v>1.125E-2</v>
          </cell>
          <cell r="X1979">
            <v>1.6549999999999999E-2</v>
          </cell>
          <cell r="Y1979">
            <v>1.9649999999999997E-2</v>
          </cell>
          <cell r="Z1979">
            <v>2.2349999999999998E-2</v>
          </cell>
          <cell r="AA1979">
            <v>2.4450000000000003E-2</v>
          </cell>
          <cell r="AB1979">
            <v>2.6799999999999997E-2</v>
          </cell>
          <cell r="AC1979">
            <v>2.9299999999999996E-2</v>
          </cell>
        </row>
        <row r="1980">
          <cell r="T1980">
            <v>37910</v>
          </cell>
          <cell r="U1980">
            <v>9.5379999999999996E-3</v>
          </cell>
          <cell r="V1980">
            <v>9.8499999999999994E-3</v>
          </cell>
          <cell r="W1980">
            <v>1.125E-2</v>
          </cell>
          <cell r="X1980">
            <v>1.5550000000000001E-2</v>
          </cell>
          <cell r="Y1980">
            <v>1.975E-2</v>
          </cell>
          <cell r="Z1980">
            <v>2.2250000000000002E-2</v>
          </cell>
          <cell r="AA1980">
            <v>2.4550000000000002E-2</v>
          </cell>
          <cell r="AB1980">
            <v>2.6699999999999998E-2</v>
          </cell>
          <cell r="AC1980">
            <v>2.9100000000000001E-2</v>
          </cell>
        </row>
        <row r="1981">
          <cell r="T1981">
            <v>37909</v>
          </cell>
          <cell r="U1981">
            <v>9.4479999999999998E-3</v>
          </cell>
          <cell r="V1981">
            <v>9.7079999999999996E-3</v>
          </cell>
          <cell r="W1981">
            <v>1.1049999999999999E-2</v>
          </cell>
          <cell r="X1981">
            <v>1.5350000000000001E-2</v>
          </cell>
          <cell r="Y1981">
            <v>1.9449999999999999E-2</v>
          </cell>
          <cell r="Z1981">
            <v>2.2349999999999998E-2</v>
          </cell>
          <cell r="AA1981">
            <v>2.435E-2</v>
          </cell>
          <cell r="AB1981">
            <v>2.6699999999999998E-2</v>
          </cell>
          <cell r="AC1981">
            <v>2.8600000000000004E-2</v>
          </cell>
        </row>
        <row r="1982">
          <cell r="T1982">
            <v>37908</v>
          </cell>
          <cell r="U1982">
            <v>9.417E-3</v>
          </cell>
          <cell r="V1982">
            <v>9.75E-3</v>
          </cell>
          <cell r="W1982">
            <v>1.15E-2</v>
          </cell>
          <cell r="X1982">
            <v>1.6E-2</v>
          </cell>
          <cell r="Y1982">
            <v>0.02</v>
          </cell>
          <cell r="Z1982">
            <v>2.265E-2</v>
          </cell>
          <cell r="AA1982">
            <v>2.5000000000000001E-2</v>
          </cell>
          <cell r="AB1982">
            <v>2.75E-2</v>
          </cell>
          <cell r="AC1982">
            <v>2.8799999999999999E-2</v>
          </cell>
        </row>
        <row r="1983">
          <cell r="T1983">
            <v>37907</v>
          </cell>
          <cell r="U1983">
            <v>9.4479999999999998E-3</v>
          </cell>
          <cell r="V1983">
            <v>9.7079999999999996E-3</v>
          </cell>
          <cell r="W1983">
            <v>1.15E-2</v>
          </cell>
          <cell r="X1983">
            <v>1.5350000000000001E-2</v>
          </cell>
          <cell r="Y1983">
            <v>1.95E-2</v>
          </cell>
          <cell r="Z1983">
            <v>2.2450000000000001E-2</v>
          </cell>
          <cell r="AA1983">
            <v>2.4750000000000001E-2</v>
          </cell>
          <cell r="AB1983">
            <v>2.63E-2</v>
          </cell>
          <cell r="AC1983">
            <v>2.7999999999999997E-2</v>
          </cell>
        </row>
        <row r="1984">
          <cell r="T1984">
            <v>37906</v>
          </cell>
          <cell r="U1984">
            <v>9.4839999999999994E-3</v>
          </cell>
          <cell r="V1984">
            <v>9.8750000000000001E-3</v>
          </cell>
          <cell r="W1984">
            <v>1.1049999999999999E-2</v>
          </cell>
          <cell r="X1984">
            <v>1.4950000000000001E-2</v>
          </cell>
          <cell r="Y1984">
            <v>1.9049999999999997E-2</v>
          </cell>
          <cell r="Z1984">
            <v>2.1749999999999999E-2</v>
          </cell>
          <cell r="AA1984">
            <v>2.4050000000000002E-2</v>
          </cell>
          <cell r="AB1984">
            <v>2.6100000000000002E-2</v>
          </cell>
          <cell r="AC1984">
            <v>2.7800000000000002E-2</v>
          </cell>
        </row>
        <row r="1985">
          <cell r="T1985">
            <v>37905</v>
          </cell>
          <cell r="U1985">
            <v>9.4839999999999994E-3</v>
          </cell>
          <cell r="V1985">
            <v>9.8750000000000001E-3</v>
          </cell>
          <cell r="W1985">
            <v>1.1049999999999999E-2</v>
          </cell>
          <cell r="X1985">
            <v>1.4950000000000001E-2</v>
          </cell>
          <cell r="Y1985">
            <v>1.9049999999999997E-2</v>
          </cell>
          <cell r="Z1985">
            <v>2.1749999999999999E-2</v>
          </cell>
          <cell r="AA1985">
            <v>2.4050000000000002E-2</v>
          </cell>
          <cell r="AB1985">
            <v>2.6100000000000002E-2</v>
          </cell>
          <cell r="AC1985">
            <v>2.7800000000000002E-2</v>
          </cell>
        </row>
        <row r="1986">
          <cell r="T1986">
            <v>37904</v>
          </cell>
          <cell r="U1986">
            <v>9.4839999999999994E-3</v>
          </cell>
          <cell r="V1986">
            <v>9.8750000000000001E-3</v>
          </cell>
          <cell r="W1986">
            <v>1.1049999999999999E-2</v>
          </cell>
          <cell r="X1986">
            <v>1.4950000000000001E-2</v>
          </cell>
          <cell r="Y1986">
            <v>1.9049999999999997E-2</v>
          </cell>
          <cell r="Z1986">
            <v>2.1749999999999999E-2</v>
          </cell>
          <cell r="AA1986">
            <v>2.4050000000000002E-2</v>
          </cell>
          <cell r="AB1986">
            <v>2.6100000000000002E-2</v>
          </cell>
          <cell r="AC1986">
            <v>2.7800000000000002E-2</v>
          </cell>
        </row>
        <row r="1987">
          <cell r="T1987">
            <v>37903</v>
          </cell>
          <cell r="U1987">
            <v>9.4839999999999994E-3</v>
          </cell>
          <cell r="V1987">
            <v>9.8750000000000001E-3</v>
          </cell>
          <cell r="W1987">
            <v>1.1899999999999999E-2</v>
          </cell>
          <cell r="X1987">
            <v>1.61E-2</v>
          </cell>
          <cell r="Y1987">
            <v>2.0149999999999998E-2</v>
          </cell>
          <cell r="Z1987">
            <v>2.1749999999999999E-2</v>
          </cell>
          <cell r="AA1987">
            <v>2.4300000000000002E-2</v>
          </cell>
          <cell r="AB1987">
            <v>2.6100000000000002E-2</v>
          </cell>
          <cell r="AC1987">
            <v>2.7800000000000002E-2</v>
          </cell>
        </row>
        <row r="1988">
          <cell r="T1988">
            <v>37902</v>
          </cell>
          <cell r="U1988">
            <v>9.469E-3</v>
          </cell>
          <cell r="V1988">
            <v>9.7289999999999998E-3</v>
          </cell>
          <cell r="W1988">
            <v>1.115E-2</v>
          </cell>
          <cell r="X1988">
            <v>1.525E-2</v>
          </cell>
          <cell r="Y1988">
            <v>1.925E-2</v>
          </cell>
          <cell r="Z1988">
            <v>2.1950000000000004E-2</v>
          </cell>
          <cell r="AA1988">
            <v>2.4249999999999997E-2</v>
          </cell>
          <cell r="AB1988">
            <v>2.63E-2</v>
          </cell>
          <cell r="AC1988">
            <v>2.7999999999999997E-2</v>
          </cell>
        </row>
        <row r="1989">
          <cell r="T1989">
            <v>37901</v>
          </cell>
          <cell r="U1989">
            <v>9.4999999999999998E-3</v>
          </cell>
          <cell r="V1989">
            <v>9.7710000000000002E-3</v>
          </cell>
          <cell r="W1989">
            <v>1.1049999999999999E-2</v>
          </cell>
          <cell r="X1989">
            <v>1.525E-2</v>
          </cell>
          <cell r="Y1989">
            <v>1.925E-2</v>
          </cell>
          <cell r="Z1989">
            <v>2.1950000000000004E-2</v>
          </cell>
          <cell r="AA1989">
            <v>2.4249999999999997E-2</v>
          </cell>
          <cell r="AB1989">
            <v>2.6200000000000001E-2</v>
          </cell>
          <cell r="AC1989">
            <v>2.8099999999999997E-2</v>
          </cell>
        </row>
        <row r="1990">
          <cell r="T1990">
            <v>37900</v>
          </cell>
          <cell r="U1990">
            <v>9.5909999999999988E-3</v>
          </cell>
          <cell r="V1990">
            <v>9.9319999999999999E-3</v>
          </cell>
          <cell r="W1990">
            <v>1.15E-2</v>
          </cell>
          <cell r="X1990">
            <v>1.55E-2</v>
          </cell>
          <cell r="Y1990">
            <v>1.9449999999999999E-2</v>
          </cell>
          <cell r="Z1990">
            <v>2.205E-2</v>
          </cell>
          <cell r="AA1990">
            <v>2.4249999999999997E-2</v>
          </cell>
          <cell r="AB1990">
            <v>2.63E-2</v>
          </cell>
          <cell r="AC1990">
            <v>2.7999999999999997E-2</v>
          </cell>
        </row>
        <row r="1991">
          <cell r="T1991">
            <v>37899</v>
          </cell>
          <cell r="U1991">
            <v>9.5420000000000001E-3</v>
          </cell>
          <cell r="V1991">
            <v>9.8119999999999995E-3</v>
          </cell>
          <cell r="W1991">
            <v>1.1049999999999999E-2</v>
          </cell>
          <cell r="X1991">
            <v>1.4950000000000001E-2</v>
          </cell>
          <cell r="Y1991">
            <v>1.8849999999999999E-2</v>
          </cell>
          <cell r="Z1991">
            <v>2.1250000000000002E-2</v>
          </cell>
          <cell r="AA1991">
            <v>2.3550000000000001E-2</v>
          </cell>
          <cell r="AB1991">
            <v>2.5300000000000003E-2</v>
          </cell>
          <cell r="AC1991">
            <v>2.6900000000000004E-2</v>
          </cell>
        </row>
        <row r="1992">
          <cell r="T1992">
            <v>37898</v>
          </cell>
          <cell r="U1992">
            <v>9.5420000000000001E-3</v>
          </cell>
          <cell r="V1992">
            <v>9.8119999999999995E-3</v>
          </cell>
          <cell r="W1992">
            <v>1.1049999999999999E-2</v>
          </cell>
          <cell r="X1992">
            <v>1.4950000000000001E-2</v>
          </cell>
          <cell r="Y1992">
            <v>1.8849999999999999E-2</v>
          </cell>
          <cell r="Z1992">
            <v>2.1250000000000002E-2</v>
          </cell>
          <cell r="AA1992">
            <v>2.3550000000000001E-2</v>
          </cell>
          <cell r="AB1992">
            <v>2.5300000000000003E-2</v>
          </cell>
          <cell r="AC1992">
            <v>2.6900000000000004E-2</v>
          </cell>
        </row>
        <row r="1993">
          <cell r="T1993">
            <v>37897</v>
          </cell>
          <cell r="U1993">
            <v>9.5420000000000001E-3</v>
          </cell>
          <cell r="V1993">
            <v>9.8119999999999995E-3</v>
          </cell>
          <cell r="W1993">
            <v>1.1049999999999999E-2</v>
          </cell>
          <cell r="X1993">
            <v>1.4950000000000001E-2</v>
          </cell>
          <cell r="Y1993">
            <v>1.8849999999999999E-2</v>
          </cell>
          <cell r="Z1993">
            <v>2.1250000000000002E-2</v>
          </cell>
          <cell r="AA1993">
            <v>2.3550000000000001E-2</v>
          </cell>
          <cell r="AB1993">
            <v>2.5300000000000003E-2</v>
          </cell>
          <cell r="AC1993">
            <v>2.6900000000000004E-2</v>
          </cell>
        </row>
        <row r="1994">
          <cell r="T1994">
            <v>37896</v>
          </cell>
          <cell r="U1994">
            <v>9.5420000000000001E-3</v>
          </cell>
          <cell r="V1994">
            <v>9.8119999999999995E-3</v>
          </cell>
          <cell r="W1994">
            <v>1.1299999999999999E-2</v>
          </cell>
          <cell r="X1994">
            <v>1.455E-2</v>
          </cell>
          <cell r="Y1994">
            <v>1.8450000000000001E-2</v>
          </cell>
          <cell r="Z1994">
            <v>2.0949999999999996E-2</v>
          </cell>
          <cell r="AA1994">
            <v>2.3049999999999998E-2</v>
          </cell>
          <cell r="AB1994">
            <v>2.4900000000000002E-2</v>
          </cell>
          <cell r="AC1994">
            <v>2.6699999999999998E-2</v>
          </cell>
        </row>
        <row r="1995">
          <cell r="T1995">
            <v>37895</v>
          </cell>
          <cell r="U1995">
            <v>9.5709999999999996E-3</v>
          </cell>
          <cell r="V1995">
            <v>9.8119999999999995E-3</v>
          </cell>
          <cell r="W1995">
            <v>1.0750000000000003E-2</v>
          </cell>
          <cell r="X1995">
            <v>1.375E-2</v>
          </cell>
          <cell r="Y1995">
            <v>1.7349999999999997E-2</v>
          </cell>
          <cell r="Z1995">
            <v>1.975E-2</v>
          </cell>
          <cell r="AA1995">
            <v>2.1749999999999999E-2</v>
          </cell>
          <cell r="AB1995">
            <v>2.3300000000000001E-2</v>
          </cell>
          <cell r="AC1995">
            <v>2.4900000000000002E-2</v>
          </cell>
        </row>
        <row r="1996">
          <cell r="T1996">
            <v>37894</v>
          </cell>
          <cell r="U1996">
            <v>9.5250000000000005E-3</v>
          </cell>
          <cell r="V1996">
            <v>9.7050000000000001E-3</v>
          </cell>
          <cell r="W1996">
            <v>1.15E-2</v>
          </cell>
          <cell r="X1996">
            <v>1.5150000000000002E-2</v>
          </cell>
          <cell r="Y1996">
            <v>1.8550000000000001E-2</v>
          </cell>
          <cell r="Z1996">
            <v>2.1049999999999999E-2</v>
          </cell>
          <cell r="AA1996">
            <v>2.315E-2</v>
          </cell>
          <cell r="AB1996">
            <v>2.52E-2</v>
          </cell>
          <cell r="AC1996">
            <v>2.7400000000000001E-2</v>
          </cell>
        </row>
        <row r="1997">
          <cell r="T1997">
            <v>37893</v>
          </cell>
          <cell r="U1997">
            <v>9.6609999999999994E-3</v>
          </cell>
          <cell r="V1997">
            <v>1.0179000000000001E-2</v>
          </cell>
          <cell r="W1997">
            <v>1.085E-2</v>
          </cell>
          <cell r="X1997">
            <v>1.4249999999999999E-2</v>
          </cell>
          <cell r="Y1997">
            <v>1.8349999999999998E-2</v>
          </cell>
          <cell r="Z1997">
            <v>2.085E-2</v>
          </cell>
          <cell r="AA1997">
            <v>2.3049999999999998E-2</v>
          </cell>
          <cell r="AB1997">
            <v>2.4900000000000002E-2</v>
          </cell>
          <cell r="AC1997">
            <v>2.7099999999999999E-2</v>
          </cell>
        </row>
        <row r="1998">
          <cell r="T1998">
            <v>37892</v>
          </cell>
          <cell r="U1998">
            <v>9.6810000000000004E-3</v>
          </cell>
          <cell r="V1998">
            <v>1.0111000000000002E-2</v>
          </cell>
          <cell r="W1998">
            <v>1.0950000000000001E-2</v>
          </cell>
          <cell r="X1998">
            <v>1.4849999999999999E-2</v>
          </cell>
          <cell r="Y1998">
            <v>1.8749999999999999E-2</v>
          </cell>
          <cell r="Z1998">
            <v>2.145E-2</v>
          </cell>
          <cell r="AA1998">
            <v>2.3449999999999999E-2</v>
          </cell>
          <cell r="AB1998">
            <v>2.5099999999999997E-2</v>
          </cell>
          <cell r="AC1998">
            <v>2.7300000000000001E-2</v>
          </cell>
        </row>
        <row r="1999">
          <cell r="T1999">
            <v>37891</v>
          </cell>
          <cell r="U1999">
            <v>9.6810000000000004E-3</v>
          </cell>
          <cell r="V1999">
            <v>1.0111000000000002E-2</v>
          </cell>
          <cell r="W1999">
            <v>1.0950000000000001E-2</v>
          </cell>
          <cell r="X1999">
            <v>1.4849999999999999E-2</v>
          </cell>
          <cell r="Y1999">
            <v>1.8749999999999999E-2</v>
          </cell>
          <cell r="Z1999">
            <v>2.145E-2</v>
          </cell>
          <cell r="AA1999">
            <v>2.3449999999999999E-2</v>
          </cell>
          <cell r="AB1999">
            <v>2.5099999999999997E-2</v>
          </cell>
          <cell r="AC1999">
            <v>2.7300000000000001E-2</v>
          </cell>
        </row>
        <row r="2000">
          <cell r="T2000">
            <v>37890</v>
          </cell>
          <cell r="U2000">
            <v>9.6810000000000004E-3</v>
          </cell>
          <cell r="V2000">
            <v>1.0111000000000002E-2</v>
          </cell>
          <cell r="W2000">
            <v>1.0950000000000001E-2</v>
          </cell>
          <cell r="X2000">
            <v>1.4849999999999999E-2</v>
          </cell>
          <cell r="Y2000">
            <v>1.8749999999999999E-2</v>
          </cell>
          <cell r="Z2000">
            <v>2.145E-2</v>
          </cell>
          <cell r="AA2000">
            <v>2.3449999999999999E-2</v>
          </cell>
          <cell r="AB2000">
            <v>2.5099999999999997E-2</v>
          </cell>
          <cell r="AC2000">
            <v>2.7300000000000001E-2</v>
          </cell>
        </row>
        <row r="2001">
          <cell r="T2001">
            <v>37889</v>
          </cell>
          <cell r="U2001">
            <v>9.7660000000000004E-3</v>
          </cell>
          <cell r="V2001">
            <v>1.0125E-2</v>
          </cell>
          <cell r="W2001">
            <v>1.1049999999999999E-2</v>
          </cell>
          <cell r="X2001">
            <v>1.4750000000000001E-2</v>
          </cell>
          <cell r="Y2001">
            <v>1.8950000000000002E-2</v>
          </cell>
          <cell r="Z2001">
            <v>2.1550000000000003E-2</v>
          </cell>
          <cell r="AA2001">
            <v>2.3949999999999999E-2</v>
          </cell>
          <cell r="AB2001">
            <v>2.5499999999999998E-2</v>
          </cell>
          <cell r="AC2001">
            <v>2.75E-2</v>
          </cell>
        </row>
        <row r="2002">
          <cell r="T2002">
            <v>37888</v>
          </cell>
          <cell r="U2002">
            <v>9.6589999999999992E-3</v>
          </cell>
          <cell r="V2002">
            <v>9.8980000000000005E-3</v>
          </cell>
          <cell r="W2002">
            <v>1.1000000000000001E-2</v>
          </cell>
          <cell r="X2002">
            <v>1.4750000000000001E-2</v>
          </cell>
          <cell r="Y2002">
            <v>1.8799999999999997E-2</v>
          </cell>
          <cell r="Z2002">
            <v>2.1649999999999999E-2</v>
          </cell>
          <cell r="AA2002">
            <v>2.3949999999999999E-2</v>
          </cell>
          <cell r="AB2002">
            <v>2.58E-2</v>
          </cell>
          <cell r="AC2002">
            <v>2.7400000000000001E-2</v>
          </cell>
        </row>
        <row r="2003">
          <cell r="T2003">
            <v>37887</v>
          </cell>
          <cell r="U2003">
            <v>9.6410000000000003E-3</v>
          </cell>
          <cell r="V2003">
            <v>0.01</v>
          </cell>
          <cell r="W2003">
            <v>1.1049999999999999E-2</v>
          </cell>
          <cell r="X2003">
            <v>1.5049999999999999E-2</v>
          </cell>
          <cell r="Y2003">
            <v>1.925E-2</v>
          </cell>
          <cell r="Z2003">
            <v>2.1749999999999999E-2</v>
          </cell>
          <cell r="AA2003">
            <v>2.4050000000000002E-2</v>
          </cell>
          <cell r="AB2003">
            <v>2.5999999999999995E-2</v>
          </cell>
          <cell r="AC2003">
            <v>2.76E-2</v>
          </cell>
        </row>
        <row r="2004">
          <cell r="T2004">
            <v>37886</v>
          </cell>
          <cell r="U2004">
            <v>9.614000000000001E-3</v>
          </cell>
          <cell r="V2004">
            <v>9.8519999999999996E-3</v>
          </cell>
          <cell r="W2004">
            <v>1.125E-2</v>
          </cell>
          <cell r="X2004">
            <v>1.4849999999999999E-2</v>
          </cell>
          <cell r="Y2004">
            <v>1.9049999999999997E-2</v>
          </cell>
          <cell r="Z2004">
            <v>2.1550000000000003E-2</v>
          </cell>
          <cell r="AA2004">
            <v>2.375E-2</v>
          </cell>
          <cell r="AB2004">
            <v>2.5399999999999999E-2</v>
          </cell>
          <cell r="AC2004">
            <v>2.6799999999999997E-2</v>
          </cell>
        </row>
        <row r="2005">
          <cell r="T2005">
            <v>37885</v>
          </cell>
          <cell r="U2005">
            <v>9.5830000000000012E-3</v>
          </cell>
          <cell r="V2005">
            <v>9.8019999999999999E-3</v>
          </cell>
          <cell r="W2005">
            <v>1.145E-2</v>
          </cell>
          <cell r="X2005">
            <v>1.585E-2</v>
          </cell>
          <cell r="Y2005">
            <v>2.1000000000000001E-2</v>
          </cell>
          <cell r="Z2005">
            <v>2.265E-2</v>
          </cell>
          <cell r="AA2005">
            <v>2.4849999999999997E-2</v>
          </cell>
          <cell r="AB2005">
            <v>2.6500000000000003E-2</v>
          </cell>
          <cell r="AC2005">
            <v>2.7900000000000001E-2</v>
          </cell>
        </row>
        <row r="2006">
          <cell r="T2006">
            <v>37884</v>
          </cell>
          <cell r="U2006">
            <v>9.5830000000000012E-3</v>
          </cell>
          <cell r="V2006">
            <v>9.8019999999999999E-3</v>
          </cell>
          <cell r="W2006">
            <v>1.145E-2</v>
          </cell>
          <cell r="X2006">
            <v>1.585E-2</v>
          </cell>
          <cell r="Y2006">
            <v>2.1000000000000001E-2</v>
          </cell>
          <cell r="Z2006">
            <v>2.265E-2</v>
          </cell>
          <cell r="AA2006">
            <v>2.4849999999999997E-2</v>
          </cell>
          <cell r="AB2006">
            <v>2.6500000000000003E-2</v>
          </cell>
          <cell r="AC2006">
            <v>2.7900000000000001E-2</v>
          </cell>
        </row>
        <row r="2007">
          <cell r="T2007">
            <v>37883</v>
          </cell>
          <cell r="U2007">
            <v>9.5830000000000012E-3</v>
          </cell>
          <cell r="V2007">
            <v>9.8019999999999999E-3</v>
          </cell>
          <cell r="W2007">
            <v>1.145E-2</v>
          </cell>
          <cell r="X2007">
            <v>1.585E-2</v>
          </cell>
          <cell r="Y2007">
            <v>2.1000000000000001E-2</v>
          </cell>
          <cell r="Z2007">
            <v>2.265E-2</v>
          </cell>
          <cell r="AA2007">
            <v>2.4849999999999997E-2</v>
          </cell>
          <cell r="AB2007">
            <v>2.6500000000000003E-2</v>
          </cell>
          <cell r="AC2007">
            <v>2.7900000000000001E-2</v>
          </cell>
        </row>
        <row r="2008">
          <cell r="T2008">
            <v>37882</v>
          </cell>
          <cell r="U2008">
            <v>9.7029999999999998E-3</v>
          </cell>
          <cell r="V2008">
            <v>1.0046999999999999E-2</v>
          </cell>
          <cell r="W2008">
            <v>1.1350000000000001E-2</v>
          </cell>
          <cell r="X2008">
            <v>1.5350000000000001E-2</v>
          </cell>
          <cell r="Y2008">
            <v>2.0250000000000001E-2</v>
          </cell>
          <cell r="Z2008">
            <v>2.2550000000000001E-2</v>
          </cell>
          <cell r="AA2008">
            <v>2.4750000000000001E-2</v>
          </cell>
          <cell r="AB2008">
            <v>2.6500000000000003E-2</v>
          </cell>
          <cell r="AC2008">
            <v>2.7999999999999997E-2</v>
          </cell>
        </row>
        <row r="2009">
          <cell r="T2009">
            <v>37881</v>
          </cell>
          <cell r="U2009">
            <v>9.5999999999999992E-3</v>
          </cell>
          <cell r="V2009">
            <v>9.8119999999999995E-3</v>
          </cell>
          <cell r="W2009">
            <v>1.1350000000000001E-2</v>
          </cell>
          <cell r="X2009">
            <v>1.5449999999999998E-2</v>
          </cell>
          <cell r="Y2009">
            <v>2.0549999999999999E-2</v>
          </cell>
          <cell r="Z2009">
            <v>2.3049999999999998E-2</v>
          </cell>
          <cell r="AA2009">
            <v>2.5350000000000001E-2</v>
          </cell>
          <cell r="AB2009">
            <v>2.7400000000000001E-2</v>
          </cell>
          <cell r="AC2009">
            <v>2.9100000000000001E-2</v>
          </cell>
        </row>
        <row r="2010">
          <cell r="T2010">
            <v>37880</v>
          </cell>
          <cell r="U2010">
            <v>9.5830000000000012E-3</v>
          </cell>
          <cell r="V2010">
            <v>9.8230000000000001E-3</v>
          </cell>
          <cell r="W2010">
            <v>1.145E-2</v>
          </cell>
          <cell r="X2010">
            <v>1.6049999999999998E-2</v>
          </cell>
          <cell r="Y2010">
            <v>2.1150000000000002E-2</v>
          </cell>
          <cell r="Z2010">
            <v>2.3650000000000001E-2</v>
          </cell>
          <cell r="AA2010">
            <v>2.605E-2</v>
          </cell>
          <cell r="AB2010">
            <v>2.8099999999999997E-2</v>
          </cell>
          <cell r="AC2010">
            <v>2.98E-2</v>
          </cell>
        </row>
        <row r="2011">
          <cell r="T2011">
            <v>37879</v>
          </cell>
          <cell r="U2011">
            <v>9.6249999999999999E-3</v>
          </cell>
          <cell r="V2011">
            <v>9.8440000000000003E-3</v>
          </cell>
          <cell r="W2011">
            <v>1.1049999999999999E-2</v>
          </cell>
          <cell r="X2011">
            <v>1.5049999999999999E-2</v>
          </cell>
          <cell r="Y2011">
            <v>1.9950000000000002E-2</v>
          </cell>
          <cell r="Z2011">
            <v>2.2450000000000001E-2</v>
          </cell>
          <cell r="AA2011">
            <v>2.495E-2</v>
          </cell>
          <cell r="AB2011">
            <v>2.7400000000000001E-2</v>
          </cell>
          <cell r="AC2011">
            <v>2.9600000000000001E-2</v>
          </cell>
        </row>
        <row r="2012">
          <cell r="T2012">
            <v>37878</v>
          </cell>
          <cell r="U2012">
            <v>9.7660000000000004E-3</v>
          </cell>
          <cell r="V2012">
            <v>1.0219000000000001E-2</v>
          </cell>
          <cell r="W2012">
            <v>1.2699999999999999E-2</v>
          </cell>
          <cell r="X2012">
            <v>1.5699999999999999E-2</v>
          </cell>
          <cell r="Y2012">
            <v>2.0300000000000002E-2</v>
          </cell>
          <cell r="Z2012">
            <v>2.2550000000000001E-2</v>
          </cell>
          <cell r="AA2012">
            <v>2.4750000000000001E-2</v>
          </cell>
          <cell r="AB2012">
            <v>2.7199999999999998E-2</v>
          </cell>
          <cell r="AC2012">
            <v>2.9400000000000003E-2</v>
          </cell>
        </row>
        <row r="2013">
          <cell r="T2013">
            <v>37877</v>
          </cell>
          <cell r="U2013">
            <v>9.7660000000000004E-3</v>
          </cell>
          <cell r="V2013">
            <v>1.0219000000000001E-2</v>
          </cell>
          <cell r="W2013">
            <v>1.2699999999999999E-2</v>
          </cell>
          <cell r="X2013">
            <v>1.5699999999999999E-2</v>
          </cell>
          <cell r="Y2013">
            <v>2.0300000000000002E-2</v>
          </cell>
          <cell r="Z2013">
            <v>2.2550000000000001E-2</v>
          </cell>
          <cell r="AA2013">
            <v>2.4750000000000001E-2</v>
          </cell>
          <cell r="AB2013">
            <v>2.7199999999999998E-2</v>
          </cell>
          <cell r="AC2013">
            <v>2.9400000000000003E-2</v>
          </cell>
        </row>
        <row r="2014">
          <cell r="T2014">
            <v>37876</v>
          </cell>
          <cell r="U2014">
            <v>9.7660000000000004E-3</v>
          </cell>
          <cell r="V2014">
            <v>1.0219000000000001E-2</v>
          </cell>
          <cell r="W2014">
            <v>1.2699999999999999E-2</v>
          </cell>
          <cell r="X2014">
            <v>1.5699999999999999E-2</v>
          </cell>
          <cell r="Y2014">
            <v>2.0300000000000002E-2</v>
          </cell>
          <cell r="Z2014">
            <v>2.2550000000000001E-2</v>
          </cell>
          <cell r="AA2014">
            <v>2.4750000000000001E-2</v>
          </cell>
          <cell r="AB2014">
            <v>2.7199999999999998E-2</v>
          </cell>
          <cell r="AC2014">
            <v>2.9400000000000003E-2</v>
          </cell>
        </row>
        <row r="2015">
          <cell r="T2015">
            <v>37875</v>
          </cell>
          <cell r="U2015">
            <v>9.6749999999999996E-3</v>
          </cell>
          <cell r="V2015">
            <v>9.9369999999999997E-3</v>
          </cell>
          <cell r="W2015">
            <v>1.0950000000000001E-2</v>
          </cell>
          <cell r="X2015">
            <v>1.5350000000000001E-2</v>
          </cell>
          <cell r="Y2015">
            <v>2.0449999999999999E-2</v>
          </cell>
          <cell r="Z2015">
            <v>2.3049999999999998E-2</v>
          </cell>
          <cell r="AA2015">
            <v>2.5249999999999998E-2</v>
          </cell>
          <cell r="AB2015">
            <v>2.7699999999999999E-2</v>
          </cell>
          <cell r="AC2015">
            <v>2.9900000000000003E-2</v>
          </cell>
        </row>
        <row r="2016">
          <cell r="T2016">
            <v>37874</v>
          </cell>
          <cell r="U2016">
            <v>9.6749999999999996E-3</v>
          </cell>
          <cell r="V2016">
            <v>9.9369999999999997E-3</v>
          </cell>
          <cell r="W2016">
            <v>1.2699999999999999E-2</v>
          </cell>
          <cell r="X2016">
            <v>1.7500000000000002E-2</v>
          </cell>
          <cell r="Y2016">
            <v>2.07E-2</v>
          </cell>
          <cell r="Z2016">
            <v>2.3049999999999998E-2</v>
          </cell>
          <cell r="AA2016">
            <v>2.5249999999999998E-2</v>
          </cell>
          <cell r="AB2016">
            <v>2.7699999999999999E-2</v>
          </cell>
          <cell r="AC2016">
            <v>2.9900000000000003E-2</v>
          </cell>
        </row>
        <row r="2017">
          <cell r="T2017">
            <v>37873</v>
          </cell>
          <cell r="U2017">
            <v>9.7970000000000002E-3</v>
          </cell>
          <cell r="V2017">
            <v>1.0249999999999999E-2</v>
          </cell>
          <cell r="W2017">
            <v>1.2699999999999999E-2</v>
          </cell>
          <cell r="X2017">
            <v>1.7500000000000002E-2</v>
          </cell>
          <cell r="Y2017">
            <v>2.1000000000000001E-2</v>
          </cell>
          <cell r="Z2017">
            <v>2.4150000000000001E-2</v>
          </cell>
          <cell r="AA2017">
            <v>2.6450000000000001E-2</v>
          </cell>
          <cell r="AB2017">
            <v>2.8899999999999995E-2</v>
          </cell>
          <cell r="AC2017">
            <v>3.1100000000000003E-2</v>
          </cell>
        </row>
        <row r="2018">
          <cell r="T2018">
            <v>37872</v>
          </cell>
          <cell r="U2018">
            <v>9.8329999999999997E-3</v>
          </cell>
          <cell r="V2018">
            <v>1.0236E-2</v>
          </cell>
          <cell r="W2018">
            <v>1.145E-2</v>
          </cell>
          <cell r="X2018">
            <v>1.6250000000000001E-2</v>
          </cell>
          <cell r="Y2018">
            <v>2.1550000000000003E-2</v>
          </cell>
          <cell r="Z2018">
            <v>2.4150000000000001E-2</v>
          </cell>
          <cell r="AA2018">
            <v>2.6450000000000001E-2</v>
          </cell>
          <cell r="AB2018">
            <v>2.9000000000000005E-2</v>
          </cell>
          <cell r="AC2018">
            <v>3.1200000000000002E-2</v>
          </cell>
        </row>
        <row r="2019">
          <cell r="T2019">
            <v>37871</v>
          </cell>
          <cell r="U2019">
            <v>9.8329999999999997E-3</v>
          </cell>
          <cell r="V2019">
            <v>1.0291999999999999E-2</v>
          </cell>
          <cell r="W2019">
            <v>1.1650000000000001E-2</v>
          </cell>
          <cell r="X2019">
            <v>1.7049999999999999E-2</v>
          </cell>
          <cell r="Y2019">
            <v>2.2450000000000001E-2</v>
          </cell>
          <cell r="Z2019">
            <v>2.495E-2</v>
          </cell>
          <cell r="AA2019">
            <v>2.725E-2</v>
          </cell>
          <cell r="AB2019">
            <v>2.98E-2</v>
          </cell>
          <cell r="AC2019">
            <v>3.2099999999999997E-2</v>
          </cell>
        </row>
        <row r="2020">
          <cell r="T2020">
            <v>37870</v>
          </cell>
          <cell r="U2020">
            <v>9.8329999999999997E-3</v>
          </cell>
          <cell r="V2020">
            <v>1.0291999999999999E-2</v>
          </cell>
          <cell r="W2020">
            <v>1.1650000000000001E-2</v>
          </cell>
          <cell r="X2020">
            <v>1.7049999999999999E-2</v>
          </cell>
          <cell r="Y2020">
            <v>2.2450000000000001E-2</v>
          </cell>
          <cell r="Z2020">
            <v>2.495E-2</v>
          </cell>
          <cell r="AA2020">
            <v>2.725E-2</v>
          </cell>
          <cell r="AB2020">
            <v>2.98E-2</v>
          </cell>
          <cell r="AC2020">
            <v>3.2099999999999997E-2</v>
          </cell>
        </row>
        <row r="2021">
          <cell r="T2021">
            <v>37869</v>
          </cell>
          <cell r="U2021">
            <v>9.8329999999999997E-3</v>
          </cell>
          <cell r="V2021">
            <v>1.0291999999999999E-2</v>
          </cell>
          <cell r="W2021">
            <v>1.1650000000000001E-2</v>
          </cell>
          <cell r="X2021">
            <v>1.7049999999999999E-2</v>
          </cell>
          <cell r="Y2021">
            <v>2.2450000000000001E-2</v>
          </cell>
          <cell r="Z2021">
            <v>2.495E-2</v>
          </cell>
          <cell r="AA2021">
            <v>2.725E-2</v>
          </cell>
          <cell r="AB2021">
            <v>2.98E-2</v>
          </cell>
          <cell r="AC2021">
            <v>3.2099999999999997E-2</v>
          </cell>
        </row>
        <row r="2022">
          <cell r="T2022">
            <v>37868</v>
          </cell>
          <cell r="U2022">
            <v>9.6880000000000004E-3</v>
          </cell>
          <cell r="V2022">
            <v>9.9059999999999999E-3</v>
          </cell>
          <cell r="W2022">
            <v>1.205E-2</v>
          </cell>
          <cell r="X2022">
            <v>1.755E-2</v>
          </cell>
          <cell r="Y2022">
            <v>2.2850000000000002E-2</v>
          </cell>
          <cell r="Z2022">
            <v>2.5350000000000001E-2</v>
          </cell>
          <cell r="AA2022">
            <v>2.775E-2</v>
          </cell>
          <cell r="AB2022">
            <v>3.0300000000000004E-2</v>
          </cell>
          <cell r="AC2022">
            <v>3.2599999999999997E-2</v>
          </cell>
        </row>
        <row r="2023">
          <cell r="T2023">
            <v>37867</v>
          </cell>
          <cell r="U2023">
            <v>9.7269999999999995E-3</v>
          </cell>
          <cell r="V2023">
            <v>9.9430000000000004E-3</v>
          </cell>
          <cell r="W2023">
            <v>1.295E-2</v>
          </cell>
          <cell r="X2023">
            <v>1.8450000000000001E-2</v>
          </cell>
          <cell r="Y2023">
            <v>2.3550000000000001E-2</v>
          </cell>
          <cell r="Z2023">
            <v>2.6450000000000001E-2</v>
          </cell>
          <cell r="AA2023">
            <v>2.8849999999999997E-2</v>
          </cell>
          <cell r="AB2023">
            <v>3.1399999999999997E-2</v>
          </cell>
          <cell r="AC2023">
            <v>3.39E-2</v>
          </cell>
        </row>
        <row r="2024">
          <cell r="T2024">
            <v>37866</v>
          </cell>
          <cell r="U2024">
            <v>9.6749999999999996E-3</v>
          </cell>
          <cell r="V2024">
            <v>9.8370000000000003E-3</v>
          </cell>
          <cell r="W2024">
            <v>1.295E-2</v>
          </cell>
          <cell r="X2024">
            <v>1.7850000000000001E-2</v>
          </cell>
          <cell r="Y2024">
            <v>2.2949999999999998E-2</v>
          </cell>
          <cell r="Z2024">
            <v>2.5549999999999996E-2</v>
          </cell>
          <cell r="AA2024">
            <v>2.8049999999999999E-2</v>
          </cell>
          <cell r="AB2024">
            <v>3.0300000000000004E-2</v>
          </cell>
          <cell r="AC2024">
            <v>3.2400000000000005E-2</v>
          </cell>
        </row>
        <row r="2025">
          <cell r="T2025">
            <v>37865</v>
          </cell>
          <cell r="U2025">
            <v>9.4999999999999998E-3</v>
          </cell>
          <cell r="V2025">
            <v>9.75E-3</v>
          </cell>
          <cell r="W2025">
            <v>1.2450000000000001E-2</v>
          </cell>
          <cell r="X2025">
            <v>1.7250000000000001E-2</v>
          </cell>
          <cell r="Y2025">
            <v>2.1749999999999999E-2</v>
          </cell>
          <cell r="Z2025">
            <v>2.4450000000000003E-2</v>
          </cell>
          <cell r="AA2025">
            <v>2.6749999999999999E-2</v>
          </cell>
          <cell r="AB2025">
            <v>2.9299999999999996E-2</v>
          </cell>
          <cell r="AC2025">
            <v>3.15E-2</v>
          </cell>
        </row>
        <row r="2026">
          <cell r="T2026">
            <v>37864</v>
          </cell>
          <cell r="U2026">
            <v>9.5680000000000001E-3</v>
          </cell>
          <cell r="V2026">
            <v>9.8019999999999999E-3</v>
          </cell>
          <cell r="W2026">
            <v>1.1949999999999999E-2</v>
          </cell>
          <cell r="X2026">
            <v>1.6449999999999999E-2</v>
          </cell>
          <cell r="Y2026">
            <v>2.085E-2</v>
          </cell>
          <cell r="Z2026">
            <v>2.3250000000000003E-2</v>
          </cell>
          <cell r="AA2026">
            <v>2.5549999999999996E-2</v>
          </cell>
          <cell r="AB2026">
            <v>2.7800000000000002E-2</v>
          </cell>
          <cell r="AC2026">
            <v>2.9000000000000005E-2</v>
          </cell>
        </row>
        <row r="2027">
          <cell r="T2027">
            <v>37863</v>
          </cell>
          <cell r="U2027">
            <v>9.5680000000000001E-3</v>
          </cell>
          <cell r="V2027">
            <v>9.8019999999999999E-3</v>
          </cell>
          <cell r="W2027">
            <v>1.1949999999999999E-2</v>
          </cell>
          <cell r="X2027">
            <v>1.6449999999999999E-2</v>
          </cell>
          <cell r="Y2027">
            <v>2.085E-2</v>
          </cell>
          <cell r="Z2027">
            <v>2.3250000000000003E-2</v>
          </cell>
          <cell r="AA2027">
            <v>2.5549999999999996E-2</v>
          </cell>
          <cell r="AB2027">
            <v>2.7800000000000002E-2</v>
          </cell>
          <cell r="AC2027">
            <v>2.9000000000000005E-2</v>
          </cell>
        </row>
        <row r="2028">
          <cell r="T2028">
            <v>37862</v>
          </cell>
          <cell r="U2028">
            <v>9.5680000000000001E-3</v>
          </cell>
          <cell r="V2028">
            <v>9.8019999999999999E-3</v>
          </cell>
          <cell r="W2028">
            <v>1.1949999999999999E-2</v>
          </cell>
          <cell r="X2028">
            <v>1.6449999999999999E-2</v>
          </cell>
          <cell r="Y2028">
            <v>2.085E-2</v>
          </cell>
          <cell r="Z2028">
            <v>2.3250000000000003E-2</v>
          </cell>
          <cell r="AA2028">
            <v>2.5549999999999996E-2</v>
          </cell>
          <cell r="AB2028">
            <v>2.7800000000000002E-2</v>
          </cell>
          <cell r="AC2028">
            <v>2.9000000000000005E-2</v>
          </cell>
        </row>
        <row r="2029">
          <cell r="T2029">
            <v>37861</v>
          </cell>
          <cell r="U2029">
            <v>9.6249999999999999E-3</v>
          </cell>
          <cell r="V2029">
            <v>9.8300000000000002E-3</v>
          </cell>
          <cell r="W2029">
            <v>1.2E-2</v>
          </cell>
          <cell r="X2029">
            <v>1.6250000000000001E-2</v>
          </cell>
          <cell r="Y2029">
            <v>2.0549999999999999E-2</v>
          </cell>
          <cell r="Z2029">
            <v>2.265E-2</v>
          </cell>
          <cell r="AA2029">
            <v>2.4750000000000001E-2</v>
          </cell>
          <cell r="AB2029">
            <v>2.7300000000000001E-2</v>
          </cell>
          <cell r="AC2029">
            <v>2.9500000000000002E-2</v>
          </cell>
        </row>
        <row r="2030">
          <cell r="T2030">
            <v>37860</v>
          </cell>
          <cell r="U2030">
            <v>9.5999999999999992E-3</v>
          </cell>
          <cell r="V2030">
            <v>9.8519999999999996E-3</v>
          </cell>
          <cell r="W2030">
            <v>1.1749999999999998E-2</v>
          </cell>
          <cell r="X2030">
            <v>1.5950000000000002E-2</v>
          </cell>
          <cell r="Y2030">
            <v>2.0250000000000001E-2</v>
          </cell>
          <cell r="Z2030">
            <v>2.2450000000000001E-2</v>
          </cell>
          <cell r="AA2030">
            <v>2.4550000000000002E-2</v>
          </cell>
          <cell r="AB2030">
            <v>2.7000000000000003E-2</v>
          </cell>
          <cell r="AC2030">
            <v>2.9000000000000005E-2</v>
          </cell>
        </row>
        <row r="2031">
          <cell r="T2031">
            <v>37859</v>
          </cell>
          <cell r="U2031">
            <v>9.5449999999999997E-3</v>
          </cell>
          <cell r="V2031">
            <v>9.7710000000000002E-3</v>
          </cell>
          <cell r="W2031">
            <v>1.1749999999999998E-2</v>
          </cell>
          <cell r="X2031">
            <v>1.5950000000000002E-2</v>
          </cell>
          <cell r="Y2031">
            <v>2.0549999999999999E-2</v>
          </cell>
          <cell r="Z2031">
            <v>2.265E-2</v>
          </cell>
          <cell r="AA2031">
            <v>2.4750000000000001E-2</v>
          </cell>
          <cell r="AB2031">
            <v>2.7099999999999999E-2</v>
          </cell>
          <cell r="AC2031">
            <v>2.9000000000000005E-2</v>
          </cell>
        </row>
        <row r="2032">
          <cell r="T2032">
            <v>37858</v>
          </cell>
          <cell r="U2032">
            <v>9.4769999999999993E-3</v>
          </cell>
          <cell r="V2032">
            <v>9.725000000000001E-3</v>
          </cell>
          <cell r="W2032">
            <v>1.125E-2</v>
          </cell>
          <cell r="X2032">
            <v>1.575E-2</v>
          </cell>
          <cell r="Y2032">
            <v>2.0250000000000001E-2</v>
          </cell>
          <cell r="Z2032">
            <v>2.2349999999999998E-2</v>
          </cell>
          <cell r="AA2032">
            <v>2.4450000000000003E-2</v>
          </cell>
          <cell r="AB2032">
            <v>2.6799999999999997E-2</v>
          </cell>
          <cell r="AC2032">
            <v>2.9000000000000005E-2</v>
          </cell>
        </row>
        <row r="2033">
          <cell r="T2033">
            <v>37857</v>
          </cell>
          <cell r="U2033">
            <v>9.325E-3</v>
          </cell>
          <cell r="V2033">
            <v>9.6249999999999999E-3</v>
          </cell>
          <cell r="W2033">
            <v>1.0499999999999999E-2</v>
          </cell>
          <cell r="X2033">
            <v>1.4999999999999999E-2</v>
          </cell>
          <cell r="Y2033">
            <v>1.6500000000000001E-2</v>
          </cell>
          <cell r="Z2033">
            <v>2.1550000000000003E-2</v>
          </cell>
          <cell r="AA2033">
            <v>1.95E-2</v>
          </cell>
          <cell r="AB2033">
            <v>2.1499999999999998E-2</v>
          </cell>
          <cell r="AC2033">
            <v>2.8200000000000003E-2</v>
          </cell>
        </row>
        <row r="2034">
          <cell r="T2034">
            <v>37856</v>
          </cell>
          <cell r="U2034">
            <v>9.325E-3</v>
          </cell>
          <cell r="V2034">
            <v>9.6249999999999999E-3</v>
          </cell>
          <cell r="W2034">
            <v>1.0499999999999999E-2</v>
          </cell>
          <cell r="X2034">
            <v>1.4999999999999999E-2</v>
          </cell>
          <cell r="Y2034">
            <v>1.6500000000000001E-2</v>
          </cell>
          <cell r="Z2034">
            <v>2.1550000000000003E-2</v>
          </cell>
          <cell r="AA2034">
            <v>1.95E-2</v>
          </cell>
          <cell r="AB2034">
            <v>2.1499999999999998E-2</v>
          </cell>
          <cell r="AC2034">
            <v>2.8200000000000003E-2</v>
          </cell>
        </row>
        <row r="2035">
          <cell r="T2035">
            <v>37855</v>
          </cell>
          <cell r="U2035">
            <v>9.325E-3</v>
          </cell>
          <cell r="V2035">
            <v>9.6249999999999999E-3</v>
          </cell>
          <cell r="W2035">
            <v>1.0499999999999999E-2</v>
          </cell>
          <cell r="X2035">
            <v>1.4999999999999999E-2</v>
          </cell>
          <cell r="Y2035">
            <v>1.6500000000000001E-2</v>
          </cell>
          <cell r="Z2035">
            <v>2.1550000000000003E-2</v>
          </cell>
          <cell r="AA2035">
            <v>1.95E-2</v>
          </cell>
          <cell r="AB2035">
            <v>2.1499999999999998E-2</v>
          </cell>
          <cell r="AC2035">
            <v>2.8200000000000003E-2</v>
          </cell>
        </row>
        <row r="2036">
          <cell r="T2036">
            <v>37854</v>
          </cell>
          <cell r="U2036">
            <v>9.2750000000000003E-3</v>
          </cell>
          <cell r="V2036">
            <v>9.5230000000000002E-3</v>
          </cell>
          <cell r="W2036">
            <v>1.0449999999999999E-2</v>
          </cell>
          <cell r="X2036">
            <v>1.435E-2</v>
          </cell>
          <cell r="Y2036">
            <v>1.7000000000000001E-2</v>
          </cell>
          <cell r="Z2036">
            <v>2.0549999999999999E-2</v>
          </cell>
          <cell r="AA2036">
            <v>2.265E-2</v>
          </cell>
          <cell r="AB2036">
            <v>2.52E-2</v>
          </cell>
          <cell r="AC2036">
            <v>2.7199999999999998E-2</v>
          </cell>
        </row>
        <row r="2037">
          <cell r="T2037">
            <v>37853</v>
          </cell>
          <cell r="U2037">
            <v>8.7500000000000008E-3</v>
          </cell>
          <cell r="V2037">
            <v>9.1559999999999992E-3</v>
          </cell>
          <cell r="W2037">
            <v>1.0249999999999999E-2</v>
          </cell>
          <cell r="X2037">
            <v>1.375E-2</v>
          </cell>
          <cell r="Y2037">
            <v>1.7749999999999998E-2</v>
          </cell>
          <cell r="Z2037">
            <v>1.985E-2</v>
          </cell>
          <cell r="AA2037">
            <v>2.1749999999999999E-2</v>
          </cell>
          <cell r="AB2037">
            <v>2.4000000000000004E-2</v>
          </cell>
          <cell r="AC2037">
            <v>2.5999999999999995E-2</v>
          </cell>
        </row>
        <row r="2038">
          <cell r="T2038">
            <v>37852</v>
          </cell>
          <cell r="U2038">
            <v>8.7500000000000008E-3</v>
          </cell>
          <cell r="V2038">
            <v>9.2079999999999992E-3</v>
          </cell>
          <cell r="W2038">
            <v>1.0249999999999999E-2</v>
          </cell>
          <cell r="X2038">
            <v>1.4049999999999998E-2</v>
          </cell>
          <cell r="Y2038">
            <v>1.7749999999999998E-2</v>
          </cell>
          <cell r="Z2038">
            <v>2.0150000000000001E-2</v>
          </cell>
          <cell r="AA2038">
            <v>2.215E-2</v>
          </cell>
          <cell r="AB2038">
            <v>2.46E-2</v>
          </cell>
          <cell r="AC2038">
            <v>2.6600000000000002E-2</v>
          </cell>
        </row>
        <row r="2039">
          <cell r="T2039">
            <v>37851</v>
          </cell>
          <cell r="U2039">
            <v>8.6119999999999999E-3</v>
          </cell>
          <cell r="V2039">
            <v>9.0679999999999997E-3</v>
          </cell>
          <cell r="W2039">
            <v>8.7500000000000008E-3</v>
          </cell>
          <cell r="X2039">
            <v>1.3000000000000001E-2</v>
          </cell>
          <cell r="Y2039">
            <v>1.7749999999999998E-2</v>
          </cell>
          <cell r="Z2039">
            <v>1.975E-2</v>
          </cell>
          <cell r="AA2039">
            <v>2.1749999999999999E-2</v>
          </cell>
          <cell r="AB2039">
            <v>2.4299999999999999E-2</v>
          </cell>
          <cell r="AC2039">
            <v>2.63E-2</v>
          </cell>
        </row>
        <row r="2040">
          <cell r="T2040">
            <v>37850</v>
          </cell>
          <cell r="U2040">
            <v>8.1879999999999991E-3</v>
          </cell>
          <cell r="V2040">
            <v>8.6499999999999997E-3</v>
          </cell>
          <cell r="W2040">
            <v>9.5500000000000012E-3</v>
          </cell>
          <cell r="X2040">
            <v>1.315E-2</v>
          </cell>
          <cell r="Y2040">
            <v>1.745E-2</v>
          </cell>
          <cell r="Z2040">
            <v>1.9550000000000001E-2</v>
          </cell>
          <cell r="AA2040">
            <v>2.1550000000000003E-2</v>
          </cell>
          <cell r="AB2040">
            <v>2.4299999999999999E-2</v>
          </cell>
          <cell r="AC2040">
            <v>2.58E-2</v>
          </cell>
        </row>
        <row r="2041">
          <cell r="T2041">
            <v>37849</v>
          </cell>
          <cell r="U2041">
            <v>8.1879999999999991E-3</v>
          </cell>
          <cell r="V2041">
            <v>8.6499999999999997E-3</v>
          </cell>
          <cell r="W2041">
            <v>9.5500000000000012E-3</v>
          </cell>
          <cell r="X2041">
            <v>1.315E-2</v>
          </cell>
          <cell r="Y2041">
            <v>1.745E-2</v>
          </cell>
          <cell r="Z2041">
            <v>1.9550000000000001E-2</v>
          </cell>
          <cell r="AA2041">
            <v>2.1550000000000003E-2</v>
          </cell>
          <cell r="AB2041">
            <v>2.4299999999999999E-2</v>
          </cell>
          <cell r="AC2041">
            <v>2.58E-2</v>
          </cell>
        </row>
        <row r="2042">
          <cell r="T2042">
            <v>37848</v>
          </cell>
          <cell r="U2042">
            <v>8.1879999999999991E-3</v>
          </cell>
          <cell r="V2042">
            <v>8.6499999999999997E-3</v>
          </cell>
          <cell r="W2042">
            <v>9.5500000000000012E-3</v>
          </cell>
          <cell r="X2042">
            <v>1.315E-2</v>
          </cell>
          <cell r="Y2042">
            <v>1.745E-2</v>
          </cell>
          <cell r="Z2042">
            <v>1.9550000000000001E-2</v>
          </cell>
          <cell r="AA2042">
            <v>2.1550000000000003E-2</v>
          </cell>
          <cell r="AB2042">
            <v>2.4299999999999999E-2</v>
          </cell>
          <cell r="AC2042">
            <v>2.58E-2</v>
          </cell>
        </row>
        <row r="2043">
          <cell r="T2043">
            <v>37847</v>
          </cell>
          <cell r="U2043">
            <v>8.0619999999999997E-3</v>
          </cell>
          <cell r="V2043">
            <v>8.5500000000000003E-3</v>
          </cell>
          <cell r="W2043">
            <v>9.2500000000000013E-3</v>
          </cell>
          <cell r="X2043">
            <v>1.3050000000000001E-2</v>
          </cell>
          <cell r="Y2043">
            <v>1.7349999999999997E-2</v>
          </cell>
          <cell r="Z2043">
            <v>1.9449999999999999E-2</v>
          </cell>
          <cell r="AA2043">
            <v>2.1550000000000003E-2</v>
          </cell>
          <cell r="AB2043">
            <v>2.3799999999999998E-2</v>
          </cell>
          <cell r="AC2043">
            <v>2.5499999999999998E-2</v>
          </cell>
        </row>
        <row r="2044">
          <cell r="T2044">
            <v>37846</v>
          </cell>
          <cell r="U2044">
            <v>8.036999999999999E-3</v>
          </cell>
          <cell r="V2044">
            <v>8.659E-3</v>
          </cell>
          <cell r="W2044">
            <v>9.1500000000000001E-3</v>
          </cell>
          <cell r="X2044">
            <v>1.2749999999999999E-2</v>
          </cell>
          <cell r="Y2044">
            <v>1.6749999999999998E-2</v>
          </cell>
          <cell r="Z2044">
            <v>1.8849999999999999E-2</v>
          </cell>
          <cell r="AA2044">
            <v>2.0949999999999996E-2</v>
          </cell>
          <cell r="AB2044">
            <v>2.3200000000000002E-2</v>
          </cell>
          <cell r="AC2044">
            <v>2.52E-2</v>
          </cell>
        </row>
        <row r="2045">
          <cell r="T2045">
            <v>37845</v>
          </cell>
          <cell r="U2045">
            <v>8.1250000000000003E-3</v>
          </cell>
          <cell r="V2045">
            <v>8.6750000000000004E-3</v>
          </cell>
          <cell r="W2045">
            <v>1.0499999999999999E-2</v>
          </cell>
          <cell r="X2045">
            <v>1.2999999999999998E-2</v>
          </cell>
          <cell r="Y2045">
            <v>1.6500000000000001E-2</v>
          </cell>
          <cell r="Z2045">
            <v>1.8749999999999999E-2</v>
          </cell>
          <cell r="AA2045">
            <v>1.95E-2</v>
          </cell>
          <cell r="AB2045">
            <v>2.1499999999999998E-2</v>
          </cell>
          <cell r="AC2045">
            <v>2.5099999999999997E-2</v>
          </cell>
        </row>
        <row r="2046">
          <cell r="T2046">
            <v>37844</v>
          </cell>
          <cell r="U2046">
            <v>8.2310000000000005E-3</v>
          </cell>
          <cell r="V2046">
            <v>9.0419999999999997E-3</v>
          </cell>
          <cell r="W2046">
            <v>9.1500000000000001E-3</v>
          </cell>
          <cell r="X2046">
            <v>1.2749999999999999E-2</v>
          </cell>
          <cell r="Y2046">
            <v>1.6549999999999999E-2</v>
          </cell>
          <cell r="Z2046">
            <v>1.8749999999999999E-2</v>
          </cell>
          <cell r="AA2046">
            <v>2.085E-2</v>
          </cell>
          <cell r="AB2046">
            <v>2.3200000000000002E-2</v>
          </cell>
          <cell r="AC2046">
            <v>2.4299999999999999E-2</v>
          </cell>
        </row>
        <row r="2047">
          <cell r="T2047">
            <v>37843</v>
          </cell>
          <cell r="U2047">
            <v>8.2500000000000004E-3</v>
          </cell>
          <cell r="V2047">
            <v>8.9770000000000006E-3</v>
          </cell>
          <cell r="W2047">
            <v>9.3999999999999986E-3</v>
          </cell>
          <cell r="X2047">
            <v>1.2749999999999999E-2</v>
          </cell>
          <cell r="Y2047">
            <v>1.6549999999999999E-2</v>
          </cell>
          <cell r="Z2047">
            <v>1.8749999999999999E-2</v>
          </cell>
          <cell r="AA2047">
            <v>2.0649999999999998E-2</v>
          </cell>
          <cell r="AB2047">
            <v>2.3200000000000002E-2</v>
          </cell>
          <cell r="AC2047">
            <v>2.4299999999999999E-2</v>
          </cell>
        </row>
        <row r="2048">
          <cell r="T2048">
            <v>37842</v>
          </cell>
          <cell r="U2048">
            <v>8.2500000000000004E-3</v>
          </cell>
          <cell r="V2048">
            <v>8.9770000000000006E-3</v>
          </cell>
          <cell r="W2048">
            <v>9.3999999999999986E-3</v>
          </cell>
          <cell r="X2048">
            <v>1.2749999999999999E-2</v>
          </cell>
          <cell r="Y2048">
            <v>1.6549999999999999E-2</v>
          </cell>
          <cell r="Z2048">
            <v>1.8749999999999999E-2</v>
          </cell>
          <cell r="AA2048">
            <v>2.0649999999999998E-2</v>
          </cell>
          <cell r="AB2048">
            <v>2.3200000000000002E-2</v>
          </cell>
          <cell r="AC2048">
            <v>2.4299999999999999E-2</v>
          </cell>
        </row>
        <row r="2049">
          <cell r="T2049">
            <v>37841</v>
          </cell>
          <cell r="U2049">
            <v>8.2500000000000004E-3</v>
          </cell>
          <cell r="V2049">
            <v>8.9770000000000006E-3</v>
          </cell>
          <cell r="W2049">
            <v>9.3999999999999986E-3</v>
          </cell>
          <cell r="X2049">
            <v>1.2749999999999999E-2</v>
          </cell>
          <cell r="Y2049">
            <v>1.6549999999999999E-2</v>
          </cell>
          <cell r="Z2049">
            <v>1.8749999999999999E-2</v>
          </cell>
          <cell r="AA2049">
            <v>2.0649999999999998E-2</v>
          </cell>
          <cell r="AB2049">
            <v>2.3200000000000002E-2</v>
          </cell>
          <cell r="AC2049">
            <v>2.4299999999999999E-2</v>
          </cell>
        </row>
        <row r="2050">
          <cell r="T2050">
            <v>37840</v>
          </cell>
          <cell r="U2050">
            <v>8.182E-3</v>
          </cell>
          <cell r="V2050">
            <v>8.8000000000000005E-3</v>
          </cell>
          <cell r="W2050">
            <v>9.2500000000000013E-3</v>
          </cell>
          <cell r="X2050">
            <v>1.2749999999999999E-2</v>
          </cell>
          <cell r="Y2050">
            <v>1.6750000000000001E-2</v>
          </cell>
          <cell r="Z2050">
            <v>1.8550000000000001E-2</v>
          </cell>
          <cell r="AA2050">
            <v>2.0649999999999998E-2</v>
          </cell>
          <cell r="AB2050">
            <v>2.29E-2</v>
          </cell>
          <cell r="AC2050">
            <v>2.4900000000000002E-2</v>
          </cell>
        </row>
        <row r="2051">
          <cell r="T2051">
            <v>37839</v>
          </cell>
          <cell r="U2051">
            <v>8.2629999999999995E-3</v>
          </cell>
          <cell r="V2051">
            <v>8.966E-3</v>
          </cell>
          <cell r="W2051">
            <v>8.9499999999999996E-3</v>
          </cell>
          <cell r="X2051">
            <v>1.2650000000000002E-2</v>
          </cell>
          <cell r="Y2051">
            <v>1.6749999999999998E-2</v>
          </cell>
          <cell r="Z2051">
            <v>1.8749999999999999E-2</v>
          </cell>
          <cell r="AA2051">
            <v>2.085E-2</v>
          </cell>
          <cell r="AB2051">
            <v>2.3200000000000002E-2</v>
          </cell>
          <cell r="AC2051">
            <v>2.52E-2</v>
          </cell>
        </row>
        <row r="2052">
          <cell r="T2052">
            <v>37838</v>
          </cell>
          <cell r="U2052">
            <v>8.3299999999999989E-3</v>
          </cell>
          <cell r="V2052">
            <v>8.8500000000000002E-3</v>
          </cell>
          <cell r="W2052">
            <v>9.0500000000000008E-3</v>
          </cell>
          <cell r="X2052">
            <v>1.295E-2</v>
          </cell>
          <cell r="Y2052">
            <v>1.695E-2</v>
          </cell>
          <cell r="Z2052">
            <v>1.925E-2</v>
          </cell>
          <cell r="AA2052">
            <v>2.1150000000000002E-2</v>
          </cell>
          <cell r="AB2052">
            <v>2.3499999999999997E-2</v>
          </cell>
          <cell r="AC2052">
            <v>2.5499999999999998E-2</v>
          </cell>
        </row>
        <row r="2053">
          <cell r="T2053">
            <v>37837</v>
          </cell>
          <cell r="U2053">
            <v>8.5419999999999992E-3</v>
          </cell>
          <cell r="V2053">
            <v>9.1700000000000011E-3</v>
          </cell>
          <cell r="W2053">
            <v>8.7500000000000008E-3</v>
          </cell>
          <cell r="X2053">
            <v>1.2500000000000001E-2</v>
          </cell>
          <cell r="Y2053">
            <v>1.6549999999999999E-2</v>
          </cell>
          <cell r="Z2053">
            <v>1.8749999999999999E-2</v>
          </cell>
          <cell r="AA2053">
            <v>2.0750000000000001E-2</v>
          </cell>
          <cell r="AB2053">
            <v>2.2800000000000001E-2</v>
          </cell>
          <cell r="AC2053">
            <v>2.4799999999999999E-2</v>
          </cell>
        </row>
        <row r="2054">
          <cell r="T2054">
            <v>37836</v>
          </cell>
          <cell r="U2054">
            <v>8.5620000000000002E-3</v>
          </cell>
          <cell r="V2054">
            <v>9.1929999999999998E-3</v>
          </cell>
          <cell r="W2054">
            <v>9.2500000000000013E-3</v>
          </cell>
          <cell r="X2054">
            <v>1.2850000000000002E-2</v>
          </cell>
          <cell r="Y2054">
            <v>1.6749999999999998E-2</v>
          </cell>
          <cell r="Z2054">
            <v>1.9049999999999997E-2</v>
          </cell>
          <cell r="AA2054">
            <v>2.1250000000000002E-2</v>
          </cell>
          <cell r="AB2054">
            <v>2.3499999999999997E-2</v>
          </cell>
          <cell r="AC2054">
            <v>2.5999999999999995E-2</v>
          </cell>
        </row>
        <row r="2055">
          <cell r="T2055">
            <v>37835</v>
          </cell>
          <cell r="U2055">
            <v>8.5620000000000002E-3</v>
          </cell>
          <cell r="V2055">
            <v>9.1929999999999998E-3</v>
          </cell>
          <cell r="W2055">
            <v>9.2500000000000013E-3</v>
          </cell>
          <cell r="X2055">
            <v>1.2850000000000002E-2</v>
          </cell>
          <cell r="Y2055">
            <v>1.6749999999999998E-2</v>
          </cell>
          <cell r="Z2055">
            <v>1.9049999999999997E-2</v>
          </cell>
          <cell r="AA2055">
            <v>2.1250000000000002E-2</v>
          </cell>
          <cell r="AB2055">
            <v>2.3499999999999997E-2</v>
          </cell>
          <cell r="AC2055">
            <v>2.5999999999999995E-2</v>
          </cell>
        </row>
        <row r="2056">
          <cell r="T2056">
            <v>37834</v>
          </cell>
          <cell r="U2056">
            <v>8.5620000000000002E-3</v>
          </cell>
          <cell r="V2056">
            <v>9.1929999999999998E-3</v>
          </cell>
          <cell r="W2056">
            <v>9.2500000000000013E-3</v>
          </cell>
          <cell r="X2056">
            <v>1.2850000000000002E-2</v>
          </cell>
          <cell r="Y2056">
            <v>1.6749999999999998E-2</v>
          </cell>
          <cell r="Z2056">
            <v>1.9049999999999997E-2</v>
          </cell>
          <cell r="AA2056">
            <v>2.1250000000000002E-2</v>
          </cell>
          <cell r="AB2056">
            <v>2.3499999999999997E-2</v>
          </cell>
          <cell r="AC2056">
            <v>2.5999999999999995E-2</v>
          </cell>
        </row>
        <row r="2057">
          <cell r="T2057">
            <v>37833</v>
          </cell>
          <cell r="U2057">
            <v>8.4440000000000001E-3</v>
          </cell>
          <cell r="V2057">
            <v>9.2189999999999998E-3</v>
          </cell>
          <cell r="W2057">
            <v>1.0500000000000001E-2</v>
          </cell>
          <cell r="X2057">
            <v>1.15E-2</v>
          </cell>
          <cell r="Y2057">
            <v>1.4300000000000002E-2</v>
          </cell>
          <cell r="Z2057">
            <v>1.805E-2</v>
          </cell>
          <cell r="AA2057">
            <v>1.9950000000000002E-2</v>
          </cell>
          <cell r="AB2057">
            <v>2.2350000000000002E-2</v>
          </cell>
          <cell r="AC2057">
            <v>2.4649999999999998E-2</v>
          </cell>
        </row>
        <row r="2058">
          <cell r="T2058">
            <v>37832</v>
          </cell>
          <cell r="U2058">
            <v>8.8129999999999997E-3</v>
          </cell>
          <cell r="V2058">
            <v>9.2659999999999999E-3</v>
          </cell>
          <cell r="W2058">
            <v>8.9499999999999996E-3</v>
          </cell>
          <cell r="X2058">
            <v>1.205E-2</v>
          </cell>
          <cell r="Y2058">
            <v>1.575E-2</v>
          </cell>
          <cell r="Z2058">
            <v>1.7950000000000001E-2</v>
          </cell>
          <cell r="AA2058">
            <v>1.975E-2</v>
          </cell>
          <cell r="AB2058">
            <v>2.215E-2</v>
          </cell>
          <cell r="AC2058">
            <v>2.4450000000000003E-2</v>
          </cell>
        </row>
        <row r="2059">
          <cell r="T2059">
            <v>37831</v>
          </cell>
          <cell r="U2059">
            <v>8.9549999999999994E-3</v>
          </cell>
          <cell r="V2059">
            <v>9.2189999999999998E-3</v>
          </cell>
          <cell r="W2059">
            <v>9.4500000000000001E-3</v>
          </cell>
          <cell r="X2059">
            <v>1.2749999999999999E-2</v>
          </cell>
          <cell r="Y2059">
            <v>1.6650000000000002E-2</v>
          </cell>
          <cell r="Z2059">
            <v>1.8749999999999999E-2</v>
          </cell>
          <cell r="AA2059">
            <v>2.085E-2</v>
          </cell>
          <cell r="AB2059">
            <v>2.315E-2</v>
          </cell>
          <cell r="AC2059">
            <v>2.545E-2</v>
          </cell>
        </row>
        <row r="2060">
          <cell r="T2060">
            <v>37830</v>
          </cell>
          <cell r="U2060">
            <v>9.1940000000000008E-3</v>
          </cell>
          <cell r="V2060">
            <v>9.5969999999999996E-3</v>
          </cell>
          <cell r="W2060">
            <v>9.6499999999999989E-3</v>
          </cell>
          <cell r="X2060">
            <v>1.2749999999999999E-2</v>
          </cell>
          <cell r="Y2060">
            <v>1.685E-2</v>
          </cell>
          <cell r="Z2060">
            <v>1.8950000000000002E-2</v>
          </cell>
          <cell r="AA2060">
            <v>2.085E-2</v>
          </cell>
          <cell r="AB2060">
            <v>2.315E-2</v>
          </cell>
          <cell r="AC2060">
            <v>2.5549999999999996E-2</v>
          </cell>
        </row>
        <row r="2061">
          <cell r="T2061">
            <v>37829</v>
          </cell>
          <cell r="U2061">
            <v>9.1590000000000005E-3</v>
          </cell>
          <cell r="V2061">
            <v>9.4889999999999992E-3</v>
          </cell>
          <cell r="W2061">
            <v>9.5500000000000012E-3</v>
          </cell>
          <cell r="X2061">
            <v>1.2650000000000002E-2</v>
          </cell>
          <cell r="Y2061">
            <v>1.6200000000000003E-2</v>
          </cell>
          <cell r="Z2061">
            <v>1.8450000000000001E-2</v>
          </cell>
          <cell r="AA2061">
            <v>2.035E-2</v>
          </cell>
          <cell r="AB2061">
            <v>2.2649999999999997E-2</v>
          </cell>
          <cell r="AC2061">
            <v>2.495E-2</v>
          </cell>
        </row>
        <row r="2062">
          <cell r="T2062">
            <v>37828</v>
          </cell>
          <cell r="U2062">
            <v>9.1590000000000005E-3</v>
          </cell>
          <cell r="V2062">
            <v>9.4889999999999992E-3</v>
          </cell>
          <cell r="W2062">
            <v>9.5500000000000012E-3</v>
          </cell>
          <cell r="X2062">
            <v>1.2650000000000002E-2</v>
          </cell>
          <cell r="Y2062">
            <v>1.6200000000000003E-2</v>
          </cell>
          <cell r="Z2062">
            <v>1.8450000000000001E-2</v>
          </cell>
          <cell r="AA2062">
            <v>2.035E-2</v>
          </cell>
          <cell r="AB2062">
            <v>2.2649999999999997E-2</v>
          </cell>
          <cell r="AC2062">
            <v>2.495E-2</v>
          </cell>
        </row>
        <row r="2063">
          <cell r="T2063">
            <v>37827</v>
          </cell>
          <cell r="U2063">
            <v>9.1590000000000005E-3</v>
          </cell>
          <cell r="V2063">
            <v>9.4889999999999992E-3</v>
          </cell>
          <cell r="W2063">
            <v>9.5500000000000012E-3</v>
          </cell>
          <cell r="X2063">
            <v>1.2650000000000002E-2</v>
          </cell>
          <cell r="Y2063">
            <v>1.6200000000000003E-2</v>
          </cell>
          <cell r="Z2063">
            <v>1.8450000000000001E-2</v>
          </cell>
          <cell r="AA2063">
            <v>2.035E-2</v>
          </cell>
          <cell r="AB2063">
            <v>2.2649999999999997E-2</v>
          </cell>
          <cell r="AC2063">
            <v>2.495E-2</v>
          </cell>
        </row>
        <row r="2064">
          <cell r="T2064">
            <v>37826</v>
          </cell>
          <cell r="U2064">
            <v>9.3589999999999993E-3</v>
          </cell>
          <cell r="V2064">
            <v>9.7660000000000004E-3</v>
          </cell>
          <cell r="W2064">
            <v>9.7999999999999997E-3</v>
          </cell>
          <cell r="X2064">
            <v>1.2749999999999999E-2</v>
          </cell>
          <cell r="Y2064">
            <v>1.6E-2</v>
          </cell>
          <cell r="Z2064">
            <v>1.8200000000000001E-2</v>
          </cell>
          <cell r="AA2064">
            <v>2.0049999999999998E-2</v>
          </cell>
          <cell r="AB2064">
            <v>2.2649999999999997E-2</v>
          </cell>
          <cell r="AC2064">
            <v>2.5049999999999999E-2</v>
          </cell>
        </row>
        <row r="2065">
          <cell r="T2065">
            <v>37825</v>
          </cell>
          <cell r="U2065">
            <v>9.2919999999999999E-3</v>
          </cell>
          <cell r="V2065">
            <v>9.6109999999999998E-3</v>
          </cell>
          <cell r="W2065">
            <v>0.01</v>
          </cell>
          <cell r="X2065">
            <v>1.29E-2</v>
          </cell>
          <cell r="Y2065">
            <v>1.6400000000000001E-2</v>
          </cell>
          <cell r="Z2065">
            <v>1.8599999999999998E-2</v>
          </cell>
          <cell r="AA2065">
            <v>2.035E-2</v>
          </cell>
          <cell r="AB2065">
            <v>2.2850000000000002E-2</v>
          </cell>
          <cell r="AC2065">
            <v>2.5250000000000005E-2</v>
          </cell>
        </row>
        <row r="2066">
          <cell r="T2066">
            <v>37824</v>
          </cell>
          <cell r="U2066">
            <v>9.3179999999999999E-3</v>
          </cell>
          <cell r="V2066">
            <v>9.5909999999999988E-3</v>
          </cell>
          <cell r="W2066">
            <v>1.0350000000000002E-2</v>
          </cell>
          <cell r="X2066">
            <v>1.315E-2</v>
          </cell>
          <cell r="Y2066">
            <v>1.6650000000000002E-2</v>
          </cell>
          <cell r="Z2066">
            <v>1.915E-2</v>
          </cell>
          <cell r="AA2066">
            <v>2.0750000000000001E-2</v>
          </cell>
          <cell r="AB2066">
            <v>2.29E-2</v>
          </cell>
          <cell r="AC2066">
            <v>2.5250000000000005E-2</v>
          </cell>
        </row>
        <row r="2067">
          <cell r="T2067">
            <v>37823</v>
          </cell>
          <cell r="U2067">
            <v>9.3880000000000005E-3</v>
          </cell>
          <cell r="V2067">
            <v>9.6749999999999996E-3</v>
          </cell>
          <cell r="W2067">
            <v>1.0249999999999999E-2</v>
          </cell>
          <cell r="X2067">
            <v>1.3349999999999999E-2</v>
          </cell>
          <cell r="Y2067">
            <v>1.6500000000000001E-2</v>
          </cell>
          <cell r="Z2067">
            <v>1.8749999999999999E-2</v>
          </cell>
          <cell r="AA2067">
            <v>2.06E-2</v>
          </cell>
          <cell r="AB2067">
            <v>2.3049999999999998E-2</v>
          </cell>
          <cell r="AC2067">
            <v>2.5649999999999999E-2</v>
          </cell>
        </row>
        <row r="2068">
          <cell r="T2068">
            <v>37822</v>
          </cell>
          <cell r="U2068">
            <v>9.613E-3</v>
          </cell>
          <cell r="V2068">
            <v>9.9500000000000005E-3</v>
          </cell>
          <cell r="W2068">
            <v>1.04E-2</v>
          </cell>
          <cell r="X2068">
            <v>1.3349999999999999E-2</v>
          </cell>
          <cell r="Y2068">
            <v>1.7000000000000001E-2</v>
          </cell>
          <cell r="Z2068">
            <v>1.915E-2</v>
          </cell>
          <cell r="AA2068">
            <v>2.0949999999999996E-2</v>
          </cell>
          <cell r="AB2068">
            <v>2.3349999999999999E-2</v>
          </cell>
          <cell r="AC2068">
            <v>2.5600000000000001E-2</v>
          </cell>
        </row>
        <row r="2069">
          <cell r="T2069">
            <v>37821</v>
          </cell>
          <cell r="U2069">
            <v>9.613E-3</v>
          </cell>
          <cell r="V2069">
            <v>9.9500000000000005E-3</v>
          </cell>
          <cell r="W2069">
            <v>1.04E-2</v>
          </cell>
          <cell r="X2069">
            <v>1.3349999999999999E-2</v>
          </cell>
          <cell r="Y2069">
            <v>1.7000000000000001E-2</v>
          </cell>
          <cell r="Z2069">
            <v>1.915E-2</v>
          </cell>
          <cell r="AA2069">
            <v>2.0949999999999996E-2</v>
          </cell>
          <cell r="AB2069">
            <v>2.3349999999999999E-2</v>
          </cell>
          <cell r="AC2069">
            <v>2.5600000000000001E-2</v>
          </cell>
        </row>
        <row r="2070">
          <cell r="T2070">
            <v>37820</v>
          </cell>
          <cell r="U2070">
            <v>9.613E-3</v>
          </cell>
          <cell r="V2070">
            <v>9.9500000000000005E-3</v>
          </cell>
          <cell r="W2070">
            <v>1.04E-2</v>
          </cell>
          <cell r="X2070">
            <v>1.3349999999999999E-2</v>
          </cell>
          <cell r="Y2070">
            <v>1.7000000000000001E-2</v>
          </cell>
          <cell r="Z2070">
            <v>1.915E-2</v>
          </cell>
          <cell r="AA2070">
            <v>2.0949999999999996E-2</v>
          </cell>
          <cell r="AB2070">
            <v>2.3349999999999999E-2</v>
          </cell>
          <cell r="AC2070">
            <v>2.5600000000000001E-2</v>
          </cell>
        </row>
        <row r="2071">
          <cell r="T2071">
            <v>37819</v>
          </cell>
          <cell r="U2071">
            <v>9.6460000000000001E-3</v>
          </cell>
          <cell r="V2071">
            <v>9.8960000000000003E-3</v>
          </cell>
          <cell r="W2071">
            <v>1.0200000000000001E-2</v>
          </cell>
          <cell r="X2071">
            <v>1.3000000000000001E-2</v>
          </cell>
          <cell r="Y2071">
            <v>1.6049999999999998E-2</v>
          </cell>
          <cell r="Z2071">
            <v>1.8000000000000002E-2</v>
          </cell>
          <cell r="AA2071">
            <v>1.9550000000000001E-2</v>
          </cell>
          <cell r="AB2071">
            <v>2.1550000000000003E-2</v>
          </cell>
          <cell r="AC2071">
            <v>2.3349999999999999E-2</v>
          </cell>
        </row>
        <row r="2072">
          <cell r="T2072">
            <v>37818</v>
          </cell>
          <cell r="U2072">
            <v>9.6460000000000001E-3</v>
          </cell>
          <cell r="V2072">
            <v>9.8750000000000001E-3</v>
          </cell>
          <cell r="W2072">
            <v>1.0449999999999999E-2</v>
          </cell>
          <cell r="X2072">
            <v>1.3450000000000002E-2</v>
          </cell>
          <cell r="Y2072">
            <v>1.6299999999999999E-2</v>
          </cell>
          <cell r="Z2072">
            <v>1.8349999999999998E-2</v>
          </cell>
          <cell r="AA2072">
            <v>2.0049999999999998E-2</v>
          </cell>
          <cell r="AB2072">
            <v>2.1950000000000004E-2</v>
          </cell>
          <cell r="AC2072">
            <v>2.3899999999999998E-2</v>
          </cell>
        </row>
        <row r="2073">
          <cell r="T2073">
            <v>37817</v>
          </cell>
          <cell r="U2073">
            <v>9.8750000000000001E-3</v>
          </cell>
          <cell r="V2073">
            <v>1.0313000000000001E-2</v>
          </cell>
          <cell r="W2073">
            <v>1.01E-2</v>
          </cell>
          <cell r="X2073">
            <v>1.2749999999999999E-2</v>
          </cell>
          <cell r="Y2073">
            <v>1.525E-2</v>
          </cell>
          <cell r="Z2073">
            <v>1.7100000000000001E-2</v>
          </cell>
          <cell r="AA2073">
            <v>1.8550000000000001E-2</v>
          </cell>
          <cell r="AB2073">
            <v>2.0549999999999999E-2</v>
          </cell>
          <cell r="AC2073">
            <v>2.2450000000000001E-2</v>
          </cell>
        </row>
        <row r="2074">
          <cell r="T2074">
            <v>37816</v>
          </cell>
          <cell r="U2074">
            <v>9.8750000000000001E-3</v>
          </cell>
          <cell r="V2074">
            <v>1.0219000000000001E-2</v>
          </cell>
          <cell r="W2074">
            <v>1.0049999999999998E-2</v>
          </cell>
          <cell r="X2074">
            <v>1.2800000000000001E-2</v>
          </cell>
          <cell r="Y2074">
            <v>1.525E-2</v>
          </cell>
          <cell r="Z2074">
            <v>1.7250000000000001E-2</v>
          </cell>
          <cell r="AA2074">
            <v>1.865E-2</v>
          </cell>
          <cell r="AB2074">
            <v>2.0499999999999997E-2</v>
          </cell>
          <cell r="AC2074">
            <v>2.2099999999999998E-2</v>
          </cell>
        </row>
        <row r="2075">
          <cell r="T2075">
            <v>37815</v>
          </cell>
          <cell r="U2075">
            <v>9.8119999999999995E-3</v>
          </cell>
          <cell r="V2075">
            <v>1.0094000000000001E-2</v>
          </cell>
          <cell r="W2075">
            <v>1.0200000000000001E-2</v>
          </cell>
          <cell r="X2075">
            <v>1.2650000000000002E-2</v>
          </cell>
          <cell r="Y2075">
            <v>1.5150000000000002E-2</v>
          </cell>
          <cell r="Z2075">
            <v>1.685E-2</v>
          </cell>
          <cell r="AA2075">
            <v>1.8450000000000001E-2</v>
          </cell>
          <cell r="AB2075">
            <v>1.985E-2</v>
          </cell>
          <cell r="AC2075">
            <v>2.1550000000000003E-2</v>
          </cell>
        </row>
        <row r="2076">
          <cell r="T2076">
            <v>37814</v>
          </cell>
          <cell r="U2076">
            <v>9.8119999999999995E-3</v>
          </cell>
          <cell r="V2076">
            <v>1.0094000000000001E-2</v>
          </cell>
          <cell r="W2076">
            <v>1.0200000000000001E-2</v>
          </cell>
          <cell r="X2076">
            <v>1.2650000000000002E-2</v>
          </cell>
          <cell r="Y2076">
            <v>1.5150000000000002E-2</v>
          </cell>
          <cell r="Z2076">
            <v>1.685E-2</v>
          </cell>
          <cell r="AA2076">
            <v>1.8450000000000001E-2</v>
          </cell>
          <cell r="AB2076">
            <v>1.985E-2</v>
          </cell>
          <cell r="AC2076">
            <v>2.1550000000000003E-2</v>
          </cell>
        </row>
        <row r="2077">
          <cell r="T2077">
            <v>37813</v>
          </cell>
          <cell r="U2077">
            <v>9.8119999999999995E-3</v>
          </cell>
          <cell r="V2077">
            <v>1.0094000000000001E-2</v>
          </cell>
          <cell r="W2077">
            <v>1.0200000000000001E-2</v>
          </cell>
          <cell r="X2077">
            <v>1.2650000000000002E-2</v>
          </cell>
          <cell r="Y2077">
            <v>1.5150000000000002E-2</v>
          </cell>
          <cell r="Z2077">
            <v>1.685E-2</v>
          </cell>
          <cell r="AA2077">
            <v>1.8450000000000001E-2</v>
          </cell>
          <cell r="AB2077">
            <v>1.985E-2</v>
          </cell>
          <cell r="AC2077">
            <v>2.1550000000000003E-2</v>
          </cell>
        </row>
        <row r="2078">
          <cell r="T2078">
            <v>37812</v>
          </cell>
          <cell r="U2078">
            <v>0.01</v>
          </cell>
          <cell r="V2078">
            <v>1.0406E-2</v>
          </cell>
          <cell r="W2078">
            <v>1.01E-2</v>
          </cell>
          <cell r="X2078">
            <v>1.2349999999999998E-2</v>
          </cell>
          <cell r="Y2078">
            <v>1.47E-2</v>
          </cell>
          <cell r="Z2078">
            <v>1.635E-2</v>
          </cell>
          <cell r="AA2078">
            <v>1.77E-2</v>
          </cell>
          <cell r="AB2078">
            <v>1.9699999999999999E-2</v>
          </cell>
          <cell r="AC2078">
            <v>2.1299999999999999E-2</v>
          </cell>
        </row>
        <row r="2079">
          <cell r="T2079">
            <v>37811</v>
          </cell>
          <cell r="U2079">
            <v>9.9900000000000006E-3</v>
          </cell>
          <cell r="V2079">
            <v>1.0169999999999998E-2</v>
          </cell>
          <cell r="W2079">
            <v>1.0350000000000002E-2</v>
          </cell>
          <cell r="X2079">
            <v>1.2699999999999999E-2</v>
          </cell>
          <cell r="Y2079">
            <v>1.5049999999999999E-2</v>
          </cell>
          <cell r="Z2079">
            <v>1.6799999999999999E-2</v>
          </cell>
          <cell r="AA2079">
            <v>1.8100000000000002E-2</v>
          </cell>
          <cell r="AB2079">
            <v>2.0149999999999998E-2</v>
          </cell>
          <cell r="AC2079">
            <v>2.1850000000000001E-2</v>
          </cell>
        </row>
        <row r="2080">
          <cell r="T2080">
            <v>37810</v>
          </cell>
          <cell r="U2080">
            <v>1.0417000000000001E-2</v>
          </cell>
          <cell r="V2080">
            <v>1.0625000000000001E-2</v>
          </cell>
          <cell r="W2080">
            <v>1.0750000000000003E-2</v>
          </cell>
          <cell r="X2080">
            <v>1.3250000000000001E-2</v>
          </cell>
          <cell r="Y2080">
            <v>1.5700000000000002E-2</v>
          </cell>
          <cell r="Z2080">
            <v>1.755E-2</v>
          </cell>
          <cell r="AA2080">
            <v>1.8799999999999997E-2</v>
          </cell>
          <cell r="AB2080">
            <v>2.0799999999999999E-2</v>
          </cell>
          <cell r="AC2080">
            <v>2.2499999999999999E-2</v>
          </cell>
        </row>
        <row r="2081">
          <cell r="T2081">
            <v>37809</v>
          </cell>
          <cell r="U2081">
            <v>1.0669999999999999E-2</v>
          </cell>
          <cell r="V2081">
            <v>1.0963000000000001E-2</v>
          </cell>
          <cell r="W2081">
            <v>1.085E-2</v>
          </cell>
          <cell r="X2081">
            <v>1.355E-2</v>
          </cell>
          <cell r="Y2081">
            <v>1.5900000000000001E-2</v>
          </cell>
          <cell r="Z2081">
            <v>1.8000000000000002E-2</v>
          </cell>
          <cell r="AA2081">
            <v>1.9E-2</v>
          </cell>
          <cell r="AB2081">
            <v>2.085E-2</v>
          </cell>
          <cell r="AC2081">
            <v>2.2550000000000001E-2</v>
          </cell>
        </row>
        <row r="2082">
          <cell r="T2082">
            <v>37808</v>
          </cell>
          <cell r="U2082">
            <v>1.0593999999999999E-2</v>
          </cell>
          <cell r="V2082">
            <v>1.0784E-2</v>
          </cell>
          <cell r="W2082">
            <v>1.0800000000000001E-2</v>
          </cell>
          <cell r="X2082">
            <v>1.3000000000000001E-2</v>
          </cell>
          <cell r="Y2082">
            <v>1.585E-2</v>
          </cell>
          <cell r="Z2082">
            <v>1.7500000000000002E-2</v>
          </cell>
          <cell r="AA2082">
            <v>1.8700000000000001E-2</v>
          </cell>
          <cell r="AB2082">
            <v>2.0549999999999999E-2</v>
          </cell>
          <cell r="AC2082">
            <v>2.23E-2</v>
          </cell>
        </row>
        <row r="2083">
          <cell r="T2083">
            <v>37807</v>
          </cell>
          <cell r="U2083">
            <v>1.0593999999999999E-2</v>
          </cell>
          <cell r="V2083">
            <v>1.0784E-2</v>
          </cell>
          <cell r="W2083">
            <v>1.0800000000000001E-2</v>
          </cell>
          <cell r="X2083">
            <v>1.3000000000000001E-2</v>
          </cell>
          <cell r="Y2083">
            <v>1.585E-2</v>
          </cell>
          <cell r="Z2083">
            <v>1.7500000000000002E-2</v>
          </cell>
          <cell r="AA2083">
            <v>1.8700000000000001E-2</v>
          </cell>
          <cell r="AB2083">
            <v>2.0549999999999999E-2</v>
          </cell>
          <cell r="AC2083">
            <v>2.23E-2</v>
          </cell>
        </row>
        <row r="2084">
          <cell r="T2084">
            <v>37806</v>
          </cell>
          <cell r="U2084">
            <v>1.0593999999999999E-2</v>
          </cell>
          <cell r="V2084">
            <v>1.0784E-2</v>
          </cell>
          <cell r="W2084">
            <v>1.0800000000000001E-2</v>
          </cell>
          <cell r="X2084">
            <v>1.3000000000000001E-2</v>
          </cell>
          <cell r="Y2084">
            <v>1.585E-2</v>
          </cell>
          <cell r="Z2084">
            <v>1.7500000000000002E-2</v>
          </cell>
          <cell r="AA2084">
            <v>1.8700000000000001E-2</v>
          </cell>
          <cell r="AB2084">
            <v>2.0549999999999999E-2</v>
          </cell>
          <cell r="AC2084">
            <v>2.23E-2</v>
          </cell>
        </row>
        <row r="2085">
          <cell r="T2085">
            <v>37805</v>
          </cell>
          <cell r="U2085">
            <v>1.0891E-2</v>
          </cell>
          <cell r="V2085">
            <v>1.1187000000000001E-2</v>
          </cell>
          <cell r="W2085">
            <v>1.065E-2</v>
          </cell>
          <cell r="X2085">
            <v>1.2699999999999999E-2</v>
          </cell>
          <cell r="Y2085">
            <v>1.52E-2</v>
          </cell>
          <cell r="Z2085">
            <v>1.6749999999999998E-2</v>
          </cell>
          <cell r="AA2085">
            <v>1.7749999999999998E-2</v>
          </cell>
          <cell r="AB2085">
            <v>1.9799999999999998E-2</v>
          </cell>
          <cell r="AC2085">
            <v>2.1499999999999998E-2</v>
          </cell>
        </row>
        <row r="2086">
          <cell r="T2086">
            <v>37804</v>
          </cell>
          <cell r="U2086">
            <v>1.0764000000000001E-2</v>
          </cell>
          <cell r="V2086">
            <v>1.1268E-2</v>
          </cell>
          <cell r="W2086">
            <v>1.0550000000000002E-2</v>
          </cell>
          <cell r="X2086">
            <v>1.2450000000000001E-2</v>
          </cell>
          <cell r="Y2086">
            <v>1.4800000000000001E-2</v>
          </cell>
          <cell r="Z2086">
            <v>1.61E-2</v>
          </cell>
          <cell r="AA2086">
            <v>1.7250000000000001E-2</v>
          </cell>
          <cell r="AB2086">
            <v>1.9050000000000001E-2</v>
          </cell>
          <cell r="AC2086">
            <v>2.0799999999999999E-2</v>
          </cell>
        </row>
        <row r="2087">
          <cell r="T2087">
            <v>37803</v>
          </cell>
          <cell r="U2087">
            <v>1.0688E-2</v>
          </cell>
          <cell r="V2087">
            <v>1.0920000000000001E-2</v>
          </cell>
          <cell r="W2087">
            <v>1.04E-2</v>
          </cell>
          <cell r="X2087">
            <v>1.2199999999999999E-2</v>
          </cell>
          <cell r="Y2087">
            <v>1.4499999999999999E-2</v>
          </cell>
          <cell r="Z2087">
            <v>1.5700000000000002E-2</v>
          </cell>
          <cell r="AA2087">
            <v>1.7000000000000001E-2</v>
          </cell>
          <cell r="AB2087">
            <v>1.8849999999999999E-2</v>
          </cell>
          <cell r="AC2087">
            <v>2.06E-2</v>
          </cell>
        </row>
        <row r="2088">
          <cell r="T2088">
            <v>37802</v>
          </cell>
          <cell r="U2088">
            <v>1.0605999999999999E-2</v>
          </cell>
          <cell r="V2088">
            <v>1.0798E-2</v>
          </cell>
          <cell r="W2088">
            <v>1.0500000000000001E-2</v>
          </cell>
          <cell r="X2088">
            <v>1.23E-2</v>
          </cell>
          <cell r="Y2088">
            <v>1.4499999999999999E-2</v>
          </cell>
          <cell r="Z2088">
            <v>1.5800000000000002E-2</v>
          </cell>
          <cell r="AA2088">
            <v>1.6899999999999998E-2</v>
          </cell>
          <cell r="AB2088">
            <v>1.8799999999999997E-2</v>
          </cell>
          <cell r="AC2088">
            <v>2.0499999999999997E-2</v>
          </cell>
        </row>
        <row r="2089">
          <cell r="T2089">
            <v>37801</v>
          </cell>
          <cell r="U2089">
            <v>1.0749999999999999E-2</v>
          </cell>
          <cell r="V2089">
            <v>1.0865E-2</v>
          </cell>
          <cell r="W2089">
            <v>1.085E-2</v>
          </cell>
          <cell r="X2089">
            <v>1.2549999999999999E-2</v>
          </cell>
          <cell r="Y2089">
            <v>1.455E-2</v>
          </cell>
          <cell r="Z2089">
            <v>1.5950000000000002E-2</v>
          </cell>
          <cell r="AA2089">
            <v>1.7399999999999999E-2</v>
          </cell>
          <cell r="AB2089">
            <v>1.925E-2</v>
          </cell>
          <cell r="AC2089">
            <v>2.0949999999999996E-2</v>
          </cell>
        </row>
        <row r="2090">
          <cell r="T2090">
            <v>37800</v>
          </cell>
          <cell r="U2090">
            <v>1.0749999999999999E-2</v>
          </cell>
          <cell r="V2090">
            <v>1.0865E-2</v>
          </cell>
          <cell r="W2090">
            <v>1.085E-2</v>
          </cell>
          <cell r="X2090">
            <v>1.2549999999999999E-2</v>
          </cell>
          <cell r="Y2090">
            <v>1.455E-2</v>
          </cell>
          <cell r="Z2090">
            <v>1.5950000000000002E-2</v>
          </cell>
          <cell r="AA2090">
            <v>1.7399999999999999E-2</v>
          </cell>
          <cell r="AB2090">
            <v>1.925E-2</v>
          </cell>
          <cell r="AC2090">
            <v>2.0949999999999996E-2</v>
          </cell>
        </row>
        <row r="2091">
          <cell r="T2091">
            <v>37799</v>
          </cell>
          <cell r="U2091">
            <v>1.0749999999999999E-2</v>
          </cell>
          <cell r="V2091">
            <v>1.0865E-2</v>
          </cell>
          <cell r="W2091">
            <v>1.085E-2</v>
          </cell>
          <cell r="X2091">
            <v>1.2549999999999999E-2</v>
          </cell>
          <cell r="Y2091">
            <v>1.455E-2</v>
          </cell>
          <cell r="Z2091">
            <v>1.5950000000000002E-2</v>
          </cell>
          <cell r="AA2091">
            <v>1.7399999999999999E-2</v>
          </cell>
          <cell r="AB2091">
            <v>1.925E-2</v>
          </cell>
          <cell r="AC2091">
            <v>2.0949999999999996E-2</v>
          </cell>
        </row>
        <row r="2092">
          <cell r="T2092">
            <v>37798</v>
          </cell>
          <cell r="U2092">
            <v>1.137E-2</v>
          </cell>
          <cell r="V2092">
            <v>1.1495E-2</v>
          </cell>
          <cell r="W2092">
            <v>1.0700000000000001E-2</v>
          </cell>
          <cell r="X2092">
            <v>1.24E-2</v>
          </cell>
          <cell r="Y2092">
            <v>1.44E-2</v>
          </cell>
          <cell r="Z2092">
            <v>1.5550000000000001E-2</v>
          </cell>
          <cell r="AA2092">
            <v>1.6549999999999999E-2</v>
          </cell>
          <cell r="AB2092">
            <v>1.865E-2</v>
          </cell>
          <cell r="AC2092">
            <v>2.0400000000000001E-2</v>
          </cell>
        </row>
        <row r="2093">
          <cell r="T2093">
            <v>37797</v>
          </cell>
          <cell r="U2093">
            <v>1.1198E-2</v>
          </cell>
          <cell r="V2093">
            <v>1.1344E-2</v>
          </cell>
          <cell r="W2093">
            <v>1.0500000000000001E-2</v>
          </cell>
          <cell r="X2093">
            <v>1.1299999999999999E-2</v>
          </cell>
          <cell r="Y2093">
            <v>1.2500000000000001E-2</v>
          </cell>
          <cell r="Z2093">
            <v>1.3500000000000002E-2</v>
          </cell>
          <cell r="AA2093">
            <v>1.4499999999999999E-2</v>
          </cell>
          <cell r="AB2093">
            <v>1.6250000000000001E-2</v>
          </cell>
          <cell r="AC2093">
            <v>1.7749999999999998E-2</v>
          </cell>
        </row>
        <row r="2094">
          <cell r="T2094">
            <v>37796</v>
          </cell>
          <cell r="U2094">
            <v>1.1365E-2</v>
          </cell>
          <cell r="V2094">
            <v>1.149E-2</v>
          </cell>
          <cell r="W2094">
            <v>1.0249999999999999E-2</v>
          </cell>
          <cell r="X2094">
            <v>1.1949999999999999E-2</v>
          </cell>
          <cell r="Y2094">
            <v>1.375E-2</v>
          </cell>
          <cell r="Z2094">
            <v>1.4750000000000001E-2</v>
          </cell>
          <cell r="AA2094">
            <v>1.575E-2</v>
          </cell>
          <cell r="AB2094">
            <v>1.7250000000000001E-2</v>
          </cell>
          <cell r="AC2094">
            <v>1.8749999999999999E-2</v>
          </cell>
        </row>
        <row r="2095">
          <cell r="T2095">
            <v>37795</v>
          </cell>
          <cell r="U2095">
            <v>1.1350000000000001E-2</v>
          </cell>
          <cell r="V2095">
            <v>1.1487000000000001E-2</v>
          </cell>
          <cell r="W2095">
            <v>1.0550000000000002E-2</v>
          </cell>
          <cell r="X2095">
            <v>1.205E-2</v>
          </cell>
          <cell r="Y2095">
            <v>1.375E-2</v>
          </cell>
          <cell r="Z2095">
            <v>1.49E-2</v>
          </cell>
          <cell r="AA2095">
            <v>1.5900000000000001E-2</v>
          </cell>
          <cell r="AB2095">
            <v>1.7749999999999998E-2</v>
          </cell>
          <cell r="AC2095">
            <v>1.95E-2</v>
          </cell>
        </row>
        <row r="2096">
          <cell r="T2096">
            <v>37794</v>
          </cell>
          <cell r="U2096">
            <v>1.1569000000000001E-2</v>
          </cell>
          <cell r="V2096">
            <v>1.2041999999999999E-2</v>
          </cell>
          <cell r="W2096">
            <v>1.04E-2</v>
          </cell>
          <cell r="X2096">
            <v>1.1699999999999999E-2</v>
          </cell>
          <cell r="Y2096">
            <v>1.3500000000000002E-2</v>
          </cell>
          <cell r="Z2096">
            <v>1.4499999999999999E-2</v>
          </cell>
          <cell r="AA2096">
            <v>1.55E-2</v>
          </cell>
          <cell r="AB2096">
            <v>1.7349999999999997E-2</v>
          </cell>
          <cell r="AC2096">
            <v>1.9100000000000002E-2</v>
          </cell>
        </row>
        <row r="2097">
          <cell r="T2097">
            <v>37793</v>
          </cell>
          <cell r="U2097">
            <v>1.1569000000000001E-2</v>
          </cell>
          <cell r="V2097">
            <v>1.2041999999999999E-2</v>
          </cell>
          <cell r="W2097">
            <v>1.04E-2</v>
          </cell>
          <cell r="X2097">
            <v>1.1699999999999999E-2</v>
          </cell>
          <cell r="Y2097">
            <v>1.3500000000000002E-2</v>
          </cell>
          <cell r="Z2097">
            <v>1.4499999999999999E-2</v>
          </cell>
          <cell r="AA2097">
            <v>1.55E-2</v>
          </cell>
          <cell r="AB2097">
            <v>1.7349999999999997E-2</v>
          </cell>
          <cell r="AC2097">
            <v>1.9100000000000002E-2</v>
          </cell>
        </row>
        <row r="2098">
          <cell r="T2098">
            <v>37792</v>
          </cell>
          <cell r="U2098">
            <v>1.1569000000000001E-2</v>
          </cell>
          <cell r="V2098">
            <v>1.2041999999999999E-2</v>
          </cell>
          <cell r="W2098">
            <v>1.04E-2</v>
          </cell>
          <cell r="X2098">
            <v>1.1699999999999999E-2</v>
          </cell>
          <cell r="Y2098">
            <v>1.3500000000000002E-2</v>
          </cell>
          <cell r="Z2098">
            <v>1.4499999999999999E-2</v>
          </cell>
          <cell r="AA2098">
            <v>1.55E-2</v>
          </cell>
          <cell r="AB2098">
            <v>1.7349999999999997E-2</v>
          </cell>
          <cell r="AC2098">
            <v>1.9100000000000002E-2</v>
          </cell>
        </row>
        <row r="2099">
          <cell r="T2099">
            <v>37791</v>
          </cell>
          <cell r="U2099">
            <v>1.1404000000000001E-2</v>
          </cell>
          <cell r="V2099">
            <v>1.1541999999999998E-2</v>
          </cell>
          <cell r="W2099">
            <v>1.04E-2</v>
          </cell>
          <cell r="X2099">
            <v>1.295E-2</v>
          </cell>
          <cell r="Y2099">
            <v>1.3300000000000001E-2</v>
          </cell>
          <cell r="Z2099">
            <v>1.43E-2</v>
          </cell>
          <cell r="AA2099">
            <v>1.54E-2</v>
          </cell>
          <cell r="AB2099">
            <v>1.7149999999999999E-2</v>
          </cell>
          <cell r="AC2099">
            <v>1.8749999999999999E-2</v>
          </cell>
        </row>
        <row r="2100">
          <cell r="T2100">
            <v>37790</v>
          </cell>
          <cell r="U2100">
            <v>1.1520999999999998E-2</v>
          </cell>
          <cell r="V2100">
            <v>1.1601999999999999E-2</v>
          </cell>
          <cell r="W2100">
            <v>1.0249999999999999E-2</v>
          </cell>
          <cell r="X2100">
            <v>1.14E-2</v>
          </cell>
          <cell r="Y2100">
            <v>1.26E-2</v>
          </cell>
          <cell r="Z2100">
            <v>1.38E-2</v>
          </cell>
          <cell r="AA2100">
            <v>1.4800000000000001E-2</v>
          </cell>
          <cell r="AB2100">
            <v>1.635E-2</v>
          </cell>
          <cell r="AC2100">
            <v>1.78E-2</v>
          </cell>
        </row>
        <row r="2101">
          <cell r="T2101">
            <v>37789</v>
          </cell>
          <cell r="U2101">
            <v>1.1417E-2</v>
          </cell>
          <cell r="V2101">
            <v>1.1471E-2</v>
          </cell>
          <cell r="W2101">
            <v>0.01</v>
          </cell>
          <cell r="X2101">
            <v>1.1000000000000001E-2</v>
          </cell>
          <cell r="Y2101">
            <v>1.2E-2</v>
          </cell>
          <cell r="Z2101">
            <v>1.3250000000000001E-2</v>
          </cell>
          <cell r="AA2101">
            <v>1.4199999999999999E-2</v>
          </cell>
          <cell r="AB2101">
            <v>1.5949999999999999E-2</v>
          </cell>
          <cell r="AC2101">
            <v>1.7600000000000001E-2</v>
          </cell>
        </row>
        <row r="2102">
          <cell r="T2102">
            <v>37788</v>
          </cell>
          <cell r="U2102">
            <v>1.1479E-2</v>
          </cell>
          <cell r="V2102">
            <v>1.1511E-2</v>
          </cell>
          <cell r="W2102">
            <v>9.75E-3</v>
          </cell>
          <cell r="X2102">
            <v>1.065E-2</v>
          </cell>
          <cell r="Y2102">
            <v>1.1850000000000001E-2</v>
          </cell>
          <cell r="Z2102">
            <v>1.3000000000000001E-2</v>
          </cell>
          <cell r="AA2102">
            <v>1.3950000000000001E-2</v>
          </cell>
          <cell r="AB2102">
            <v>1.575E-2</v>
          </cell>
          <cell r="AC2102">
            <v>1.7399999999999999E-2</v>
          </cell>
        </row>
        <row r="2103">
          <cell r="T2103">
            <v>37787</v>
          </cell>
          <cell r="U2103">
            <v>1.15E-2</v>
          </cell>
          <cell r="V2103">
            <v>1.1523E-2</v>
          </cell>
          <cell r="W2103">
            <v>1.0200000000000001E-2</v>
          </cell>
          <cell r="X2103">
            <v>1.145E-2</v>
          </cell>
          <cell r="Y2103">
            <v>1.26E-2</v>
          </cell>
          <cell r="Z2103">
            <v>1.37E-2</v>
          </cell>
          <cell r="AA2103">
            <v>1.4800000000000001E-2</v>
          </cell>
          <cell r="AB2103">
            <v>1.6449999999999999E-2</v>
          </cell>
          <cell r="AC2103">
            <v>1.7749999999999998E-2</v>
          </cell>
        </row>
        <row r="2104">
          <cell r="T2104">
            <v>37786</v>
          </cell>
          <cell r="U2104">
            <v>1.15E-2</v>
          </cell>
          <cell r="V2104">
            <v>1.1523E-2</v>
          </cell>
          <cell r="W2104">
            <v>1.0200000000000001E-2</v>
          </cell>
          <cell r="X2104">
            <v>1.145E-2</v>
          </cell>
          <cell r="Y2104">
            <v>1.26E-2</v>
          </cell>
          <cell r="Z2104">
            <v>1.37E-2</v>
          </cell>
          <cell r="AA2104">
            <v>1.4800000000000001E-2</v>
          </cell>
          <cell r="AB2104">
            <v>1.6449999999999999E-2</v>
          </cell>
          <cell r="AC2104">
            <v>1.7749999999999998E-2</v>
          </cell>
        </row>
        <row r="2105">
          <cell r="T2105">
            <v>37785</v>
          </cell>
          <cell r="U2105">
            <v>1.15E-2</v>
          </cell>
          <cell r="V2105">
            <v>1.1523E-2</v>
          </cell>
          <cell r="W2105">
            <v>1.0200000000000001E-2</v>
          </cell>
          <cell r="X2105">
            <v>1.145E-2</v>
          </cell>
          <cell r="Y2105">
            <v>1.26E-2</v>
          </cell>
          <cell r="Z2105">
            <v>1.37E-2</v>
          </cell>
          <cell r="AA2105">
            <v>1.4800000000000001E-2</v>
          </cell>
          <cell r="AB2105">
            <v>1.6449999999999999E-2</v>
          </cell>
          <cell r="AC2105">
            <v>1.7749999999999998E-2</v>
          </cell>
        </row>
        <row r="2106">
          <cell r="T2106">
            <v>37784</v>
          </cell>
          <cell r="U2106">
            <v>1.149E-2</v>
          </cell>
          <cell r="V2106">
            <v>1.1552E-2</v>
          </cell>
          <cell r="W2106">
            <v>1.0449999999999999E-2</v>
          </cell>
          <cell r="X2106">
            <v>1.1650000000000001E-2</v>
          </cell>
          <cell r="Y2106">
            <v>1.2749999999999999E-2</v>
          </cell>
          <cell r="Z2106">
            <v>1.375E-2</v>
          </cell>
          <cell r="AA2106">
            <v>1.4849999999999999E-2</v>
          </cell>
          <cell r="AB2106">
            <v>1.6400000000000001E-2</v>
          </cell>
          <cell r="AC2106">
            <v>1.8000000000000002E-2</v>
          </cell>
        </row>
        <row r="2107">
          <cell r="T2107">
            <v>37783</v>
          </cell>
          <cell r="U2107">
            <v>1.1433E-2</v>
          </cell>
          <cell r="V2107">
            <v>1.1469E-2</v>
          </cell>
          <cell r="W2107">
            <v>1.04E-2</v>
          </cell>
          <cell r="X2107">
            <v>1.145E-2</v>
          </cell>
          <cell r="Y2107">
            <v>1.26E-2</v>
          </cell>
          <cell r="Z2107">
            <v>1.3599999999999999E-2</v>
          </cell>
          <cell r="AA2107">
            <v>1.47E-2</v>
          </cell>
          <cell r="AB2107">
            <v>1.6049999999999998E-2</v>
          </cell>
          <cell r="AC2107">
            <v>1.77E-2</v>
          </cell>
        </row>
        <row r="2108">
          <cell r="T2108">
            <v>37782</v>
          </cell>
          <cell r="U2108">
            <v>1.1469E-2</v>
          </cell>
          <cell r="V2108">
            <v>1.1511E-2</v>
          </cell>
          <cell r="W2108">
            <v>1.0500000000000001E-2</v>
          </cell>
          <cell r="X2108">
            <v>1.15E-2</v>
          </cell>
          <cell r="Y2108">
            <v>1.2800000000000001E-2</v>
          </cell>
          <cell r="Z2108">
            <v>1.37E-2</v>
          </cell>
          <cell r="AA2108">
            <v>1.54E-2</v>
          </cell>
          <cell r="AB2108">
            <v>1.6250000000000001E-2</v>
          </cell>
          <cell r="AC2108">
            <v>1.7749999999999998E-2</v>
          </cell>
        </row>
        <row r="2109">
          <cell r="T2109">
            <v>37781</v>
          </cell>
          <cell r="U2109">
            <v>1.1469E-2</v>
          </cell>
          <cell r="V2109">
            <v>1.1557E-2</v>
          </cell>
          <cell r="W2109">
            <v>1.0350000000000002E-2</v>
          </cell>
          <cell r="X2109">
            <v>1.1650000000000001E-2</v>
          </cell>
          <cell r="Y2109">
            <v>1.2850000000000002E-2</v>
          </cell>
          <cell r="Z2109">
            <v>1.3849999999999999E-2</v>
          </cell>
          <cell r="AA2109">
            <v>1.4750000000000001E-2</v>
          </cell>
          <cell r="AB2109">
            <v>1.635E-2</v>
          </cell>
          <cell r="AC2109">
            <v>1.78E-2</v>
          </cell>
        </row>
        <row r="2110">
          <cell r="T2110">
            <v>37780</v>
          </cell>
          <cell r="U2110">
            <v>1.1385000000000001E-2</v>
          </cell>
          <cell r="V2110">
            <v>1.1443000000000002E-2</v>
          </cell>
          <cell r="W2110">
            <v>1.0800000000000001E-2</v>
          </cell>
          <cell r="X2110">
            <v>1.18E-2</v>
          </cell>
          <cell r="Y2110">
            <v>1.2800000000000001E-2</v>
          </cell>
          <cell r="Z2110">
            <v>1.4150000000000001E-2</v>
          </cell>
          <cell r="AA2110">
            <v>1.5150000000000002E-2</v>
          </cell>
          <cell r="AB2110">
            <v>1.6650000000000002E-2</v>
          </cell>
          <cell r="AC2110">
            <v>1.8000000000000002E-2</v>
          </cell>
        </row>
        <row r="2111">
          <cell r="T2111">
            <v>37779</v>
          </cell>
          <cell r="U2111">
            <v>1.1385000000000001E-2</v>
          </cell>
          <cell r="V2111">
            <v>1.1443000000000002E-2</v>
          </cell>
          <cell r="W2111">
            <v>1.0800000000000001E-2</v>
          </cell>
          <cell r="X2111">
            <v>1.18E-2</v>
          </cell>
          <cell r="Y2111">
            <v>1.2800000000000001E-2</v>
          </cell>
          <cell r="Z2111">
            <v>1.4150000000000001E-2</v>
          </cell>
          <cell r="AA2111">
            <v>1.5150000000000002E-2</v>
          </cell>
          <cell r="AB2111">
            <v>1.6650000000000002E-2</v>
          </cell>
          <cell r="AC2111">
            <v>1.8000000000000002E-2</v>
          </cell>
        </row>
        <row r="2112">
          <cell r="T2112">
            <v>37778</v>
          </cell>
          <cell r="U2112">
            <v>1.1385000000000001E-2</v>
          </cell>
          <cell r="V2112">
            <v>1.1443000000000002E-2</v>
          </cell>
          <cell r="W2112">
            <v>1.0800000000000001E-2</v>
          </cell>
          <cell r="X2112">
            <v>1.18E-2</v>
          </cell>
          <cell r="Y2112">
            <v>1.2800000000000001E-2</v>
          </cell>
          <cell r="Z2112">
            <v>1.4150000000000001E-2</v>
          </cell>
          <cell r="AA2112">
            <v>1.5150000000000002E-2</v>
          </cell>
          <cell r="AB2112">
            <v>1.6650000000000002E-2</v>
          </cell>
          <cell r="AC2112">
            <v>1.8000000000000002E-2</v>
          </cell>
        </row>
        <row r="2113">
          <cell r="T2113">
            <v>37777</v>
          </cell>
          <cell r="U2113">
            <v>1.1337E-2</v>
          </cell>
          <cell r="V2113">
            <v>1.1375E-2</v>
          </cell>
          <cell r="W2113">
            <v>1.065E-2</v>
          </cell>
          <cell r="X2113">
            <v>1.1749999999999998E-2</v>
          </cell>
          <cell r="Y2113">
            <v>1.295E-2</v>
          </cell>
          <cell r="Z2113">
            <v>1.4150000000000001E-2</v>
          </cell>
          <cell r="AA2113">
            <v>1.5150000000000002E-2</v>
          </cell>
          <cell r="AB2113">
            <v>1.6749999999999998E-2</v>
          </cell>
          <cell r="AC2113">
            <v>1.8000000000000002E-2</v>
          </cell>
        </row>
        <row r="2114">
          <cell r="T2114">
            <v>37776</v>
          </cell>
          <cell r="U2114">
            <v>1.1442000000000001E-2</v>
          </cell>
          <cell r="V2114">
            <v>1.149E-2</v>
          </cell>
          <cell r="W2114">
            <v>1.0750000000000003E-2</v>
          </cell>
          <cell r="X2114">
            <v>1.1949999999999999E-2</v>
          </cell>
          <cell r="Y2114">
            <v>1.295E-2</v>
          </cell>
          <cell r="Z2114">
            <v>1.4049999999999998E-2</v>
          </cell>
          <cell r="AA2114">
            <v>1.5150000000000002E-2</v>
          </cell>
          <cell r="AB2114">
            <v>1.6650000000000002E-2</v>
          </cell>
          <cell r="AC2114">
            <v>1.8200000000000001E-2</v>
          </cell>
        </row>
        <row r="2115">
          <cell r="T2115">
            <v>37775</v>
          </cell>
          <cell r="U2115">
            <v>1.1442000000000001E-2</v>
          </cell>
          <cell r="V2115">
            <v>1.149E-2</v>
          </cell>
          <cell r="W2115">
            <v>1.0750000000000003E-2</v>
          </cell>
          <cell r="X2115">
            <v>1.1949999999999999E-2</v>
          </cell>
          <cell r="Y2115">
            <v>1.295E-2</v>
          </cell>
          <cell r="Z2115">
            <v>1.4049999999999998E-2</v>
          </cell>
          <cell r="AA2115">
            <v>1.5150000000000002E-2</v>
          </cell>
          <cell r="AB2115">
            <v>1.6650000000000002E-2</v>
          </cell>
          <cell r="AC2115">
            <v>1.8200000000000001E-2</v>
          </cell>
        </row>
        <row r="2116">
          <cell r="T2116">
            <v>37774</v>
          </cell>
          <cell r="U2116">
            <v>1.1583000000000001E-2</v>
          </cell>
          <cell r="V2116">
            <v>1.1738999999999999E-2</v>
          </cell>
          <cell r="W2116">
            <v>1.0750000000000003E-2</v>
          </cell>
          <cell r="X2116">
            <v>1.2E-2</v>
          </cell>
          <cell r="Y2116">
            <v>1.3250000000000001E-2</v>
          </cell>
          <cell r="Z2116">
            <v>1.4249999999999999E-2</v>
          </cell>
          <cell r="AA2116">
            <v>1.525E-2</v>
          </cell>
          <cell r="AB2116">
            <v>1.6749999999999998E-2</v>
          </cell>
          <cell r="AC2116">
            <v>1.83E-2</v>
          </cell>
        </row>
        <row r="2117">
          <cell r="T2117">
            <v>37773</v>
          </cell>
          <cell r="U2117">
            <v>1.1768000000000001E-2</v>
          </cell>
          <cell r="V2117">
            <v>1.1979E-2</v>
          </cell>
          <cell r="W2117">
            <v>1.0500000000000001E-2</v>
          </cell>
          <cell r="X2117">
            <v>1.15E-2</v>
          </cell>
          <cell r="Y2117">
            <v>1.2500000000000001E-2</v>
          </cell>
          <cell r="Z2117">
            <v>1.375E-2</v>
          </cell>
          <cell r="AA2117">
            <v>1.4750000000000001E-2</v>
          </cell>
          <cell r="AB2117">
            <v>1.635E-2</v>
          </cell>
          <cell r="AC2117">
            <v>1.7850000000000001E-2</v>
          </cell>
        </row>
        <row r="2118">
          <cell r="T2118">
            <v>37772</v>
          </cell>
          <cell r="U2118">
            <v>1.1768000000000001E-2</v>
          </cell>
          <cell r="V2118">
            <v>1.1979E-2</v>
          </cell>
          <cell r="W2118">
            <v>1.0500000000000001E-2</v>
          </cell>
          <cell r="X2118">
            <v>1.15E-2</v>
          </cell>
          <cell r="Y2118">
            <v>1.2500000000000001E-2</v>
          </cell>
          <cell r="Z2118">
            <v>1.375E-2</v>
          </cell>
          <cell r="AA2118">
            <v>1.4750000000000001E-2</v>
          </cell>
          <cell r="AB2118">
            <v>1.635E-2</v>
          </cell>
          <cell r="AC2118">
            <v>1.7850000000000001E-2</v>
          </cell>
        </row>
        <row r="2119">
          <cell r="T2119">
            <v>37771</v>
          </cell>
          <cell r="U2119">
            <v>1.1768000000000001E-2</v>
          </cell>
          <cell r="V2119">
            <v>1.1979E-2</v>
          </cell>
          <cell r="W2119">
            <v>1.0500000000000001E-2</v>
          </cell>
          <cell r="X2119">
            <v>1.15E-2</v>
          </cell>
          <cell r="Y2119">
            <v>1.2500000000000001E-2</v>
          </cell>
          <cell r="Z2119">
            <v>1.375E-2</v>
          </cell>
          <cell r="AA2119">
            <v>1.4750000000000001E-2</v>
          </cell>
          <cell r="AB2119">
            <v>1.635E-2</v>
          </cell>
          <cell r="AC2119">
            <v>1.7850000000000001E-2</v>
          </cell>
        </row>
        <row r="2120">
          <cell r="T2120">
            <v>37770</v>
          </cell>
          <cell r="U2120">
            <v>1.1636000000000001E-2</v>
          </cell>
          <cell r="V2120">
            <v>1.1899999999999999E-2</v>
          </cell>
          <cell r="W2120">
            <v>1.0750000000000003E-2</v>
          </cell>
          <cell r="X2120">
            <v>1.1749999999999998E-2</v>
          </cell>
          <cell r="Y2120">
            <v>1.2800000000000001E-2</v>
          </cell>
          <cell r="Z2120">
            <v>1.375E-2</v>
          </cell>
          <cell r="AA2120">
            <v>1.4750000000000001E-2</v>
          </cell>
          <cell r="AB2120">
            <v>1.635E-2</v>
          </cell>
          <cell r="AC2120">
            <v>1.7850000000000001E-2</v>
          </cell>
        </row>
        <row r="2121">
          <cell r="T2121">
            <v>37769</v>
          </cell>
          <cell r="U2121">
            <v>1.1644000000000002E-2</v>
          </cell>
          <cell r="V2121">
            <v>1.1822999999999998E-2</v>
          </cell>
          <cell r="W2121">
            <v>1.0700000000000001E-2</v>
          </cell>
          <cell r="X2121">
            <v>1.18E-2</v>
          </cell>
          <cell r="Y2121">
            <v>1.2800000000000001E-2</v>
          </cell>
          <cell r="Z2121">
            <v>1.375E-2</v>
          </cell>
          <cell r="AA2121">
            <v>1.4750000000000001E-2</v>
          </cell>
          <cell r="AB2121">
            <v>1.635E-2</v>
          </cell>
          <cell r="AC2121">
            <v>1.7850000000000001E-2</v>
          </cell>
        </row>
        <row r="2122">
          <cell r="T2122">
            <v>37768</v>
          </cell>
          <cell r="U2122">
            <v>1.1859E-2</v>
          </cell>
          <cell r="V2122">
            <v>1.2153000000000001E-2</v>
          </cell>
          <cell r="W2122">
            <v>1.0500000000000001E-2</v>
          </cell>
          <cell r="X2122">
            <v>1.15E-2</v>
          </cell>
          <cell r="Y2122">
            <v>1.2850000000000002E-2</v>
          </cell>
          <cell r="Z2122">
            <v>1.3849999999999999E-2</v>
          </cell>
          <cell r="AA2122">
            <v>1.4750000000000001E-2</v>
          </cell>
          <cell r="AB2122">
            <v>1.6049999999999998E-2</v>
          </cell>
          <cell r="AC2122">
            <v>1.7299999999999999E-2</v>
          </cell>
        </row>
        <row r="2123">
          <cell r="T2123">
            <v>37767</v>
          </cell>
          <cell r="U2123">
            <v>1.1891000000000001E-2</v>
          </cell>
          <cell r="V2123">
            <v>1.2267999999999999E-2</v>
          </cell>
          <cell r="W2123">
            <v>1.0750000000000003E-2</v>
          </cell>
          <cell r="X2123">
            <v>1.1949999999999999E-2</v>
          </cell>
          <cell r="Y2123">
            <v>1.295E-2</v>
          </cell>
          <cell r="Z2123">
            <v>1.3950000000000001E-2</v>
          </cell>
          <cell r="AA2123">
            <v>1.4950000000000001E-2</v>
          </cell>
          <cell r="AB2123">
            <v>1.6E-2</v>
          </cell>
          <cell r="AC2123">
            <v>1.7500000000000002E-2</v>
          </cell>
        </row>
        <row r="2124">
          <cell r="T2124">
            <v>37766</v>
          </cell>
          <cell r="U2124">
            <v>1.1650000000000001E-2</v>
          </cell>
          <cell r="V2124">
            <v>1.1797999999999999E-2</v>
          </cell>
          <cell r="W2124">
            <v>1.0500000000000001E-2</v>
          </cell>
          <cell r="X2124">
            <v>1.1350000000000001E-2</v>
          </cell>
          <cell r="Y2124">
            <v>1.2349999999999998E-2</v>
          </cell>
          <cell r="Z2124">
            <v>1.3450000000000002E-2</v>
          </cell>
          <cell r="AA2124">
            <v>1.435E-2</v>
          </cell>
          <cell r="AB2124">
            <v>1.5800000000000002E-2</v>
          </cell>
          <cell r="AC2124">
            <v>1.72E-2</v>
          </cell>
        </row>
        <row r="2125">
          <cell r="T2125">
            <v>37765</v>
          </cell>
          <cell r="U2125">
            <v>1.1650000000000001E-2</v>
          </cell>
          <cell r="V2125">
            <v>1.1797999999999999E-2</v>
          </cell>
          <cell r="W2125">
            <v>1.0500000000000001E-2</v>
          </cell>
          <cell r="X2125">
            <v>1.1350000000000001E-2</v>
          </cell>
          <cell r="Y2125">
            <v>1.2349999999999998E-2</v>
          </cell>
          <cell r="Z2125">
            <v>1.3450000000000002E-2</v>
          </cell>
          <cell r="AA2125">
            <v>1.435E-2</v>
          </cell>
          <cell r="AB2125">
            <v>1.5800000000000002E-2</v>
          </cell>
          <cell r="AC2125">
            <v>1.72E-2</v>
          </cell>
        </row>
        <row r="2126">
          <cell r="T2126">
            <v>37764</v>
          </cell>
          <cell r="U2126">
            <v>1.1650000000000001E-2</v>
          </cell>
          <cell r="V2126">
            <v>1.1797999999999999E-2</v>
          </cell>
          <cell r="W2126">
            <v>1.0500000000000001E-2</v>
          </cell>
          <cell r="X2126">
            <v>1.1350000000000001E-2</v>
          </cell>
          <cell r="Y2126">
            <v>1.2349999999999998E-2</v>
          </cell>
          <cell r="Z2126">
            <v>1.3450000000000002E-2</v>
          </cell>
          <cell r="AA2126">
            <v>1.435E-2</v>
          </cell>
          <cell r="AB2126">
            <v>1.5800000000000002E-2</v>
          </cell>
          <cell r="AC2126">
            <v>1.72E-2</v>
          </cell>
        </row>
        <row r="2127">
          <cell r="T2127">
            <v>37763</v>
          </cell>
          <cell r="U2127">
            <v>1.1861E-2</v>
          </cell>
          <cell r="V2127">
            <v>1.2140999999999999E-2</v>
          </cell>
          <cell r="W2127">
            <v>1.0550000000000002E-2</v>
          </cell>
          <cell r="X2127">
            <v>1.125E-2</v>
          </cell>
          <cell r="Y2127">
            <v>1.225E-2</v>
          </cell>
          <cell r="Z2127">
            <v>1.3250000000000001E-2</v>
          </cell>
          <cell r="AA2127">
            <v>1.4249999999999999E-2</v>
          </cell>
          <cell r="AB2127">
            <v>1.5800000000000002E-2</v>
          </cell>
          <cell r="AC2127">
            <v>1.72E-2</v>
          </cell>
        </row>
        <row r="2128">
          <cell r="T2128">
            <v>37762</v>
          </cell>
          <cell r="U2128">
            <v>1.1631000000000001E-2</v>
          </cell>
          <cell r="V2128">
            <v>1.1779999999999999E-2</v>
          </cell>
          <cell r="W2128">
            <v>1.0249999999999999E-2</v>
          </cell>
          <cell r="X2128">
            <v>1.115E-2</v>
          </cell>
          <cell r="Y2128">
            <v>1.2149999999999999E-2</v>
          </cell>
          <cell r="Z2128">
            <v>1.315E-2</v>
          </cell>
          <cell r="AA2128">
            <v>1.4049999999999998E-2</v>
          </cell>
          <cell r="AB2128">
            <v>1.5700000000000002E-2</v>
          </cell>
          <cell r="AC2128">
            <v>1.7100000000000001E-2</v>
          </cell>
        </row>
        <row r="2129">
          <cell r="T2129">
            <v>37761</v>
          </cell>
          <cell r="U2129">
            <v>1.1677E-2</v>
          </cell>
          <cell r="V2129">
            <v>1.1832000000000001E-2</v>
          </cell>
          <cell r="W2129">
            <v>1.0049999999999998E-2</v>
          </cell>
          <cell r="X2129">
            <v>1.1049999999999999E-2</v>
          </cell>
          <cell r="Y2129">
            <v>1.205E-2</v>
          </cell>
          <cell r="Z2129">
            <v>1.295E-2</v>
          </cell>
          <cell r="AA2129">
            <v>1.4049999999999998E-2</v>
          </cell>
          <cell r="AB2129">
            <v>1.5700000000000002E-2</v>
          </cell>
          <cell r="AC2129">
            <v>1.7100000000000001E-2</v>
          </cell>
        </row>
        <row r="2130">
          <cell r="T2130">
            <v>37760</v>
          </cell>
          <cell r="U2130">
            <v>1.1661999999999999E-2</v>
          </cell>
          <cell r="V2130">
            <v>1.1807000000000002E-2</v>
          </cell>
          <cell r="W2130">
            <v>1.0499999999999999E-2</v>
          </cell>
          <cell r="X2130">
            <v>1.085E-2</v>
          </cell>
          <cell r="Y2130">
            <v>1.1949999999999999E-2</v>
          </cell>
          <cell r="Z2130">
            <v>1.295E-2</v>
          </cell>
          <cell r="AA2130">
            <v>1.3849999999999999E-2</v>
          </cell>
          <cell r="AB2130">
            <v>1.6500000000000001E-2</v>
          </cell>
          <cell r="AC2130">
            <v>1.6799999999999999E-2</v>
          </cell>
        </row>
        <row r="2131">
          <cell r="T2131">
            <v>37759</v>
          </cell>
          <cell r="U2131">
            <v>1.1625000000000002E-2</v>
          </cell>
          <cell r="V2131">
            <v>1.1812E-2</v>
          </cell>
          <cell r="W2131">
            <v>1.1000000000000001E-2</v>
          </cell>
          <cell r="X2131">
            <v>1.2000000000000002E-2</v>
          </cell>
          <cell r="Y2131">
            <v>1.3500000000000002E-2</v>
          </cell>
          <cell r="Z2131">
            <v>1.4049999999999998E-2</v>
          </cell>
          <cell r="AA2131">
            <v>1.5499999999999998E-2</v>
          </cell>
          <cell r="AB2131">
            <v>1.7000000000000001E-2</v>
          </cell>
          <cell r="AC2131">
            <v>1.8000000000000002E-2</v>
          </cell>
        </row>
        <row r="2132">
          <cell r="T2132">
            <v>37758</v>
          </cell>
          <cell r="U2132">
            <v>1.1625000000000002E-2</v>
          </cell>
          <cell r="V2132">
            <v>1.1812E-2</v>
          </cell>
          <cell r="W2132">
            <v>1.1000000000000001E-2</v>
          </cell>
          <cell r="X2132">
            <v>1.2000000000000002E-2</v>
          </cell>
          <cell r="Y2132">
            <v>1.3500000000000002E-2</v>
          </cell>
          <cell r="Z2132">
            <v>1.4049999999999998E-2</v>
          </cell>
          <cell r="AA2132">
            <v>1.5499999999999998E-2</v>
          </cell>
          <cell r="AB2132">
            <v>1.7000000000000001E-2</v>
          </cell>
          <cell r="AC2132">
            <v>1.8000000000000002E-2</v>
          </cell>
        </row>
        <row r="2133">
          <cell r="T2133">
            <v>37757</v>
          </cell>
          <cell r="U2133">
            <v>1.1625000000000002E-2</v>
          </cell>
          <cell r="V2133">
            <v>1.1812E-2</v>
          </cell>
          <cell r="W2133">
            <v>1.1000000000000001E-2</v>
          </cell>
          <cell r="X2133">
            <v>1.2000000000000002E-2</v>
          </cell>
          <cell r="Y2133">
            <v>1.3500000000000002E-2</v>
          </cell>
          <cell r="Z2133">
            <v>1.4049999999999998E-2</v>
          </cell>
          <cell r="AA2133">
            <v>1.5499999999999998E-2</v>
          </cell>
          <cell r="AB2133">
            <v>1.7000000000000001E-2</v>
          </cell>
          <cell r="AC2133">
            <v>1.8000000000000002E-2</v>
          </cell>
        </row>
        <row r="2134">
          <cell r="T2134">
            <v>37756</v>
          </cell>
          <cell r="U2134">
            <v>1.1847000000000002E-2</v>
          </cell>
          <cell r="V2134">
            <v>1.2078E-2</v>
          </cell>
          <cell r="W2134">
            <v>1.0700000000000001E-2</v>
          </cell>
          <cell r="X2134">
            <v>1.2549999999999999E-2</v>
          </cell>
          <cell r="Y2134">
            <v>1.4150000000000001E-2</v>
          </cell>
          <cell r="Z2134">
            <v>1.3950000000000001E-2</v>
          </cell>
          <cell r="AA2134">
            <v>1.6049999999999998E-2</v>
          </cell>
          <cell r="AB2134">
            <v>1.6650000000000002E-2</v>
          </cell>
          <cell r="AC2134">
            <v>1.77E-2</v>
          </cell>
        </row>
        <row r="2135">
          <cell r="T2135">
            <v>37755</v>
          </cell>
          <cell r="U2135">
            <v>1.1636000000000001E-2</v>
          </cell>
          <cell r="V2135">
            <v>1.1727000000000001E-2</v>
          </cell>
          <cell r="W2135">
            <v>1.1049999999999999E-2</v>
          </cell>
          <cell r="X2135">
            <v>1.225E-2</v>
          </cell>
          <cell r="Y2135">
            <v>1.375E-2</v>
          </cell>
          <cell r="Z2135">
            <v>1.4800000000000001E-2</v>
          </cell>
          <cell r="AA2135">
            <v>1.575E-2</v>
          </cell>
          <cell r="AB2135">
            <v>1.7299999999999999E-2</v>
          </cell>
          <cell r="AC2135">
            <v>1.9E-2</v>
          </cell>
        </row>
        <row r="2136">
          <cell r="T2136">
            <v>37754</v>
          </cell>
          <cell r="U2136">
            <v>1.167E-2</v>
          </cell>
          <cell r="V2136">
            <v>1.1775000000000001E-2</v>
          </cell>
          <cell r="W2136">
            <v>1.15E-2</v>
          </cell>
          <cell r="X2136">
            <v>1.2850000000000002E-2</v>
          </cell>
          <cell r="Y2136">
            <v>1.3999999999999999E-2</v>
          </cell>
          <cell r="Z2136">
            <v>1.4849999999999999E-2</v>
          </cell>
          <cell r="AA2136">
            <v>1.6500000000000001E-2</v>
          </cell>
          <cell r="AB2136">
            <v>1.7799999999999996E-2</v>
          </cell>
          <cell r="AC2136">
            <v>1.9E-2</v>
          </cell>
        </row>
        <row r="2137">
          <cell r="T2137">
            <v>37753</v>
          </cell>
          <cell r="U2137">
            <v>1.1739999999999999E-2</v>
          </cell>
          <cell r="V2137">
            <v>1.1886000000000001E-2</v>
          </cell>
          <cell r="W2137">
            <v>1.0950000000000001E-2</v>
          </cell>
          <cell r="X2137">
            <v>1.2149999999999999E-2</v>
          </cell>
          <cell r="Y2137">
            <v>1.3650000000000001E-2</v>
          </cell>
          <cell r="Z2137">
            <v>1.4800000000000001E-2</v>
          </cell>
          <cell r="AA2137">
            <v>1.5700000000000002E-2</v>
          </cell>
          <cell r="AB2137">
            <v>1.7299999999999999E-2</v>
          </cell>
          <cell r="AC2137">
            <v>1.9E-2</v>
          </cell>
        </row>
        <row r="2138">
          <cell r="T2138">
            <v>37752</v>
          </cell>
          <cell r="U2138">
            <v>1.1715999999999999E-2</v>
          </cell>
          <cell r="V2138">
            <v>1.1886000000000001E-2</v>
          </cell>
          <cell r="W2138">
            <v>1.1000000000000001E-2</v>
          </cell>
          <cell r="X2138">
            <v>1.2199999999999999E-2</v>
          </cell>
          <cell r="Y2138">
            <v>1.37E-2</v>
          </cell>
          <cell r="Z2138">
            <v>1.4800000000000001E-2</v>
          </cell>
          <cell r="AA2138">
            <v>1.6049999999999998E-2</v>
          </cell>
          <cell r="AB2138">
            <v>1.7500000000000002E-2</v>
          </cell>
          <cell r="AC2138">
            <v>1.9E-2</v>
          </cell>
        </row>
        <row r="2139">
          <cell r="T2139">
            <v>37751</v>
          </cell>
          <cell r="U2139">
            <v>1.1715999999999999E-2</v>
          </cell>
          <cell r="V2139">
            <v>1.1886000000000001E-2</v>
          </cell>
          <cell r="W2139">
            <v>1.1000000000000001E-2</v>
          </cell>
          <cell r="X2139">
            <v>1.2199999999999999E-2</v>
          </cell>
          <cell r="Y2139">
            <v>1.37E-2</v>
          </cell>
          <cell r="Z2139">
            <v>1.4800000000000001E-2</v>
          </cell>
          <cell r="AA2139">
            <v>1.6049999999999998E-2</v>
          </cell>
          <cell r="AB2139">
            <v>1.7500000000000002E-2</v>
          </cell>
          <cell r="AC2139">
            <v>1.9E-2</v>
          </cell>
        </row>
        <row r="2140">
          <cell r="T2140">
            <v>37750</v>
          </cell>
          <cell r="U2140">
            <v>1.1715999999999999E-2</v>
          </cell>
          <cell r="V2140">
            <v>1.1886000000000001E-2</v>
          </cell>
          <cell r="W2140">
            <v>1.1000000000000001E-2</v>
          </cell>
          <cell r="X2140">
            <v>1.2199999999999999E-2</v>
          </cell>
          <cell r="Y2140">
            <v>1.37E-2</v>
          </cell>
          <cell r="Z2140">
            <v>1.4800000000000001E-2</v>
          </cell>
          <cell r="AA2140">
            <v>1.6049999999999998E-2</v>
          </cell>
          <cell r="AB2140">
            <v>1.7500000000000002E-2</v>
          </cell>
          <cell r="AC2140">
            <v>1.9E-2</v>
          </cell>
        </row>
        <row r="2141">
          <cell r="T2141">
            <v>37749</v>
          </cell>
          <cell r="U2141">
            <v>1.1966000000000001E-2</v>
          </cell>
          <cell r="V2141">
            <v>1.2075000000000001E-2</v>
          </cell>
          <cell r="W2141">
            <v>1.115E-2</v>
          </cell>
          <cell r="X2141">
            <v>1.2199999999999999E-2</v>
          </cell>
          <cell r="Y2141">
            <v>1.3199999999999998E-2</v>
          </cell>
          <cell r="Z2141">
            <v>1.4800000000000001E-2</v>
          </cell>
          <cell r="AA2141">
            <v>1.5800000000000002E-2</v>
          </cell>
          <cell r="AB2141">
            <v>1.7299999999999999E-2</v>
          </cell>
          <cell r="AC2141">
            <v>1.9E-2</v>
          </cell>
        </row>
        <row r="2142">
          <cell r="T2142">
            <v>37748</v>
          </cell>
          <cell r="U2142">
            <v>1.1952000000000001E-2</v>
          </cell>
          <cell r="V2142">
            <v>1.2135E-2</v>
          </cell>
          <cell r="W2142">
            <v>1.15E-2</v>
          </cell>
          <cell r="X2142">
            <v>1.2500000000000001E-2</v>
          </cell>
          <cell r="Y2142">
            <v>1.43E-2</v>
          </cell>
          <cell r="Z2142">
            <v>1.5300000000000001E-2</v>
          </cell>
          <cell r="AA2142">
            <v>1.6299999999999999E-2</v>
          </cell>
          <cell r="AB2142">
            <v>1.7999999999999999E-2</v>
          </cell>
          <cell r="AC2142">
            <v>1.9E-2</v>
          </cell>
        </row>
        <row r="2143">
          <cell r="T2143">
            <v>37747</v>
          </cell>
          <cell r="U2143">
            <v>1.1989000000000001E-2</v>
          </cell>
          <cell r="V2143">
            <v>1.2150000000000001E-2</v>
          </cell>
          <cell r="W2143">
            <v>1.1699999999999999E-2</v>
          </cell>
          <cell r="X2143">
            <v>1.2699999999999999E-2</v>
          </cell>
          <cell r="Y2143">
            <v>1.43E-2</v>
          </cell>
          <cell r="Z2143">
            <v>1.5449999999999998E-2</v>
          </cell>
          <cell r="AA2143">
            <v>1.6400000000000001E-2</v>
          </cell>
          <cell r="AB2143">
            <v>1.77E-2</v>
          </cell>
          <cell r="AC2143">
            <v>1.8700000000000001E-2</v>
          </cell>
        </row>
        <row r="2144">
          <cell r="T2144">
            <v>37746</v>
          </cell>
          <cell r="U2144">
            <v>1.1952000000000001E-2</v>
          </cell>
          <cell r="V2144">
            <v>1.2135E-2</v>
          </cell>
          <cell r="W2144">
            <v>1.1699999999999999E-2</v>
          </cell>
          <cell r="X2144">
            <v>1.3000000000000001E-2</v>
          </cell>
          <cell r="Y2144">
            <v>1.455E-2</v>
          </cell>
          <cell r="Z2144">
            <v>1.5700000000000002E-2</v>
          </cell>
          <cell r="AA2144">
            <v>1.66E-2</v>
          </cell>
          <cell r="AB2144">
            <v>1.805E-2</v>
          </cell>
          <cell r="AC2144">
            <v>1.8700000000000001E-2</v>
          </cell>
        </row>
        <row r="2145">
          <cell r="T2145">
            <v>37745</v>
          </cell>
          <cell r="U2145">
            <v>1.2124999999999999E-2</v>
          </cell>
          <cell r="V2145">
            <v>1.2516000000000001E-2</v>
          </cell>
          <cell r="W2145">
            <v>1.1549999999999998E-2</v>
          </cell>
          <cell r="X2145">
            <v>1.2650000000000002E-2</v>
          </cell>
          <cell r="Y2145">
            <v>1.435E-2</v>
          </cell>
          <cell r="Z2145">
            <v>1.54E-2</v>
          </cell>
          <cell r="AA2145">
            <v>1.635E-2</v>
          </cell>
          <cell r="AB2145">
            <v>1.755E-2</v>
          </cell>
          <cell r="AC2145">
            <v>1.8500000000000003E-2</v>
          </cell>
        </row>
        <row r="2146">
          <cell r="T2146">
            <v>37744</v>
          </cell>
          <cell r="U2146">
            <v>1.2124999999999999E-2</v>
          </cell>
          <cell r="V2146">
            <v>1.2516000000000001E-2</v>
          </cell>
          <cell r="W2146">
            <v>1.1549999999999998E-2</v>
          </cell>
          <cell r="X2146">
            <v>1.2650000000000002E-2</v>
          </cell>
          <cell r="Y2146">
            <v>1.435E-2</v>
          </cell>
          <cell r="Z2146">
            <v>1.54E-2</v>
          </cell>
          <cell r="AA2146">
            <v>1.635E-2</v>
          </cell>
          <cell r="AB2146">
            <v>1.755E-2</v>
          </cell>
          <cell r="AC2146">
            <v>1.8500000000000003E-2</v>
          </cell>
        </row>
        <row r="2147">
          <cell r="T2147">
            <v>37743</v>
          </cell>
          <cell r="U2147">
            <v>1.2124999999999999E-2</v>
          </cell>
          <cell r="V2147">
            <v>1.2516000000000001E-2</v>
          </cell>
          <cell r="W2147">
            <v>1.1549999999999998E-2</v>
          </cell>
          <cell r="X2147">
            <v>1.2650000000000002E-2</v>
          </cell>
          <cell r="Y2147">
            <v>1.435E-2</v>
          </cell>
          <cell r="Z2147">
            <v>1.54E-2</v>
          </cell>
          <cell r="AA2147">
            <v>1.635E-2</v>
          </cell>
          <cell r="AB2147">
            <v>1.755E-2</v>
          </cell>
          <cell r="AC2147">
            <v>1.8500000000000003E-2</v>
          </cell>
        </row>
        <row r="2148">
          <cell r="T2148">
            <v>37742</v>
          </cell>
          <cell r="U2148">
            <v>1.2034E-2</v>
          </cell>
          <cell r="V2148">
            <v>1.2237E-2</v>
          </cell>
          <cell r="W2148">
            <v>1.145E-2</v>
          </cell>
          <cell r="X2148">
            <v>1.2549999999999999E-2</v>
          </cell>
          <cell r="Y2148">
            <v>1.4249999999999999E-2</v>
          </cell>
          <cell r="Z2148">
            <v>1.525E-2</v>
          </cell>
          <cell r="AA2148">
            <v>1.6250000000000001E-2</v>
          </cell>
          <cell r="AB2148">
            <v>1.7600000000000001E-2</v>
          </cell>
          <cell r="AC2148">
            <v>1.8500000000000003E-2</v>
          </cell>
        </row>
        <row r="2149">
          <cell r="T2149">
            <v>37741</v>
          </cell>
          <cell r="U2149">
            <v>1.2034E-2</v>
          </cell>
          <cell r="V2149">
            <v>1.2237E-2</v>
          </cell>
          <cell r="W2149">
            <v>1.145E-2</v>
          </cell>
          <cell r="X2149">
            <v>1.2549999999999999E-2</v>
          </cell>
          <cell r="Y2149">
            <v>1.4249999999999999E-2</v>
          </cell>
          <cell r="Z2149">
            <v>1.525E-2</v>
          </cell>
          <cell r="AA2149">
            <v>1.6250000000000001E-2</v>
          </cell>
          <cell r="AB2149">
            <v>1.7600000000000001E-2</v>
          </cell>
          <cell r="AC2149">
            <v>1.8500000000000003E-2</v>
          </cell>
        </row>
        <row r="2150">
          <cell r="T2150">
            <v>37740</v>
          </cell>
          <cell r="U2150">
            <v>1.2052E-2</v>
          </cell>
          <cell r="V2150">
            <v>1.2260999999999999E-2</v>
          </cell>
          <cell r="W2150">
            <v>1.2000000000000002E-2</v>
          </cell>
          <cell r="X2150">
            <v>1.3500000000000002E-2</v>
          </cell>
          <cell r="Y2150">
            <v>1.4999999999999999E-2</v>
          </cell>
          <cell r="Z2150">
            <v>1.5650000000000001E-2</v>
          </cell>
          <cell r="AA2150">
            <v>1.7000000000000001E-2</v>
          </cell>
          <cell r="AB2150">
            <v>1.8500000000000003E-2</v>
          </cell>
          <cell r="AC2150">
            <v>1.8500000000000003E-2</v>
          </cell>
        </row>
        <row r="2151">
          <cell r="T2151">
            <v>37739</v>
          </cell>
          <cell r="U2151">
            <v>1.1990000000000001E-2</v>
          </cell>
          <cell r="V2151">
            <v>1.2193000000000001E-2</v>
          </cell>
          <cell r="W2151">
            <v>1.1599999999999999E-2</v>
          </cell>
          <cell r="X2151">
            <v>1.2749999999999999E-2</v>
          </cell>
          <cell r="Y2151">
            <v>1.455E-2</v>
          </cell>
          <cell r="Z2151">
            <v>1.5550000000000001E-2</v>
          </cell>
          <cell r="AA2151">
            <v>1.6449999999999999E-2</v>
          </cell>
          <cell r="AB2151">
            <v>1.8000000000000002E-2</v>
          </cell>
          <cell r="AC2151">
            <v>1.9E-2</v>
          </cell>
        </row>
        <row r="2152">
          <cell r="T2152">
            <v>37738</v>
          </cell>
          <cell r="U2152">
            <v>1.2073E-2</v>
          </cell>
          <cell r="V2152">
            <v>1.2260999999999999E-2</v>
          </cell>
          <cell r="W2152">
            <v>1.1699999999999999E-2</v>
          </cell>
          <cell r="X2152">
            <v>1.3000000000000001E-2</v>
          </cell>
          <cell r="Y2152">
            <v>1.4849999999999999E-2</v>
          </cell>
          <cell r="Z2152">
            <v>1.5950000000000002E-2</v>
          </cell>
          <cell r="AA2152">
            <v>1.6899999999999998E-2</v>
          </cell>
          <cell r="AB2152">
            <v>1.805E-2</v>
          </cell>
          <cell r="AC2152">
            <v>1.9299999999999998E-2</v>
          </cell>
        </row>
        <row r="2153">
          <cell r="T2153">
            <v>37737</v>
          </cell>
          <cell r="U2153">
            <v>1.2073E-2</v>
          </cell>
          <cell r="V2153">
            <v>1.2260999999999999E-2</v>
          </cell>
          <cell r="W2153">
            <v>1.1699999999999999E-2</v>
          </cell>
          <cell r="X2153">
            <v>1.3000000000000001E-2</v>
          </cell>
          <cell r="Y2153">
            <v>1.4849999999999999E-2</v>
          </cell>
          <cell r="Z2153">
            <v>1.5950000000000002E-2</v>
          </cell>
          <cell r="AA2153">
            <v>1.6899999999999998E-2</v>
          </cell>
          <cell r="AB2153">
            <v>1.805E-2</v>
          </cell>
          <cell r="AC2153">
            <v>1.9299999999999998E-2</v>
          </cell>
        </row>
        <row r="2154">
          <cell r="T2154">
            <v>37736</v>
          </cell>
          <cell r="U2154">
            <v>1.2073E-2</v>
          </cell>
          <cell r="V2154">
            <v>1.2260999999999999E-2</v>
          </cell>
          <cell r="W2154">
            <v>1.1699999999999999E-2</v>
          </cell>
          <cell r="X2154">
            <v>1.3000000000000001E-2</v>
          </cell>
          <cell r="Y2154">
            <v>1.4849999999999999E-2</v>
          </cell>
          <cell r="Z2154">
            <v>1.5950000000000002E-2</v>
          </cell>
          <cell r="AA2154">
            <v>1.6899999999999998E-2</v>
          </cell>
          <cell r="AB2154">
            <v>1.805E-2</v>
          </cell>
          <cell r="AC2154">
            <v>1.9299999999999998E-2</v>
          </cell>
        </row>
        <row r="2155">
          <cell r="T2155">
            <v>37735</v>
          </cell>
          <cell r="U2155">
            <v>1.2029000000000001E-2</v>
          </cell>
          <cell r="V2155">
            <v>1.2198000000000001E-2</v>
          </cell>
          <cell r="W2155">
            <v>1.1699999999999999E-2</v>
          </cell>
          <cell r="X2155">
            <v>1.3100000000000001E-2</v>
          </cell>
          <cell r="Y2155">
            <v>1.4950000000000001E-2</v>
          </cell>
          <cell r="Z2155">
            <v>1.6049999999999998E-2</v>
          </cell>
          <cell r="AA2155">
            <v>1.695E-2</v>
          </cell>
          <cell r="AB2155">
            <v>1.84E-2</v>
          </cell>
          <cell r="AC2155">
            <v>1.9799999999999998E-2</v>
          </cell>
        </row>
        <row r="2156">
          <cell r="T2156">
            <v>37734</v>
          </cell>
          <cell r="U2156">
            <v>1.2041999999999999E-2</v>
          </cell>
          <cell r="V2156">
            <v>1.2148000000000001E-2</v>
          </cell>
          <cell r="W2156">
            <v>1.1899999999999999E-2</v>
          </cell>
          <cell r="X2156">
            <v>1.3450000000000002E-2</v>
          </cell>
          <cell r="Y2156">
            <v>1.5350000000000001E-2</v>
          </cell>
          <cell r="Z2156">
            <v>1.6449999999999999E-2</v>
          </cell>
          <cell r="AA2156">
            <v>1.745E-2</v>
          </cell>
          <cell r="AB2156">
            <v>1.89E-2</v>
          </cell>
          <cell r="AC2156">
            <v>2.0499999999999997E-2</v>
          </cell>
        </row>
        <row r="2157">
          <cell r="T2157">
            <v>37733</v>
          </cell>
          <cell r="U2157">
            <v>1.2105999999999999E-2</v>
          </cell>
          <cell r="V2157">
            <v>1.2302E-2</v>
          </cell>
          <cell r="W2157">
            <v>1.2E-2</v>
          </cell>
          <cell r="X2157">
            <v>1.3650000000000001E-2</v>
          </cell>
          <cell r="Y2157">
            <v>1.5650000000000001E-2</v>
          </cell>
          <cell r="Z2157">
            <v>1.6650000000000002E-2</v>
          </cell>
          <cell r="AA2157">
            <v>1.745E-2</v>
          </cell>
          <cell r="AB2157">
            <v>1.89E-2</v>
          </cell>
          <cell r="AC2157">
            <v>2.0499999999999997E-2</v>
          </cell>
        </row>
        <row r="2158">
          <cell r="T2158">
            <v>37732</v>
          </cell>
          <cell r="U2158">
            <v>1.2083E-2</v>
          </cell>
          <cell r="V2158">
            <v>1.2215999999999999E-2</v>
          </cell>
          <cell r="W2158">
            <v>1.205E-2</v>
          </cell>
          <cell r="X2158">
            <v>1.375E-2</v>
          </cell>
          <cell r="Y2158">
            <v>1.575E-2</v>
          </cell>
          <cell r="Z2158">
            <v>1.6749999999999998E-2</v>
          </cell>
          <cell r="AA2158">
            <v>1.755E-2</v>
          </cell>
          <cell r="AB2158">
            <v>1.89E-2</v>
          </cell>
          <cell r="AC2158">
            <v>2.0499999999999997E-2</v>
          </cell>
        </row>
        <row r="2159">
          <cell r="T2159">
            <v>37731</v>
          </cell>
          <cell r="U2159">
            <v>1.2105999999999999E-2</v>
          </cell>
          <cell r="V2159">
            <v>1.2302E-2</v>
          </cell>
          <cell r="W2159">
            <v>1.2E-2</v>
          </cell>
          <cell r="X2159">
            <v>1.375E-2</v>
          </cell>
          <cell r="Y2159">
            <v>1.575E-2</v>
          </cell>
          <cell r="Z2159">
            <v>1.685E-2</v>
          </cell>
          <cell r="AA2159">
            <v>1.7749999999999998E-2</v>
          </cell>
          <cell r="AB2159">
            <v>1.9100000000000002E-2</v>
          </cell>
          <cell r="AC2159">
            <v>2.0499999999999997E-2</v>
          </cell>
        </row>
        <row r="2160">
          <cell r="T2160">
            <v>37730</v>
          </cell>
          <cell r="U2160">
            <v>1.2105999999999999E-2</v>
          </cell>
          <cell r="V2160">
            <v>1.2302E-2</v>
          </cell>
          <cell r="W2160">
            <v>1.2E-2</v>
          </cell>
          <cell r="X2160">
            <v>1.375E-2</v>
          </cell>
          <cell r="Y2160">
            <v>1.575E-2</v>
          </cell>
          <cell r="Z2160">
            <v>1.685E-2</v>
          </cell>
          <cell r="AA2160">
            <v>1.7749999999999998E-2</v>
          </cell>
          <cell r="AB2160">
            <v>1.9100000000000002E-2</v>
          </cell>
          <cell r="AC2160">
            <v>2.0499999999999997E-2</v>
          </cell>
        </row>
        <row r="2161">
          <cell r="T2161">
            <v>37729</v>
          </cell>
          <cell r="U2161">
            <v>1.2105999999999999E-2</v>
          </cell>
          <cell r="V2161">
            <v>1.2302E-2</v>
          </cell>
          <cell r="W2161">
            <v>1.2E-2</v>
          </cell>
          <cell r="X2161">
            <v>1.375E-2</v>
          </cell>
          <cell r="Y2161">
            <v>1.575E-2</v>
          </cell>
          <cell r="Z2161">
            <v>1.685E-2</v>
          </cell>
          <cell r="AA2161">
            <v>1.7749999999999998E-2</v>
          </cell>
          <cell r="AB2161">
            <v>1.9100000000000002E-2</v>
          </cell>
          <cell r="AC2161">
            <v>2.0499999999999997E-2</v>
          </cell>
        </row>
        <row r="2162">
          <cell r="T2162">
            <v>37728</v>
          </cell>
          <cell r="U2162">
            <v>1.2105999999999999E-2</v>
          </cell>
          <cell r="V2162">
            <v>1.2302E-2</v>
          </cell>
          <cell r="W2162">
            <v>1.1850000000000001E-2</v>
          </cell>
          <cell r="X2162">
            <v>1.375E-2</v>
          </cell>
          <cell r="Y2162">
            <v>1.55E-2</v>
          </cell>
          <cell r="Z2162">
            <v>1.6449999999999999E-2</v>
          </cell>
          <cell r="AA2162">
            <v>1.745E-2</v>
          </cell>
          <cell r="AB2162">
            <v>1.9100000000000002E-2</v>
          </cell>
          <cell r="AC2162">
            <v>0.02</v>
          </cell>
        </row>
        <row r="2163">
          <cell r="T2163">
            <v>37727</v>
          </cell>
          <cell r="U2163">
            <v>1.2105999999999999E-2</v>
          </cell>
          <cell r="V2163">
            <v>1.2302E-2</v>
          </cell>
          <cell r="W2163">
            <v>1.225E-2</v>
          </cell>
          <cell r="X2163">
            <v>1.4049999999999998E-2</v>
          </cell>
          <cell r="Y2163">
            <v>1.6049999999999998E-2</v>
          </cell>
          <cell r="Z2163">
            <v>1.7100000000000001E-2</v>
          </cell>
          <cell r="AA2163">
            <v>1.805E-2</v>
          </cell>
          <cell r="AB2163">
            <v>1.95E-2</v>
          </cell>
          <cell r="AC2163">
            <v>2.0499999999999997E-2</v>
          </cell>
        </row>
        <row r="2164">
          <cell r="T2164">
            <v>37726</v>
          </cell>
          <cell r="U2164">
            <v>1.2156E-2</v>
          </cell>
          <cell r="V2164">
            <v>1.2385999999999999E-2</v>
          </cell>
          <cell r="W2164">
            <v>1.2E-2</v>
          </cell>
          <cell r="X2164">
            <v>1.3500000000000002E-2</v>
          </cell>
          <cell r="Y2164">
            <v>1.55E-2</v>
          </cell>
          <cell r="Z2164">
            <v>1.6500000000000001E-2</v>
          </cell>
          <cell r="AA2164">
            <v>1.7500000000000002E-2</v>
          </cell>
          <cell r="AB2164">
            <v>1.8749999999999999E-2</v>
          </cell>
          <cell r="AC2164">
            <v>0.02</v>
          </cell>
        </row>
        <row r="2165">
          <cell r="T2165">
            <v>37725</v>
          </cell>
          <cell r="U2165">
            <v>1.2052E-2</v>
          </cell>
          <cell r="V2165">
            <v>1.225E-2</v>
          </cell>
          <cell r="W2165">
            <v>1.205E-2</v>
          </cell>
          <cell r="X2165">
            <v>1.38E-2</v>
          </cell>
          <cell r="Y2165">
            <v>1.575E-2</v>
          </cell>
          <cell r="Z2165">
            <v>1.6899999999999998E-2</v>
          </cell>
          <cell r="AA2165">
            <v>1.78E-2</v>
          </cell>
          <cell r="AB2165">
            <v>1.9349999999999999E-2</v>
          </cell>
          <cell r="AC2165">
            <v>2.0499999999999997E-2</v>
          </cell>
        </row>
        <row r="2166">
          <cell r="T2166">
            <v>37724</v>
          </cell>
          <cell r="U2166">
            <v>1.2052E-2</v>
          </cell>
          <cell r="V2166">
            <v>1.225E-2</v>
          </cell>
          <cell r="W2166">
            <v>1.2999999999999998E-2</v>
          </cell>
          <cell r="X2166">
            <v>1.3650000000000001E-2</v>
          </cell>
          <cell r="Y2166">
            <v>1.5550000000000001E-2</v>
          </cell>
          <cell r="Z2166">
            <v>1.6650000000000002E-2</v>
          </cell>
          <cell r="AA2166">
            <v>1.8450000000000001E-2</v>
          </cell>
          <cell r="AB2166">
            <v>1.915E-2</v>
          </cell>
          <cell r="AC2166">
            <v>2.0300000000000002E-2</v>
          </cell>
        </row>
        <row r="2167">
          <cell r="T2167">
            <v>37723</v>
          </cell>
          <cell r="U2167">
            <v>1.2052E-2</v>
          </cell>
          <cell r="V2167">
            <v>1.225E-2</v>
          </cell>
          <cell r="W2167">
            <v>1.2999999999999998E-2</v>
          </cell>
          <cell r="X2167">
            <v>1.3650000000000001E-2</v>
          </cell>
          <cell r="Y2167">
            <v>1.5550000000000001E-2</v>
          </cell>
          <cell r="Z2167">
            <v>1.6650000000000002E-2</v>
          </cell>
          <cell r="AA2167">
            <v>1.8450000000000001E-2</v>
          </cell>
          <cell r="AB2167">
            <v>1.915E-2</v>
          </cell>
          <cell r="AC2167">
            <v>2.0300000000000002E-2</v>
          </cell>
        </row>
        <row r="2168">
          <cell r="T2168">
            <v>37722</v>
          </cell>
          <cell r="U2168">
            <v>1.2052E-2</v>
          </cell>
          <cell r="V2168">
            <v>1.225E-2</v>
          </cell>
          <cell r="W2168">
            <v>1.2999999999999998E-2</v>
          </cell>
          <cell r="X2168">
            <v>1.3650000000000001E-2</v>
          </cell>
          <cell r="Y2168">
            <v>1.5550000000000001E-2</v>
          </cell>
          <cell r="Z2168">
            <v>1.6650000000000002E-2</v>
          </cell>
          <cell r="AA2168">
            <v>1.8450000000000001E-2</v>
          </cell>
          <cell r="AB2168">
            <v>1.915E-2</v>
          </cell>
          <cell r="AC2168">
            <v>2.0300000000000002E-2</v>
          </cell>
        </row>
        <row r="2169">
          <cell r="T2169">
            <v>37721</v>
          </cell>
          <cell r="U2169">
            <v>1.2124999999999999E-2</v>
          </cell>
          <cell r="V2169">
            <v>1.2417000000000001E-2</v>
          </cell>
          <cell r="W2169">
            <v>1.1749999999999998E-2</v>
          </cell>
          <cell r="X2169">
            <v>1.3450000000000002E-2</v>
          </cell>
          <cell r="Y2169">
            <v>1.5350000000000001E-2</v>
          </cell>
          <cell r="Z2169">
            <v>1.6549999999999999E-2</v>
          </cell>
          <cell r="AA2169">
            <v>1.7349999999999997E-2</v>
          </cell>
          <cell r="AB2169">
            <v>1.89E-2</v>
          </cell>
          <cell r="AC2169">
            <v>2.0300000000000002E-2</v>
          </cell>
        </row>
        <row r="2170">
          <cell r="T2170">
            <v>37720</v>
          </cell>
          <cell r="U2170">
            <v>1.2124999999999999E-2</v>
          </cell>
          <cell r="V2170">
            <v>1.2458E-2</v>
          </cell>
          <cell r="W2170">
            <v>1.1949999999999999E-2</v>
          </cell>
          <cell r="X2170">
            <v>1.355E-2</v>
          </cell>
          <cell r="Y2170">
            <v>1.5449999999999998E-2</v>
          </cell>
          <cell r="Z2170">
            <v>1.6549999999999999E-2</v>
          </cell>
          <cell r="AA2170">
            <v>1.745E-2</v>
          </cell>
          <cell r="AB2170">
            <v>1.89E-2</v>
          </cell>
          <cell r="AC2170">
            <v>2.0300000000000002E-2</v>
          </cell>
        </row>
        <row r="2171">
          <cell r="T2171">
            <v>37719</v>
          </cell>
          <cell r="U2171">
            <v>1.2298E-2</v>
          </cell>
          <cell r="V2171">
            <v>1.2603999999999999E-2</v>
          </cell>
          <cell r="W2171">
            <v>1.2E-2</v>
          </cell>
          <cell r="X2171">
            <v>1.3500000000000002E-2</v>
          </cell>
          <cell r="Y2171">
            <v>1.55E-2</v>
          </cell>
          <cell r="Z2171">
            <v>1.6500000000000001E-2</v>
          </cell>
          <cell r="AA2171">
            <v>1.7500000000000002E-2</v>
          </cell>
          <cell r="AB2171">
            <v>1.8749999999999999E-2</v>
          </cell>
          <cell r="AC2171">
            <v>0.02</v>
          </cell>
        </row>
        <row r="2172">
          <cell r="T2172">
            <v>37718</v>
          </cell>
          <cell r="U2172">
            <v>1.2295E-2</v>
          </cell>
          <cell r="V2172">
            <v>1.2675000000000001E-2</v>
          </cell>
          <cell r="W2172">
            <v>1.205E-2</v>
          </cell>
          <cell r="X2172">
            <v>1.4049999999999998E-2</v>
          </cell>
          <cell r="Y2172">
            <v>1.585E-2</v>
          </cell>
          <cell r="Z2172">
            <v>1.695E-2</v>
          </cell>
          <cell r="AA2172">
            <v>1.7850000000000001E-2</v>
          </cell>
          <cell r="AB2172">
            <v>1.915E-2</v>
          </cell>
          <cell r="AC2172">
            <v>2.0999999999999998E-2</v>
          </cell>
        </row>
        <row r="2173">
          <cell r="T2173">
            <v>37717</v>
          </cell>
          <cell r="U2173">
            <v>1.2341E-2</v>
          </cell>
          <cell r="V2173">
            <v>1.2699999999999999E-2</v>
          </cell>
          <cell r="W2173">
            <v>1.2E-2</v>
          </cell>
          <cell r="X2173">
            <v>1.3650000000000001E-2</v>
          </cell>
          <cell r="Y2173">
            <v>1.5650000000000001E-2</v>
          </cell>
          <cell r="Z2173">
            <v>1.6749999999999998E-2</v>
          </cell>
          <cell r="AA2173">
            <v>1.7650000000000002E-2</v>
          </cell>
          <cell r="AB2173">
            <v>1.9050000000000001E-2</v>
          </cell>
          <cell r="AC2173">
            <v>0.02</v>
          </cell>
        </row>
        <row r="2174">
          <cell r="T2174">
            <v>37716</v>
          </cell>
          <cell r="U2174">
            <v>1.2341E-2</v>
          </cell>
          <cell r="V2174">
            <v>1.2699999999999999E-2</v>
          </cell>
          <cell r="W2174">
            <v>1.2E-2</v>
          </cell>
          <cell r="X2174">
            <v>1.3650000000000001E-2</v>
          </cell>
          <cell r="Y2174">
            <v>1.5650000000000001E-2</v>
          </cell>
          <cell r="Z2174">
            <v>1.6749999999999998E-2</v>
          </cell>
          <cell r="AA2174">
            <v>1.7650000000000002E-2</v>
          </cell>
          <cell r="AB2174">
            <v>1.9050000000000001E-2</v>
          </cell>
          <cell r="AC2174">
            <v>0.02</v>
          </cell>
        </row>
        <row r="2175">
          <cell r="T2175">
            <v>37715</v>
          </cell>
          <cell r="U2175">
            <v>1.2341E-2</v>
          </cell>
          <cell r="V2175">
            <v>1.2699999999999999E-2</v>
          </cell>
          <cell r="W2175">
            <v>1.2E-2</v>
          </cell>
          <cell r="X2175">
            <v>1.3650000000000001E-2</v>
          </cell>
          <cell r="Y2175">
            <v>1.5650000000000001E-2</v>
          </cell>
          <cell r="Z2175">
            <v>1.6749999999999998E-2</v>
          </cell>
          <cell r="AA2175">
            <v>1.7650000000000002E-2</v>
          </cell>
          <cell r="AB2175">
            <v>1.9050000000000001E-2</v>
          </cell>
          <cell r="AC2175">
            <v>0.02</v>
          </cell>
        </row>
        <row r="2176">
          <cell r="T2176">
            <v>37714</v>
          </cell>
          <cell r="U2176">
            <v>1.2385E-2</v>
          </cell>
          <cell r="V2176">
            <v>1.2707999999999999E-2</v>
          </cell>
          <cell r="W2176">
            <v>1.225E-2</v>
          </cell>
          <cell r="X2176">
            <v>1.375E-2</v>
          </cell>
          <cell r="Y2176">
            <v>1.54E-2</v>
          </cell>
          <cell r="Z2176">
            <v>1.6650000000000002E-2</v>
          </cell>
          <cell r="AA2176">
            <v>1.7600000000000001E-2</v>
          </cell>
          <cell r="AB2176">
            <v>1.89E-2</v>
          </cell>
          <cell r="AC2176">
            <v>2.0499999999999997E-2</v>
          </cell>
        </row>
        <row r="2177">
          <cell r="T2177">
            <v>37713</v>
          </cell>
          <cell r="U2177">
            <v>1.2563E-2</v>
          </cell>
          <cell r="V2177">
            <v>1.2822999999999999E-2</v>
          </cell>
          <cell r="W2177">
            <v>1.225E-2</v>
          </cell>
          <cell r="X2177">
            <v>1.38E-2</v>
          </cell>
          <cell r="Y2177">
            <v>1.5700000000000002E-2</v>
          </cell>
          <cell r="Z2177">
            <v>1.6749999999999998E-2</v>
          </cell>
          <cell r="AA2177">
            <v>1.7650000000000002E-2</v>
          </cell>
          <cell r="AB2177">
            <v>1.8550000000000001E-2</v>
          </cell>
          <cell r="AC2177">
            <v>1.95E-2</v>
          </cell>
        </row>
        <row r="2178">
          <cell r="T2178">
            <v>37712</v>
          </cell>
          <cell r="U2178">
            <v>1.2583E-2</v>
          </cell>
          <cell r="V2178">
            <v>1.2859000000000001E-2</v>
          </cell>
          <cell r="W2178">
            <v>1.2E-2</v>
          </cell>
          <cell r="X2178">
            <v>1.3500000000000002E-2</v>
          </cell>
          <cell r="Y2178">
            <v>1.5300000000000001E-2</v>
          </cell>
          <cell r="Z2178">
            <v>1.6549999999999999E-2</v>
          </cell>
          <cell r="AA2178">
            <v>1.72E-2</v>
          </cell>
          <cell r="AB2178">
            <v>1.865E-2</v>
          </cell>
          <cell r="AC2178">
            <v>1.95E-2</v>
          </cell>
        </row>
        <row r="2179">
          <cell r="T2179">
            <v>37711</v>
          </cell>
          <cell r="U2179">
            <v>1.2654E-2</v>
          </cell>
          <cell r="V2179">
            <v>1.2891999999999999E-2</v>
          </cell>
          <cell r="W2179">
            <v>1.2E-2</v>
          </cell>
          <cell r="X2179">
            <v>1.3500000000000002E-2</v>
          </cell>
          <cell r="Y2179">
            <v>1.55E-2</v>
          </cell>
          <cell r="Z2179">
            <v>1.6500000000000001E-2</v>
          </cell>
          <cell r="AA2179">
            <v>1.7250000000000001E-2</v>
          </cell>
          <cell r="AB2179">
            <v>1.865E-2</v>
          </cell>
          <cell r="AC2179">
            <v>1.95E-2</v>
          </cell>
        </row>
        <row r="2180">
          <cell r="T2180">
            <v>37710</v>
          </cell>
          <cell r="U2180">
            <v>1.2655000000000001E-2</v>
          </cell>
          <cell r="V2180">
            <v>1.282E-2</v>
          </cell>
          <cell r="W2180">
            <v>1.2999999999999998E-2</v>
          </cell>
          <cell r="X2180">
            <v>1.3999999999999999E-2</v>
          </cell>
          <cell r="Y2180">
            <v>1.6500000000000001E-2</v>
          </cell>
          <cell r="Z2180">
            <v>1.685E-2</v>
          </cell>
          <cell r="AA2180">
            <v>1.8500000000000003E-2</v>
          </cell>
          <cell r="AB2180">
            <v>2.1499999999999998E-2</v>
          </cell>
          <cell r="AC2180">
            <v>2.0499999999999997E-2</v>
          </cell>
        </row>
        <row r="2181">
          <cell r="T2181">
            <v>37709</v>
          </cell>
          <cell r="U2181">
            <v>1.2655000000000001E-2</v>
          </cell>
          <cell r="V2181">
            <v>1.282E-2</v>
          </cell>
          <cell r="W2181">
            <v>1.2999999999999998E-2</v>
          </cell>
          <cell r="X2181">
            <v>1.3999999999999999E-2</v>
          </cell>
          <cell r="Y2181">
            <v>1.6500000000000001E-2</v>
          </cell>
          <cell r="Z2181">
            <v>1.685E-2</v>
          </cell>
          <cell r="AA2181">
            <v>1.8500000000000003E-2</v>
          </cell>
          <cell r="AB2181">
            <v>2.1499999999999998E-2</v>
          </cell>
          <cell r="AC2181">
            <v>2.0499999999999997E-2</v>
          </cell>
        </row>
        <row r="2182">
          <cell r="T2182">
            <v>37708</v>
          </cell>
          <cell r="U2182">
            <v>1.2655000000000001E-2</v>
          </cell>
          <cell r="V2182">
            <v>1.282E-2</v>
          </cell>
          <cell r="W2182">
            <v>1.2999999999999998E-2</v>
          </cell>
          <cell r="X2182">
            <v>1.3999999999999999E-2</v>
          </cell>
          <cell r="Y2182">
            <v>1.6500000000000001E-2</v>
          </cell>
          <cell r="Z2182">
            <v>1.685E-2</v>
          </cell>
          <cell r="AA2182">
            <v>1.8500000000000003E-2</v>
          </cell>
          <cell r="AB2182">
            <v>2.1499999999999998E-2</v>
          </cell>
          <cell r="AC2182">
            <v>2.0499999999999997E-2</v>
          </cell>
        </row>
        <row r="2183">
          <cell r="T2183">
            <v>37707</v>
          </cell>
          <cell r="U2183">
            <v>1.2707999999999999E-2</v>
          </cell>
          <cell r="V2183">
            <v>1.2891999999999999E-2</v>
          </cell>
          <cell r="W2183">
            <v>1.2450000000000001E-2</v>
          </cell>
          <cell r="X2183">
            <v>1.4049999999999998E-2</v>
          </cell>
          <cell r="Y2183">
            <v>1.585E-2</v>
          </cell>
          <cell r="Z2183">
            <v>1.685E-2</v>
          </cell>
          <cell r="AA2183">
            <v>1.7899999999999999E-2</v>
          </cell>
          <cell r="AB2183">
            <v>1.925E-2</v>
          </cell>
          <cell r="AC2183">
            <v>2.0499999999999997E-2</v>
          </cell>
        </row>
        <row r="2184">
          <cell r="T2184">
            <v>37706</v>
          </cell>
          <cell r="U2184">
            <v>1.2870999999999999E-2</v>
          </cell>
          <cell r="V2184">
            <v>1.3063999999999999E-2</v>
          </cell>
          <cell r="W2184">
            <v>1.225E-2</v>
          </cell>
          <cell r="X2184">
            <v>1.4150000000000001E-2</v>
          </cell>
          <cell r="Y2184">
            <v>1.6E-2</v>
          </cell>
          <cell r="Z2184">
            <v>1.7000000000000001E-2</v>
          </cell>
          <cell r="AA2184">
            <v>1.7950000000000001E-2</v>
          </cell>
          <cell r="AB2184">
            <v>1.925E-2</v>
          </cell>
          <cell r="AC2184">
            <v>2.0499999999999997E-2</v>
          </cell>
        </row>
        <row r="2185">
          <cell r="T2185">
            <v>37705</v>
          </cell>
          <cell r="U2185">
            <v>1.2849999999999999E-2</v>
          </cell>
          <cell r="V2185">
            <v>1.3063999999999999E-2</v>
          </cell>
          <cell r="W2185">
            <v>1.2500000000000001E-2</v>
          </cell>
          <cell r="X2185">
            <v>1.4049999999999998E-2</v>
          </cell>
          <cell r="Y2185">
            <v>1.5950000000000002E-2</v>
          </cell>
          <cell r="Z2185">
            <v>1.695E-2</v>
          </cell>
          <cell r="AA2185">
            <v>1.7749999999999998E-2</v>
          </cell>
          <cell r="AB2185">
            <v>1.95E-2</v>
          </cell>
          <cell r="AC2185">
            <v>2.1000000000000001E-2</v>
          </cell>
        </row>
        <row r="2186">
          <cell r="T2186">
            <v>37704</v>
          </cell>
          <cell r="U2186">
            <v>1.29E-2</v>
          </cell>
          <cell r="V2186">
            <v>1.3121000000000001E-2</v>
          </cell>
          <cell r="W2186">
            <v>1.2450000000000001E-2</v>
          </cell>
          <cell r="X2186">
            <v>1.4199999999999999E-2</v>
          </cell>
          <cell r="Y2186">
            <v>1.6049999999999998E-2</v>
          </cell>
          <cell r="Z2186">
            <v>1.7149999999999999E-2</v>
          </cell>
          <cell r="AA2186">
            <v>1.78E-2</v>
          </cell>
          <cell r="AB2186">
            <v>1.9E-2</v>
          </cell>
          <cell r="AC2186">
            <v>2.0499999999999997E-2</v>
          </cell>
        </row>
        <row r="2187">
          <cell r="T2187">
            <v>37703</v>
          </cell>
          <cell r="U2187">
            <v>1.2891999999999999E-2</v>
          </cell>
          <cell r="V2187">
            <v>1.3132E-2</v>
          </cell>
          <cell r="W2187">
            <v>1.2650000000000002E-2</v>
          </cell>
          <cell r="X2187">
            <v>1.435E-2</v>
          </cell>
          <cell r="Y2187">
            <v>1.6299999999999999E-2</v>
          </cell>
          <cell r="Z2187">
            <v>1.7250000000000001E-2</v>
          </cell>
          <cell r="AA2187">
            <v>1.8349999999999998E-2</v>
          </cell>
          <cell r="AB2187">
            <v>1.9799999999999998E-2</v>
          </cell>
          <cell r="AC2187">
            <v>2.1499999999999998E-2</v>
          </cell>
        </row>
        <row r="2188">
          <cell r="T2188">
            <v>37702</v>
          </cell>
          <cell r="U2188">
            <v>1.2891999999999999E-2</v>
          </cell>
          <cell r="V2188">
            <v>1.3132E-2</v>
          </cell>
          <cell r="W2188">
            <v>1.2650000000000002E-2</v>
          </cell>
          <cell r="X2188">
            <v>1.435E-2</v>
          </cell>
          <cell r="Y2188">
            <v>1.6299999999999999E-2</v>
          </cell>
          <cell r="Z2188">
            <v>1.7250000000000001E-2</v>
          </cell>
          <cell r="AA2188">
            <v>1.8349999999999998E-2</v>
          </cell>
          <cell r="AB2188">
            <v>1.9799999999999998E-2</v>
          </cell>
          <cell r="AC2188">
            <v>2.1499999999999998E-2</v>
          </cell>
        </row>
        <row r="2189">
          <cell r="T2189">
            <v>37701</v>
          </cell>
          <cell r="U2189">
            <v>1.2891999999999999E-2</v>
          </cell>
          <cell r="V2189">
            <v>1.3132E-2</v>
          </cell>
          <cell r="W2189">
            <v>1.2650000000000002E-2</v>
          </cell>
          <cell r="X2189">
            <v>1.435E-2</v>
          </cell>
          <cell r="Y2189">
            <v>1.6299999999999999E-2</v>
          </cell>
          <cell r="Z2189">
            <v>1.7250000000000001E-2</v>
          </cell>
          <cell r="AA2189">
            <v>1.8349999999999998E-2</v>
          </cell>
          <cell r="AB2189">
            <v>1.9799999999999998E-2</v>
          </cell>
          <cell r="AC2189">
            <v>2.1499999999999998E-2</v>
          </cell>
        </row>
        <row r="2190">
          <cell r="T2190">
            <v>37700</v>
          </cell>
          <cell r="U2190">
            <v>1.2773000000000001E-2</v>
          </cell>
          <cell r="V2190">
            <v>1.3000000000000001E-2</v>
          </cell>
          <cell r="W2190">
            <v>1.2749999999999999E-2</v>
          </cell>
          <cell r="X2190">
            <v>1.4750000000000001E-2</v>
          </cell>
          <cell r="Y2190">
            <v>1.6749999999999998E-2</v>
          </cell>
          <cell r="Z2190">
            <v>1.7749999999999998E-2</v>
          </cell>
          <cell r="AA2190">
            <v>1.8749999999999999E-2</v>
          </cell>
          <cell r="AB2190">
            <v>0.02</v>
          </cell>
          <cell r="AC2190">
            <v>2.1749999999999999E-2</v>
          </cell>
        </row>
        <row r="2191">
          <cell r="T2191">
            <v>37699</v>
          </cell>
          <cell r="U2191">
            <v>1.2813000000000001E-2</v>
          </cell>
          <cell r="V2191">
            <v>1.3023E-2</v>
          </cell>
          <cell r="W2191">
            <v>1.2699999999999999E-2</v>
          </cell>
          <cell r="X2191">
            <v>1.4750000000000001E-2</v>
          </cell>
          <cell r="Y2191">
            <v>1.6749999999999998E-2</v>
          </cell>
          <cell r="Z2191">
            <v>1.7850000000000001E-2</v>
          </cell>
          <cell r="AA2191">
            <v>1.8749999999999999E-2</v>
          </cell>
          <cell r="AB2191">
            <v>0.02</v>
          </cell>
          <cell r="AC2191">
            <v>2.2000000000000002E-2</v>
          </cell>
        </row>
        <row r="2192">
          <cell r="T2192">
            <v>37698</v>
          </cell>
          <cell r="U2192">
            <v>1.2931999999999999E-2</v>
          </cell>
          <cell r="V2192">
            <v>1.315E-2</v>
          </cell>
          <cell r="W2192">
            <v>1.2650000000000002E-2</v>
          </cell>
          <cell r="X2192">
            <v>1.4649999999999998E-2</v>
          </cell>
          <cell r="Y2192">
            <v>1.6650000000000002E-2</v>
          </cell>
          <cell r="Z2192">
            <v>1.7749999999999998E-2</v>
          </cell>
          <cell r="AA2192">
            <v>1.8550000000000001E-2</v>
          </cell>
          <cell r="AB2192">
            <v>0.02</v>
          </cell>
          <cell r="AC2192">
            <v>2.2000000000000002E-2</v>
          </cell>
        </row>
        <row r="2193">
          <cell r="T2193">
            <v>37697</v>
          </cell>
          <cell r="U2193">
            <v>1.2841E-2</v>
          </cell>
          <cell r="V2193">
            <v>1.3075000000000002E-2</v>
          </cell>
          <cell r="W2193">
            <v>1.225E-2</v>
          </cell>
          <cell r="X2193">
            <v>1.41E-2</v>
          </cell>
          <cell r="Y2193">
            <v>1.5950000000000002E-2</v>
          </cell>
          <cell r="Z2193">
            <v>1.7049999999999999E-2</v>
          </cell>
          <cell r="AA2193">
            <v>1.7850000000000001E-2</v>
          </cell>
          <cell r="AB2193">
            <v>1.9E-2</v>
          </cell>
          <cell r="AC2193">
            <v>2.0250000000000001E-2</v>
          </cell>
        </row>
        <row r="2194">
          <cell r="T2194">
            <v>37696</v>
          </cell>
          <cell r="U2194">
            <v>1.2749999999999999E-2</v>
          </cell>
          <cell r="V2194">
            <v>1.2938E-2</v>
          </cell>
          <cell r="W2194">
            <v>1.3999999999999999E-2</v>
          </cell>
          <cell r="X2194">
            <v>1.455E-2</v>
          </cell>
          <cell r="Y2194">
            <v>1.7349999999999997E-2</v>
          </cell>
          <cell r="Z2194">
            <v>1.7650000000000002E-2</v>
          </cell>
          <cell r="AA2194">
            <v>1.9449999999999999E-2</v>
          </cell>
          <cell r="AB2194">
            <v>2.2000000000000002E-2</v>
          </cell>
          <cell r="AC2194">
            <v>2.1250000000000002E-2</v>
          </cell>
        </row>
        <row r="2195">
          <cell r="T2195">
            <v>37695</v>
          </cell>
          <cell r="U2195">
            <v>1.2749999999999999E-2</v>
          </cell>
          <cell r="V2195">
            <v>1.2938E-2</v>
          </cell>
          <cell r="W2195">
            <v>1.3999999999999999E-2</v>
          </cell>
          <cell r="X2195">
            <v>1.455E-2</v>
          </cell>
          <cell r="Y2195">
            <v>1.7349999999999997E-2</v>
          </cell>
          <cell r="Z2195">
            <v>1.7650000000000002E-2</v>
          </cell>
          <cell r="AA2195">
            <v>1.9449999999999999E-2</v>
          </cell>
          <cell r="AB2195">
            <v>2.2000000000000002E-2</v>
          </cell>
          <cell r="AC2195">
            <v>2.1250000000000002E-2</v>
          </cell>
        </row>
        <row r="2196">
          <cell r="T2196">
            <v>37694</v>
          </cell>
          <cell r="U2196">
            <v>1.2749999999999999E-2</v>
          </cell>
          <cell r="V2196">
            <v>1.2938E-2</v>
          </cell>
          <cell r="W2196">
            <v>1.3999999999999999E-2</v>
          </cell>
          <cell r="X2196">
            <v>1.455E-2</v>
          </cell>
          <cell r="Y2196">
            <v>1.7349999999999997E-2</v>
          </cell>
          <cell r="Z2196">
            <v>1.7650000000000002E-2</v>
          </cell>
          <cell r="AA2196">
            <v>1.9449999999999999E-2</v>
          </cell>
          <cell r="AB2196">
            <v>2.2000000000000002E-2</v>
          </cell>
          <cell r="AC2196">
            <v>2.1250000000000002E-2</v>
          </cell>
        </row>
        <row r="2197">
          <cell r="T2197">
            <v>37693</v>
          </cell>
          <cell r="U2197">
            <v>1.2942E-2</v>
          </cell>
          <cell r="V2197">
            <v>1.3146E-2</v>
          </cell>
          <cell r="W2197">
            <v>1.24E-2</v>
          </cell>
          <cell r="X2197">
            <v>1.4649999999999998E-2</v>
          </cell>
          <cell r="Y2197">
            <v>1.6650000000000002E-2</v>
          </cell>
          <cell r="Z2197">
            <v>1.7749999999999998E-2</v>
          </cell>
          <cell r="AA2197">
            <v>1.8700000000000001E-2</v>
          </cell>
          <cell r="AB2197">
            <v>2.0499999999999997E-2</v>
          </cell>
          <cell r="AC2197">
            <v>2.2249999999999995E-2</v>
          </cell>
        </row>
        <row r="2198">
          <cell r="T2198">
            <v>37692</v>
          </cell>
          <cell r="U2198">
            <v>1.3000000000000001E-2</v>
          </cell>
          <cell r="V2198">
            <v>1.3136000000000002E-2</v>
          </cell>
          <cell r="W2198">
            <v>1.2E-2</v>
          </cell>
          <cell r="X2198">
            <v>1.3950000000000001E-2</v>
          </cell>
          <cell r="Y2198">
            <v>1.5900000000000001E-2</v>
          </cell>
          <cell r="Z2198">
            <v>1.7149999999999999E-2</v>
          </cell>
          <cell r="AA2198">
            <v>1.8149999999999999E-2</v>
          </cell>
          <cell r="AB2198">
            <v>1.9349999999999999E-2</v>
          </cell>
          <cell r="AC2198">
            <v>2.1250000000000002E-2</v>
          </cell>
        </row>
        <row r="2199">
          <cell r="T2199">
            <v>37691</v>
          </cell>
          <cell r="U2199">
            <v>1.32E-2</v>
          </cell>
          <cell r="V2199">
            <v>1.3375E-2</v>
          </cell>
          <cell r="W2199">
            <v>1.2749999999999999E-2</v>
          </cell>
          <cell r="X2199">
            <v>1.5499999999999998E-2</v>
          </cell>
          <cell r="Y2199">
            <v>1.7749999999999998E-2</v>
          </cell>
          <cell r="Z2199">
            <v>1.6650000000000002E-2</v>
          </cell>
          <cell r="AA2199">
            <v>1.755E-2</v>
          </cell>
          <cell r="AB2199">
            <v>1.8700000000000001E-2</v>
          </cell>
          <cell r="AC2199">
            <v>2.0750000000000001E-2</v>
          </cell>
        </row>
        <row r="2200">
          <cell r="T2200">
            <v>37690</v>
          </cell>
          <cell r="U2200">
            <v>1.3000000000000001E-2</v>
          </cell>
          <cell r="V2200">
            <v>1.315E-2</v>
          </cell>
          <cell r="W2200">
            <v>1.205E-2</v>
          </cell>
          <cell r="X2200">
            <v>1.3650000000000001E-2</v>
          </cell>
          <cell r="Y2200">
            <v>1.575E-2</v>
          </cell>
          <cell r="Z2200">
            <v>1.6749999999999998E-2</v>
          </cell>
          <cell r="AA2200">
            <v>1.7650000000000002E-2</v>
          </cell>
          <cell r="AB2200">
            <v>1.8700000000000001E-2</v>
          </cell>
          <cell r="AC2200">
            <v>2.0750000000000001E-2</v>
          </cell>
        </row>
        <row r="2201">
          <cell r="T2201">
            <v>37689</v>
          </cell>
          <cell r="U2201">
            <v>1.3042E-2</v>
          </cell>
          <cell r="V2201">
            <v>1.3136000000000002E-2</v>
          </cell>
          <cell r="W2201">
            <v>1.2549999999999999E-2</v>
          </cell>
          <cell r="X2201">
            <v>1.4649999999999998E-2</v>
          </cell>
          <cell r="Y2201">
            <v>1.6449999999999999E-2</v>
          </cell>
          <cell r="Z2201">
            <v>1.7500000000000002E-2</v>
          </cell>
          <cell r="AA2201">
            <v>1.8450000000000001E-2</v>
          </cell>
          <cell r="AB2201">
            <v>1.9649999999999997E-2</v>
          </cell>
          <cell r="AC2201">
            <v>2.1749999999999999E-2</v>
          </cell>
        </row>
        <row r="2202">
          <cell r="T2202">
            <v>37688</v>
          </cell>
          <cell r="U2202">
            <v>1.3042E-2</v>
          </cell>
          <cell r="V2202">
            <v>1.3136000000000002E-2</v>
          </cell>
          <cell r="W2202">
            <v>1.2549999999999999E-2</v>
          </cell>
          <cell r="X2202">
            <v>1.4649999999999998E-2</v>
          </cell>
          <cell r="Y2202">
            <v>1.6449999999999999E-2</v>
          </cell>
          <cell r="Z2202">
            <v>1.7500000000000002E-2</v>
          </cell>
          <cell r="AA2202">
            <v>1.8450000000000001E-2</v>
          </cell>
          <cell r="AB2202">
            <v>1.9649999999999997E-2</v>
          </cell>
          <cell r="AC2202">
            <v>2.1749999999999999E-2</v>
          </cell>
        </row>
        <row r="2203">
          <cell r="T2203">
            <v>37687</v>
          </cell>
          <cell r="U2203">
            <v>1.3042E-2</v>
          </cell>
          <cell r="V2203">
            <v>1.3136000000000002E-2</v>
          </cell>
          <cell r="W2203">
            <v>1.2549999999999999E-2</v>
          </cell>
          <cell r="X2203">
            <v>1.4649999999999998E-2</v>
          </cell>
          <cell r="Y2203">
            <v>1.6449999999999999E-2</v>
          </cell>
          <cell r="Z2203">
            <v>1.7500000000000002E-2</v>
          </cell>
          <cell r="AA2203">
            <v>1.8450000000000001E-2</v>
          </cell>
          <cell r="AB2203">
            <v>1.9649999999999997E-2</v>
          </cell>
          <cell r="AC2203">
            <v>2.1749999999999999E-2</v>
          </cell>
        </row>
        <row r="2204">
          <cell r="T2204">
            <v>37686</v>
          </cell>
          <cell r="U2204">
            <v>1.3000000000000001E-2</v>
          </cell>
          <cell r="V2204">
            <v>1.3136000000000002E-2</v>
          </cell>
          <cell r="W2204">
            <v>1.26E-2</v>
          </cell>
          <cell r="X2204">
            <v>1.5049999999999999E-2</v>
          </cell>
          <cell r="Y2204">
            <v>1.6749999999999998E-2</v>
          </cell>
          <cell r="Z2204">
            <v>1.7850000000000001E-2</v>
          </cell>
          <cell r="AA2204">
            <v>1.8700000000000001E-2</v>
          </cell>
          <cell r="AB2204">
            <v>2.0300000000000002E-2</v>
          </cell>
          <cell r="AC2204">
            <v>2.2000000000000002E-2</v>
          </cell>
        </row>
        <row r="2205">
          <cell r="T2205">
            <v>37685</v>
          </cell>
          <cell r="U2205">
            <v>1.3056000000000002E-2</v>
          </cell>
          <cell r="V2205">
            <v>1.3219000000000002E-2</v>
          </cell>
          <cell r="W2205">
            <v>1.2699999999999999E-2</v>
          </cell>
          <cell r="X2205">
            <v>1.5049999999999999E-2</v>
          </cell>
          <cell r="Y2205">
            <v>1.7100000000000001E-2</v>
          </cell>
          <cell r="Z2205">
            <v>1.8000000000000002E-2</v>
          </cell>
          <cell r="AA2205">
            <v>1.925E-2</v>
          </cell>
          <cell r="AB2205">
            <v>2.0250000000000001E-2</v>
          </cell>
          <cell r="AC2205">
            <v>2.2249999999999995E-2</v>
          </cell>
        </row>
        <row r="2206">
          <cell r="T2206">
            <v>37684</v>
          </cell>
          <cell r="U2206">
            <v>1.3042E-2</v>
          </cell>
          <cell r="V2206">
            <v>1.3182000000000001E-2</v>
          </cell>
          <cell r="W2206">
            <v>1.2500000000000001E-2</v>
          </cell>
          <cell r="X2206">
            <v>1.5449999999999998E-2</v>
          </cell>
          <cell r="Y2206">
            <v>1.745E-2</v>
          </cell>
          <cell r="Z2206">
            <v>1.89E-2</v>
          </cell>
          <cell r="AA2206">
            <v>1.9900000000000001E-2</v>
          </cell>
          <cell r="AB2206">
            <v>2.12E-2</v>
          </cell>
          <cell r="AC2206">
            <v>2.2800000000000001E-2</v>
          </cell>
        </row>
        <row r="2207">
          <cell r="T2207">
            <v>37683</v>
          </cell>
          <cell r="U2207">
            <v>1.3167E-2</v>
          </cell>
          <cell r="V2207">
            <v>1.3500000000000002E-2</v>
          </cell>
          <cell r="W2207">
            <v>1.2500000000000001E-2</v>
          </cell>
          <cell r="X2207">
            <v>1.5449999999999998E-2</v>
          </cell>
          <cell r="Y2207">
            <v>1.745E-2</v>
          </cell>
          <cell r="Z2207">
            <v>1.89E-2</v>
          </cell>
          <cell r="AA2207">
            <v>1.9900000000000001E-2</v>
          </cell>
          <cell r="AB2207">
            <v>2.12E-2</v>
          </cell>
          <cell r="AC2207">
            <v>2.2800000000000001E-2</v>
          </cell>
        </row>
        <row r="2208">
          <cell r="T2208">
            <v>37682</v>
          </cell>
          <cell r="U2208">
            <v>1.325E-2</v>
          </cell>
          <cell r="V2208">
            <v>1.3523E-2</v>
          </cell>
          <cell r="W2208">
            <v>1.2500000000000001E-2</v>
          </cell>
          <cell r="X2208">
            <v>1.525E-2</v>
          </cell>
          <cell r="Y2208">
            <v>1.745E-2</v>
          </cell>
          <cell r="Z2208">
            <v>1.865E-2</v>
          </cell>
          <cell r="AA2208">
            <v>1.9699999999999999E-2</v>
          </cell>
          <cell r="AB2208">
            <v>2.12E-2</v>
          </cell>
          <cell r="AC2208">
            <v>2.2800000000000001E-2</v>
          </cell>
        </row>
        <row r="2209">
          <cell r="T2209">
            <v>37681</v>
          </cell>
          <cell r="U2209">
            <v>1.325E-2</v>
          </cell>
          <cell r="V2209">
            <v>1.3523E-2</v>
          </cell>
          <cell r="W2209">
            <v>1.2500000000000001E-2</v>
          </cell>
          <cell r="X2209">
            <v>1.525E-2</v>
          </cell>
          <cell r="Y2209">
            <v>1.745E-2</v>
          </cell>
          <cell r="Z2209">
            <v>1.865E-2</v>
          </cell>
          <cell r="AA2209">
            <v>1.9699999999999999E-2</v>
          </cell>
          <cell r="AB2209">
            <v>2.12E-2</v>
          </cell>
          <cell r="AC2209">
            <v>2.2800000000000001E-2</v>
          </cell>
        </row>
        <row r="2210">
          <cell r="T2210">
            <v>37680</v>
          </cell>
          <cell r="U2210">
            <v>1.325E-2</v>
          </cell>
          <cell r="V2210">
            <v>1.3523E-2</v>
          </cell>
          <cell r="W2210">
            <v>1.2500000000000001E-2</v>
          </cell>
          <cell r="X2210">
            <v>1.525E-2</v>
          </cell>
          <cell r="Y2210">
            <v>1.745E-2</v>
          </cell>
          <cell r="Z2210">
            <v>1.865E-2</v>
          </cell>
          <cell r="AA2210">
            <v>1.9699999999999999E-2</v>
          </cell>
          <cell r="AB2210">
            <v>2.12E-2</v>
          </cell>
          <cell r="AC2210">
            <v>2.2800000000000001E-2</v>
          </cell>
        </row>
        <row r="2211">
          <cell r="T2211">
            <v>37679</v>
          </cell>
          <cell r="U2211">
            <v>1.325E-2</v>
          </cell>
          <cell r="V2211">
            <v>1.3523E-2</v>
          </cell>
          <cell r="W2211">
            <v>1.2500000000000001E-2</v>
          </cell>
          <cell r="X2211">
            <v>1.525E-2</v>
          </cell>
          <cell r="Y2211">
            <v>1.745E-2</v>
          </cell>
          <cell r="Z2211">
            <v>1.865E-2</v>
          </cell>
          <cell r="AA2211">
            <v>1.9699999999999999E-2</v>
          </cell>
          <cell r="AB2211">
            <v>2.12E-2</v>
          </cell>
          <cell r="AC2211">
            <v>2.2800000000000001E-2</v>
          </cell>
        </row>
        <row r="2212">
          <cell r="T2212">
            <v>37678</v>
          </cell>
          <cell r="U2212">
            <v>1.3364000000000001E-2</v>
          </cell>
          <cell r="V2212">
            <v>1.37E-2</v>
          </cell>
          <cell r="W2212">
            <v>1.3000000000000001E-2</v>
          </cell>
          <cell r="X2212">
            <v>1.55E-2</v>
          </cell>
          <cell r="Y2212">
            <v>1.7500000000000002E-2</v>
          </cell>
          <cell r="Z2212">
            <v>1.8950000000000002E-2</v>
          </cell>
          <cell r="AA2212">
            <v>2.0099999999999996E-2</v>
          </cell>
          <cell r="AB2212">
            <v>2.1500000000000005E-2</v>
          </cell>
          <cell r="AC2212">
            <v>2.3E-2</v>
          </cell>
        </row>
        <row r="2213">
          <cell r="T2213">
            <v>37677</v>
          </cell>
          <cell r="U2213">
            <v>1.3205E-2</v>
          </cell>
          <cell r="V2213">
            <v>1.3500000000000002E-2</v>
          </cell>
          <cell r="W2213">
            <v>1.2850000000000002E-2</v>
          </cell>
          <cell r="X2213">
            <v>1.5350000000000001E-2</v>
          </cell>
          <cell r="Y2213">
            <v>1.755E-2</v>
          </cell>
          <cell r="Z2213">
            <v>1.8950000000000002E-2</v>
          </cell>
          <cell r="AA2213">
            <v>1.9950000000000002E-2</v>
          </cell>
          <cell r="AB2213">
            <v>2.1500000000000005E-2</v>
          </cell>
          <cell r="AC2213">
            <v>2.3E-2</v>
          </cell>
        </row>
        <row r="2214">
          <cell r="T2214">
            <v>37676</v>
          </cell>
          <cell r="U2214">
            <v>1.3349999999999999E-2</v>
          </cell>
          <cell r="V2214">
            <v>1.3590999999999999E-2</v>
          </cell>
          <cell r="W2214">
            <v>1.3050000000000001E-2</v>
          </cell>
          <cell r="X2214">
            <v>1.585E-2</v>
          </cell>
          <cell r="Y2214">
            <v>1.805E-2</v>
          </cell>
          <cell r="Z2214">
            <v>1.9299999999999998E-2</v>
          </cell>
          <cell r="AA2214">
            <v>2.0299999999999999E-2</v>
          </cell>
          <cell r="AB2214">
            <v>2.2000000000000002E-2</v>
          </cell>
          <cell r="AC2214">
            <v>2.3E-2</v>
          </cell>
        </row>
        <row r="2215">
          <cell r="T2215">
            <v>37675</v>
          </cell>
          <cell r="U2215">
            <v>1.3205E-2</v>
          </cell>
          <cell r="V2215">
            <v>1.3455E-2</v>
          </cell>
          <cell r="W2215">
            <v>1.2749999999999999E-2</v>
          </cell>
          <cell r="X2215">
            <v>1.5550000000000001E-2</v>
          </cell>
          <cell r="Y2215">
            <v>1.7749999999999998E-2</v>
          </cell>
          <cell r="Z2215">
            <v>1.915E-2</v>
          </cell>
          <cell r="AA2215">
            <v>2.0150000000000001E-2</v>
          </cell>
          <cell r="AB2215">
            <v>2.1250000000000002E-2</v>
          </cell>
          <cell r="AC2215">
            <v>2.2249999999999995E-2</v>
          </cell>
        </row>
        <row r="2216">
          <cell r="T2216">
            <v>37674</v>
          </cell>
          <cell r="U2216">
            <v>1.3205E-2</v>
          </cell>
          <cell r="V2216">
            <v>1.3455E-2</v>
          </cell>
          <cell r="W2216">
            <v>1.2749999999999999E-2</v>
          </cell>
          <cell r="X2216">
            <v>1.5550000000000001E-2</v>
          </cell>
          <cell r="Y2216">
            <v>1.7749999999999998E-2</v>
          </cell>
          <cell r="Z2216">
            <v>1.915E-2</v>
          </cell>
          <cell r="AA2216">
            <v>2.0150000000000001E-2</v>
          </cell>
          <cell r="AB2216">
            <v>2.1250000000000002E-2</v>
          </cell>
          <cell r="AC2216">
            <v>2.2249999999999995E-2</v>
          </cell>
        </row>
        <row r="2217">
          <cell r="T2217">
            <v>37673</v>
          </cell>
          <cell r="U2217">
            <v>1.3205E-2</v>
          </cell>
          <cell r="V2217">
            <v>1.3455E-2</v>
          </cell>
          <cell r="W2217">
            <v>1.2749999999999999E-2</v>
          </cell>
          <cell r="X2217">
            <v>1.5550000000000001E-2</v>
          </cell>
          <cell r="Y2217">
            <v>1.7749999999999998E-2</v>
          </cell>
          <cell r="Z2217">
            <v>1.915E-2</v>
          </cell>
          <cell r="AA2217">
            <v>2.0150000000000001E-2</v>
          </cell>
          <cell r="AB2217">
            <v>2.1250000000000002E-2</v>
          </cell>
          <cell r="AC2217">
            <v>2.2249999999999995E-2</v>
          </cell>
        </row>
        <row r="2218">
          <cell r="T2218">
            <v>37672</v>
          </cell>
          <cell r="U2218">
            <v>1.2544999999999999E-2</v>
          </cell>
          <cell r="V2218">
            <v>1.2977000000000001E-2</v>
          </cell>
          <cell r="W2218">
            <v>1.26E-2</v>
          </cell>
          <cell r="X2218">
            <v>1.525E-2</v>
          </cell>
          <cell r="Y2218">
            <v>1.745E-2</v>
          </cell>
          <cell r="Z2218">
            <v>1.8700000000000001E-2</v>
          </cell>
          <cell r="AA2218">
            <v>1.975E-2</v>
          </cell>
          <cell r="AB2218">
            <v>2.1250000000000002E-2</v>
          </cell>
          <cell r="AC2218">
            <v>2.2249999999999995E-2</v>
          </cell>
        </row>
        <row r="2219">
          <cell r="T2219">
            <v>37671</v>
          </cell>
          <cell r="U2219">
            <v>1.2393000000000001E-2</v>
          </cell>
          <cell r="V2219">
            <v>1.3036000000000001E-2</v>
          </cell>
          <cell r="W2219">
            <v>1.205E-2</v>
          </cell>
          <cell r="X2219">
            <v>1.4800000000000001E-2</v>
          </cell>
          <cell r="Y2219">
            <v>1.7250000000000001E-2</v>
          </cell>
          <cell r="Z2219">
            <v>1.8849999999999999E-2</v>
          </cell>
          <cell r="AA2219">
            <v>1.975E-2</v>
          </cell>
          <cell r="AB2219">
            <v>2.0999999999999998E-2</v>
          </cell>
          <cell r="AC2219">
            <v>2.2000000000000002E-2</v>
          </cell>
        </row>
        <row r="2220">
          <cell r="T2220">
            <v>37670</v>
          </cell>
          <cell r="U2220">
            <v>1.2375000000000001E-2</v>
          </cell>
          <cell r="V2220">
            <v>1.2813000000000001E-2</v>
          </cell>
          <cell r="W2220">
            <v>1.2149999999999999E-2</v>
          </cell>
          <cell r="X2220">
            <v>1.5049999999999999E-2</v>
          </cell>
          <cell r="Y2220">
            <v>1.755E-2</v>
          </cell>
          <cell r="Z2220">
            <v>1.915E-2</v>
          </cell>
          <cell r="AA2220">
            <v>2.0250000000000001E-2</v>
          </cell>
          <cell r="AB2220">
            <v>2.1500000000000005E-2</v>
          </cell>
          <cell r="AC2220">
            <v>2.2499999999999999E-2</v>
          </cell>
        </row>
        <row r="2221">
          <cell r="T2221">
            <v>37669</v>
          </cell>
          <cell r="U2221">
            <v>1.2375000000000001E-2</v>
          </cell>
          <cell r="V2221">
            <v>1.2813000000000001E-2</v>
          </cell>
          <cell r="W2221">
            <v>1.225E-2</v>
          </cell>
          <cell r="X2221">
            <v>1.5350000000000001E-2</v>
          </cell>
          <cell r="Y2221">
            <v>1.805E-2</v>
          </cell>
          <cell r="Z2221">
            <v>1.9550000000000001E-2</v>
          </cell>
          <cell r="AA2221">
            <v>2.0750000000000001E-2</v>
          </cell>
          <cell r="AB2221">
            <v>2.2750000000000003E-2</v>
          </cell>
          <cell r="AC2221">
            <v>2.4E-2</v>
          </cell>
        </row>
        <row r="2222">
          <cell r="T2222">
            <v>37668</v>
          </cell>
          <cell r="U2222">
            <v>1.2318000000000001E-2</v>
          </cell>
          <cell r="V2222">
            <v>1.2624999999999999E-2</v>
          </cell>
          <cell r="W2222">
            <v>1.2149999999999999E-2</v>
          </cell>
          <cell r="X2222">
            <v>1.5300000000000001E-2</v>
          </cell>
          <cell r="Y2222">
            <v>1.78E-2</v>
          </cell>
          <cell r="Z2222">
            <v>1.9449999999999999E-2</v>
          </cell>
          <cell r="AA2222">
            <v>2.0549999999999999E-2</v>
          </cell>
          <cell r="AB2222">
            <v>2.2199999999999998E-2</v>
          </cell>
          <cell r="AC2222">
            <v>2.375E-2</v>
          </cell>
        </row>
        <row r="2223">
          <cell r="T2223">
            <v>37667</v>
          </cell>
          <cell r="U2223">
            <v>1.2318000000000001E-2</v>
          </cell>
          <cell r="V2223">
            <v>1.2624999999999999E-2</v>
          </cell>
          <cell r="W2223">
            <v>1.2149999999999999E-2</v>
          </cell>
          <cell r="X2223">
            <v>1.5300000000000001E-2</v>
          </cell>
          <cell r="Y2223">
            <v>1.78E-2</v>
          </cell>
          <cell r="Z2223">
            <v>1.9449999999999999E-2</v>
          </cell>
          <cell r="AA2223">
            <v>2.0549999999999999E-2</v>
          </cell>
          <cell r="AB2223">
            <v>2.2199999999999998E-2</v>
          </cell>
          <cell r="AC2223">
            <v>2.375E-2</v>
          </cell>
        </row>
        <row r="2224">
          <cell r="T2224">
            <v>37666</v>
          </cell>
          <cell r="U2224">
            <v>1.2318000000000001E-2</v>
          </cell>
          <cell r="V2224">
            <v>1.2624999999999999E-2</v>
          </cell>
          <cell r="W2224">
            <v>1.2149999999999999E-2</v>
          </cell>
          <cell r="X2224">
            <v>1.5300000000000001E-2</v>
          </cell>
          <cell r="Y2224">
            <v>1.78E-2</v>
          </cell>
          <cell r="Z2224">
            <v>1.9449999999999999E-2</v>
          </cell>
          <cell r="AA2224">
            <v>2.0549999999999999E-2</v>
          </cell>
          <cell r="AB2224">
            <v>2.2199999999999998E-2</v>
          </cell>
          <cell r="AC2224">
            <v>2.375E-2</v>
          </cell>
        </row>
        <row r="2225">
          <cell r="T2225">
            <v>37665</v>
          </cell>
          <cell r="U2225">
            <v>1.2639000000000001E-2</v>
          </cell>
          <cell r="V2225">
            <v>1.2971999999999999E-2</v>
          </cell>
          <cell r="W2225">
            <v>1.2149999999999999E-2</v>
          </cell>
          <cell r="X2225">
            <v>1.5300000000000001E-2</v>
          </cell>
          <cell r="Y2225">
            <v>1.78E-2</v>
          </cell>
          <cell r="Z2225">
            <v>1.9449999999999999E-2</v>
          </cell>
          <cell r="AA2225">
            <v>2.0549999999999999E-2</v>
          </cell>
          <cell r="AB2225">
            <v>2.2199999999999998E-2</v>
          </cell>
          <cell r="AC2225">
            <v>2.375E-2</v>
          </cell>
        </row>
        <row r="2226">
          <cell r="T2226">
            <v>37664</v>
          </cell>
          <cell r="U2226">
            <v>1.2450000000000001E-2</v>
          </cell>
          <cell r="V2226">
            <v>1.2818000000000001E-2</v>
          </cell>
          <cell r="W2226">
            <v>1.2500000000000001E-2</v>
          </cell>
          <cell r="X2226">
            <v>1.5449999999999998E-2</v>
          </cell>
          <cell r="Y2226">
            <v>1.9E-2</v>
          </cell>
          <cell r="Z2226">
            <v>1.9950000000000002E-2</v>
          </cell>
          <cell r="AA2226">
            <v>2.1049999999999999E-2</v>
          </cell>
          <cell r="AB2226">
            <v>2.2499999999999999E-2</v>
          </cell>
          <cell r="AC2226">
            <v>2.4E-2</v>
          </cell>
        </row>
        <row r="2227">
          <cell r="T2227">
            <v>37663</v>
          </cell>
          <cell r="U2227">
            <v>1.2775000000000002E-2</v>
          </cell>
          <cell r="V2227">
            <v>1.3068E-2</v>
          </cell>
          <cell r="W2227">
            <v>1.2549999999999999E-2</v>
          </cell>
          <cell r="X2227">
            <v>1.5950000000000002E-2</v>
          </cell>
          <cell r="Y2227">
            <v>1.8950000000000002E-2</v>
          </cell>
          <cell r="Z2227">
            <v>2.0949999999999996E-2</v>
          </cell>
          <cell r="AA2227">
            <v>2.205E-2</v>
          </cell>
          <cell r="AB2227">
            <v>2.4000000000000004E-2</v>
          </cell>
          <cell r="AC2227">
            <v>2.5250000000000005E-2</v>
          </cell>
        </row>
        <row r="2228">
          <cell r="T2228">
            <v>37662</v>
          </cell>
          <cell r="U2228">
            <v>1.2500000000000001E-2</v>
          </cell>
          <cell r="V2228">
            <v>1.2800000000000001E-2</v>
          </cell>
          <cell r="W2228">
            <v>1.2650000000000002E-2</v>
          </cell>
          <cell r="X2228">
            <v>1.6E-2</v>
          </cell>
          <cell r="Y2228">
            <v>1.8500000000000003E-2</v>
          </cell>
          <cell r="Z2228">
            <v>2.0499999999999997E-2</v>
          </cell>
          <cell r="AA2228">
            <v>2.1400000000000002E-2</v>
          </cell>
          <cell r="AB2228">
            <v>2.2750000000000003E-2</v>
          </cell>
          <cell r="AC2228">
            <v>2.4E-2</v>
          </cell>
        </row>
        <row r="2229">
          <cell r="T2229">
            <v>37661</v>
          </cell>
          <cell r="U2229">
            <v>1.3571E-2</v>
          </cell>
          <cell r="V2229">
            <v>1.4125E-2</v>
          </cell>
          <cell r="W2229">
            <v>1.2850000000000002E-2</v>
          </cell>
          <cell r="X2229">
            <v>1.5899999999999997E-2</v>
          </cell>
          <cell r="Y2229">
            <v>1.8550000000000001E-2</v>
          </cell>
          <cell r="Z2229">
            <v>2.0049999999999998E-2</v>
          </cell>
          <cell r="AA2229">
            <v>2.1250000000000002E-2</v>
          </cell>
          <cell r="AB2229">
            <v>2.3E-2</v>
          </cell>
          <cell r="AC2229">
            <v>2.4749999999999998E-2</v>
          </cell>
        </row>
        <row r="2230">
          <cell r="T2230">
            <v>37660</v>
          </cell>
          <cell r="U2230">
            <v>1.3571E-2</v>
          </cell>
          <cell r="V2230">
            <v>1.4125E-2</v>
          </cell>
          <cell r="W2230">
            <v>1.2850000000000002E-2</v>
          </cell>
          <cell r="X2230">
            <v>1.5899999999999997E-2</v>
          </cell>
          <cell r="Y2230">
            <v>1.8550000000000001E-2</v>
          </cell>
          <cell r="Z2230">
            <v>2.0049999999999998E-2</v>
          </cell>
          <cell r="AA2230">
            <v>2.1250000000000002E-2</v>
          </cell>
          <cell r="AB2230">
            <v>2.3E-2</v>
          </cell>
          <cell r="AC2230">
            <v>2.4749999999999998E-2</v>
          </cell>
        </row>
        <row r="2231">
          <cell r="T2231">
            <v>37659</v>
          </cell>
          <cell r="U2231">
            <v>1.3571E-2</v>
          </cell>
          <cell r="V2231">
            <v>1.4125E-2</v>
          </cell>
          <cell r="W2231">
            <v>1.2850000000000002E-2</v>
          </cell>
          <cell r="X2231">
            <v>1.5899999999999997E-2</v>
          </cell>
          <cell r="Y2231">
            <v>1.8550000000000001E-2</v>
          </cell>
          <cell r="Z2231">
            <v>2.0049999999999998E-2</v>
          </cell>
          <cell r="AA2231">
            <v>2.1250000000000002E-2</v>
          </cell>
          <cell r="AB2231">
            <v>2.3E-2</v>
          </cell>
          <cell r="AC2231">
            <v>2.4749999999999998E-2</v>
          </cell>
        </row>
        <row r="2232">
          <cell r="T2232">
            <v>37658</v>
          </cell>
          <cell r="U2232">
            <v>1.3179000000000001E-2</v>
          </cell>
          <cell r="V2232">
            <v>1.3786E-2</v>
          </cell>
          <cell r="W2232">
            <v>8.0000000000000002E-3</v>
          </cell>
          <cell r="X2232">
            <v>1.6E-2</v>
          </cell>
          <cell r="Y2232">
            <v>1.8500000000000003E-2</v>
          </cell>
          <cell r="Z2232">
            <v>2.0499999999999997E-2</v>
          </cell>
          <cell r="AA2232">
            <v>2.1150000000000002E-2</v>
          </cell>
          <cell r="AB2232">
            <v>2.2750000000000003E-2</v>
          </cell>
          <cell r="AC2232">
            <v>2.4E-2</v>
          </cell>
        </row>
        <row r="2233">
          <cell r="T2233">
            <v>37657</v>
          </cell>
          <cell r="U2233">
            <v>1.3083000000000001E-2</v>
          </cell>
          <cell r="V2233">
            <v>1.3786E-2</v>
          </cell>
          <cell r="W2233">
            <v>1.295E-2</v>
          </cell>
          <cell r="X2233">
            <v>1.5899999999999997E-2</v>
          </cell>
          <cell r="Y2233">
            <v>1.89E-2</v>
          </cell>
          <cell r="Z2233">
            <v>2.0400000000000001E-2</v>
          </cell>
          <cell r="AA2233">
            <v>2.1500000000000005E-2</v>
          </cell>
          <cell r="AB2233">
            <v>2.3E-2</v>
          </cell>
          <cell r="AC2233">
            <v>2.4749999999999998E-2</v>
          </cell>
        </row>
        <row r="2234">
          <cell r="T2234">
            <v>37656</v>
          </cell>
          <cell r="U2234">
            <v>1.3083000000000001E-2</v>
          </cell>
          <cell r="V2234">
            <v>1.3786E-2</v>
          </cell>
          <cell r="W2234">
            <v>1.295E-2</v>
          </cell>
          <cell r="X2234">
            <v>1.5899999999999997E-2</v>
          </cell>
          <cell r="Y2234">
            <v>1.89E-2</v>
          </cell>
          <cell r="Z2234">
            <v>2.0400000000000001E-2</v>
          </cell>
          <cell r="AA2234">
            <v>2.1500000000000005E-2</v>
          </cell>
          <cell r="AB2234">
            <v>2.3E-2</v>
          </cell>
          <cell r="AC2234">
            <v>2.4749999999999998E-2</v>
          </cell>
        </row>
        <row r="2235">
          <cell r="T2235">
            <v>37655</v>
          </cell>
          <cell r="U2235">
            <v>1.3083000000000001E-2</v>
          </cell>
          <cell r="V2235">
            <v>1.3786E-2</v>
          </cell>
          <cell r="W2235">
            <v>1.295E-2</v>
          </cell>
          <cell r="X2235">
            <v>1.5899999999999997E-2</v>
          </cell>
          <cell r="Y2235">
            <v>1.89E-2</v>
          </cell>
          <cell r="Z2235">
            <v>2.0400000000000001E-2</v>
          </cell>
          <cell r="AA2235">
            <v>2.1500000000000005E-2</v>
          </cell>
          <cell r="AB2235">
            <v>2.3E-2</v>
          </cell>
          <cell r="AC2235">
            <v>2.4749999999999998E-2</v>
          </cell>
        </row>
        <row r="2236">
          <cell r="T2236">
            <v>37654</v>
          </cell>
          <cell r="U2236">
            <v>1.3083000000000001E-2</v>
          </cell>
          <cell r="V2236">
            <v>1.3786E-2</v>
          </cell>
          <cell r="W2236">
            <v>1.295E-2</v>
          </cell>
          <cell r="X2236">
            <v>1.5899999999999997E-2</v>
          </cell>
          <cell r="Y2236">
            <v>1.89E-2</v>
          </cell>
          <cell r="Z2236">
            <v>2.0400000000000001E-2</v>
          </cell>
          <cell r="AA2236">
            <v>2.1500000000000005E-2</v>
          </cell>
          <cell r="AB2236">
            <v>2.3E-2</v>
          </cell>
          <cell r="AC2236">
            <v>2.4749999999999998E-2</v>
          </cell>
        </row>
        <row r="2237">
          <cell r="T2237">
            <v>37653</v>
          </cell>
          <cell r="U2237">
            <v>1.3083000000000001E-2</v>
          </cell>
          <cell r="V2237">
            <v>1.3786E-2</v>
          </cell>
          <cell r="W2237">
            <v>1.295E-2</v>
          </cell>
          <cell r="X2237">
            <v>1.5899999999999997E-2</v>
          </cell>
          <cell r="Y2237">
            <v>1.89E-2</v>
          </cell>
          <cell r="Z2237">
            <v>2.0400000000000001E-2</v>
          </cell>
          <cell r="AA2237">
            <v>2.1500000000000005E-2</v>
          </cell>
          <cell r="AB2237">
            <v>2.3E-2</v>
          </cell>
          <cell r="AC2237">
            <v>2.4749999999999998E-2</v>
          </cell>
        </row>
        <row r="2238">
          <cell r="T2238">
            <v>37652</v>
          </cell>
          <cell r="U2238">
            <v>1.3083000000000001E-2</v>
          </cell>
          <cell r="V2238">
            <v>1.3786E-2</v>
          </cell>
          <cell r="W2238">
            <v>1.295E-2</v>
          </cell>
          <cell r="X2238">
            <v>1.5899999999999997E-2</v>
          </cell>
          <cell r="Y2238">
            <v>1.89E-2</v>
          </cell>
          <cell r="Z2238">
            <v>2.0400000000000001E-2</v>
          </cell>
          <cell r="AA2238">
            <v>2.1500000000000005E-2</v>
          </cell>
          <cell r="AB2238">
            <v>2.3E-2</v>
          </cell>
          <cell r="AC2238">
            <v>2.4749999999999998E-2</v>
          </cell>
        </row>
        <row r="2239">
          <cell r="T2239">
            <v>37651</v>
          </cell>
          <cell r="U2239">
            <v>1.3083000000000001E-2</v>
          </cell>
          <cell r="V2239">
            <v>1.3786E-2</v>
          </cell>
          <cell r="W2239">
            <v>1.2999999999999998E-2</v>
          </cell>
          <cell r="X2239">
            <v>1.7000000000000001E-2</v>
          </cell>
          <cell r="Y2239">
            <v>1.9E-2</v>
          </cell>
          <cell r="Z2239">
            <v>2.0400000000000001E-2</v>
          </cell>
          <cell r="AA2239">
            <v>2.2000000000000002E-2</v>
          </cell>
          <cell r="AB2239">
            <v>2.3E-2</v>
          </cell>
          <cell r="AC2239">
            <v>2.4749999999999998E-2</v>
          </cell>
        </row>
        <row r="2240">
          <cell r="T2240">
            <v>37650</v>
          </cell>
          <cell r="U2240">
            <v>1.3318000000000002E-2</v>
          </cell>
          <cell r="V2240">
            <v>1.3656E-2</v>
          </cell>
          <cell r="W2240">
            <v>1.295E-2</v>
          </cell>
          <cell r="X2240">
            <v>1.575E-2</v>
          </cell>
          <cell r="Y2240">
            <v>1.8749999999999999E-2</v>
          </cell>
          <cell r="Z2240">
            <v>2.035E-2</v>
          </cell>
          <cell r="AA2240">
            <v>2.1349999999999997E-2</v>
          </cell>
          <cell r="AB2240">
            <v>2.3E-2</v>
          </cell>
          <cell r="AC2240">
            <v>2.4749999999999998E-2</v>
          </cell>
        </row>
        <row r="2241">
          <cell r="T2241">
            <v>37649</v>
          </cell>
          <cell r="U2241">
            <v>1.3278000000000002E-2</v>
          </cell>
          <cell r="V2241">
            <v>1.3999999999999999E-2</v>
          </cell>
          <cell r="W2241">
            <v>1.3050000000000001E-2</v>
          </cell>
          <cell r="X2241">
            <v>1.6250000000000001E-2</v>
          </cell>
          <cell r="Y2241">
            <v>1.8849999999999999E-2</v>
          </cell>
          <cell r="Z2241">
            <v>2.0549999999999999E-2</v>
          </cell>
          <cell r="AA2241">
            <v>2.1600000000000001E-2</v>
          </cell>
          <cell r="AB2241">
            <v>2.3499999999999997E-2</v>
          </cell>
          <cell r="AC2241">
            <v>2.5000000000000001E-2</v>
          </cell>
        </row>
        <row r="2242">
          <cell r="T2242">
            <v>37648</v>
          </cell>
          <cell r="U2242">
            <v>1.3687E-2</v>
          </cell>
          <cell r="V2242">
            <v>1.41E-2</v>
          </cell>
          <cell r="W2242">
            <v>1.2699999999999999E-2</v>
          </cell>
          <cell r="X2242">
            <v>1.55E-2</v>
          </cell>
          <cell r="Y2242">
            <v>1.7850000000000001E-2</v>
          </cell>
          <cell r="Z2242">
            <v>1.95E-2</v>
          </cell>
          <cell r="AA2242">
            <v>2.0649999999999998E-2</v>
          </cell>
          <cell r="AB2242">
            <v>2.2000000000000002E-2</v>
          </cell>
          <cell r="AC2242">
            <v>2.375E-2</v>
          </cell>
        </row>
        <row r="2243">
          <cell r="T2243">
            <v>37647</v>
          </cell>
          <cell r="U2243">
            <v>1.3613999999999999E-2</v>
          </cell>
          <cell r="V2243">
            <v>1.3999999999999999E-2</v>
          </cell>
          <cell r="W2243">
            <v>1.3250000000000001E-2</v>
          </cell>
          <cell r="X2243">
            <v>1.6250000000000001E-2</v>
          </cell>
          <cell r="Y2243">
            <v>1.8550000000000001E-2</v>
          </cell>
          <cell r="Z2243">
            <v>2.0099999999999996E-2</v>
          </cell>
          <cell r="AA2243">
            <v>2.1550000000000003E-2</v>
          </cell>
          <cell r="AB2243">
            <v>2.3300000000000001E-2</v>
          </cell>
          <cell r="AC2243">
            <v>2.4249999999999997E-2</v>
          </cell>
        </row>
        <row r="2244">
          <cell r="T2244">
            <v>37646</v>
          </cell>
          <cell r="U2244">
            <v>1.3613999999999999E-2</v>
          </cell>
          <cell r="V2244">
            <v>1.3999999999999999E-2</v>
          </cell>
          <cell r="W2244">
            <v>1.3250000000000001E-2</v>
          </cell>
          <cell r="X2244">
            <v>1.6250000000000001E-2</v>
          </cell>
          <cell r="Y2244">
            <v>1.8550000000000001E-2</v>
          </cell>
          <cell r="Z2244">
            <v>2.0099999999999996E-2</v>
          </cell>
          <cell r="AA2244">
            <v>2.1550000000000003E-2</v>
          </cell>
          <cell r="AB2244">
            <v>2.3300000000000001E-2</v>
          </cell>
          <cell r="AC2244">
            <v>2.4249999999999997E-2</v>
          </cell>
        </row>
        <row r="2245">
          <cell r="T2245">
            <v>37645</v>
          </cell>
          <cell r="U2245">
            <v>1.3613999999999999E-2</v>
          </cell>
          <cell r="V2245">
            <v>1.3999999999999999E-2</v>
          </cell>
          <cell r="W2245">
            <v>1.3250000000000001E-2</v>
          </cell>
          <cell r="X2245">
            <v>1.6250000000000001E-2</v>
          </cell>
          <cell r="Y2245">
            <v>1.8550000000000001E-2</v>
          </cell>
          <cell r="Z2245">
            <v>2.0099999999999996E-2</v>
          </cell>
          <cell r="AA2245">
            <v>2.1550000000000003E-2</v>
          </cell>
          <cell r="AB2245">
            <v>2.3300000000000001E-2</v>
          </cell>
          <cell r="AC2245">
            <v>2.4249999999999997E-2</v>
          </cell>
        </row>
        <row r="2246">
          <cell r="T2246">
            <v>37644</v>
          </cell>
          <cell r="U2246">
            <v>1.3984000000000002E-2</v>
          </cell>
          <cell r="V2246">
            <v>1.4320999999999999E-2</v>
          </cell>
          <cell r="W2246">
            <v>1.2749999999999999E-2</v>
          </cell>
          <cell r="X2246">
            <v>1.635E-2</v>
          </cell>
          <cell r="Y2246">
            <v>1.8599999999999998E-2</v>
          </cell>
          <cell r="Z2246">
            <v>2.0049999999999998E-2</v>
          </cell>
          <cell r="AA2246">
            <v>2.1500000000000005E-2</v>
          </cell>
          <cell r="AB2246">
            <v>2.3300000000000001E-2</v>
          </cell>
          <cell r="AC2246">
            <v>2.4249999999999997E-2</v>
          </cell>
        </row>
        <row r="2247">
          <cell r="T2247">
            <v>37643</v>
          </cell>
          <cell r="U2247">
            <v>1.3885000000000002E-2</v>
          </cell>
          <cell r="V2247">
            <v>1.43E-2</v>
          </cell>
          <cell r="W2247">
            <v>1.38E-2</v>
          </cell>
          <cell r="X2247">
            <v>1.6749999999999998E-2</v>
          </cell>
          <cell r="Y2247">
            <v>1.9E-2</v>
          </cell>
          <cell r="Z2247">
            <v>2.0499999999999997E-2</v>
          </cell>
          <cell r="AA2247">
            <v>2.1500000000000005E-2</v>
          </cell>
          <cell r="AB2247">
            <v>2.2750000000000003E-2</v>
          </cell>
          <cell r="AC2247">
            <v>2.35E-2</v>
          </cell>
        </row>
        <row r="2248">
          <cell r="T2248">
            <v>37642</v>
          </cell>
          <cell r="U2248">
            <v>1.4114999999999999E-2</v>
          </cell>
          <cell r="V2248">
            <v>1.4568000000000001E-2</v>
          </cell>
          <cell r="W2248">
            <v>1.3999999999999999E-2</v>
          </cell>
          <cell r="X2248">
            <v>1.6549999999999999E-2</v>
          </cell>
          <cell r="Y2248">
            <v>1.9E-2</v>
          </cell>
          <cell r="Z2248">
            <v>1.9699999999999999E-2</v>
          </cell>
          <cell r="AA2248">
            <v>2.0899999999999998E-2</v>
          </cell>
          <cell r="AB2248">
            <v>2.2000000000000002E-2</v>
          </cell>
          <cell r="AC2248">
            <v>2.35E-2</v>
          </cell>
        </row>
        <row r="2249">
          <cell r="T2249">
            <v>37641</v>
          </cell>
          <cell r="U2249">
            <v>1.4090999999999999E-2</v>
          </cell>
          <cell r="V2249">
            <v>1.4409E-2</v>
          </cell>
          <cell r="W2249">
            <v>1.3999999999999999E-2</v>
          </cell>
          <cell r="X2249">
            <v>1.6549999999999999E-2</v>
          </cell>
          <cell r="Y2249">
            <v>1.8500000000000003E-2</v>
          </cell>
          <cell r="Z2249">
            <v>1.95E-2</v>
          </cell>
          <cell r="AA2249">
            <v>2.0149999999999998E-2</v>
          </cell>
          <cell r="AB2249">
            <v>2.1299999999999999E-2</v>
          </cell>
          <cell r="AC2249">
            <v>2.3E-2</v>
          </cell>
        </row>
        <row r="2250">
          <cell r="T2250">
            <v>37640</v>
          </cell>
          <cell r="U2250">
            <v>1.4273000000000001E-2</v>
          </cell>
          <cell r="V2250">
            <v>1.4624999999999999E-2</v>
          </cell>
          <cell r="W2250">
            <v>1.3999999999999999E-2</v>
          </cell>
          <cell r="X2250">
            <v>1.7000000000000001E-2</v>
          </cell>
          <cell r="Y2250">
            <v>1.9E-2</v>
          </cell>
          <cell r="Z2250">
            <v>1.9699999999999999E-2</v>
          </cell>
          <cell r="AA2250">
            <v>2.1499999999999998E-2</v>
          </cell>
          <cell r="AB2250">
            <v>2.2499999999999999E-2</v>
          </cell>
          <cell r="AC2250">
            <v>2.35E-2</v>
          </cell>
        </row>
        <row r="2251">
          <cell r="T2251">
            <v>37639</v>
          </cell>
          <cell r="U2251">
            <v>1.4273000000000001E-2</v>
          </cell>
          <cell r="V2251">
            <v>1.4624999999999999E-2</v>
          </cell>
          <cell r="W2251">
            <v>1.3999999999999999E-2</v>
          </cell>
          <cell r="X2251">
            <v>1.7000000000000001E-2</v>
          </cell>
          <cell r="Y2251">
            <v>1.9E-2</v>
          </cell>
          <cell r="Z2251">
            <v>1.9699999999999999E-2</v>
          </cell>
          <cell r="AA2251">
            <v>2.1499999999999998E-2</v>
          </cell>
          <cell r="AB2251">
            <v>2.2499999999999999E-2</v>
          </cell>
          <cell r="AC2251">
            <v>2.35E-2</v>
          </cell>
        </row>
        <row r="2252">
          <cell r="T2252">
            <v>37638</v>
          </cell>
          <cell r="U2252">
            <v>1.4273000000000001E-2</v>
          </cell>
          <cell r="V2252">
            <v>1.4624999999999999E-2</v>
          </cell>
          <cell r="W2252">
            <v>1.3999999999999999E-2</v>
          </cell>
          <cell r="X2252">
            <v>1.7000000000000001E-2</v>
          </cell>
          <cell r="Y2252">
            <v>1.9E-2</v>
          </cell>
          <cell r="Z2252">
            <v>1.9699999999999999E-2</v>
          </cell>
          <cell r="AA2252">
            <v>2.1499999999999998E-2</v>
          </cell>
          <cell r="AB2252">
            <v>2.2499999999999999E-2</v>
          </cell>
          <cell r="AC2252">
            <v>2.35E-2</v>
          </cell>
        </row>
        <row r="2253">
          <cell r="T2253">
            <v>37637</v>
          </cell>
          <cell r="U2253">
            <v>1.4312E-2</v>
          </cell>
          <cell r="V2253">
            <v>1.4612E-2</v>
          </cell>
          <cell r="W2253">
            <v>1.46E-2</v>
          </cell>
          <cell r="X2253">
            <v>1.6899999999999998E-2</v>
          </cell>
          <cell r="Y2253">
            <v>1.89E-2</v>
          </cell>
          <cell r="Z2253">
            <v>2.0049999999999998E-2</v>
          </cell>
          <cell r="AA2253">
            <v>2.0899999999999998E-2</v>
          </cell>
          <cell r="AB2253">
            <v>2.2350000000000002E-2</v>
          </cell>
          <cell r="AC2253">
            <v>2.4E-2</v>
          </cell>
        </row>
        <row r="2254">
          <cell r="T2254">
            <v>37636</v>
          </cell>
          <cell r="U2254">
            <v>1.4229E-2</v>
          </cell>
          <cell r="V2254">
            <v>1.4579999999999999E-2</v>
          </cell>
          <cell r="W2254">
            <v>1.4750000000000001E-2</v>
          </cell>
          <cell r="X2254">
            <v>1.7250000000000001E-2</v>
          </cell>
          <cell r="Y2254">
            <v>1.925E-2</v>
          </cell>
          <cell r="Z2254">
            <v>2.0549999999999999E-2</v>
          </cell>
          <cell r="AA2254">
            <v>2.1499999999999998E-2</v>
          </cell>
          <cell r="AB2254">
            <v>2.2850000000000002E-2</v>
          </cell>
          <cell r="AC2254">
            <v>2.4E-2</v>
          </cell>
        </row>
        <row r="2255">
          <cell r="T2255">
            <v>37635</v>
          </cell>
          <cell r="U2255">
            <v>1.4227E-2</v>
          </cell>
          <cell r="V2255">
            <v>1.4612E-2</v>
          </cell>
          <cell r="W2255">
            <v>1.4950000000000001E-2</v>
          </cell>
          <cell r="X2255">
            <v>1.7250000000000001E-2</v>
          </cell>
          <cell r="Y2255">
            <v>1.9099999999999999E-2</v>
          </cell>
          <cell r="Z2255">
            <v>2.0199999999999999E-2</v>
          </cell>
          <cell r="AA2255">
            <v>2.1150000000000002E-2</v>
          </cell>
          <cell r="AB2255">
            <v>2.35E-2</v>
          </cell>
          <cell r="AC2255">
            <v>2.4E-2</v>
          </cell>
        </row>
        <row r="2256">
          <cell r="T2256">
            <v>37634</v>
          </cell>
          <cell r="U2256">
            <v>1.4525E-2</v>
          </cell>
          <cell r="V2256">
            <v>1.4825E-2</v>
          </cell>
          <cell r="W2256">
            <v>1.47E-2</v>
          </cell>
          <cell r="X2256">
            <v>1.695E-2</v>
          </cell>
          <cell r="Y2256">
            <v>1.89E-2</v>
          </cell>
          <cell r="Z2256">
            <v>2.0099999999999996E-2</v>
          </cell>
          <cell r="AA2256">
            <v>2.1049999999999999E-2</v>
          </cell>
          <cell r="AB2256">
            <v>2.2249999999999995E-2</v>
          </cell>
          <cell r="AC2256">
            <v>2.35E-2</v>
          </cell>
        </row>
        <row r="2257">
          <cell r="T2257">
            <v>37633</v>
          </cell>
          <cell r="U2257">
            <v>1.4875000000000001E-2</v>
          </cell>
          <cell r="V2257">
            <v>1.55E-2</v>
          </cell>
          <cell r="W2257">
            <v>1.4849999999999999E-2</v>
          </cell>
          <cell r="X2257">
            <v>1.7000000000000001E-2</v>
          </cell>
          <cell r="Y2257">
            <v>1.8950000000000002E-2</v>
          </cell>
          <cell r="Z2257">
            <v>2.0049999999999998E-2</v>
          </cell>
          <cell r="AA2257">
            <v>2.1049999999999999E-2</v>
          </cell>
          <cell r="AB2257">
            <v>2.2750000000000003E-2</v>
          </cell>
          <cell r="AC2257">
            <v>2.4E-2</v>
          </cell>
        </row>
        <row r="2258">
          <cell r="T2258">
            <v>37632</v>
          </cell>
          <cell r="U2258">
            <v>1.4875000000000001E-2</v>
          </cell>
          <cell r="V2258">
            <v>1.55E-2</v>
          </cell>
          <cell r="W2258">
            <v>1.4849999999999999E-2</v>
          </cell>
          <cell r="X2258">
            <v>1.7000000000000001E-2</v>
          </cell>
          <cell r="Y2258">
            <v>1.8950000000000002E-2</v>
          </cell>
          <cell r="Z2258">
            <v>2.0049999999999998E-2</v>
          </cell>
          <cell r="AA2258">
            <v>2.1049999999999999E-2</v>
          </cell>
          <cell r="AB2258">
            <v>2.2750000000000003E-2</v>
          </cell>
          <cell r="AC2258">
            <v>2.4E-2</v>
          </cell>
        </row>
        <row r="2259">
          <cell r="T2259">
            <v>37631</v>
          </cell>
          <cell r="U2259">
            <v>1.4875000000000001E-2</v>
          </cell>
          <cell r="V2259">
            <v>1.55E-2</v>
          </cell>
          <cell r="W2259">
            <v>1.4849999999999999E-2</v>
          </cell>
          <cell r="X2259">
            <v>1.7000000000000001E-2</v>
          </cell>
          <cell r="Y2259">
            <v>1.8950000000000002E-2</v>
          </cell>
          <cell r="Z2259">
            <v>2.0049999999999998E-2</v>
          </cell>
          <cell r="AA2259">
            <v>2.1049999999999999E-2</v>
          </cell>
          <cell r="AB2259">
            <v>2.2750000000000003E-2</v>
          </cell>
          <cell r="AC2259">
            <v>2.4E-2</v>
          </cell>
        </row>
        <row r="2260">
          <cell r="T2260">
            <v>37630</v>
          </cell>
          <cell r="U2260">
            <v>1.455E-2</v>
          </cell>
          <cell r="V2260">
            <v>1.5375000000000002E-2</v>
          </cell>
          <cell r="W2260">
            <v>1.4849999999999999E-2</v>
          </cell>
          <cell r="X2260">
            <v>1.685E-2</v>
          </cell>
          <cell r="Y2260">
            <v>1.8500000000000003E-2</v>
          </cell>
          <cell r="Z2260">
            <v>1.9900000000000001E-2</v>
          </cell>
          <cell r="AA2260">
            <v>2.0799999999999999E-2</v>
          </cell>
          <cell r="AB2260">
            <v>2.3E-2</v>
          </cell>
          <cell r="AC2260">
            <v>2.4E-2</v>
          </cell>
        </row>
        <row r="2261">
          <cell r="T2261">
            <v>37629</v>
          </cell>
          <cell r="U2261">
            <v>1.4893E-2</v>
          </cell>
          <cell r="V2261">
            <v>1.5713999999999999E-2</v>
          </cell>
          <cell r="W2261">
            <v>1.4500000000000002E-2</v>
          </cell>
          <cell r="X2261">
            <v>1.7500000000000002E-2</v>
          </cell>
          <cell r="Y2261">
            <v>1.95E-2</v>
          </cell>
          <cell r="Z2261">
            <v>2.0499999999999997E-2</v>
          </cell>
          <cell r="AA2261">
            <v>2.1150000000000002E-2</v>
          </cell>
          <cell r="AB2261">
            <v>2.3250000000000003E-2</v>
          </cell>
          <cell r="AC2261">
            <v>2.4E-2</v>
          </cell>
        </row>
        <row r="2262">
          <cell r="T2262">
            <v>37628</v>
          </cell>
          <cell r="U2262">
            <v>1.5139E-2</v>
          </cell>
          <cell r="V2262">
            <v>1.6E-2</v>
          </cell>
          <cell r="W2262">
            <v>1.5150000000000002E-2</v>
          </cell>
          <cell r="X2262">
            <v>1.7749999999999998E-2</v>
          </cell>
          <cell r="Y2262">
            <v>1.9899999999999998E-2</v>
          </cell>
          <cell r="Z2262">
            <v>2.1099999999999997E-2</v>
          </cell>
          <cell r="AA2262">
            <v>2.2099999999999998E-2</v>
          </cell>
          <cell r="AB2262">
            <v>2.3250000000000003E-2</v>
          </cell>
          <cell r="AC2262">
            <v>2.4500000000000001E-2</v>
          </cell>
        </row>
        <row r="2263">
          <cell r="T2263">
            <v>37627</v>
          </cell>
          <cell r="U2263">
            <v>1.5438E-2</v>
          </cell>
          <cell r="V2263">
            <v>1.6181000000000001E-2</v>
          </cell>
          <cell r="W2263">
            <v>1.4500000000000002E-2</v>
          </cell>
          <cell r="X2263">
            <v>1.6500000000000001E-2</v>
          </cell>
          <cell r="Y2263">
            <v>1.9E-2</v>
          </cell>
          <cell r="Z2263">
            <v>2.0499999999999997E-2</v>
          </cell>
          <cell r="AA2263">
            <v>2.1499999999999998E-2</v>
          </cell>
          <cell r="AB2263">
            <v>2.35E-2</v>
          </cell>
          <cell r="AC2263">
            <v>2.4500000000000001E-2</v>
          </cell>
        </row>
        <row r="2264">
          <cell r="T2264">
            <v>37626</v>
          </cell>
          <cell r="U2264">
            <v>1.5333000000000001E-2</v>
          </cell>
          <cell r="V2264">
            <v>1.6296999999999999E-2</v>
          </cell>
          <cell r="W2264">
            <v>1.4500000000000002E-2</v>
          </cell>
          <cell r="X2264">
            <v>1.7899999999999999E-2</v>
          </cell>
          <cell r="Y2264">
            <v>1.9E-2</v>
          </cell>
          <cell r="Z2264">
            <v>2.0799999999999999E-2</v>
          </cell>
          <cell r="AA2264">
            <v>2.1499999999999998E-2</v>
          </cell>
          <cell r="AB2264">
            <v>2.35E-2</v>
          </cell>
          <cell r="AC2264">
            <v>2.4500000000000001E-2</v>
          </cell>
        </row>
        <row r="2265">
          <cell r="T2265">
            <v>37625</v>
          </cell>
          <cell r="U2265">
            <v>1.5333000000000001E-2</v>
          </cell>
          <cell r="V2265">
            <v>1.6296999999999999E-2</v>
          </cell>
          <cell r="W2265">
            <v>1.4500000000000002E-2</v>
          </cell>
          <cell r="X2265">
            <v>1.7899999999999999E-2</v>
          </cell>
          <cell r="Y2265">
            <v>1.9E-2</v>
          </cell>
          <cell r="Z2265">
            <v>2.0799999999999999E-2</v>
          </cell>
          <cell r="AA2265">
            <v>2.1499999999999998E-2</v>
          </cell>
          <cell r="AB2265">
            <v>2.35E-2</v>
          </cell>
          <cell r="AC2265">
            <v>2.4500000000000001E-2</v>
          </cell>
        </row>
        <row r="2266">
          <cell r="T2266">
            <v>37624</v>
          </cell>
          <cell r="U2266">
            <v>1.5333000000000001E-2</v>
          </cell>
          <cell r="V2266">
            <v>1.6296999999999999E-2</v>
          </cell>
          <cell r="W2266">
            <v>1.4500000000000002E-2</v>
          </cell>
          <cell r="X2266">
            <v>1.7899999999999999E-2</v>
          </cell>
          <cell r="Y2266">
            <v>1.9E-2</v>
          </cell>
          <cell r="Z2266">
            <v>2.0799999999999999E-2</v>
          </cell>
          <cell r="AA2266">
            <v>2.1499999999999998E-2</v>
          </cell>
          <cell r="AB2266">
            <v>2.35E-2</v>
          </cell>
          <cell r="AC2266">
            <v>2.4500000000000001E-2</v>
          </cell>
        </row>
        <row r="2267">
          <cell r="T2267">
            <v>37623</v>
          </cell>
          <cell r="U2267">
            <v>1.5727999999999999E-2</v>
          </cell>
          <cell r="V2267">
            <v>1.6434000000000001E-2</v>
          </cell>
          <cell r="W2267">
            <v>1.4999999999999999E-2</v>
          </cell>
          <cell r="X2267">
            <v>1.6899999999999998E-2</v>
          </cell>
          <cell r="Y2267">
            <v>1.8950000000000002E-2</v>
          </cell>
          <cell r="Z2267">
            <v>2.0099999999999996E-2</v>
          </cell>
          <cell r="AA2267">
            <v>2.1049999999999999E-2</v>
          </cell>
          <cell r="AB2267">
            <v>2.3250000000000003E-2</v>
          </cell>
          <cell r="AC2267">
            <v>2.6249999999999999E-2</v>
          </cell>
        </row>
        <row r="2268">
          <cell r="T2268">
            <v>37622</v>
          </cell>
          <cell r="U2268">
            <v>1.5911999999999999E-2</v>
          </cell>
          <cell r="V2268">
            <v>1.6469000000000001E-2</v>
          </cell>
          <cell r="W2268">
            <v>1.5100000000000001E-2</v>
          </cell>
          <cell r="X2268">
            <v>1.6899999999999998E-2</v>
          </cell>
          <cell r="Y2268">
            <v>1.915E-2</v>
          </cell>
          <cell r="Z2268">
            <v>0.02</v>
          </cell>
          <cell r="AA2268">
            <v>2.0750000000000001E-2</v>
          </cell>
          <cell r="AB2268">
            <v>2.35E-2</v>
          </cell>
          <cell r="AC2268">
            <v>2.6499999999999999E-2</v>
          </cell>
        </row>
        <row r="2269">
          <cell r="T2269">
            <v>37621</v>
          </cell>
          <cell r="U2269">
            <v>1.5911999999999999E-2</v>
          </cell>
          <cell r="V2269">
            <v>1.6469000000000001E-2</v>
          </cell>
          <cell r="W2269">
            <v>1.5100000000000001E-2</v>
          </cell>
          <cell r="X2269">
            <v>1.6899999999999998E-2</v>
          </cell>
          <cell r="Y2269">
            <v>1.915E-2</v>
          </cell>
          <cell r="Z2269">
            <v>0.02</v>
          </cell>
          <cell r="AA2269">
            <v>2.0750000000000001E-2</v>
          </cell>
          <cell r="AB2269">
            <v>2.35E-2</v>
          </cell>
          <cell r="AC2269">
            <v>2.6499999999999999E-2</v>
          </cell>
        </row>
        <row r="2270">
          <cell r="T2270">
            <v>37620</v>
          </cell>
          <cell r="U2270">
            <v>1.5896999999999998E-2</v>
          </cell>
          <cell r="V2270">
            <v>1.6621999999999998E-2</v>
          </cell>
          <cell r="W2270">
            <v>1.5100000000000001E-2</v>
          </cell>
          <cell r="X2270">
            <v>1.7000000000000001E-2</v>
          </cell>
          <cell r="Y2270">
            <v>1.9E-2</v>
          </cell>
          <cell r="Z2270">
            <v>2.0300000000000002E-2</v>
          </cell>
          <cell r="AA2270">
            <v>2.0999999999999998E-2</v>
          </cell>
          <cell r="AB2270">
            <v>2.4E-2</v>
          </cell>
          <cell r="AC2270">
            <v>2.7000000000000003E-2</v>
          </cell>
        </row>
        <row r="2271">
          <cell r="T2271">
            <v>37619</v>
          </cell>
          <cell r="U2271">
            <v>1.5949999999999999E-2</v>
          </cell>
          <cell r="V2271">
            <v>1.6621999999999998E-2</v>
          </cell>
          <cell r="W2271">
            <v>1.4999999999999999E-2</v>
          </cell>
          <cell r="X2271">
            <v>1.7000000000000001E-2</v>
          </cell>
          <cell r="Y2271">
            <v>0.02</v>
          </cell>
          <cell r="Z2271">
            <v>2.12E-2</v>
          </cell>
          <cell r="AA2271">
            <v>2.2000000000000002E-2</v>
          </cell>
          <cell r="AB2271">
            <v>2.4E-2</v>
          </cell>
          <cell r="AC2271">
            <v>2.7000000000000003E-2</v>
          </cell>
        </row>
        <row r="2272">
          <cell r="T2272">
            <v>37618</v>
          </cell>
          <cell r="U2272">
            <v>1.5949999999999999E-2</v>
          </cell>
          <cell r="V2272">
            <v>1.6621999999999998E-2</v>
          </cell>
          <cell r="W2272">
            <v>1.4999999999999999E-2</v>
          </cell>
          <cell r="X2272">
            <v>1.7000000000000001E-2</v>
          </cell>
          <cell r="Y2272">
            <v>0.02</v>
          </cell>
          <cell r="Z2272">
            <v>2.12E-2</v>
          </cell>
          <cell r="AA2272">
            <v>2.2000000000000002E-2</v>
          </cell>
          <cell r="AB2272">
            <v>2.4E-2</v>
          </cell>
          <cell r="AC2272">
            <v>2.7000000000000003E-2</v>
          </cell>
        </row>
        <row r="2273">
          <cell r="T2273">
            <v>37617</v>
          </cell>
          <cell r="U2273">
            <v>1.5949999999999999E-2</v>
          </cell>
          <cell r="V2273">
            <v>1.6621999999999998E-2</v>
          </cell>
          <cell r="W2273">
            <v>1.4999999999999999E-2</v>
          </cell>
          <cell r="X2273">
            <v>1.7000000000000001E-2</v>
          </cell>
          <cell r="Y2273">
            <v>0.02</v>
          </cell>
          <cell r="Z2273">
            <v>2.12E-2</v>
          </cell>
          <cell r="AA2273">
            <v>2.2000000000000002E-2</v>
          </cell>
          <cell r="AB2273">
            <v>2.4E-2</v>
          </cell>
          <cell r="AC2273">
            <v>2.7000000000000003E-2</v>
          </cell>
        </row>
        <row r="2274">
          <cell r="T2274">
            <v>37616</v>
          </cell>
          <cell r="U2274">
            <v>1.5779000000000001E-2</v>
          </cell>
          <cell r="V2274">
            <v>1.6579E-2</v>
          </cell>
          <cell r="W2274">
            <v>1.55E-2</v>
          </cell>
          <cell r="X2274">
            <v>1.7500000000000002E-2</v>
          </cell>
          <cell r="Y2274">
            <v>1.9699999999999999E-2</v>
          </cell>
          <cell r="Z2274">
            <v>2.1500000000000005E-2</v>
          </cell>
          <cell r="AA2274">
            <v>2.2199999999999998E-2</v>
          </cell>
          <cell r="AB2274">
            <v>2.4E-2</v>
          </cell>
          <cell r="AC2274">
            <v>2.7000000000000003E-2</v>
          </cell>
        </row>
        <row r="2275">
          <cell r="T2275">
            <v>37615</v>
          </cell>
          <cell r="U2275">
            <v>1.5944E-2</v>
          </cell>
          <cell r="V2275">
            <v>1.6552999999999998E-2</v>
          </cell>
          <cell r="W2275">
            <v>1.5600000000000001E-2</v>
          </cell>
          <cell r="X2275">
            <v>1.77E-2</v>
          </cell>
          <cell r="Y2275">
            <v>2.035E-2</v>
          </cell>
          <cell r="Z2275">
            <v>2.145E-2</v>
          </cell>
          <cell r="AA2275">
            <v>2.2249999999999995E-2</v>
          </cell>
          <cell r="AB2275">
            <v>2.5250000000000005E-2</v>
          </cell>
          <cell r="AC2275">
            <v>2.8200000000000003E-2</v>
          </cell>
        </row>
        <row r="2276">
          <cell r="T2276">
            <v>37614</v>
          </cell>
          <cell r="U2276">
            <v>1.6036999999999999E-2</v>
          </cell>
          <cell r="V2276">
            <v>1.6552999999999998E-2</v>
          </cell>
          <cell r="W2276">
            <v>1.5650000000000001E-2</v>
          </cell>
          <cell r="X2276">
            <v>1.8100000000000002E-2</v>
          </cell>
          <cell r="Y2276">
            <v>2.035E-2</v>
          </cell>
          <cell r="Z2276">
            <v>2.1700000000000001E-2</v>
          </cell>
          <cell r="AA2276">
            <v>2.3E-2</v>
          </cell>
          <cell r="AB2276">
            <v>2.5250000000000005E-2</v>
          </cell>
          <cell r="AC2276">
            <v>2.8200000000000003E-2</v>
          </cell>
        </row>
        <row r="2277">
          <cell r="T2277">
            <v>37613</v>
          </cell>
          <cell r="U2277">
            <v>1.5783000000000002E-2</v>
          </cell>
          <cell r="V2277">
            <v>1.6289000000000001E-2</v>
          </cell>
          <cell r="W2277">
            <v>1.55E-2</v>
          </cell>
          <cell r="X2277">
            <v>1.8500000000000003E-2</v>
          </cell>
          <cell r="Y2277">
            <v>2.0499999999999997E-2</v>
          </cell>
          <cell r="Z2277">
            <v>2.2400000000000003E-2</v>
          </cell>
          <cell r="AA2277">
            <v>2.3399999999999997E-2</v>
          </cell>
          <cell r="AB2277">
            <v>2.5250000000000005E-2</v>
          </cell>
          <cell r="AC2277">
            <v>2.8200000000000003E-2</v>
          </cell>
        </row>
        <row r="2278">
          <cell r="T2278">
            <v>37612</v>
          </cell>
          <cell r="U2278">
            <v>1.5839000000000002E-2</v>
          </cell>
          <cell r="V2278">
            <v>1.6309000000000001E-2</v>
          </cell>
          <cell r="W2278">
            <v>1.5650000000000001E-2</v>
          </cell>
          <cell r="X2278">
            <v>1.8450000000000001E-2</v>
          </cell>
          <cell r="Y2278">
            <v>2.0649999999999998E-2</v>
          </cell>
          <cell r="Z2278">
            <v>2.2400000000000003E-2</v>
          </cell>
          <cell r="AA2278">
            <v>2.3399999999999997E-2</v>
          </cell>
          <cell r="AB2278">
            <v>2.5250000000000005E-2</v>
          </cell>
          <cell r="AC2278">
            <v>2.8200000000000003E-2</v>
          </cell>
        </row>
        <row r="2279">
          <cell r="T2279">
            <v>37611</v>
          </cell>
          <cell r="U2279">
            <v>1.5839000000000002E-2</v>
          </cell>
          <cell r="V2279">
            <v>1.6309000000000001E-2</v>
          </cell>
          <cell r="W2279">
            <v>1.5650000000000001E-2</v>
          </cell>
          <cell r="X2279">
            <v>1.8450000000000001E-2</v>
          </cell>
          <cell r="Y2279">
            <v>2.0649999999999998E-2</v>
          </cell>
          <cell r="Z2279">
            <v>2.2400000000000003E-2</v>
          </cell>
          <cell r="AA2279">
            <v>2.3399999999999997E-2</v>
          </cell>
          <cell r="AB2279">
            <v>2.5250000000000005E-2</v>
          </cell>
          <cell r="AC2279">
            <v>2.8200000000000003E-2</v>
          </cell>
        </row>
        <row r="2280">
          <cell r="T2280">
            <v>37610</v>
          </cell>
          <cell r="U2280">
            <v>1.5839000000000002E-2</v>
          </cell>
          <cell r="V2280">
            <v>1.6309000000000001E-2</v>
          </cell>
          <cell r="W2280">
            <v>1.5650000000000001E-2</v>
          </cell>
          <cell r="X2280">
            <v>1.8450000000000001E-2</v>
          </cell>
          <cell r="Y2280">
            <v>2.0649999999999998E-2</v>
          </cell>
          <cell r="Z2280">
            <v>2.2400000000000003E-2</v>
          </cell>
          <cell r="AA2280">
            <v>2.3399999999999997E-2</v>
          </cell>
          <cell r="AB2280">
            <v>2.5250000000000005E-2</v>
          </cell>
          <cell r="AC2280">
            <v>2.8200000000000003E-2</v>
          </cell>
        </row>
        <row r="2281">
          <cell r="T2281">
            <v>37609</v>
          </cell>
          <cell r="U2281">
            <v>1.5880999999999999E-2</v>
          </cell>
          <cell r="V2281">
            <v>1.6428000000000002E-2</v>
          </cell>
          <cell r="W2281">
            <v>1.6E-2</v>
          </cell>
          <cell r="X2281">
            <v>1.7500000000000002E-2</v>
          </cell>
          <cell r="Y2281">
            <v>2.0999999999999998E-2</v>
          </cell>
          <cell r="Z2281">
            <v>2.2599999999999999E-2</v>
          </cell>
          <cell r="AA2281">
            <v>2.3599999999999999E-2</v>
          </cell>
          <cell r="AB2281">
            <v>2.5999999999999995E-2</v>
          </cell>
          <cell r="AC2281">
            <v>2.8500000000000001E-2</v>
          </cell>
        </row>
        <row r="2282">
          <cell r="T2282">
            <v>37608</v>
          </cell>
          <cell r="U2282">
            <v>1.5839000000000002E-2</v>
          </cell>
          <cell r="V2282">
            <v>1.6428000000000002E-2</v>
          </cell>
          <cell r="W2282">
            <v>1.5899999999999997E-2</v>
          </cell>
          <cell r="X2282">
            <v>1.8500000000000003E-2</v>
          </cell>
          <cell r="Y2282">
            <v>2.0999999999999998E-2</v>
          </cell>
          <cell r="Z2282">
            <v>2.3E-2</v>
          </cell>
          <cell r="AA2282">
            <v>2.4000000000000004E-2</v>
          </cell>
          <cell r="AB2282">
            <v>2.5999999999999995E-2</v>
          </cell>
          <cell r="AC2282">
            <v>2.8500000000000001E-2</v>
          </cell>
        </row>
        <row r="2283">
          <cell r="T2283">
            <v>37607</v>
          </cell>
          <cell r="U2283">
            <v>1.5803000000000001E-2</v>
          </cell>
          <cell r="V2283">
            <v>1.6455999999999998E-2</v>
          </cell>
          <cell r="W2283">
            <v>1.6049999999999998E-2</v>
          </cell>
          <cell r="X2283">
            <v>1.8749999999999999E-2</v>
          </cell>
          <cell r="Y2283">
            <v>2.1349999999999997E-2</v>
          </cell>
          <cell r="Z2283">
            <v>2.29E-2</v>
          </cell>
          <cell r="AA2283">
            <v>2.3900000000000001E-2</v>
          </cell>
          <cell r="AB2283">
            <v>2.63E-2</v>
          </cell>
          <cell r="AC2283">
            <v>2.8999999999999998E-2</v>
          </cell>
        </row>
        <row r="2284">
          <cell r="T2284">
            <v>37606</v>
          </cell>
          <cell r="U2284">
            <v>1.5875E-2</v>
          </cell>
          <cell r="V2284">
            <v>1.6625000000000001E-2</v>
          </cell>
          <cell r="W2284">
            <v>1.6E-2</v>
          </cell>
          <cell r="X2284">
            <v>1.8700000000000001E-2</v>
          </cell>
          <cell r="Y2284">
            <v>2.1349999999999997E-2</v>
          </cell>
          <cell r="Z2284">
            <v>2.3E-2</v>
          </cell>
          <cell r="AA2284">
            <v>2.4E-2</v>
          </cell>
          <cell r="AB2284">
            <v>2.63E-2</v>
          </cell>
          <cell r="AC2284">
            <v>2.8999999999999998E-2</v>
          </cell>
        </row>
        <row r="2285">
          <cell r="T2285">
            <v>37605</v>
          </cell>
          <cell r="U2285">
            <v>1.6046999999999999E-2</v>
          </cell>
          <cell r="V2285">
            <v>1.6736000000000001E-2</v>
          </cell>
          <cell r="W2285">
            <v>1.6049999999999998E-2</v>
          </cell>
          <cell r="X2285">
            <v>1.8749999999999999E-2</v>
          </cell>
          <cell r="Y2285">
            <v>2.1250000000000002E-2</v>
          </cell>
          <cell r="Z2285">
            <v>2.3099999999999999E-2</v>
          </cell>
          <cell r="AA2285">
            <v>2.4199999999999999E-2</v>
          </cell>
          <cell r="AB2285">
            <v>2.6699999999999998E-2</v>
          </cell>
          <cell r="AC2285">
            <v>2.9500000000000002E-2</v>
          </cell>
        </row>
        <row r="2286">
          <cell r="T2286">
            <v>37604</v>
          </cell>
          <cell r="U2286">
            <v>1.6046999999999999E-2</v>
          </cell>
          <cell r="V2286">
            <v>1.6736000000000001E-2</v>
          </cell>
          <cell r="W2286">
            <v>1.6049999999999998E-2</v>
          </cell>
          <cell r="X2286">
            <v>1.8749999999999999E-2</v>
          </cell>
          <cell r="Y2286">
            <v>2.1250000000000002E-2</v>
          </cell>
          <cell r="Z2286">
            <v>2.3099999999999999E-2</v>
          </cell>
          <cell r="AA2286">
            <v>2.4199999999999999E-2</v>
          </cell>
          <cell r="AB2286">
            <v>2.6699999999999998E-2</v>
          </cell>
          <cell r="AC2286">
            <v>2.9500000000000002E-2</v>
          </cell>
        </row>
        <row r="2287">
          <cell r="T2287">
            <v>37603</v>
          </cell>
          <cell r="U2287">
            <v>1.6046999999999999E-2</v>
          </cell>
          <cell r="V2287">
            <v>1.6736000000000001E-2</v>
          </cell>
          <cell r="W2287">
            <v>1.6049999999999998E-2</v>
          </cell>
          <cell r="X2287">
            <v>1.8749999999999999E-2</v>
          </cell>
          <cell r="Y2287">
            <v>2.1250000000000002E-2</v>
          </cell>
          <cell r="Z2287">
            <v>2.3099999999999999E-2</v>
          </cell>
          <cell r="AA2287">
            <v>2.4199999999999999E-2</v>
          </cell>
          <cell r="AB2287">
            <v>2.6699999999999998E-2</v>
          </cell>
          <cell r="AC2287">
            <v>2.9500000000000002E-2</v>
          </cell>
        </row>
        <row r="2288">
          <cell r="T2288">
            <v>37602</v>
          </cell>
          <cell r="U2288">
            <v>1.6046999999999999E-2</v>
          </cell>
          <cell r="V2288">
            <v>1.6736000000000001E-2</v>
          </cell>
          <cell r="W2288">
            <v>1.61E-2</v>
          </cell>
          <cell r="X2288">
            <v>1.9E-2</v>
          </cell>
          <cell r="Y2288">
            <v>2.1500000000000005E-2</v>
          </cell>
          <cell r="Z2288">
            <v>2.3E-2</v>
          </cell>
          <cell r="AA2288">
            <v>2.4299999999999999E-2</v>
          </cell>
          <cell r="AB2288">
            <v>2.6000000000000002E-2</v>
          </cell>
          <cell r="AC2288">
            <v>2.8750000000000001E-2</v>
          </cell>
        </row>
        <row r="2289">
          <cell r="T2289">
            <v>37601</v>
          </cell>
          <cell r="U2289">
            <v>1.5893000000000001E-2</v>
          </cell>
          <cell r="V2289">
            <v>1.6393000000000001E-2</v>
          </cell>
          <cell r="W2289">
            <v>1.61E-2</v>
          </cell>
          <cell r="X2289">
            <v>1.9099999999999999E-2</v>
          </cell>
          <cell r="Y2289">
            <v>2.1499999999999998E-2</v>
          </cell>
          <cell r="Z2289">
            <v>2.3099999999999999E-2</v>
          </cell>
          <cell r="AA2289">
            <v>2.4500000000000001E-2</v>
          </cell>
          <cell r="AB2289">
            <v>2.6699999999999998E-2</v>
          </cell>
          <cell r="AC2289">
            <v>2.9500000000000002E-2</v>
          </cell>
        </row>
        <row r="2290">
          <cell r="T2290">
            <v>37600</v>
          </cell>
          <cell r="U2290">
            <v>1.6203000000000002E-2</v>
          </cell>
          <cell r="V2290">
            <v>1.6875000000000001E-2</v>
          </cell>
          <cell r="W2290">
            <v>1.6500000000000001E-2</v>
          </cell>
          <cell r="X2290">
            <v>1.95E-2</v>
          </cell>
          <cell r="Y2290">
            <v>2.1749999999999999E-2</v>
          </cell>
          <cell r="Z2290">
            <v>2.3099999999999999E-2</v>
          </cell>
          <cell r="AA2290">
            <v>2.4500000000000001E-2</v>
          </cell>
          <cell r="AB2290">
            <v>2.7000000000000003E-2</v>
          </cell>
          <cell r="AC2290">
            <v>0.03</v>
          </cell>
        </row>
        <row r="2291">
          <cell r="T2291">
            <v>37599</v>
          </cell>
          <cell r="U2291">
            <v>1.6042000000000001E-2</v>
          </cell>
          <cell r="V2291">
            <v>1.6958000000000001E-2</v>
          </cell>
          <cell r="W2291">
            <v>1.6250000000000001E-2</v>
          </cell>
          <cell r="X2291">
            <v>1.9E-2</v>
          </cell>
          <cell r="Y2291">
            <v>2.215E-2</v>
          </cell>
          <cell r="Z2291">
            <v>2.3300000000000001E-2</v>
          </cell>
          <cell r="AA2291">
            <v>2.5150000000000002E-2</v>
          </cell>
          <cell r="AB2291">
            <v>2.7000000000000003E-2</v>
          </cell>
          <cell r="AC2291">
            <v>0.03</v>
          </cell>
        </row>
        <row r="2292">
          <cell r="T2292">
            <v>37598</v>
          </cell>
          <cell r="U2292">
            <v>1.6236E-2</v>
          </cell>
          <cell r="V2292">
            <v>1.7172E-2</v>
          </cell>
          <cell r="W2292">
            <v>1.6500000000000001E-2</v>
          </cell>
          <cell r="X2292">
            <v>1.95E-2</v>
          </cell>
          <cell r="Y2292">
            <v>2.2000000000000002E-2</v>
          </cell>
          <cell r="Z2292">
            <v>2.3700000000000002E-2</v>
          </cell>
          <cell r="AA2292">
            <v>2.5099999999999997E-2</v>
          </cell>
          <cell r="AB2292">
            <v>2.7000000000000003E-2</v>
          </cell>
          <cell r="AC2292">
            <v>0.03</v>
          </cell>
        </row>
        <row r="2293">
          <cell r="T2293">
            <v>37597</v>
          </cell>
          <cell r="U2293">
            <v>1.6236E-2</v>
          </cell>
          <cell r="V2293">
            <v>1.7172E-2</v>
          </cell>
          <cell r="W2293">
            <v>1.6500000000000001E-2</v>
          </cell>
          <cell r="X2293">
            <v>1.95E-2</v>
          </cell>
          <cell r="Y2293">
            <v>2.2000000000000002E-2</v>
          </cell>
          <cell r="Z2293">
            <v>2.3700000000000002E-2</v>
          </cell>
          <cell r="AA2293">
            <v>2.5099999999999997E-2</v>
          </cell>
          <cell r="AB2293">
            <v>2.7000000000000003E-2</v>
          </cell>
          <cell r="AC2293">
            <v>0.03</v>
          </cell>
        </row>
        <row r="2294">
          <cell r="T2294">
            <v>37596</v>
          </cell>
          <cell r="U2294">
            <v>1.6236E-2</v>
          </cell>
          <cell r="V2294">
            <v>1.7172E-2</v>
          </cell>
          <cell r="W2294">
            <v>1.6500000000000001E-2</v>
          </cell>
          <cell r="X2294">
            <v>1.95E-2</v>
          </cell>
          <cell r="Y2294">
            <v>2.2000000000000002E-2</v>
          </cell>
          <cell r="Z2294">
            <v>2.3700000000000002E-2</v>
          </cell>
          <cell r="AA2294">
            <v>2.5099999999999997E-2</v>
          </cell>
          <cell r="AB2294">
            <v>2.7000000000000003E-2</v>
          </cell>
          <cell r="AC2294">
            <v>0.03</v>
          </cell>
        </row>
        <row r="2295">
          <cell r="T2295">
            <v>37595</v>
          </cell>
          <cell r="U2295">
            <v>1.6344000000000001E-2</v>
          </cell>
          <cell r="V2295">
            <v>1.7278000000000002E-2</v>
          </cell>
          <cell r="W2295">
            <v>1.6749999999999998E-2</v>
          </cell>
          <cell r="X2295">
            <v>1.9699999999999999E-2</v>
          </cell>
          <cell r="Y2295">
            <v>2.1950000000000004E-2</v>
          </cell>
          <cell r="Z2295">
            <v>2.3849999999999996E-2</v>
          </cell>
          <cell r="AA2295">
            <v>2.5099999999999997E-2</v>
          </cell>
          <cell r="AB2295">
            <v>2.7000000000000003E-2</v>
          </cell>
          <cell r="AC2295">
            <v>0.03</v>
          </cell>
        </row>
        <row r="2296">
          <cell r="T2296">
            <v>37594</v>
          </cell>
          <cell r="U2296">
            <v>1.6250000000000001E-2</v>
          </cell>
          <cell r="V2296">
            <v>1.7166999999999998E-2</v>
          </cell>
          <cell r="W2296">
            <v>1.72E-2</v>
          </cell>
          <cell r="X2296">
            <v>2.0049999999999998E-2</v>
          </cell>
          <cell r="Y2296">
            <v>2.265E-2</v>
          </cell>
          <cell r="Z2296">
            <v>2.4450000000000003E-2</v>
          </cell>
          <cell r="AA2296">
            <v>2.5649999999999999E-2</v>
          </cell>
          <cell r="AB2296">
            <v>2.7400000000000001E-2</v>
          </cell>
          <cell r="AC2296">
            <v>0.03</v>
          </cell>
        </row>
        <row r="2297">
          <cell r="T2297">
            <v>37593</v>
          </cell>
          <cell r="U2297">
            <v>1.6500000000000001E-2</v>
          </cell>
          <cell r="V2297">
            <v>1.7343999999999998E-2</v>
          </cell>
          <cell r="W2297">
            <v>1.7500000000000002E-2</v>
          </cell>
          <cell r="X2297">
            <v>2.0400000000000001E-2</v>
          </cell>
          <cell r="Y2297">
            <v>2.265E-2</v>
          </cell>
          <cell r="Z2297">
            <v>2.4450000000000003E-2</v>
          </cell>
          <cell r="AA2297">
            <v>2.5649999999999999E-2</v>
          </cell>
          <cell r="AB2297">
            <v>2.8500000000000001E-2</v>
          </cell>
          <cell r="AC2297">
            <v>0.03</v>
          </cell>
        </row>
        <row r="2298">
          <cell r="T2298">
            <v>37592</v>
          </cell>
          <cell r="U2298">
            <v>1.6667000000000001E-2</v>
          </cell>
          <cell r="V2298">
            <v>1.7218999999999998E-2</v>
          </cell>
          <cell r="W2298">
            <v>1.72E-2</v>
          </cell>
          <cell r="X2298">
            <v>1.975E-2</v>
          </cell>
          <cell r="Y2298">
            <v>2.215E-2</v>
          </cell>
          <cell r="Z2298">
            <v>2.3349999999999999E-2</v>
          </cell>
          <cell r="AA2298">
            <v>2.4900000000000002E-2</v>
          </cell>
          <cell r="AB2298">
            <v>2.6000000000000002E-2</v>
          </cell>
          <cell r="AC2298">
            <v>2.8750000000000001E-2</v>
          </cell>
        </row>
        <row r="2299">
          <cell r="T2299">
            <v>37591</v>
          </cell>
          <cell r="U2299">
            <v>1.6843999999999998E-2</v>
          </cell>
          <cell r="V2299">
            <v>1.7218999999999998E-2</v>
          </cell>
          <cell r="W2299">
            <v>1.7000000000000001E-2</v>
          </cell>
          <cell r="X2299">
            <v>1.9799999999999998E-2</v>
          </cell>
          <cell r="Y2299">
            <v>2.1950000000000004E-2</v>
          </cell>
          <cell r="Z2299">
            <v>2.3099999999999996E-2</v>
          </cell>
          <cell r="AA2299">
            <v>2.4900000000000002E-2</v>
          </cell>
          <cell r="AB2299">
            <v>2.7000000000000003E-2</v>
          </cell>
          <cell r="AC2299">
            <v>0.03</v>
          </cell>
        </row>
        <row r="2300">
          <cell r="T2300">
            <v>37590</v>
          </cell>
          <cell r="U2300">
            <v>1.6843999999999998E-2</v>
          </cell>
          <cell r="V2300">
            <v>1.7218999999999998E-2</v>
          </cell>
          <cell r="W2300">
            <v>1.7000000000000001E-2</v>
          </cell>
          <cell r="X2300">
            <v>1.9799999999999998E-2</v>
          </cell>
          <cell r="Y2300">
            <v>2.1950000000000004E-2</v>
          </cell>
          <cell r="Z2300">
            <v>2.3099999999999996E-2</v>
          </cell>
          <cell r="AA2300">
            <v>2.4900000000000002E-2</v>
          </cell>
          <cell r="AB2300">
            <v>2.7000000000000003E-2</v>
          </cell>
          <cell r="AC2300">
            <v>0.03</v>
          </cell>
        </row>
        <row r="2301">
          <cell r="T2301">
            <v>37589</v>
          </cell>
          <cell r="U2301">
            <v>1.6843999999999998E-2</v>
          </cell>
          <cell r="V2301">
            <v>1.7218999999999998E-2</v>
          </cell>
          <cell r="W2301">
            <v>1.7000000000000001E-2</v>
          </cell>
          <cell r="X2301">
            <v>1.9799999999999998E-2</v>
          </cell>
          <cell r="Y2301">
            <v>2.1950000000000004E-2</v>
          </cell>
          <cell r="Z2301">
            <v>2.3099999999999996E-2</v>
          </cell>
          <cell r="AA2301">
            <v>2.4900000000000002E-2</v>
          </cell>
          <cell r="AB2301">
            <v>2.7000000000000003E-2</v>
          </cell>
          <cell r="AC2301">
            <v>0.03</v>
          </cell>
        </row>
        <row r="2302">
          <cell r="T2302">
            <v>37588</v>
          </cell>
          <cell r="U2302">
            <v>1.7069000000000001E-2</v>
          </cell>
          <cell r="V2302">
            <v>1.7393000000000002E-2</v>
          </cell>
          <cell r="W2302">
            <v>1.7600000000000001E-2</v>
          </cell>
          <cell r="X2302">
            <v>2.0499999999999997E-2</v>
          </cell>
          <cell r="Y2302">
            <v>2.2400000000000003E-2</v>
          </cell>
          <cell r="Z2302">
            <v>2.3499999999999997E-2</v>
          </cell>
          <cell r="AA2302">
            <v>2.5499999999999998E-2</v>
          </cell>
          <cell r="AB2302">
            <v>2.76E-2</v>
          </cell>
          <cell r="AC2302">
            <v>0.03</v>
          </cell>
        </row>
        <row r="2303">
          <cell r="T2303">
            <v>37587</v>
          </cell>
          <cell r="U2303">
            <v>1.7313000000000002E-2</v>
          </cell>
          <cell r="V2303">
            <v>1.7707999999999998E-2</v>
          </cell>
          <cell r="W2303">
            <v>1.7250000000000001E-2</v>
          </cell>
          <cell r="X2303">
            <v>1.9699999999999999E-2</v>
          </cell>
          <cell r="Y2303">
            <v>2.1649999999999999E-2</v>
          </cell>
          <cell r="Z2303">
            <v>2.2949999999999998E-2</v>
          </cell>
          <cell r="AA2303">
            <v>2.4750000000000001E-2</v>
          </cell>
          <cell r="AB2303">
            <v>2.6500000000000003E-2</v>
          </cell>
          <cell r="AC2303">
            <v>2.8999999999999998E-2</v>
          </cell>
        </row>
        <row r="2304">
          <cell r="T2304">
            <v>37586</v>
          </cell>
          <cell r="U2304">
            <v>1.7516E-2</v>
          </cell>
          <cell r="V2304">
            <v>1.7736000000000002E-2</v>
          </cell>
          <cell r="W2304">
            <v>1.7749999999999998E-2</v>
          </cell>
          <cell r="X2304">
            <v>2.0549999999999999E-2</v>
          </cell>
          <cell r="Y2304">
            <v>2.2099999999999998E-2</v>
          </cell>
          <cell r="Z2304">
            <v>2.3550000000000001E-2</v>
          </cell>
          <cell r="AA2304">
            <v>2.5350000000000001E-2</v>
          </cell>
          <cell r="AB2304">
            <v>2.7000000000000003E-2</v>
          </cell>
          <cell r="AC2304">
            <v>2.8999999999999998E-2</v>
          </cell>
        </row>
        <row r="2305">
          <cell r="T2305">
            <v>37585</v>
          </cell>
          <cell r="U2305">
            <v>1.7583000000000001E-2</v>
          </cell>
          <cell r="V2305">
            <v>1.7749999999999998E-2</v>
          </cell>
          <cell r="W2305">
            <v>1.7500000000000002E-2</v>
          </cell>
          <cell r="X2305">
            <v>1.95E-2</v>
          </cell>
          <cell r="Y2305">
            <v>2.1749999999999999E-2</v>
          </cell>
          <cell r="Z2305">
            <v>2.3250000000000003E-2</v>
          </cell>
          <cell r="AA2305">
            <v>2.4649999999999998E-2</v>
          </cell>
          <cell r="AB2305">
            <v>2.6200000000000001E-2</v>
          </cell>
          <cell r="AC2305">
            <v>2.8999999999999998E-2</v>
          </cell>
        </row>
        <row r="2306">
          <cell r="T2306">
            <v>37584</v>
          </cell>
          <cell r="U2306">
            <v>1.7656000000000002E-2</v>
          </cell>
          <cell r="V2306">
            <v>1.7821E-2</v>
          </cell>
          <cell r="W2306">
            <v>1.7500000000000002E-2</v>
          </cell>
          <cell r="X2306">
            <v>1.975E-2</v>
          </cell>
          <cell r="Y2306">
            <v>2.1600000000000001E-2</v>
          </cell>
          <cell r="Z2306">
            <v>2.2850000000000002E-2</v>
          </cell>
          <cell r="AA2306">
            <v>2.4450000000000003E-2</v>
          </cell>
          <cell r="AB2306">
            <v>2.6200000000000001E-2</v>
          </cell>
          <cell r="AC2306">
            <v>2.8999999999999998E-2</v>
          </cell>
        </row>
        <row r="2307">
          <cell r="T2307">
            <v>37583</v>
          </cell>
          <cell r="U2307">
            <v>1.7656000000000002E-2</v>
          </cell>
          <cell r="V2307">
            <v>1.7821E-2</v>
          </cell>
          <cell r="W2307">
            <v>1.7500000000000002E-2</v>
          </cell>
          <cell r="X2307">
            <v>1.975E-2</v>
          </cell>
          <cell r="Y2307">
            <v>2.1600000000000001E-2</v>
          </cell>
          <cell r="Z2307">
            <v>2.2850000000000002E-2</v>
          </cell>
          <cell r="AA2307">
            <v>2.4450000000000003E-2</v>
          </cell>
          <cell r="AB2307">
            <v>2.6200000000000001E-2</v>
          </cell>
          <cell r="AC2307">
            <v>2.8999999999999998E-2</v>
          </cell>
        </row>
        <row r="2308">
          <cell r="T2308">
            <v>37582</v>
          </cell>
          <cell r="U2308">
            <v>1.7656000000000002E-2</v>
          </cell>
          <cell r="V2308">
            <v>1.7821E-2</v>
          </cell>
          <cell r="W2308">
            <v>1.7500000000000002E-2</v>
          </cell>
          <cell r="X2308">
            <v>1.975E-2</v>
          </cell>
          <cell r="Y2308">
            <v>2.1600000000000001E-2</v>
          </cell>
          <cell r="Z2308">
            <v>2.2850000000000002E-2</v>
          </cell>
          <cell r="AA2308">
            <v>2.4450000000000003E-2</v>
          </cell>
          <cell r="AB2308">
            <v>2.6200000000000001E-2</v>
          </cell>
          <cell r="AC2308">
            <v>2.8999999999999998E-2</v>
          </cell>
        </row>
        <row r="2309">
          <cell r="T2309">
            <v>37581</v>
          </cell>
          <cell r="U2309">
            <v>1.7500000000000002E-2</v>
          </cell>
          <cell r="V2309">
            <v>1.7666999999999999E-2</v>
          </cell>
          <cell r="W2309">
            <v>1.7500000000000002E-2</v>
          </cell>
          <cell r="X2309">
            <v>1.95E-2</v>
          </cell>
          <cell r="Y2309">
            <v>2.1500000000000005E-2</v>
          </cell>
          <cell r="Z2309">
            <v>2.3499999999999997E-2</v>
          </cell>
          <cell r="AA2309">
            <v>2.4749999999999998E-2</v>
          </cell>
          <cell r="AB2309">
            <v>2.6749999999999999E-2</v>
          </cell>
          <cell r="AC2309">
            <v>2.9249999999999998E-2</v>
          </cell>
        </row>
        <row r="2310">
          <cell r="T2310">
            <v>37580</v>
          </cell>
          <cell r="U2310">
            <v>1.7479000000000001E-2</v>
          </cell>
          <cell r="V2310">
            <v>1.7624999999999998E-2</v>
          </cell>
          <cell r="W2310">
            <v>1.7500000000000002E-2</v>
          </cell>
          <cell r="X2310">
            <v>1.9449999999999999E-2</v>
          </cell>
          <cell r="Y2310">
            <v>2.1250000000000002E-2</v>
          </cell>
          <cell r="Z2310">
            <v>2.3499999999999997E-2</v>
          </cell>
          <cell r="AA2310">
            <v>2.4749999999999998E-2</v>
          </cell>
          <cell r="AB2310">
            <v>2.6749999999999999E-2</v>
          </cell>
          <cell r="AC2310">
            <v>2.8750000000000001E-2</v>
          </cell>
        </row>
        <row r="2311">
          <cell r="T2311">
            <v>37579</v>
          </cell>
          <cell r="U2311">
            <v>1.7536E-2</v>
          </cell>
          <cell r="V2311">
            <v>1.7642999999999999E-2</v>
          </cell>
          <cell r="W2311">
            <v>1.7500000000000002E-2</v>
          </cell>
          <cell r="X2311">
            <v>1.985E-2</v>
          </cell>
          <cell r="Y2311">
            <v>2.0999999999999998E-2</v>
          </cell>
          <cell r="Z2311">
            <v>2.29E-2</v>
          </cell>
          <cell r="AA2311">
            <v>2.4649999999999998E-2</v>
          </cell>
          <cell r="AB2311">
            <v>2.7999999999999997E-2</v>
          </cell>
          <cell r="AC2311">
            <v>2.9500000000000002E-2</v>
          </cell>
        </row>
        <row r="2312">
          <cell r="T2312">
            <v>37578</v>
          </cell>
          <cell r="U2312">
            <v>1.7500000000000002E-2</v>
          </cell>
          <cell r="V2312">
            <v>1.7666999999999999E-2</v>
          </cell>
          <cell r="W2312">
            <v>1.7399999999999999E-2</v>
          </cell>
          <cell r="X2312">
            <v>1.925E-2</v>
          </cell>
          <cell r="Y2312">
            <v>2.1400000000000002E-2</v>
          </cell>
          <cell r="Z2312">
            <v>2.3300000000000001E-2</v>
          </cell>
          <cell r="AA2312">
            <v>2.5099999999999997E-2</v>
          </cell>
          <cell r="AB2312">
            <v>2.8499999999999998E-2</v>
          </cell>
          <cell r="AC2312">
            <v>3.0499999999999999E-2</v>
          </cell>
        </row>
        <row r="2313">
          <cell r="T2313">
            <v>37577</v>
          </cell>
          <cell r="U2313">
            <v>1.7624999999999998E-2</v>
          </cell>
          <cell r="V2313">
            <v>1.7718999999999999E-2</v>
          </cell>
          <cell r="W2313">
            <v>1.7500000000000002E-2</v>
          </cell>
          <cell r="X2313">
            <v>1.95E-2</v>
          </cell>
          <cell r="Y2313">
            <v>2.1500000000000005E-2</v>
          </cell>
          <cell r="Z2313">
            <v>2.3499999999999997E-2</v>
          </cell>
          <cell r="AA2313">
            <v>2.5499999999999998E-2</v>
          </cell>
          <cell r="AB2313">
            <v>2.6749999999999999E-2</v>
          </cell>
          <cell r="AC2313">
            <v>2.8750000000000001E-2</v>
          </cell>
        </row>
        <row r="2314">
          <cell r="T2314">
            <v>37576</v>
          </cell>
          <cell r="U2314">
            <v>1.7624999999999998E-2</v>
          </cell>
          <cell r="V2314">
            <v>1.7718999999999999E-2</v>
          </cell>
          <cell r="W2314">
            <v>1.7500000000000002E-2</v>
          </cell>
          <cell r="X2314">
            <v>1.95E-2</v>
          </cell>
          <cell r="Y2314">
            <v>2.1500000000000005E-2</v>
          </cell>
          <cell r="Z2314">
            <v>2.3499999999999997E-2</v>
          </cell>
          <cell r="AA2314">
            <v>2.5499999999999998E-2</v>
          </cell>
          <cell r="AB2314">
            <v>2.6749999999999999E-2</v>
          </cell>
          <cell r="AC2314">
            <v>2.8750000000000001E-2</v>
          </cell>
        </row>
        <row r="2315">
          <cell r="T2315">
            <v>37575</v>
          </cell>
          <cell r="U2315">
            <v>1.7624999999999998E-2</v>
          </cell>
          <cell r="V2315">
            <v>1.7718999999999999E-2</v>
          </cell>
          <cell r="W2315">
            <v>1.7500000000000002E-2</v>
          </cell>
          <cell r="X2315">
            <v>1.95E-2</v>
          </cell>
          <cell r="Y2315">
            <v>2.1500000000000005E-2</v>
          </cell>
          <cell r="Z2315">
            <v>2.3499999999999997E-2</v>
          </cell>
          <cell r="AA2315">
            <v>2.5499999999999998E-2</v>
          </cell>
          <cell r="AB2315">
            <v>2.6749999999999999E-2</v>
          </cell>
          <cell r="AC2315">
            <v>2.8750000000000001E-2</v>
          </cell>
        </row>
        <row r="2316">
          <cell r="T2316">
            <v>37574</v>
          </cell>
          <cell r="U2316">
            <v>1.7516E-2</v>
          </cell>
          <cell r="V2316">
            <v>1.7680999999999999E-2</v>
          </cell>
          <cell r="W2316">
            <v>1.3500000000000002E-2</v>
          </cell>
          <cell r="X2316">
            <v>1.8700000000000001E-2</v>
          </cell>
          <cell r="Y2316">
            <v>1.9599999999999999E-2</v>
          </cell>
          <cell r="Z2316">
            <v>2.29E-2</v>
          </cell>
          <cell r="AA2316">
            <v>2.2499999999999999E-2</v>
          </cell>
          <cell r="AB2316">
            <v>2.6000000000000002E-2</v>
          </cell>
          <cell r="AC2316">
            <v>2.8750000000000001E-2</v>
          </cell>
        </row>
        <row r="2317">
          <cell r="T2317">
            <v>37573</v>
          </cell>
          <cell r="U2317">
            <v>1.7458000000000001E-2</v>
          </cell>
          <cell r="V2317">
            <v>1.7609E-2</v>
          </cell>
          <cell r="W2317">
            <v>1.3500000000000002E-2</v>
          </cell>
          <cell r="X2317">
            <v>1.6500000000000001E-2</v>
          </cell>
          <cell r="Y2317">
            <v>1.9E-2</v>
          </cell>
          <cell r="Z2317">
            <v>2.29E-2</v>
          </cell>
          <cell r="AA2317">
            <v>2.2499999999999999E-2</v>
          </cell>
          <cell r="AB2317">
            <v>2.6000000000000002E-2</v>
          </cell>
          <cell r="AC2317">
            <v>2.8750000000000001E-2</v>
          </cell>
        </row>
        <row r="2318">
          <cell r="T2318">
            <v>37572</v>
          </cell>
          <cell r="U2318">
            <v>1.7686999999999998E-2</v>
          </cell>
          <cell r="V2318">
            <v>1.7813000000000002E-2</v>
          </cell>
          <cell r="W2318">
            <v>1.7600000000000001E-2</v>
          </cell>
          <cell r="X2318">
            <v>1.975E-2</v>
          </cell>
          <cell r="Y2318">
            <v>2.1799999999999996E-2</v>
          </cell>
          <cell r="Z2318">
            <v>2.3849999999999996E-2</v>
          </cell>
          <cell r="AA2318">
            <v>2.545E-2</v>
          </cell>
          <cell r="AB2318">
            <v>2.8499999999999998E-2</v>
          </cell>
          <cell r="AC2318">
            <v>0.03</v>
          </cell>
        </row>
        <row r="2319">
          <cell r="T2319">
            <v>37571</v>
          </cell>
          <cell r="U2319">
            <v>1.9311999999999999E-2</v>
          </cell>
          <cell r="V2319">
            <v>1.9736E-2</v>
          </cell>
          <cell r="W2319">
            <v>1.8000000000000002E-2</v>
          </cell>
          <cell r="X2319">
            <v>0.02</v>
          </cell>
          <cell r="Y2319">
            <v>2.23E-2</v>
          </cell>
          <cell r="Z2319">
            <v>2.4000000000000004E-2</v>
          </cell>
          <cell r="AA2319">
            <v>2.6099999999999998E-2</v>
          </cell>
          <cell r="AB2319">
            <v>2.7999999999999997E-2</v>
          </cell>
          <cell r="AC2319">
            <v>3.0499999999999999E-2</v>
          </cell>
        </row>
        <row r="2320">
          <cell r="T2320">
            <v>37570</v>
          </cell>
          <cell r="U2320">
            <v>1.9311999999999999E-2</v>
          </cell>
          <cell r="V2320">
            <v>1.975E-2</v>
          </cell>
          <cell r="W2320">
            <v>1.78E-2</v>
          </cell>
          <cell r="X2320">
            <v>2.0049999999999998E-2</v>
          </cell>
          <cell r="Y2320">
            <v>2.2350000000000002E-2</v>
          </cell>
          <cell r="Z2320">
            <v>2.4500000000000001E-2</v>
          </cell>
          <cell r="AA2320">
            <v>2.75E-2</v>
          </cell>
          <cell r="AB2320">
            <v>3.1E-2</v>
          </cell>
          <cell r="AC2320">
            <v>3.0499999999999999E-2</v>
          </cell>
        </row>
        <row r="2321">
          <cell r="T2321">
            <v>37569</v>
          </cell>
          <cell r="U2321">
            <v>1.9311999999999999E-2</v>
          </cell>
          <cell r="V2321">
            <v>1.975E-2</v>
          </cell>
          <cell r="W2321">
            <v>1.78E-2</v>
          </cell>
          <cell r="X2321">
            <v>2.0049999999999998E-2</v>
          </cell>
          <cell r="Y2321">
            <v>2.2350000000000002E-2</v>
          </cell>
          <cell r="Z2321">
            <v>2.4500000000000001E-2</v>
          </cell>
          <cell r="AA2321">
            <v>2.75E-2</v>
          </cell>
          <cell r="AB2321">
            <v>3.1E-2</v>
          </cell>
          <cell r="AC2321">
            <v>3.0499999999999999E-2</v>
          </cell>
        </row>
        <row r="2322">
          <cell r="T2322">
            <v>37568</v>
          </cell>
          <cell r="U2322">
            <v>1.9311999999999999E-2</v>
          </cell>
          <cell r="V2322">
            <v>1.975E-2</v>
          </cell>
          <cell r="W2322">
            <v>1.78E-2</v>
          </cell>
          <cell r="X2322">
            <v>2.0049999999999998E-2</v>
          </cell>
          <cell r="Y2322">
            <v>2.2350000000000002E-2</v>
          </cell>
          <cell r="Z2322">
            <v>2.4500000000000001E-2</v>
          </cell>
          <cell r="AA2322">
            <v>2.75E-2</v>
          </cell>
          <cell r="AB2322">
            <v>3.1E-2</v>
          </cell>
          <cell r="AC2322">
            <v>3.0499999999999999E-2</v>
          </cell>
        </row>
        <row r="2323">
          <cell r="T2323">
            <v>37567</v>
          </cell>
          <cell r="U2323">
            <v>1.9547000000000002E-2</v>
          </cell>
          <cell r="V2323">
            <v>1.9953000000000002E-2</v>
          </cell>
          <cell r="W2323">
            <v>1.83E-2</v>
          </cell>
          <cell r="X2323">
            <v>2.0300000000000002E-2</v>
          </cell>
          <cell r="Y2323">
            <v>2.3E-2</v>
          </cell>
          <cell r="Z2323">
            <v>2.4750000000000001E-2</v>
          </cell>
          <cell r="AA2323">
            <v>2.6749999999999999E-2</v>
          </cell>
          <cell r="AB2323">
            <v>2.9500000000000002E-2</v>
          </cell>
          <cell r="AC2323">
            <v>3.15E-2</v>
          </cell>
        </row>
        <row r="2324">
          <cell r="T2324">
            <v>37566</v>
          </cell>
          <cell r="U2324">
            <v>1.9891000000000002E-2</v>
          </cell>
          <cell r="V2324">
            <v>2.0296999999999999E-2</v>
          </cell>
          <cell r="W2324">
            <v>2.2000000000000002E-2</v>
          </cell>
          <cell r="X2324">
            <v>2.5499999999999998E-2</v>
          </cell>
          <cell r="Y2324">
            <v>2.4500000000000001E-2</v>
          </cell>
          <cell r="Z2324">
            <v>2.5499999999999998E-2</v>
          </cell>
          <cell r="AA2324">
            <v>3.2750000000000001E-2</v>
          </cell>
          <cell r="AB2324">
            <v>0.04</v>
          </cell>
          <cell r="AC2324">
            <v>3.6249999999999998E-2</v>
          </cell>
        </row>
        <row r="2325">
          <cell r="T2325">
            <v>37565</v>
          </cell>
          <cell r="U2325">
            <v>1.9900000000000001E-2</v>
          </cell>
          <cell r="V2325">
            <v>2.0750000000000001E-2</v>
          </cell>
          <cell r="W2325">
            <v>1.8500000000000003E-2</v>
          </cell>
          <cell r="X2325">
            <v>2.0499999999999997E-2</v>
          </cell>
          <cell r="Y2325">
            <v>2.3E-2</v>
          </cell>
          <cell r="Z2325">
            <v>2.4750000000000001E-2</v>
          </cell>
          <cell r="AA2325">
            <v>2.6749999999999999E-2</v>
          </cell>
          <cell r="AB2325">
            <v>2.9500000000000002E-2</v>
          </cell>
          <cell r="AC2325">
            <v>3.15E-2</v>
          </cell>
        </row>
        <row r="2326">
          <cell r="T2326">
            <v>37564</v>
          </cell>
          <cell r="U2326">
            <v>1.9515999999999999E-2</v>
          </cell>
          <cell r="V2326">
            <v>1.9953000000000002E-2</v>
          </cell>
          <cell r="W2326">
            <v>1.8500000000000003E-2</v>
          </cell>
          <cell r="X2326">
            <v>2.0549999999999999E-2</v>
          </cell>
          <cell r="Y2326">
            <v>2.3E-2</v>
          </cell>
          <cell r="Z2326">
            <v>2.52E-2</v>
          </cell>
          <cell r="AA2326">
            <v>2.7199999999999998E-2</v>
          </cell>
          <cell r="AB2326">
            <v>2.8999999999999998E-2</v>
          </cell>
          <cell r="AC2326">
            <v>3.15E-2</v>
          </cell>
        </row>
        <row r="2327">
          <cell r="T2327">
            <v>37563</v>
          </cell>
          <cell r="U2327">
            <v>1.9719E-2</v>
          </cell>
          <cell r="V2327">
            <v>2.0013999999999997E-2</v>
          </cell>
          <cell r="W2327">
            <v>1.8200000000000001E-2</v>
          </cell>
          <cell r="X2327">
            <v>2.0649999999999998E-2</v>
          </cell>
          <cell r="Y2327">
            <v>2.315E-2</v>
          </cell>
          <cell r="Z2327">
            <v>2.5149999999999995E-2</v>
          </cell>
          <cell r="AA2327">
            <v>2.7149999999999997E-2</v>
          </cell>
          <cell r="AB2327">
            <v>0.03</v>
          </cell>
          <cell r="AC2327">
            <v>3.2000000000000001E-2</v>
          </cell>
        </row>
        <row r="2328">
          <cell r="T2328">
            <v>37562</v>
          </cell>
          <cell r="U2328">
            <v>1.9719E-2</v>
          </cell>
          <cell r="V2328">
            <v>2.0013999999999997E-2</v>
          </cell>
          <cell r="W2328">
            <v>1.8200000000000001E-2</v>
          </cell>
          <cell r="X2328">
            <v>2.0649999999999998E-2</v>
          </cell>
          <cell r="Y2328">
            <v>2.315E-2</v>
          </cell>
          <cell r="Z2328">
            <v>2.5149999999999995E-2</v>
          </cell>
          <cell r="AA2328">
            <v>2.7149999999999997E-2</v>
          </cell>
          <cell r="AB2328">
            <v>0.03</v>
          </cell>
          <cell r="AC2328">
            <v>3.2000000000000001E-2</v>
          </cell>
        </row>
        <row r="2329">
          <cell r="T2329">
            <v>37561</v>
          </cell>
          <cell r="U2329">
            <v>1.9719E-2</v>
          </cell>
          <cell r="V2329">
            <v>2.0013999999999997E-2</v>
          </cell>
          <cell r="W2329">
            <v>1.8200000000000001E-2</v>
          </cell>
          <cell r="X2329">
            <v>2.0649999999999998E-2</v>
          </cell>
          <cell r="Y2329">
            <v>2.315E-2</v>
          </cell>
          <cell r="Z2329">
            <v>2.5149999999999995E-2</v>
          </cell>
          <cell r="AA2329">
            <v>2.7149999999999997E-2</v>
          </cell>
          <cell r="AB2329">
            <v>0.03</v>
          </cell>
          <cell r="AC2329">
            <v>3.2000000000000001E-2</v>
          </cell>
        </row>
        <row r="2330">
          <cell r="T2330">
            <v>37560</v>
          </cell>
          <cell r="U2330">
            <v>1.9937E-2</v>
          </cell>
          <cell r="V2330">
            <v>2.0344000000000001E-2</v>
          </cell>
          <cell r="W2330">
            <v>1.8250000000000002E-2</v>
          </cell>
          <cell r="X2330">
            <v>2.0750000000000001E-2</v>
          </cell>
          <cell r="Y2330">
            <v>2.315E-2</v>
          </cell>
          <cell r="Z2330">
            <v>2.52E-2</v>
          </cell>
          <cell r="AA2330">
            <v>2.8500000000000001E-2</v>
          </cell>
          <cell r="AB2330">
            <v>3.2000000000000001E-2</v>
          </cell>
          <cell r="AC2330">
            <v>3.2500000000000001E-2</v>
          </cell>
        </row>
        <row r="2331">
          <cell r="T2331">
            <v>37559</v>
          </cell>
          <cell r="U2331">
            <v>1.9991999999999999E-2</v>
          </cell>
          <cell r="V2331">
            <v>2.0619999999999999E-2</v>
          </cell>
          <cell r="W2331">
            <v>1.9E-2</v>
          </cell>
          <cell r="X2331">
            <v>2.1500000000000005E-2</v>
          </cell>
          <cell r="Y2331">
            <v>2.3499999999999997E-2</v>
          </cell>
          <cell r="Z2331">
            <v>2.5499999999999998E-2</v>
          </cell>
          <cell r="AA2331">
            <v>2.75E-2</v>
          </cell>
          <cell r="AB2331">
            <v>2.8999999999999998E-2</v>
          </cell>
          <cell r="AC2331">
            <v>3.15E-2</v>
          </cell>
        </row>
        <row r="2332">
          <cell r="T2332">
            <v>37558</v>
          </cell>
          <cell r="U2332">
            <v>1.9966999999999999E-2</v>
          </cell>
          <cell r="V2332">
            <v>2.0649999999999998E-2</v>
          </cell>
          <cell r="W2332">
            <v>1.8950000000000002E-2</v>
          </cell>
          <cell r="X2332">
            <v>2.1500000000000005E-2</v>
          </cell>
          <cell r="Y2332">
            <v>2.375E-2</v>
          </cell>
          <cell r="Z2332">
            <v>2.5949999999999997E-2</v>
          </cell>
          <cell r="AA2332">
            <v>2.7900000000000001E-2</v>
          </cell>
          <cell r="AB2332">
            <v>3.0750000000000003E-2</v>
          </cell>
          <cell r="AC2332">
            <v>3.3500000000000002E-2</v>
          </cell>
        </row>
        <row r="2333">
          <cell r="T2333">
            <v>37557</v>
          </cell>
          <cell r="U2333">
            <v>1.9924999999999998E-2</v>
          </cell>
          <cell r="V2333">
            <v>2.0360999999999997E-2</v>
          </cell>
          <cell r="W2333">
            <v>1.9E-2</v>
          </cell>
          <cell r="X2333">
            <v>2.1649999999999999E-2</v>
          </cell>
          <cell r="Y2333">
            <v>2.3899999999999998E-2</v>
          </cell>
          <cell r="Z2333">
            <v>2.5999999999999995E-2</v>
          </cell>
          <cell r="AA2333">
            <v>2.7999999999999997E-2</v>
          </cell>
          <cell r="AB2333">
            <v>3.0750000000000003E-2</v>
          </cell>
          <cell r="AC2333">
            <v>3.3500000000000002E-2</v>
          </cell>
        </row>
        <row r="2334">
          <cell r="T2334">
            <v>37556</v>
          </cell>
          <cell r="U2334">
            <v>2.0133000000000002E-2</v>
          </cell>
          <cell r="V2334">
            <v>2.0499999999999997E-2</v>
          </cell>
          <cell r="W2334">
            <v>1.9299999999999998E-2</v>
          </cell>
          <cell r="X2334">
            <v>2.23E-2</v>
          </cell>
          <cell r="Y2334">
            <v>2.4649999999999998E-2</v>
          </cell>
          <cell r="Z2334">
            <v>2.6500000000000003E-2</v>
          </cell>
          <cell r="AA2334">
            <v>2.8499999999999998E-2</v>
          </cell>
          <cell r="AB2334">
            <v>3.1E-2</v>
          </cell>
          <cell r="AC2334">
            <v>3.3500000000000002E-2</v>
          </cell>
        </row>
        <row r="2335">
          <cell r="T2335">
            <v>37555</v>
          </cell>
          <cell r="U2335">
            <v>2.0133000000000002E-2</v>
          </cell>
          <cell r="V2335">
            <v>2.0499999999999997E-2</v>
          </cell>
          <cell r="W2335">
            <v>1.9299999999999998E-2</v>
          </cell>
          <cell r="X2335">
            <v>2.23E-2</v>
          </cell>
          <cell r="Y2335">
            <v>2.4649999999999998E-2</v>
          </cell>
          <cell r="Z2335">
            <v>2.6500000000000003E-2</v>
          </cell>
          <cell r="AA2335">
            <v>2.8499999999999998E-2</v>
          </cell>
          <cell r="AB2335">
            <v>3.1E-2</v>
          </cell>
          <cell r="AC2335">
            <v>3.3500000000000002E-2</v>
          </cell>
        </row>
        <row r="2336">
          <cell r="T2336">
            <v>37554</v>
          </cell>
          <cell r="U2336">
            <v>2.0133000000000002E-2</v>
          </cell>
          <cell r="V2336">
            <v>2.0499999999999997E-2</v>
          </cell>
          <cell r="W2336">
            <v>1.9299999999999998E-2</v>
          </cell>
          <cell r="X2336">
            <v>2.23E-2</v>
          </cell>
          <cell r="Y2336">
            <v>2.4649999999999998E-2</v>
          </cell>
          <cell r="Z2336">
            <v>2.6500000000000003E-2</v>
          </cell>
          <cell r="AA2336">
            <v>2.8499999999999998E-2</v>
          </cell>
          <cell r="AB2336">
            <v>3.1E-2</v>
          </cell>
          <cell r="AC2336">
            <v>3.3500000000000002E-2</v>
          </cell>
        </row>
        <row r="2337">
          <cell r="T2337">
            <v>37553</v>
          </cell>
          <cell r="U2337">
            <v>2.0133000000000002E-2</v>
          </cell>
          <cell r="V2337">
            <v>2.0417000000000001E-2</v>
          </cell>
          <cell r="W2337">
            <v>1.925E-2</v>
          </cell>
          <cell r="X2337">
            <v>2.1950000000000004E-2</v>
          </cell>
          <cell r="Y2337">
            <v>2.4300000000000002E-2</v>
          </cell>
          <cell r="Z2337">
            <v>2.6249999999999999E-2</v>
          </cell>
          <cell r="AA2337">
            <v>2.8049999999999999E-2</v>
          </cell>
          <cell r="AB2337">
            <v>3.1349999999999996E-2</v>
          </cell>
          <cell r="AC2337">
            <v>3.3599999999999998E-2</v>
          </cell>
        </row>
        <row r="2338">
          <cell r="T2338">
            <v>37552</v>
          </cell>
          <cell r="U2338">
            <v>1.9924999999999998E-2</v>
          </cell>
          <cell r="V2338">
            <v>2.0278000000000001E-2</v>
          </cell>
          <cell r="W2338">
            <v>1.95E-2</v>
          </cell>
          <cell r="X2338">
            <v>2.215E-2</v>
          </cell>
          <cell r="Y2338">
            <v>2.4450000000000003E-2</v>
          </cell>
          <cell r="Z2338">
            <v>2.6349999999999998E-2</v>
          </cell>
          <cell r="AA2338">
            <v>2.8449999999999996E-2</v>
          </cell>
          <cell r="AB2338">
            <v>3.1150000000000001E-2</v>
          </cell>
          <cell r="AC2338">
            <v>3.3000000000000002E-2</v>
          </cell>
        </row>
        <row r="2339">
          <cell r="T2339">
            <v>37551</v>
          </cell>
          <cell r="U2339">
            <v>1.9894000000000002E-2</v>
          </cell>
          <cell r="V2339">
            <v>2.0278000000000001E-2</v>
          </cell>
          <cell r="W2339">
            <v>1.925E-2</v>
          </cell>
          <cell r="X2339">
            <v>2.1649999999999999E-2</v>
          </cell>
          <cell r="Y2339">
            <v>2.3700000000000002E-2</v>
          </cell>
          <cell r="Z2339">
            <v>2.58E-2</v>
          </cell>
          <cell r="AA2339">
            <v>2.7699999999999999E-2</v>
          </cell>
          <cell r="AB2339">
            <v>3.0999999999999996E-2</v>
          </cell>
          <cell r="AC2339">
            <v>3.2300000000000002E-2</v>
          </cell>
        </row>
        <row r="2340">
          <cell r="T2340">
            <v>37550</v>
          </cell>
          <cell r="U2340">
            <v>1.9894000000000002E-2</v>
          </cell>
          <cell r="V2340">
            <v>2.0278000000000001E-2</v>
          </cell>
          <cell r="W2340">
            <v>1.9400000000000001E-2</v>
          </cell>
          <cell r="X2340">
            <v>2.2000000000000002E-2</v>
          </cell>
          <cell r="Y2340">
            <v>2.4299999999999999E-2</v>
          </cell>
          <cell r="Z2340">
            <v>2.6200000000000001E-2</v>
          </cell>
          <cell r="AA2340">
            <v>2.8099999999999997E-2</v>
          </cell>
          <cell r="AB2340">
            <v>3.005E-2</v>
          </cell>
          <cell r="AC2340">
            <v>3.2400000000000005E-2</v>
          </cell>
        </row>
        <row r="2341">
          <cell r="T2341">
            <v>37549</v>
          </cell>
          <cell r="U2341">
            <v>1.9986E-2</v>
          </cell>
          <cell r="V2341">
            <v>2.0392999999999998E-2</v>
          </cell>
          <cell r="W2341">
            <v>1.9299999999999998E-2</v>
          </cell>
          <cell r="X2341">
            <v>2.1749999999999999E-2</v>
          </cell>
          <cell r="Y2341">
            <v>2.4150000000000001E-2</v>
          </cell>
          <cell r="Z2341">
            <v>2.63E-2</v>
          </cell>
          <cell r="AA2341">
            <v>2.785E-2</v>
          </cell>
          <cell r="AB2341">
            <v>3.0800000000000001E-2</v>
          </cell>
          <cell r="AC2341">
            <v>3.2400000000000005E-2</v>
          </cell>
        </row>
        <row r="2342">
          <cell r="T2342">
            <v>37548</v>
          </cell>
          <cell r="U2342">
            <v>1.9986E-2</v>
          </cell>
          <cell r="V2342">
            <v>2.0392999999999998E-2</v>
          </cell>
          <cell r="W2342">
            <v>1.9299999999999998E-2</v>
          </cell>
          <cell r="X2342">
            <v>2.1749999999999999E-2</v>
          </cell>
          <cell r="Y2342">
            <v>2.4150000000000001E-2</v>
          </cell>
          <cell r="Z2342">
            <v>2.63E-2</v>
          </cell>
          <cell r="AA2342">
            <v>2.785E-2</v>
          </cell>
          <cell r="AB2342">
            <v>3.0800000000000001E-2</v>
          </cell>
          <cell r="AC2342">
            <v>3.2400000000000005E-2</v>
          </cell>
        </row>
        <row r="2343">
          <cell r="T2343">
            <v>37547</v>
          </cell>
          <cell r="U2343">
            <v>1.9986E-2</v>
          </cell>
          <cell r="V2343">
            <v>2.0392999999999998E-2</v>
          </cell>
          <cell r="W2343">
            <v>1.9299999999999998E-2</v>
          </cell>
          <cell r="X2343">
            <v>2.1749999999999999E-2</v>
          </cell>
          <cell r="Y2343">
            <v>2.4150000000000001E-2</v>
          </cell>
          <cell r="Z2343">
            <v>2.63E-2</v>
          </cell>
          <cell r="AA2343">
            <v>2.785E-2</v>
          </cell>
          <cell r="AB2343">
            <v>3.0800000000000001E-2</v>
          </cell>
          <cell r="AC2343">
            <v>3.2400000000000005E-2</v>
          </cell>
        </row>
        <row r="2344">
          <cell r="T2344">
            <v>37546</v>
          </cell>
          <cell r="U2344">
            <v>1.9894000000000002E-2</v>
          </cell>
          <cell r="V2344">
            <v>2.0278000000000001E-2</v>
          </cell>
          <cell r="W2344">
            <v>0.02</v>
          </cell>
          <cell r="X2344">
            <v>2.2499999999999999E-2</v>
          </cell>
          <cell r="Y2344">
            <v>2.5000000000000001E-2</v>
          </cell>
          <cell r="Z2344">
            <v>2.6799999999999997E-2</v>
          </cell>
          <cell r="AA2344">
            <v>2.8499999999999998E-2</v>
          </cell>
          <cell r="AB2344">
            <v>3.0899999999999997E-2</v>
          </cell>
          <cell r="AC2344">
            <v>3.3000000000000002E-2</v>
          </cell>
        </row>
        <row r="2345">
          <cell r="T2345">
            <v>37545</v>
          </cell>
          <cell r="U2345">
            <v>1.9961E-2</v>
          </cell>
          <cell r="V2345">
            <v>2.0406000000000001E-2</v>
          </cell>
          <cell r="W2345">
            <v>1.9E-2</v>
          </cell>
          <cell r="X2345">
            <v>0.02</v>
          </cell>
          <cell r="Y2345">
            <v>2.1600000000000001E-2</v>
          </cell>
          <cell r="Z2345">
            <v>2.4500000000000001E-2</v>
          </cell>
          <cell r="AA2345">
            <v>2.5300000000000003E-2</v>
          </cell>
          <cell r="AB2345">
            <v>2.8200000000000003E-2</v>
          </cell>
          <cell r="AC2345">
            <v>3.0300000000000004E-2</v>
          </cell>
        </row>
        <row r="2346">
          <cell r="T2346">
            <v>37544</v>
          </cell>
          <cell r="U2346">
            <v>1.9855999999999999E-2</v>
          </cell>
          <cell r="V2346">
            <v>2.0278000000000001E-2</v>
          </cell>
          <cell r="W2346">
            <v>1.9099999999999999E-2</v>
          </cell>
          <cell r="X2346">
            <v>2.1250000000000002E-2</v>
          </cell>
          <cell r="Y2346">
            <v>2.2949999999999998E-2</v>
          </cell>
          <cell r="Z2346">
            <v>2.4400000000000005E-2</v>
          </cell>
          <cell r="AA2346">
            <v>2.6249999999999999E-2</v>
          </cell>
          <cell r="AB2346">
            <v>2.9500000000000002E-2</v>
          </cell>
          <cell r="AC2346">
            <v>3.2000000000000001E-2</v>
          </cell>
        </row>
        <row r="2347">
          <cell r="T2347">
            <v>37543</v>
          </cell>
          <cell r="U2347">
            <v>1.9875E-2</v>
          </cell>
          <cell r="V2347">
            <v>2.0278000000000001E-2</v>
          </cell>
          <cell r="W2347">
            <v>1.8700000000000001E-2</v>
          </cell>
          <cell r="X2347">
            <v>2.0549999999999999E-2</v>
          </cell>
          <cell r="Y2347">
            <v>2.2200000000000001E-2</v>
          </cell>
          <cell r="Z2347">
            <v>2.3799999999999998E-2</v>
          </cell>
          <cell r="AA2347">
            <v>2.5600000000000001E-2</v>
          </cell>
          <cell r="AB2347">
            <v>2.8549999999999999E-2</v>
          </cell>
          <cell r="AC2347">
            <v>3.0899999999999997E-2</v>
          </cell>
        </row>
        <row r="2348">
          <cell r="T2348">
            <v>37542</v>
          </cell>
          <cell r="U2348">
            <v>1.9875E-2</v>
          </cell>
          <cell r="V2348">
            <v>2.0278000000000001E-2</v>
          </cell>
          <cell r="W2348">
            <v>1.84E-2</v>
          </cell>
          <cell r="X2348">
            <v>1.9899999999999998E-2</v>
          </cell>
          <cell r="Y2348">
            <v>2.1600000000000001E-2</v>
          </cell>
          <cell r="Z2348">
            <v>2.3099999999999996E-2</v>
          </cell>
          <cell r="AA2348">
            <v>2.5000000000000001E-2</v>
          </cell>
          <cell r="AB2348">
            <v>2.9000000000000005E-2</v>
          </cell>
          <cell r="AC2348">
            <v>3.6249999999999998E-2</v>
          </cell>
        </row>
        <row r="2349">
          <cell r="T2349">
            <v>37541</v>
          </cell>
          <cell r="U2349">
            <v>1.9875E-2</v>
          </cell>
          <cell r="V2349">
            <v>2.0278000000000001E-2</v>
          </cell>
          <cell r="W2349">
            <v>1.84E-2</v>
          </cell>
          <cell r="X2349">
            <v>1.9899999999999998E-2</v>
          </cell>
          <cell r="Y2349">
            <v>2.1600000000000001E-2</v>
          </cell>
          <cell r="Z2349">
            <v>2.3099999999999996E-2</v>
          </cell>
          <cell r="AA2349">
            <v>2.5000000000000001E-2</v>
          </cell>
          <cell r="AB2349">
            <v>2.9000000000000005E-2</v>
          </cell>
          <cell r="AC2349">
            <v>3.6249999999999998E-2</v>
          </cell>
        </row>
        <row r="2350">
          <cell r="T2350">
            <v>37540</v>
          </cell>
          <cell r="U2350">
            <v>1.9875E-2</v>
          </cell>
          <cell r="V2350">
            <v>2.0278000000000001E-2</v>
          </cell>
          <cell r="W2350">
            <v>1.84E-2</v>
          </cell>
          <cell r="X2350">
            <v>1.9899999999999998E-2</v>
          </cell>
          <cell r="Y2350">
            <v>2.1600000000000001E-2</v>
          </cell>
          <cell r="Z2350">
            <v>2.3099999999999996E-2</v>
          </cell>
          <cell r="AA2350">
            <v>2.5000000000000001E-2</v>
          </cell>
          <cell r="AB2350">
            <v>2.9000000000000005E-2</v>
          </cell>
          <cell r="AC2350">
            <v>3.6249999999999998E-2</v>
          </cell>
        </row>
        <row r="2351">
          <cell r="T2351">
            <v>37539</v>
          </cell>
          <cell r="U2351">
            <v>2.0036000000000002E-2</v>
          </cell>
          <cell r="V2351">
            <v>2.0583000000000001E-2</v>
          </cell>
          <cell r="W2351">
            <v>1.9050000000000001E-2</v>
          </cell>
          <cell r="X2351">
            <v>2.0549999999999999E-2</v>
          </cell>
          <cell r="Y2351">
            <v>2.2250000000000002E-2</v>
          </cell>
          <cell r="Z2351">
            <v>2.3849999999999996E-2</v>
          </cell>
          <cell r="AA2351">
            <v>2.5549999999999996E-2</v>
          </cell>
          <cell r="AB2351">
            <v>2.9500000000000002E-2</v>
          </cell>
          <cell r="AC2351">
            <v>3.2500000000000001E-2</v>
          </cell>
        </row>
        <row r="2352">
          <cell r="T2352">
            <v>37538</v>
          </cell>
          <cell r="U2352">
            <v>2.0036000000000002E-2</v>
          </cell>
          <cell r="V2352">
            <v>2.0583000000000001E-2</v>
          </cell>
          <cell r="W2352">
            <v>1.9050000000000001E-2</v>
          </cell>
          <cell r="X2352">
            <v>2.0549999999999999E-2</v>
          </cell>
          <cell r="Y2352">
            <v>2.2250000000000002E-2</v>
          </cell>
          <cell r="Z2352">
            <v>2.3849999999999996E-2</v>
          </cell>
          <cell r="AA2352">
            <v>2.5549999999999996E-2</v>
          </cell>
          <cell r="AB2352">
            <v>2.9500000000000002E-2</v>
          </cell>
          <cell r="AC2352">
            <v>3.2500000000000001E-2</v>
          </cell>
        </row>
        <row r="2353">
          <cell r="T2353">
            <v>37537</v>
          </cell>
          <cell r="U2353">
            <v>1.9891000000000002E-2</v>
          </cell>
          <cell r="V2353">
            <v>2.0360999999999997E-2</v>
          </cell>
          <cell r="W2353">
            <v>1.8500000000000003E-2</v>
          </cell>
          <cell r="X2353">
            <v>0.02</v>
          </cell>
          <cell r="Y2353">
            <v>2.1499999999999998E-2</v>
          </cell>
          <cell r="Z2353">
            <v>2.41E-2</v>
          </cell>
          <cell r="AA2353">
            <v>2.5499999999999998E-2</v>
          </cell>
          <cell r="AB2353">
            <v>2.8500000000000001E-2</v>
          </cell>
          <cell r="AC2353">
            <v>3.2500000000000001E-2</v>
          </cell>
        </row>
        <row r="2354">
          <cell r="T2354">
            <v>37536</v>
          </cell>
          <cell r="U2354">
            <v>1.9875E-2</v>
          </cell>
          <cell r="V2354">
            <v>2.0499999999999997E-2</v>
          </cell>
          <cell r="W2354">
            <v>1.865E-2</v>
          </cell>
          <cell r="X2354">
            <v>2.0149999999999998E-2</v>
          </cell>
          <cell r="Y2354">
            <v>2.1850000000000001E-2</v>
          </cell>
          <cell r="Z2354">
            <v>2.3399999999999997E-2</v>
          </cell>
          <cell r="AA2354">
            <v>2.5250000000000005E-2</v>
          </cell>
          <cell r="AB2354">
            <v>2.9000000000000005E-2</v>
          </cell>
          <cell r="AC2354">
            <v>3.15E-2</v>
          </cell>
        </row>
        <row r="2355">
          <cell r="T2355">
            <v>37535</v>
          </cell>
          <cell r="U2355">
            <v>1.9819E-2</v>
          </cell>
          <cell r="V2355">
            <v>2.0250000000000001E-2</v>
          </cell>
          <cell r="W2355">
            <v>1.8500000000000003E-2</v>
          </cell>
          <cell r="X2355">
            <v>0.02</v>
          </cell>
          <cell r="Y2355">
            <v>2.1500000000000005E-2</v>
          </cell>
          <cell r="Z2355">
            <v>2.3449999999999999E-2</v>
          </cell>
          <cell r="AA2355">
            <v>2.495E-2</v>
          </cell>
          <cell r="AB2355">
            <v>2.9000000000000005E-2</v>
          </cell>
          <cell r="AC2355">
            <v>3.15E-2</v>
          </cell>
        </row>
        <row r="2356">
          <cell r="T2356">
            <v>37534</v>
          </cell>
          <cell r="U2356">
            <v>1.9819E-2</v>
          </cell>
          <cell r="V2356">
            <v>2.0250000000000001E-2</v>
          </cell>
          <cell r="W2356">
            <v>1.8500000000000003E-2</v>
          </cell>
          <cell r="X2356">
            <v>0.02</v>
          </cell>
          <cell r="Y2356">
            <v>2.1500000000000005E-2</v>
          </cell>
          <cell r="Z2356">
            <v>2.3449999999999999E-2</v>
          </cell>
          <cell r="AA2356">
            <v>2.495E-2</v>
          </cell>
          <cell r="AB2356">
            <v>2.9000000000000005E-2</v>
          </cell>
          <cell r="AC2356">
            <v>3.15E-2</v>
          </cell>
        </row>
        <row r="2357">
          <cell r="T2357">
            <v>37533</v>
          </cell>
          <cell r="U2357">
            <v>1.9819E-2</v>
          </cell>
          <cell r="V2357">
            <v>2.0250000000000001E-2</v>
          </cell>
          <cell r="W2357">
            <v>1.8500000000000003E-2</v>
          </cell>
          <cell r="X2357">
            <v>0.02</v>
          </cell>
          <cell r="Y2357">
            <v>2.1500000000000005E-2</v>
          </cell>
          <cell r="Z2357">
            <v>2.3449999999999999E-2</v>
          </cell>
          <cell r="AA2357">
            <v>2.495E-2</v>
          </cell>
          <cell r="AB2357">
            <v>2.9000000000000005E-2</v>
          </cell>
          <cell r="AC2357">
            <v>3.15E-2</v>
          </cell>
        </row>
        <row r="2358">
          <cell r="T2358">
            <v>37532</v>
          </cell>
          <cell r="U2358">
            <v>2.0077999999999999E-2</v>
          </cell>
          <cell r="V2358">
            <v>2.0531000000000001E-2</v>
          </cell>
          <cell r="W2358">
            <v>1.83E-2</v>
          </cell>
          <cell r="X2358">
            <v>1.975E-2</v>
          </cell>
          <cell r="Y2358">
            <v>2.1400000000000002E-2</v>
          </cell>
          <cell r="Z2358">
            <v>2.3399999999999997E-2</v>
          </cell>
          <cell r="AA2358">
            <v>2.5549999999999996E-2</v>
          </cell>
          <cell r="AB2358">
            <v>2.9000000000000005E-2</v>
          </cell>
          <cell r="AC2358">
            <v>3.15E-2</v>
          </cell>
        </row>
        <row r="2359">
          <cell r="T2359">
            <v>37531</v>
          </cell>
          <cell r="U2359">
            <v>0.02</v>
          </cell>
          <cell r="V2359">
            <v>2.035E-2</v>
          </cell>
          <cell r="W2359">
            <v>1.8450000000000001E-2</v>
          </cell>
          <cell r="X2359">
            <v>1.9950000000000002E-2</v>
          </cell>
          <cell r="Y2359">
            <v>2.1749999999999999E-2</v>
          </cell>
          <cell r="Z2359">
            <v>2.3550000000000001E-2</v>
          </cell>
          <cell r="AA2359">
            <v>2.5499999999999998E-2</v>
          </cell>
          <cell r="AB2359">
            <v>2.9749999999999995E-2</v>
          </cell>
          <cell r="AC2359">
            <v>3.2750000000000001E-2</v>
          </cell>
        </row>
        <row r="2360">
          <cell r="T2360">
            <v>37530</v>
          </cell>
          <cell r="U2360">
            <v>1.9921999999999999E-2</v>
          </cell>
          <cell r="V2360">
            <v>2.0306000000000001E-2</v>
          </cell>
          <cell r="W2360">
            <v>1.8250000000000002E-2</v>
          </cell>
          <cell r="X2360">
            <v>1.975E-2</v>
          </cell>
          <cell r="Y2360">
            <v>2.1649999999999999E-2</v>
          </cell>
          <cell r="Z2360">
            <v>2.3550000000000001E-2</v>
          </cell>
          <cell r="AA2360">
            <v>2.5499999999999998E-2</v>
          </cell>
          <cell r="AB2360">
            <v>2.9500000000000002E-2</v>
          </cell>
          <cell r="AC2360">
            <v>3.3000000000000002E-2</v>
          </cell>
        </row>
        <row r="2361">
          <cell r="T2361">
            <v>37529</v>
          </cell>
          <cell r="U2361">
            <v>1.9921999999999999E-2</v>
          </cell>
          <cell r="V2361">
            <v>2.0278000000000001E-2</v>
          </cell>
          <cell r="W2361">
            <v>1.8500000000000003E-2</v>
          </cell>
          <cell r="X2361">
            <v>2.0149999999999998E-2</v>
          </cell>
          <cell r="Y2361">
            <v>2.1899999999999999E-2</v>
          </cell>
          <cell r="Z2361">
            <v>2.3900000000000001E-2</v>
          </cell>
          <cell r="AA2361">
            <v>2.5899999999999999E-2</v>
          </cell>
          <cell r="AB2361">
            <v>2.9749999999999995E-2</v>
          </cell>
          <cell r="AC2361">
            <v>3.2750000000000001E-2</v>
          </cell>
        </row>
        <row r="2362">
          <cell r="T2362">
            <v>37528</v>
          </cell>
          <cell r="U2362">
            <v>1.9921999999999999E-2</v>
          </cell>
          <cell r="V2362">
            <v>2.0278000000000001E-2</v>
          </cell>
          <cell r="W2362">
            <v>1.9E-2</v>
          </cell>
          <cell r="X2362">
            <v>2.0799999999999999E-2</v>
          </cell>
          <cell r="Y2362">
            <v>2.2599999999999999E-2</v>
          </cell>
          <cell r="Z2362">
            <v>2.4450000000000003E-2</v>
          </cell>
          <cell r="AA2362">
            <v>2.6450000000000001E-2</v>
          </cell>
          <cell r="AB2362">
            <v>3.0250000000000003E-2</v>
          </cell>
          <cell r="AC2362">
            <v>3.3000000000000002E-2</v>
          </cell>
        </row>
        <row r="2363">
          <cell r="T2363">
            <v>37527</v>
          </cell>
          <cell r="U2363">
            <v>1.9921999999999999E-2</v>
          </cell>
          <cell r="V2363">
            <v>2.0278000000000001E-2</v>
          </cell>
          <cell r="W2363">
            <v>1.9E-2</v>
          </cell>
          <cell r="X2363">
            <v>2.0799999999999999E-2</v>
          </cell>
          <cell r="Y2363">
            <v>2.2599999999999999E-2</v>
          </cell>
          <cell r="Z2363">
            <v>2.4450000000000003E-2</v>
          </cell>
          <cell r="AA2363">
            <v>2.6450000000000001E-2</v>
          </cell>
          <cell r="AB2363">
            <v>3.0250000000000003E-2</v>
          </cell>
          <cell r="AC2363">
            <v>3.3000000000000002E-2</v>
          </cell>
        </row>
        <row r="2364">
          <cell r="T2364">
            <v>37526</v>
          </cell>
          <cell r="U2364">
            <v>1.9921999999999999E-2</v>
          </cell>
          <cell r="V2364">
            <v>2.0278000000000001E-2</v>
          </cell>
          <cell r="W2364">
            <v>1.9E-2</v>
          </cell>
          <cell r="X2364">
            <v>2.0799999999999999E-2</v>
          </cell>
          <cell r="Y2364">
            <v>2.2599999999999999E-2</v>
          </cell>
          <cell r="Z2364">
            <v>2.4450000000000003E-2</v>
          </cell>
          <cell r="AA2364">
            <v>2.6450000000000001E-2</v>
          </cell>
          <cell r="AB2364">
            <v>3.0250000000000003E-2</v>
          </cell>
          <cell r="AC2364">
            <v>3.3000000000000002E-2</v>
          </cell>
        </row>
        <row r="2365">
          <cell r="T2365">
            <v>37525</v>
          </cell>
          <cell r="U2365">
            <v>1.9921999999999999E-2</v>
          </cell>
          <cell r="V2365">
            <v>2.0278000000000001E-2</v>
          </cell>
          <cell r="W2365">
            <v>1.8700000000000001E-2</v>
          </cell>
          <cell r="X2365">
            <v>2.0899999999999998E-2</v>
          </cell>
          <cell r="Y2365">
            <v>2.2550000000000001E-2</v>
          </cell>
          <cell r="Z2365">
            <v>2.4550000000000002E-2</v>
          </cell>
          <cell r="AA2365">
            <v>2.6550000000000004E-2</v>
          </cell>
          <cell r="AB2365">
            <v>2.9699999999999997E-2</v>
          </cell>
          <cell r="AC2365">
            <v>3.3000000000000002E-2</v>
          </cell>
        </row>
        <row r="2366">
          <cell r="T2366">
            <v>37524</v>
          </cell>
          <cell r="U2366">
            <v>1.9921999999999999E-2</v>
          </cell>
          <cell r="V2366">
            <v>2.0278000000000001E-2</v>
          </cell>
          <cell r="W2366">
            <v>1.9099999999999999E-2</v>
          </cell>
          <cell r="X2366">
            <v>2.0599999999999997E-2</v>
          </cell>
          <cell r="Y2366">
            <v>2.2350000000000002E-2</v>
          </cell>
          <cell r="Z2366">
            <v>2.4249999999999997E-2</v>
          </cell>
          <cell r="AA2366">
            <v>2.605E-2</v>
          </cell>
          <cell r="AB2366">
            <v>2.98E-2</v>
          </cell>
          <cell r="AC2366">
            <v>3.3500000000000002E-2</v>
          </cell>
        </row>
        <row r="2367">
          <cell r="T2367">
            <v>37523</v>
          </cell>
          <cell r="U2367">
            <v>1.9958E-2</v>
          </cell>
          <cell r="V2367">
            <v>2.0375000000000001E-2</v>
          </cell>
          <cell r="W2367">
            <v>0.02</v>
          </cell>
          <cell r="X2367">
            <v>2.085E-2</v>
          </cell>
          <cell r="Y2367">
            <v>2.2749999999999999E-2</v>
          </cell>
          <cell r="Z2367">
            <v>2.4750000000000001E-2</v>
          </cell>
          <cell r="AA2367">
            <v>2.6600000000000002E-2</v>
          </cell>
          <cell r="AB2367">
            <v>0.03</v>
          </cell>
          <cell r="AC2367">
            <v>3.2500000000000001E-2</v>
          </cell>
        </row>
        <row r="2368">
          <cell r="T2368">
            <v>37522</v>
          </cell>
          <cell r="U2368">
            <v>1.9921999999999999E-2</v>
          </cell>
          <cell r="V2368">
            <v>2.0306000000000001E-2</v>
          </cell>
          <cell r="W2368">
            <v>1.9199999999999998E-2</v>
          </cell>
          <cell r="X2368">
            <v>2.0949999999999996E-2</v>
          </cell>
          <cell r="Y2368">
            <v>2.3E-2</v>
          </cell>
          <cell r="Z2368">
            <v>2.5150000000000002E-2</v>
          </cell>
          <cell r="AA2368">
            <v>2.7149999999999997E-2</v>
          </cell>
          <cell r="AB2368">
            <v>3.04E-2</v>
          </cell>
          <cell r="AC2368">
            <v>3.3500000000000002E-2</v>
          </cell>
        </row>
        <row r="2369">
          <cell r="T2369">
            <v>37521</v>
          </cell>
          <cell r="U2369">
            <v>1.9986E-2</v>
          </cell>
          <cell r="V2369">
            <v>2.0406000000000001E-2</v>
          </cell>
          <cell r="W2369">
            <v>1.95E-2</v>
          </cell>
          <cell r="X2369">
            <v>2.1500000000000005E-2</v>
          </cell>
          <cell r="Y2369">
            <v>2.3499999999999997E-2</v>
          </cell>
          <cell r="Z2369">
            <v>2.5499999999999998E-2</v>
          </cell>
          <cell r="AA2369">
            <v>2.7750000000000004E-2</v>
          </cell>
          <cell r="AB2369">
            <v>3.0250000000000003E-2</v>
          </cell>
          <cell r="AC2369">
            <v>3.2500000000000001E-2</v>
          </cell>
        </row>
        <row r="2370">
          <cell r="T2370">
            <v>37520</v>
          </cell>
          <cell r="U2370">
            <v>1.9986E-2</v>
          </cell>
          <cell r="V2370">
            <v>2.0406000000000001E-2</v>
          </cell>
          <cell r="W2370">
            <v>1.95E-2</v>
          </cell>
          <cell r="X2370">
            <v>2.1500000000000005E-2</v>
          </cell>
          <cell r="Y2370">
            <v>2.3499999999999997E-2</v>
          </cell>
          <cell r="Z2370">
            <v>2.5499999999999998E-2</v>
          </cell>
          <cell r="AA2370">
            <v>2.7750000000000004E-2</v>
          </cell>
          <cell r="AB2370">
            <v>3.0250000000000003E-2</v>
          </cell>
          <cell r="AC2370">
            <v>3.2500000000000001E-2</v>
          </cell>
        </row>
        <row r="2371">
          <cell r="T2371">
            <v>37519</v>
          </cell>
          <cell r="U2371">
            <v>1.9986E-2</v>
          </cell>
          <cell r="V2371">
            <v>2.0406000000000001E-2</v>
          </cell>
          <cell r="W2371">
            <v>1.95E-2</v>
          </cell>
          <cell r="X2371">
            <v>2.1500000000000005E-2</v>
          </cell>
          <cell r="Y2371">
            <v>2.3499999999999997E-2</v>
          </cell>
          <cell r="Z2371">
            <v>2.5499999999999998E-2</v>
          </cell>
          <cell r="AA2371">
            <v>2.7750000000000004E-2</v>
          </cell>
          <cell r="AB2371">
            <v>3.0250000000000003E-2</v>
          </cell>
          <cell r="AC2371">
            <v>3.2500000000000001E-2</v>
          </cell>
        </row>
        <row r="2372">
          <cell r="T2372">
            <v>37518</v>
          </cell>
          <cell r="U2372">
            <v>1.9921999999999999E-2</v>
          </cell>
          <cell r="V2372">
            <v>2.0306000000000001E-2</v>
          </cell>
          <cell r="W2372">
            <v>1.95E-2</v>
          </cell>
          <cell r="X2372">
            <v>2.1749999999999999E-2</v>
          </cell>
          <cell r="Y2372">
            <v>2.41E-2</v>
          </cell>
          <cell r="Z2372">
            <v>2.5949999999999997E-2</v>
          </cell>
          <cell r="AA2372">
            <v>2.8049999999999999E-2</v>
          </cell>
          <cell r="AB2372">
            <v>3.0499999999999999E-2</v>
          </cell>
          <cell r="AC2372">
            <v>3.3000000000000002E-2</v>
          </cell>
        </row>
        <row r="2373">
          <cell r="T2373">
            <v>37517</v>
          </cell>
          <cell r="U2373">
            <v>1.9945999999999998E-2</v>
          </cell>
          <cell r="V2373">
            <v>2.0250000000000001E-2</v>
          </cell>
          <cell r="W2373">
            <v>1.95E-2</v>
          </cell>
          <cell r="X2373">
            <v>2.2199999999999998E-2</v>
          </cell>
          <cell r="Y2373">
            <v>2.435E-2</v>
          </cell>
          <cell r="Z2373">
            <v>2.6500000000000003E-2</v>
          </cell>
          <cell r="AA2373">
            <v>2.8499999999999998E-2</v>
          </cell>
          <cell r="AB2373">
            <v>3.125E-2</v>
          </cell>
          <cell r="AC2373">
            <v>3.3000000000000002E-2</v>
          </cell>
        </row>
        <row r="2374">
          <cell r="T2374">
            <v>37516</v>
          </cell>
          <cell r="U2374">
            <v>1.9806000000000001E-2</v>
          </cell>
          <cell r="V2374">
            <v>2.0143000000000001E-2</v>
          </cell>
          <cell r="W2374">
            <v>1.9900000000000001E-2</v>
          </cell>
          <cell r="X2374">
            <v>2.3049999999999998E-2</v>
          </cell>
          <cell r="Y2374">
            <v>2.5399999999999999E-2</v>
          </cell>
          <cell r="Z2374">
            <v>2.75E-2</v>
          </cell>
          <cell r="AA2374">
            <v>2.9500000000000002E-2</v>
          </cell>
          <cell r="AB2374">
            <v>3.2500000000000001E-2</v>
          </cell>
          <cell r="AC2374">
            <v>3.4000000000000002E-2</v>
          </cell>
        </row>
        <row r="2375">
          <cell r="T2375">
            <v>37515</v>
          </cell>
          <cell r="U2375">
            <v>1.9806000000000001E-2</v>
          </cell>
          <cell r="V2375">
            <v>2.0143000000000001E-2</v>
          </cell>
          <cell r="W2375">
            <v>1.9400000000000001E-2</v>
          </cell>
          <cell r="X2375">
            <v>2.2099999999999998E-2</v>
          </cell>
          <cell r="Y2375">
            <v>2.4249999999999997E-2</v>
          </cell>
          <cell r="Z2375">
            <v>2.6349999999999998E-2</v>
          </cell>
          <cell r="AA2375">
            <v>2.8300000000000002E-2</v>
          </cell>
          <cell r="AB2375">
            <v>3.1E-2</v>
          </cell>
          <cell r="AC2375">
            <v>3.3000000000000002E-2</v>
          </cell>
        </row>
        <row r="2376">
          <cell r="T2376">
            <v>37514</v>
          </cell>
          <cell r="U2376">
            <v>1.9806000000000001E-2</v>
          </cell>
          <cell r="V2376">
            <v>2.0143000000000001E-2</v>
          </cell>
          <cell r="W2376">
            <v>1.95E-2</v>
          </cell>
          <cell r="X2376">
            <v>2.2499999999999999E-2</v>
          </cell>
          <cell r="Y2376">
            <v>2.4500000000000001E-2</v>
          </cell>
          <cell r="Z2376">
            <v>2.6749999999999999E-2</v>
          </cell>
          <cell r="AA2376">
            <v>2.8750000000000001E-2</v>
          </cell>
          <cell r="AB2376">
            <v>3.15E-2</v>
          </cell>
          <cell r="AC2376">
            <v>3.3000000000000002E-2</v>
          </cell>
        </row>
        <row r="2377">
          <cell r="T2377">
            <v>37513</v>
          </cell>
          <cell r="U2377">
            <v>1.9806000000000001E-2</v>
          </cell>
          <cell r="V2377">
            <v>2.0143000000000001E-2</v>
          </cell>
          <cell r="W2377">
            <v>1.95E-2</v>
          </cell>
          <cell r="X2377">
            <v>2.2499999999999999E-2</v>
          </cell>
          <cell r="Y2377">
            <v>2.4500000000000001E-2</v>
          </cell>
          <cell r="Z2377">
            <v>2.6749999999999999E-2</v>
          </cell>
          <cell r="AA2377">
            <v>2.8750000000000001E-2</v>
          </cell>
          <cell r="AB2377">
            <v>3.15E-2</v>
          </cell>
          <cell r="AC2377">
            <v>3.3000000000000002E-2</v>
          </cell>
        </row>
        <row r="2378">
          <cell r="T2378">
            <v>37512</v>
          </cell>
          <cell r="U2378">
            <v>1.9806000000000001E-2</v>
          </cell>
          <cell r="V2378">
            <v>2.0143000000000001E-2</v>
          </cell>
          <cell r="W2378">
            <v>1.95E-2</v>
          </cell>
          <cell r="X2378">
            <v>2.2499999999999999E-2</v>
          </cell>
          <cell r="Y2378">
            <v>2.4500000000000001E-2</v>
          </cell>
          <cell r="Z2378">
            <v>2.6749999999999999E-2</v>
          </cell>
          <cell r="AA2378">
            <v>2.8750000000000001E-2</v>
          </cell>
          <cell r="AB2378">
            <v>3.15E-2</v>
          </cell>
          <cell r="AC2378">
            <v>3.3000000000000002E-2</v>
          </cell>
        </row>
        <row r="2379">
          <cell r="T2379">
            <v>37511</v>
          </cell>
          <cell r="U2379">
            <v>1.9963999999999999E-2</v>
          </cell>
          <cell r="V2379">
            <v>2.0285999999999998E-2</v>
          </cell>
          <cell r="W2379">
            <v>1.9950000000000002E-2</v>
          </cell>
          <cell r="X2379">
            <v>2.2850000000000002E-2</v>
          </cell>
          <cell r="Y2379">
            <v>2.5099999999999997E-2</v>
          </cell>
          <cell r="Z2379">
            <v>2.7149999999999997E-2</v>
          </cell>
          <cell r="AA2379">
            <v>2.9050000000000003E-2</v>
          </cell>
          <cell r="AB2379">
            <v>3.2000000000000001E-2</v>
          </cell>
          <cell r="AC2379">
            <v>3.3000000000000002E-2</v>
          </cell>
        </row>
        <row r="2380">
          <cell r="T2380">
            <v>37510</v>
          </cell>
          <cell r="U2380">
            <v>1.9953000000000002E-2</v>
          </cell>
          <cell r="V2380">
            <v>2.0291999999999998E-2</v>
          </cell>
          <cell r="W2380">
            <v>1.95E-2</v>
          </cell>
          <cell r="X2380">
            <v>2.215E-2</v>
          </cell>
          <cell r="Y2380">
            <v>2.4799999999999999E-2</v>
          </cell>
          <cell r="Z2380">
            <v>2.6849999999999999E-2</v>
          </cell>
          <cell r="AA2380">
            <v>2.8899999999999995E-2</v>
          </cell>
          <cell r="AB2380">
            <v>3.15E-2</v>
          </cell>
          <cell r="AC2380">
            <v>3.3000000000000002E-2</v>
          </cell>
        </row>
        <row r="2381">
          <cell r="T2381">
            <v>37509</v>
          </cell>
          <cell r="U2381">
            <v>1.9983999999999998E-2</v>
          </cell>
          <cell r="V2381">
            <v>2.0291999999999998E-2</v>
          </cell>
          <cell r="W2381">
            <v>1.975E-2</v>
          </cell>
          <cell r="X2381">
            <v>2.2499999999999999E-2</v>
          </cell>
          <cell r="Y2381">
            <v>2.4850000000000004E-2</v>
          </cell>
          <cell r="Z2381">
            <v>2.7149999999999997E-2</v>
          </cell>
          <cell r="AA2381">
            <v>2.9100000000000001E-2</v>
          </cell>
          <cell r="AB2381">
            <v>3.1600000000000003E-2</v>
          </cell>
          <cell r="AC2381">
            <v>3.3000000000000002E-2</v>
          </cell>
        </row>
        <row r="2382">
          <cell r="T2382">
            <v>37508</v>
          </cell>
          <cell r="U2382">
            <v>1.9953000000000002E-2</v>
          </cell>
          <cell r="V2382">
            <v>2.0291999999999998E-2</v>
          </cell>
          <cell r="W2382">
            <v>1.9449999999999999E-2</v>
          </cell>
          <cell r="X2382">
            <v>2.1900000000000003E-2</v>
          </cell>
          <cell r="Y2382">
            <v>2.4199999999999999E-2</v>
          </cell>
          <cell r="Z2382">
            <v>2.6349999999999998E-2</v>
          </cell>
          <cell r="AA2382">
            <v>2.8499999999999998E-2</v>
          </cell>
          <cell r="AB2382">
            <v>3.1300000000000001E-2</v>
          </cell>
          <cell r="AC2382">
            <v>3.3000000000000002E-2</v>
          </cell>
        </row>
        <row r="2383">
          <cell r="T2383">
            <v>37507</v>
          </cell>
          <cell r="U2383">
            <v>1.9921999999999999E-2</v>
          </cell>
          <cell r="V2383">
            <v>2.0250000000000001E-2</v>
          </cell>
          <cell r="W2383">
            <v>1.925E-2</v>
          </cell>
          <cell r="X2383">
            <v>2.1499999999999998E-2</v>
          </cell>
          <cell r="Y2383">
            <v>2.375E-2</v>
          </cell>
          <cell r="Z2383">
            <v>2.5949999999999997E-2</v>
          </cell>
          <cell r="AA2383">
            <v>2.7999999999999997E-2</v>
          </cell>
          <cell r="AB2383">
            <v>3.0700000000000002E-2</v>
          </cell>
          <cell r="AC2383">
            <v>3.3000000000000002E-2</v>
          </cell>
        </row>
        <row r="2384">
          <cell r="T2384">
            <v>37506</v>
          </cell>
          <cell r="U2384">
            <v>1.9921999999999999E-2</v>
          </cell>
          <cell r="V2384">
            <v>2.0250000000000001E-2</v>
          </cell>
          <cell r="W2384">
            <v>1.925E-2</v>
          </cell>
          <cell r="X2384">
            <v>2.1499999999999998E-2</v>
          </cell>
          <cell r="Y2384">
            <v>2.375E-2</v>
          </cell>
          <cell r="Z2384">
            <v>2.5949999999999997E-2</v>
          </cell>
          <cell r="AA2384">
            <v>2.7999999999999997E-2</v>
          </cell>
          <cell r="AB2384">
            <v>3.0700000000000002E-2</v>
          </cell>
          <cell r="AC2384">
            <v>3.3000000000000002E-2</v>
          </cell>
        </row>
        <row r="2385">
          <cell r="T2385">
            <v>37505</v>
          </cell>
          <cell r="U2385">
            <v>1.9921999999999999E-2</v>
          </cell>
          <cell r="V2385">
            <v>2.0250000000000001E-2</v>
          </cell>
          <cell r="W2385">
            <v>1.925E-2</v>
          </cell>
          <cell r="X2385">
            <v>2.1499999999999998E-2</v>
          </cell>
          <cell r="Y2385">
            <v>2.375E-2</v>
          </cell>
          <cell r="Z2385">
            <v>2.5949999999999997E-2</v>
          </cell>
          <cell r="AA2385">
            <v>2.7999999999999997E-2</v>
          </cell>
          <cell r="AB2385">
            <v>3.0700000000000002E-2</v>
          </cell>
          <cell r="AC2385">
            <v>3.3000000000000002E-2</v>
          </cell>
        </row>
        <row r="2386">
          <cell r="T2386">
            <v>37504</v>
          </cell>
          <cell r="U2386">
            <v>1.9921999999999999E-2</v>
          </cell>
          <cell r="V2386">
            <v>2.0250000000000001E-2</v>
          </cell>
          <cell r="W2386">
            <v>1.925E-2</v>
          </cell>
          <cell r="X2386">
            <v>2.1499999999999998E-2</v>
          </cell>
          <cell r="Y2386">
            <v>2.375E-2</v>
          </cell>
          <cell r="Z2386">
            <v>2.5949999999999997E-2</v>
          </cell>
          <cell r="AA2386">
            <v>2.7999999999999997E-2</v>
          </cell>
          <cell r="AB2386">
            <v>3.0700000000000002E-2</v>
          </cell>
          <cell r="AC2386">
            <v>3.3000000000000002E-2</v>
          </cell>
        </row>
        <row r="2387">
          <cell r="T2387">
            <v>37503</v>
          </cell>
          <cell r="U2387">
            <v>1.9765999999999999E-2</v>
          </cell>
          <cell r="V2387">
            <v>2.0083000000000004E-2</v>
          </cell>
          <cell r="W2387">
            <v>1.925E-2</v>
          </cell>
          <cell r="X2387">
            <v>2.1499999999999998E-2</v>
          </cell>
          <cell r="Y2387">
            <v>2.375E-2</v>
          </cell>
          <cell r="Z2387">
            <v>2.5949999999999997E-2</v>
          </cell>
          <cell r="AA2387">
            <v>2.7999999999999997E-2</v>
          </cell>
          <cell r="AB2387">
            <v>3.0700000000000002E-2</v>
          </cell>
          <cell r="AC2387">
            <v>3.3000000000000002E-2</v>
          </cell>
        </row>
        <row r="2388">
          <cell r="T2388">
            <v>37502</v>
          </cell>
          <cell r="U2388">
            <v>1.9875E-2</v>
          </cell>
          <cell r="V2388">
            <v>2.0143000000000001E-2</v>
          </cell>
          <cell r="W2388">
            <v>1.9649999999999997E-2</v>
          </cell>
          <cell r="X2388">
            <v>2.1749999999999999E-2</v>
          </cell>
          <cell r="Y2388">
            <v>2.4000000000000004E-2</v>
          </cell>
          <cell r="Z2388">
            <v>2.6450000000000001E-2</v>
          </cell>
          <cell r="AA2388">
            <v>2.835E-2</v>
          </cell>
          <cell r="AB2388">
            <v>3.1400000000000004E-2</v>
          </cell>
          <cell r="AC2388">
            <v>3.4000000000000002E-2</v>
          </cell>
        </row>
        <row r="2389">
          <cell r="T2389">
            <v>37501</v>
          </cell>
          <cell r="U2389">
            <v>1.9953000000000002E-2</v>
          </cell>
          <cell r="V2389">
            <v>2.0250000000000001E-2</v>
          </cell>
          <cell r="W2389">
            <v>1.975E-2</v>
          </cell>
          <cell r="X2389">
            <v>2.2099999999999998E-2</v>
          </cell>
          <cell r="Y2389">
            <v>2.4249999999999997E-2</v>
          </cell>
          <cell r="Z2389">
            <v>2.6550000000000004E-2</v>
          </cell>
          <cell r="AA2389">
            <v>2.8650000000000002E-2</v>
          </cell>
          <cell r="AB2389">
            <v>3.15E-2</v>
          </cell>
          <cell r="AC2389">
            <v>3.4000000000000002E-2</v>
          </cell>
        </row>
        <row r="2390">
          <cell r="T2390">
            <v>37500</v>
          </cell>
          <cell r="U2390">
            <v>2.0042000000000001E-2</v>
          </cell>
          <cell r="V2390">
            <v>2.0213999999999999E-2</v>
          </cell>
          <cell r="W2390">
            <v>1.975E-2</v>
          </cell>
          <cell r="X2390">
            <v>2.2099999999999998E-2</v>
          </cell>
          <cell r="Y2390">
            <v>2.4249999999999997E-2</v>
          </cell>
          <cell r="Z2390">
            <v>2.6550000000000004E-2</v>
          </cell>
          <cell r="AA2390">
            <v>2.8650000000000002E-2</v>
          </cell>
          <cell r="AB2390">
            <v>3.15E-2</v>
          </cell>
          <cell r="AC2390">
            <v>3.4000000000000002E-2</v>
          </cell>
        </row>
        <row r="2391">
          <cell r="T2391">
            <v>37499</v>
          </cell>
          <cell r="U2391">
            <v>2.0042000000000001E-2</v>
          </cell>
          <cell r="V2391">
            <v>2.0213999999999999E-2</v>
          </cell>
          <cell r="W2391">
            <v>1.975E-2</v>
          </cell>
          <cell r="X2391">
            <v>2.2099999999999998E-2</v>
          </cell>
          <cell r="Y2391">
            <v>2.4249999999999997E-2</v>
          </cell>
          <cell r="Z2391">
            <v>2.6550000000000004E-2</v>
          </cell>
          <cell r="AA2391">
            <v>2.8650000000000002E-2</v>
          </cell>
          <cell r="AB2391">
            <v>3.15E-2</v>
          </cell>
          <cell r="AC2391">
            <v>3.4000000000000002E-2</v>
          </cell>
        </row>
        <row r="2392">
          <cell r="T2392">
            <v>37498</v>
          </cell>
          <cell r="U2392">
            <v>2.0042000000000001E-2</v>
          </cell>
          <cell r="V2392">
            <v>2.0213999999999999E-2</v>
          </cell>
          <cell r="W2392">
            <v>1.975E-2</v>
          </cell>
          <cell r="X2392">
            <v>2.2099999999999998E-2</v>
          </cell>
          <cell r="Y2392">
            <v>2.4249999999999997E-2</v>
          </cell>
          <cell r="Z2392">
            <v>2.6550000000000004E-2</v>
          </cell>
          <cell r="AA2392">
            <v>2.8650000000000002E-2</v>
          </cell>
          <cell r="AB2392">
            <v>3.15E-2</v>
          </cell>
          <cell r="AC2392">
            <v>3.4000000000000002E-2</v>
          </cell>
        </row>
        <row r="2393">
          <cell r="T2393">
            <v>37497</v>
          </cell>
          <cell r="U2393">
            <v>0.02</v>
          </cell>
          <cell r="V2393">
            <v>2.0392999999999998E-2</v>
          </cell>
          <cell r="W2393">
            <v>1.975E-2</v>
          </cell>
          <cell r="X2393">
            <v>2.2099999999999998E-2</v>
          </cell>
          <cell r="Y2393">
            <v>2.4249999999999997E-2</v>
          </cell>
          <cell r="Z2393">
            <v>2.6450000000000001E-2</v>
          </cell>
          <cell r="AA2393">
            <v>2.8549999999999999E-2</v>
          </cell>
          <cell r="AB2393">
            <v>3.15E-2</v>
          </cell>
          <cell r="AC2393">
            <v>3.4000000000000002E-2</v>
          </cell>
        </row>
        <row r="2394">
          <cell r="T2394">
            <v>37496</v>
          </cell>
          <cell r="U2394">
            <v>0.02</v>
          </cell>
          <cell r="V2394">
            <v>2.0411000000000002E-2</v>
          </cell>
          <cell r="W2394">
            <v>1.9799999999999998E-2</v>
          </cell>
          <cell r="X2394">
            <v>2.1749999999999999E-2</v>
          </cell>
          <cell r="Y2394">
            <v>2.4249999999999997E-2</v>
          </cell>
          <cell r="Z2394">
            <v>2.64E-2</v>
          </cell>
          <cell r="AA2394">
            <v>2.8399999999999998E-2</v>
          </cell>
          <cell r="AB2394">
            <v>3.15E-2</v>
          </cell>
          <cell r="AC2394">
            <v>3.4500000000000003E-2</v>
          </cell>
        </row>
        <row r="2395">
          <cell r="T2395">
            <v>37495</v>
          </cell>
          <cell r="U2395">
            <v>1.9963999999999999E-2</v>
          </cell>
          <cell r="V2395">
            <v>2.0531000000000001E-2</v>
          </cell>
          <cell r="W2395">
            <v>1.9799999999999998E-2</v>
          </cell>
          <cell r="X2395">
            <v>2.2250000000000002E-2</v>
          </cell>
          <cell r="Y2395">
            <v>2.4799999999999999E-2</v>
          </cell>
          <cell r="Z2395">
            <v>2.7300000000000001E-2</v>
          </cell>
          <cell r="AA2395">
            <v>2.9299999999999996E-2</v>
          </cell>
          <cell r="AB2395">
            <v>3.2750000000000001E-2</v>
          </cell>
          <cell r="AC2395">
            <v>3.4500000000000003E-2</v>
          </cell>
        </row>
        <row r="2396">
          <cell r="T2396">
            <v>37494</v>
          </cell>
          <cell r="U2396">
            <v>2.0062000000000003E-2</v>
          </cell>
          <cell r="V2396">
            <v>2.0482E-2</v>
          </cell>
          <cell r="W2396">
            <v>1.95E-2</v>
          </cell>
          <cell r="X2396">
            <v>2.1550000000000003E-2</v>
          </cell>
          <cell r="Y2396">
            <v>2.3799999999999998E-2</v>
          </cell>
          <cell r="Z2396">
            <v>2.63E-2</v>
          </cell>
          <cell r="AA2396">
            <v>2.8300000000000002E-2</v>
          </cell>
          <cell r="AB2396">
            <v>3.15E-2</v>
          </cell>
          <cell r="AC2396">
            <v>3.4000000000000002E-2</v>
          </cell>
        </row>
        <row r="2397">
          <cell r="T2397">
            <v>37493</v>
          </cell>
          <cell r="U2397">
            <v>0.02</v>
          </cell>
          <cell r="V2397">
            <v>2.0457999999999997E-2</v>
          </cell>
          <cell r="W2397">
            <v>1.975E-2</v>
          </cell>
          <cell r="X2397">
            <v>2.1749999999999999E-2</v>
          </cell>
          <cell r="Y2397">
            <v>2.4000000000000004E-2</v>
          </cell>
          <cell r="Z2397">
            <v>2.64E-2</v>
          </cell>
          <cell r="AA2397">
            <v>2.9249999999999998E-2</v>
          </cell>
          <cell r="AB2397">
            <v>3.2250000000000001E-2</v>
          </cell>
          <cell r="AC2397">
            <v>3.4000000000000002E-2</v>
          </cell>
        </row>
        <row r="2398">
          <cell r="T2398">
            <v>37492</v>
          </cell>
          <cell r="U2398">
            <v>0.02</v>
          </cell>
          <cell r="V2398">
            <v>2.0457999999999997E-2</v>
          </cell>
          <cell r="W2398">
            <v>1.975E-2</v>
          </cell>
          <cell r="X2398">
            <v>2.1749999999999999E-2</v>
          </cell>
          <cell r="Y2398">
            <v>2.4000000000000004E-2</v>
          </cell>
          <cell r="Z2398">
            <v>2.64E-2</v>
          </cell>
          <cell r="AA2398">
            <v>2.9249999999999998E-2</v>
          </cell>
          <cell r="AB2398">
            <v>3.2250000000000001E-2</v>
          </cell>
          <cell r="AC2398">
            <v>3.4000000000000002E-2</v>
          </cell>
        </row>
        <row r="2399">
          <cell r="T2399">
            <v>37491</v>
          </cell>
          <cell r="U2399">
            <v>0.02</v>
          </cell>
          <cell r="V2399">
            <v>2.0457999999999997E-2</v>
          </cell>
          <cell r="W2399">
            <v>1.975E-2</v>
          </cell>
          <cell r="X2399">
            <v>2.1749999999999999E-2</v>
          </cell>
          <cell r="Y2399">
            <v>2.4000000000000004E-2</v>
          </cell>
          <cell r="Z2399">
            <v>2.64E-2</v>
          </cell>
          <cell r="AA2399">
            <v>2.9249999999999998E-2</v>
          </cell>
          <cell r="AB2399">
            <v>3.2250000000000001E-2</v>
          </cell>
          <cell r="AC2399">
            <v>3.4000000000000002E-2</v>
          </cell>
        </row>
        <row r="2400">
          <cell r="T2400">
            <v>37490</v>
          </cell>
          <cell r="U2400">
            <v>0.02</v>
          </cell>
          <cell r="V2400">
            <v>2.0457999999999997E-2</v>
          </cell>
          <cell r="W2400">
            <v>1.9E-2</v>
          </cell>
          <cell r="X2400">
            <v>2.0499999999999997E-2</v>
          </cell>
          <cell r="Y2400">
            <v>2.3499999999999997E-2</v>
          </cell>
          <cell r="Z2400">
            <v>2.5649999999999999E-2</v>
          </cell>
          <cell r="AA2400">
            <v>2.7649999999999997E-2</v>
          </cell>
          <cell r="AB2400">
            <v>3.0499999999999999E-2</v>
          </cell>
          <cell r="AC2400">
            <v>3.4000000000000002E-2</v>
          </cell>
        </row>
        <row r="2401">
          <cell r="T2401">
            <v>37489</v>
          </cell>
          <cell r="U2401">
            <v>1.9937E-2</v>
          </cell>
          <cell r="V2401">
            <v>2.0464000000000003E-2</v>
          </cell>
          <cell r="W2401">
            <v>1.9E-2</v>
          </cell>
          <cell r="X2401">
            <v>2.1150000000000002E-2</v>
          </cell>
          <cell r="Y2401">
            <v>2.3650000000000001E-2</v>
          </cell>
          <cell r="Z2401">
            <v>2.5700000000000004E-2</v>
          </cell>
          <cell r="AA2401">
            <v>2.75E-2</v>
          </cell>
          <cell r="AB2401">
            <v>3.0999999999999996E-2</v>
          </cell>
          <cell r="AC2401">
            <v>3.4000000000000002E-2</v>
          </cell>
        </row>
        <row r="2402">
          <cell r="T2402">
            <v>37488</v>
          </cell>
          <cell r="U2402">
            <v>1.9937E-2</v>
          </cell>
          <cell r="V2402">
            <v>2.0499999999999997E-2</v>
          </cell>
          <cell r="W2402">
            <v>1.9E-2</v>
          </cell>
          <cell r="X2402">
            <v>2.1299999999999999E-2</v>
          </cell>
          <cell r="Y2402">
            <v>2.3499999999999997E-2</v>
          </cell>
          <cell r="Z2402">
            <v>2.5549999999999996E-2</v>
          </cell>
          <cell r="AA2402">
            <v>2.75E-2</v>
          </cell>
          <cell r="AB2402">
            <v>3.0800000000000001E-2</v>
          </cell>
          <cell r="AC2402">
            <v>3.4000000000000002E-2</v>
          </cell>
        </row>
        <row r="2403">
          <cell r="T2403">
            <v>37487</v>
          </cell>
          <cell r="U2403">
            <v>1.9833E-2</v>
          </cell>
          <cell r="V2403">
            <v>2.0250000000000001E-2</v>
          </cell>
          <cell r="W2403">
            <v>1.9E-2</v>
          </cell>
          <cell r="X2403">
            <v>2.0750000000000001E-2</v>
          </cell>
          <cell r="Y2403">
            <v>2.2949999999999998E-2</v>
          </cell>
          <cell r="Z2403">
            <v>2.4900000000000002E-2</v>
          </cell>
          <cell r="AA2403">
            <v>2.69E-2</v>
          </cell>
          <cell r="AB2403">
            <v>3.0800000000000001E-2</v>
          </cell>
          <cell r="AC2403">
            <v>3.4000000000000002E-2</v>
          </cell>
        </row>
        <row r="2404">
          <cell r="T2404">
            <v>37486</v>
          </cell>
          <cell r="U2404">
            <v>1.9806000000000001E-2</v>
          </cell>
          <cell r="V2404">
            <v>2.0213999999999999E-2</v>
          </cell>
          <cell r="W2404">
            <v>1.8950000000000002E-2</v>
          </cell>
          <cell r="X2404">
            <v>2.0250000000000001E-2</v>
          </cell>
          <cell r="Y2404">
            <v>2.2599999999999999E-2</v>
          </cell>
          <cell r="Z2404">
            <v>2.4649999999999998E-2</v>
          </cell>
          <cell r="AA2404">
            <v>2.6600000000000002E-2</v>
          </cell>
          <cell r="AB2404">
            <v>3.0350000000000002E-2</v>
          </cell>
          <cell r="AC2404">
            <v>3.3000000000000002E-2</v>
          </cell>
        </row>
        <row r="2405">
          <cell r="T2405">
            <v>37485</v>
          </cell>
          <cell r="U2405">
            <v>1.9806000000000001E-2</v>
          </cell>
          <cell r="V2405">
            <v>2.0213999999999999E-2</v>
          </cell>
          <cell r="W2405">
            <v>1.8950000000000002E-2</v>
          </cell>
          <cell r="X2405">
            <v>2.0250000000000001E-2</v>
          </cell>
          <cell r="Y2405">
            <v>2.2599999999999999E-2</v>
          </cell>
          <cell r="Z2405">
            <v>2.4649999999999998E-2</v>
          </cell>
          <cell r="AA2405">
            <v>2.6600000000000002E-2</v>
          </cell>
          <cell r="AB2405">
            <v>3.0350000000000002E-2</v>
          </cell>
          <cell r="AC2405">
            <v>3.3000000000000002E-2</v>
          </cell>
        </row>
        <row r="2406">
          <cell r="T2406">
            <v>37484</v>
          </cell>
          <cell r="U2406">
            <v>1.9806000000000001E-2</v>
          </cell>
          <cell r="V2406">
            <v>2.0213999999999999E-2</v>
          </cell>
          <cell r="W2406">
            <v>1.8950000000000002E-2</v>
          </cell>
          <cell r="X2406">
            <v>2.0250000000000001E-2</v>
          </cell>
          <cell r="Y2406">
            <v>2.2599999999999999E-2</v>
          </cell>
          <cell r="Z2406">
            <v>2.4649999999999998E-2</v>
          </cell>
          <cell r="AA2406">
            <v>2.6600000000000002E-2</v>
          </cell>
          <cell r="AB2406">
            <v>3.0350000000000002E-2</v>
          </cell>
          <cell r="AC2406">
            <v>3.3000000000000002E-2</v>
          </cell>
        </row>
        <row r="2407">
          <cell r="T2407">
            <v>37483</v>
          </cell>
          <cell r="U2407">
            <v>2.0031E-2</v>
          </cell>
          <cell r="V2407">
            <v>2.0499999999999997E-2</v>
          </cell>
          <cell r="W2407">
            <v>1.8749999999999999E-2</v>
          </cell>
          <cell r="X2407">
            <v>2.0099999999999996E-2</v>
          </cell>
          <cell r="Y2407">
            <v>2.2250000000000002E-2</v>
          </cell>
          <cell r="Z2407">
            <v>2.435E-2</v>
          </cell>
          <cell r="AA2407">
            <v>2.6349999999999998E-2</v>
          </cell>
          <cell r="AB2407">
            <v>2.98E-2</v>
          </cell>
          <cell r="AC2407">
            <v>3.3000000000000002E-2</v>
          </cell>
        </row>
        <row r="2408">
          <cell r="T2408">
            <v>37482</v>
          </cell>
          <cell r="U2408">
            <v>1.9917000000000001E-2</v>
          </cell>
          <cell r="V2408">
            <v>2.0357E-2</v>
          </cell>
          <cell r="W2408">
            <v>1.8550000000000001E-2</v>
          </cell>
          <cell r="X2408">
            <v>1.9599999999999999E-2</v>
          </cell>
          <cell r="Y2408">
            <v>2.1700000000000001E-2</v>
          </cell>
          <cell r="Z2408">
            <v>2.3599999999999999E-2</v>
          </cell>
          <cell r="AA2408">
            <v>2.5699999999999997E-2</v>
          </cell>
          <cell r="AB2408">
            <v>2.9500000000000002E-2</v>
          </cell>
          <cell r="AC2408">
            <v>3.3000000000000002E-2</v>
          </cell>
        </row>
        <row r="2409">
          <cell r="T2409">
            <v>37481</v>
          </cell>
          <cell r="U2409">
            <v>1.9944E-2</v>
          </cell>
          <cell r="V2409">
            <v>2.0285999999999998E-2</v>
          </cell>
          <cell r="W2409">
            <v>1.8550000000000001E-2</v>
          </cell>
          <cell r="X2409">
            <v>1.985E-2</v>
          </cell>
          <cell r="Y2409">
            <v>2.2349999999999998E-2</v>
          </cell>
          <cell r="Z2409">
            <v>2.41E-2</v>
          </cell>
          <cell r="AA2409">
            <v>2.6000000000000002E-2</v>
          </cell>
          <cell r="AB2409">
            <v>3.1E-2</v>
          </cell>
          <cell r="AC2409">
            <v>3.3000000000000002E-2</v>
          </cell>
        </row>
        <row r="2410">
          <cell r="T2410">
            <v>37480</v>
          </cell>
          <cell r="U2410">
            <v>1.9917000000000001E-2</v>
          </cell>
          <cell r="V2410">
            <v>2.0250000000000001E-2</v>
          </cell>
          <cell r="W2410">
            <v>1.7749999999999998E-2</v>
          </cell>
          <cell r="X2410">
            <v>1.9349999999999999E-2</v>
          </cell>
          <cell r="Y2410">
            <v>2.1749999999999999E-2</v>
          </cell>
          <cell r="Z2410">
            <v>2.3799999999999998E-2</v>
          </cell>
          <cell r="AA2410">
            <v>2.58E-2</v>
          </cell>
          <cell r="AB2410">
            <v>3.1E-2</v>
          </cell>
          <cell r="AC2410">
            <v>3.3000000000000002E-2</v>
          </cell>
        </row>
        <row r="2411">
          <cell r="T2411">
            <v>37479</v>
          </cell>
          <cell r="U2411">
            <v>1.9889E-2</v>
          </cell>
          <cell r="V2411">
            <v>2.0213999999999999E-2</v>
          </cell>
          <cell r="W2411">
            <v>1.95E-2</v>
          </cell>
          <cell r="X2411">
            <v>2.2499999999999999E-2</v>
          </cell>
          <cell r="Y2411">
            <v>2.52E-2</v>
          </cell>
          <cell r="Z2411">
            <v>2.4500000000000001E-2</v>
          </cell>
          <cell r="AA2411">
            <v>2.6500000000000003E-2</v>
          </cell>
          <cell r="AB2411">
            <v>2.98E-2</v>
          </cell>
          <cell r="AC2411">
            <v>3.3000000000000002E-2</v>
          </cell>
        </row>
        <row r="2412">
          <cell r="T2412">
            <v>37478</v>
          </cell>
          <cell r="U2412">
            <v>1.9889E-2</v>
          </cell>
          <cell r="V2412">
            <v>2.0213999999999999E-2</v>
          </cell>
          <cell r="W2412">
            <v>1.95E-2</v>
          </cell>
          <cell r="X2412">
            <v>2.2499999999999999E-2</v>
          </cell>
          <cell r="Y2412">
            <v>2.52E-2</v>
          </cell>
          <cell r="Z2412">
            <v>2.4500000000000001E-2</v>
          </cell>
          <cell r="AA2412">
            <v>2.6500000000000003E-2</v>
          </cell>
          <cell r="AB2412">
            <v>2.98E-2</v>
          </cell>
          <cell r="AC2412">
            <v>3.3000000000000002E-2</v>
          </cell>
        </row>
        <row r="2413">
          <cell r="T2413">
            <v>37477</v>
          </cell>
          <cell r="U2413">
            <v>1.9889E-2</v>
          </cell>
          <cell r="V2413">
            <v>2.0213999999999999E-2</v>
          </cell>
          <cell r="W2413">
            <v>1.95E-2</v>
          </cell>
          <cell r="X2413">
            <v>2.2499999999999999E-2</v>
          </cell>
          <cell r="Y2413">
            <v>2.52E-2</v>
          </cell>
          <cell r="Z2413">
            <v>2.4500000000000001E-2</v>
          </cell>
          <cell r="AA2413">
            <v>2.6500000000000003E-2</v>
          </cell>
          <cell r="AB2413">
            <v>2.98E-2</v>
          </cell>
          <cell r="AC2413">
            <v>3.3000000000000002E-2</v>
          </cell>
        </row>
        <row r="2414">
          <cell r="T2414">
            <v>37476</v>
          </cell>
          <cell r="U2414">
            <v>2.0499999999999997E-2</v>
          </cell>
          <cell r="V2414">
            <v>2.0750000000000001E-2</v>
          </cell>
          <cell r="W2414">
            <v>1.8000000000000002E-2</v>
          </cell>
          <cell r="X2414">
            <v>1.9299999999999998E-2</v>
          </cell>
          <cell r="Y2414">
            <v>2.18E-2</v>
          </cell>
          <cell r="Z2414">
            <v>2.4000000000000004E-2</v>
          </cell>
          <cell r="AA2414">
            <v>2.6099999999999998E-2</v>
          </cell>
          <cell r="AB2414">
            <v>2.98E-2</v>
          </cell>
          <cell r="AC2414">
            <v>3.3000000000000002E-2</v>
          </cell>
        </row>
        <row r="2415">
          <cell r="T2415">
            <v>37475</v>
          </cell>
          <cell r="U2415">
            <v>2.0047000000000002E-2</v>
          </cell>
          <cell r="V2415">
            <v>2.0392999999999998E-2</v>
          </cell>
          <cell r="W2415">
            <v>1.8000000000000002E-2</v>
          </cell>
          <cell r="X2415">
            <v>2.0099999999999996E-2</v>
          </cell>
          <cell r="Y2415">
            <v>2.2550000000000001E-2</v>
          </cell>
          <cell r="Z2415">
            <v>2.4699999999999996E-2</v>
          </cell>
          <cell r="AA2415">
            <v>2.6699999999999998E-2</v>
          </cell>
          <cell r="AB2415">
            <v>3.0200000000000001E-2</v>
          </cell>
          <cell r="AC2415">
            <v>3.3500000000000002E-2</v>
          </cell>
        </row>
        <row r="2416">
          <cell r="T2416">
            <v>37474</v>
          </cell>
          <cell r="U2416">
            <v>2.0069E-2</v>
          </cell>
          <cell r="V2416">
            <v>2.0428999999999999E-2</v>
          </cell>
          <cell r="W2416">
            <v>1.8000000000000002E-2</v>
          </cell>
          <cell r="X2416">
            <v>1.9799999999999998E-2</v>
          </cell>
          <cell r="Y2416">
            <v>2.2199999999999998E-2</v>
          </cell>
          <cell r="Z2416">
            <v>2.4500000000000001E-2</v>
          </cell>
          <cell r="AA2416">
            <v>2.6500000000000003E-2</v>
          </cell>
          <cell r="AB2416">
            <v>3.0750000000000003E-2</v>
          </cell>
          <cell r="AC2416">
            <v>3.5499999999999997E-2</v>
          </cell>
        </row>
        <row r="2417">
          <cell r="T2417">
            <v>37473</v>
          </cell>
          <cell r="U2417">
            <v>2.0069E-2</v>
          </cell>
          <cell r="V2417">
            <v>2.0428999999999999E-2</v>
          </cell>
          <cell r="W2417">
            <v>1.83E-2</v>
          </cell>
          <cell r="X2417">
            <v>2.0250000000000001E-2</v>
          </cell>
          <cell r="Y2417">
            <v>2.2749999999999999E-2</v>
          </cell>
          <cell r="Z2417">
            <v>2.5099999999999997E-2</v>
          </cell>
          <cell r="AA2417">
            <v>2.7149999999999997E-2</v>
          </cell>
          <cell r="AB2417">
            <v>3.0750000000000003E-2</v>
          </cell>
          <cell r="AC2417">
            <v>3.5499999999999997E-2</v>
          </cell>
        </row>
        <row r="2418">
          <cell r="T2418">
            <v>37472</v>
          </cell>
          <cell r="U2418">
            <v>2.0171999999999999E-2</v>
          </cell>
          <cell r="V2418">
            <v>2.0750000000000001E-2</v>
          </cell>
          <cell r="W2418">
            <v>1.8550000000000001E-2</v>
          </cell>
          <cell r="X2418">
            <v>2.06E-2</v>
          </cell>
          <cell r="Y2418">
            <v>2.3300000000000001E-2</v>
          </cell>
          <cell r="Z2418">
            <v>2.5499999999999998E-2</v>
          </cell>
          <cell r="AA2418">
            <v>2.76E-2</v>
          </cell>
          <cell r="AB2418">
            <v>3.1349999999999996E-2</v>
          </cell>
          <cell r="AC2418">
            <v>3.6000000000000004E-2</v>
          </cell>
        </row>
        <row r="2419">
          <cell r="T2419">
            <v>37471</v>
          </cell>
          <cell r="U2419">
            <v>2.0171999999999999E-2</v>
          </cell>
          <cell r="V2419">
            <v>2.0750000000000001E-2</v>
          </cell>
          <cell r="W2419">
            <v>1.8550000000000001E-2</v>
          </cell>
          <cell r="X2419">
            <v>2.06E-2</v>
          </cell>
          <cell r="Y2419">
            <v>2.3300000000000001E-2</v>
          </cell>
          <cell r="Z2419">
            <v>2.5499999999999998E-2</v>
          </cell>
          <cell r="AA2419">
            <v>2.76E-2</v>
          </cell>
          <cell r="AB2419">
            <v>3.1349999999999996E-2</v>
          </cell>
          <cell r="AC2419">
            <v>3.6000000000000004E-2</v>
          </cell>
        </row>
        <row r="2420">
          <cell r="T2420">
            <v>37470</v>
          </cell>
          <cell r="U2420">
            <v>2.0171999999999999E-2</v>
          </cell>
          <cell r="V2420">
            <v>2.0750000000000001E-2</v>
          </cell>
          <cell r="W2420">
            <v>1.8550000000000001E-2</v>
          </cell>
          <cell r="X2420">
            <v>2.06E-2</v>
          </cell>
          <cell r="Y2420">
            <v>2.3300000000000001E-2</v>
          </cell>
          <cell r="Z2420">
            <v>2.5499999999999998E-2</v>
          </cell>
          <cell r="AA2420">
            <v>2.76E-2</v>
          </cell>
          <cell r="AB2420">
            <v>3.1349999999999996E-2</v>
          </cell>
          <cell r="AC2420">
            <v>3.6000000000000004E-2</v>
          </cell>
        </row>
        <row r="2421">
          <cell r="T2421">
            <v>37469</v>
          </cell>
          <cell r="U2421">
            <v>2.0320999999999999E-2</v>
          </cell>
          <cell r="V2421">
            <v>2.0583000000000001E-2</v>
          </cell>
          <cell r="W2421">
            <v>1.95E-2</v>
          </cell>
          <cell r="X2421">
            <v>2.0899999999999998E-2</v>
          </cell>
          <cell r="Y2421">
            <v>2.35E-2</v>
          </cell>
          <cell r="Z2421">
            <v>2.5750000000000002E-2</v>
          </cell>
          <cell r="AA2421">
            <v>2.7800000000000002E-2</v>
          </cell>
          <cell r="AB2421">
            <v>3.1349999999999996E-2</v>
          </cell>
          <cell r="AC2421">
            <v>3.6000000000000004E-2</v>
          </cell>
        </row>
        <row r="2422">
          <cell r="T2422">
            <v>37468</v>
          </cell>
          <cell r="U2422">
            <v>2.0453000000000002E-2</v>
          </cell>
          <cell r="V2422">
            <v>2.1000000000000001E-2</v>
          </cell>
          <cell r="W2422">
            <v>1.925E-2</v>
          </cell>
          <cell r="X2422">
            <v>2.12E-2</v>
          </cell>
          <cell r="Y2422">
            <v>2.4150000000000001E-2</v>
          </cell>
          <cell r="Z2422">
            <v>2.6150000000000003E-2</v>
          </cell>
          <cell r="AA2422">
            <v>2.8149999999999998E-2</v>
          </cell>
          <cell r="AB2422">
            <v>3.1800000000000002E-2</v>
          </cell>
          <cell r="AC2422">
            <v>3.6000000000000004E-2</v>
          </cell>
        </row>
        <row r="2423">
          <cell r="T2423">
            <v>37467</v>
          </cell>
          <cell r="U2423">
            <v>2.0280999999999997E-2</v>
          </cell>
          <cell r="V2423">
            <v>2.1063000000000002E-2</v>
          </cell>
          <cell r="W2423">
            <v>1.9100000000000002E-2</v>
          </cell>
          <cell r="X2423">
            <v>2.1600000000000001E-2</v>
          </cell>
          <cell r="Y2423">
            <v>2.4150000000000001E-2</v>
          </cell>
          <cell r="Z2423">
            <v>2.63E-2</v>
          </cell>
          <cell r="AA2423">
            <v>2.8399999999999998E-2</v>
          </cell>
          <cell r="AB2423">
            <v>3.2000000000000001E-2</v>
          </cell>
          <cell r="AC2423">
            <v>3.6000000000000004E-2</v>
          </cell>
        </row>
        <row r="2424">
          <cell r="T2424">
            <v>37466</v>
          </cell>
          <cell r="U2424">
            <v>2.0358999999999999E-2</v>
          </cell>
          <cell r="V2424">
            <v>2.0916999999999998E-2</v>
          </cell>
          <cell r="W2424">
            <v>1.915E-2</v>
          </cell>
          <cell r="X2424">
            <v>2.1400000000000002E-2</v>
          </cell>
          <cell r="Y2424">
            <v>2.3899999999999998E-2</v>
          </cell>
          <cell r="Z2424">
            <v>2.6150000000000003E-2</v>
          </cell>
          <cell r="AA2424">
            <v>2.8199999999999999E-2</v>
          </cell>
          <cell r="AB2424">
            <v>3.2000000000000001E-2</v>
          </cell>
          <cell r="AC2424">
            <v>3.6000000000000004E-2</v>
          </cell>
        </row>
        <row r="2425">
          <cell r="T2425">
            <v>37465</v>
          </cell>
          <cell r="U2425">
            <v>1.9518000000000001E-2</v>
          </cell>
          <cell r="V2425">
            <v>1.9917000000000001E-2</v>
          </cell>
          <cell r="W2425">
            <v>1.84E-2</v>
          </cell>
          <cell r="X2425">
            <v>2.0750000000000001E-2</v>
          </cell>
          <cell r="Y2425">
            <v>2.3399999999999997E-2</v>
          </cell>
          <cell r="Z2425">
            <v>2.5849999999999998E-2</v>
          </cell>
          <cell r="AA2425">
            <v>2.785E-2</v>
          </cell>
          <cell r="AB2425">
            <v>3.2000000000000001E-2</v>
          </cell>
          <cell r="AC2425">
            <v>3.2500000000000001E-2</v>
          </cell>
        </row>
        <row r="2426">
          <cell r="T2426">
            <v>37464</v>
          </cell>
          <cell r="U2426">
            <v>1.9518000000000001E-2</v>
          </cell>
          <cell r="V2426">
            <v>1.9917000000000001E-2</v>
          </cell>
          <cell r="W2426">
            <v>1.84E-2</v>
          </cell>
          <cell r="X2426">
            <v>2.0750000000000001E-2</v>
          </cell>
          <cell r="Y2426">
            <v>2.3399999999999997E-2</v>
          </cell>
          <cell r="Z2426">
            <v>2.5849999999999998E-2</v>
          </cell>
          <cell r="AA2426">
            <v>2.785E-2</v>
          </cell>
          <cell r="AB2426">
            <v>3.2000000000000001E-2</v>
          </cell>
          <cell r="AC2426">
            <v>3.2500000000000001E-2</v>
          </cell>
        </row>
        <row r="2427">
          <cell r="T2427">
            <v>37463</v>
          </cell>
          <cell r="U2427">
            <v>1.9518000000000001E-2</v>
          </cell>
          <cell r="V2427">
            <v>1.9917000000000001E-2</v>
          </cell>
          <cell r="W2427">
            <v>1.84E-2</v>
          </cell>
          <cell r="X2427">
            <v>2.0750000000000001E-2</v>
          </cell>
          <cell r="Y2427">
            <v>2.3399999999999997E-2</v>
          </cell>
          <cell r="Z2427">
            <v>2.5849999999999998E-2</v>
          </cell>
          <cell r="AA2427">
            <v>2.785E-2</v>
          </cell>
          <cell r="AB2427">
            <v>3.2000000000000001E-2</v>
          </cell>
          <cell r="AC2427">
            <v>3.2500000000000001E-2</v>
          </cell>
        </row>
        <row r="2428">
          <cell r="T2428">
            <v>37462</v>
          </cell>
          <cell r="U2428">
            <v>1.915E-2</v>
          </cell>
          <cell r="V2428">
            <v>1.985E-2</v>
          </cell>
          <cell r="W2428">
            <v>1.865E-2</v>
          </cell>
          <cell r="X2428">
            <v>2.1299999999999999E-2</v>
          </cell>
          <cell r="Y2428">
            <v>2.4399999999999998E-2</v>
          </cell>
          <cell r="Z2428">
            <v>2.7000000000000003E-2</v>
          </cell>
          <cell r="AA2428">
            <v>2.9000000000000005E-2</v>
          </cell>
          <cell r="AB2428">
            <v>3.2750000000000001E-2</v>
          </cell>
          <cell r="AC2428">
            <v>3.6249999999999998E-2</v>
          </cell>
        </row>
        <row r="2429">
          <cell r="T2429">
            <v>37461</v>
          </cell>
          <cell r="U2429">
            <v>1.9328000000000001E-2</v>
          </cell>
          <cell r="V2429">
            <v>1.9857E-2</v>
          </cell>
          <cell r="W2429">
            <v>1.8749999999999999E-2</v>
          </cell>
          <cell r="X2429">
            <v>2.1700000000000001E-2</v>
          </cell>
          <cell r="Y2429">
            <v>2.495E-2</v>
          </cell>
          <cell r="Z2429">
            <v>2.75E-2</v>
          </cell>
          <cell r="AA2429">
            <v>2.9350000000000001E-2</v>
          </cell>
          <cell r="AB2429">
            <v>3.3250000000000002E-2</v>
          </cell>
          <cell r="AC2429">
            <v>3.6249999999999998E-2</v>
          </cell>
        </row>
        <row r="2430">
          <cell r="T2430">
            <v>37460</v>
          </cell>
          <cell r="U2430">
            <v>1.9188E-2</v>
          </cell>
          <cell r="V2430">
            <v>1.9562E-2</v>
          </cell>
          <cell r="W2430">
            <v>1.9199999999999998E-2</v>
          </cell>
          <cell r="X2430">
            <v>2.2350000000000002E-2</v>
          </cell>
          <cell r="Y2430">
            <v>2.58E-2</v>
          </cell>
          <cell r="Z2430">
            <v>2.7999999999999997E-2</v>
          </cell>
          <cell r="AA2430">
            <v>3.0200000000000001E-2</v>
          </cell>
          <cell r="AB2430">
            <v>3.3499999999999995E-2</v>
          </cell>
          <cell r="AC2430">
            <v>3.6249999999999998E-2</v>
          </cell>
        </row>
        <row r="2431">
          <cell r="T2431">
            <v>37459</v>
          </cell>
          <cell r="U2431">
            <v>1.9296999999999998E-2</v>
          </cell>
          <cell r="V2431">
            <v>1.975E-2</v>
          </cell>
          <cell r="W2431">
            <v>1.8749999999999999E-2</v>
          </cell>
          <cell r="X2431">
            <v>2.1850000000000001E-2</v>
          </cell>
          <cell r="Y2431">
            <v>2.4649999999999998E-2</v>
          </cell>
          <cell r="Z2431">
            <v>2.75E-2</v>
          </cell>
          <cell r="AA2431">
            <v>2.9500000000000002E-2</v>
          </cell>
          <cell r="AB2431">
            <v>3.2750000000000001E-2</v>
          </cell>
          <cell r="AC2431">
            <v>3.6000000000000004E-2</v>
          </cell>
        </row>
        <row r="2432">
          <cell r="T2432">
            <v>37458</v>
          </cell>
          <cell r="U2432">
            <v>1.9234000000000001E-2</v>
          </cell>
          <cell r="V2432">
            <v>1.975E-2</v>
          </cell>
          <cell r="W2432">
            <v>1.925E-2</v>
          </cell>
          <cell r="X2432">
            <v>2.23E-2</v>
          </cell>
          <cell r="Y2432">
            <v>2.5499999999999998E-2</v>
          </cell>
          <cell r="Z2432">
            <v>2.7999999999999997E-2</v>
          </cell>
          <cell r="AA2432">
            <v>2.98E-2</v>
          </cell>
          <cell r="AB2432">
            <v>3.2750000000000001E-2</v>
          </cell>
          <cell r="AC2432">
            <v>3.6000000000000004E-2</v>
          </cell>
        </row>
        <row r="2433">
          <cell r="T2433">
            <v>37457</v>
          </cell>
          <cell r="U2433">
            <v>1.9234000000000001E-2</v>
          </cell>
          <cell r="V2433">
            <v>1.975E-2</v>
          </cell>
          <cell r="W2433">
            <v>1.925E-2</v>
          </cell>
          <cell r="X2433">
            <v>2.23E-2</v>
          </cell>
          <cell r="Y2433">
            <v>2.5499999999999998E-2</v>
          </cell>
          <cell r="Z2433">
            <v>2.7999999999999997E-2</v>
          </cell>
          <cell r="AA2433">
            <v>2.98E-2</v>
          </cell>
          <cell r="AB2433">
            <v>3.2750000000000001E-2</v>
          </cell>
          <cell r="AC2433">
            <v>3.6000000000000004E-2</v>
          </cell>
        </row>
        <row r="2434">
          <cell r="T2434">
            <v>37456</v>
          </cell>
          <cell r="U2434">
            <v>1.9234000000000001E-2</v>
          </cell>
          <cell r="V2434">
            <v>1.975E-2</v>
          </cell>
          <cell r="W2434">
            <v>1.925E-2</v>
          </cell>
          <cell r="X2434">
            <v>2.23E-2</v>
          </cell>
          <cell r="Y2434">
            <v>2.5499999999999998E-2</v>
          </cell>
          <cell r="Z2434">
            <v>2.7999999999999997E-2</v>
          </cell>
          <cell r="AA2434">
            <v>2.98E-2</v>
          </cell>
          <cell r="AB2434">
            <v>3.2750000000000001E-2</v>
          </cell>
          <cell r="AC2434">
            <v>3.6000000000000004E-2</v>
          </cell>
        </row>
        <row r="2435">
          <cell r="T2435">
            <v>37455</v>
          </cell>
          <cell r="U2435">
            <v>1.925E-2</v>
          </cell>
          <cell r="V2435">
            <v>1.975E-2</v>
          </cell>
          <cell r="W2435">
            <v>1.9100000000000002E-2</v>
          </cell>
          <cell r="X2435">
            <v>2.2099999999999998E-2</v>
          </cell>
          <cell r="Y2435">
            <v>2.5099999999999997E-2</v>
          </cell>
          <cell r="Z2435">
            <v>2.76E-2</v>
          </cell>
          <cell r="AA2435">
            <v>2.98E-2</v>
          </cell>
          <cell r="AB2435">
            <v>3.3000000000000002E-2</v>
          </cell>
          <cell r="AC2435">
            <v>3.6249999999999998E-2</v>
          </cell>
        </row>
        <row r="2436">
          <cell r="T2436">
            <v>37454</v>
          </cell>
          <cell r="U2436">
            <v>1.9562E-2</v>
          </cell>
          <cell r="V2436">
            <v>1.9950000000000002E-2</v>
          </cell>
          <cell r="W2436">
            <v>1.9100000000000002E-2</v>
          </cell>
          <cell r="X2436">
            <v>2.2000000000000002E-2</v>
          </cell>
          <cell r="Y2436">
            <v>2.46E-2</v>
          </cell>
          <cell r="Z2436">
            <v>2.75E-2</v>
          </cell>
          <cell r="AA2436">
            <v>2.9500000000000002E-2</v>
          </cell>
          <cell r="AB2436">
            <v>3.2249999999999994E-2</v>
          </cell>
          <cell r="AC2436">
            <v>3.6249999999999998E-2</v>
          </cell>
        </row>
        <row r="2437">
          <cell r="T2437">
            <v>37453</v>
          </cell>
          <cell r="U2437">
            <v>1.95E-2</v>
          </cell>
          <cell r="V2437">
            <v>1.9963999999999999E-2</v>
          </cell>
          <cell r="W2437">
            <v>1.9E-2</v>
          </cell>
          <cell r="X2437">
            <v>2.2000000000000002E-2</v>
          </cell>
          <cell r="Y2437">
            <v>2.5000000000000001E-2</v>
          </cell>
          <cell r="Z2437">
            <v>2.75E-2</v>
          </cell>
          <cell r="AA2437">
            <v>2.9400000000000003E-2</v>
          </cell>
          <cell r="AB2437">
            <v>3.2750000000000001E-2</v>
          </cell>
          <cell r="AC2437">
            <v>3.6499999999999998E-2</v>
          </cell>
        </row>
        <row r="2438">
          <cell r="T2438">
            <v>37452</v>
          </cell>
          <cell r="U2438">
            <v>1.9594E-2</v>
          </cell>
          <cell r="V2438">
            <v>2.0042000000000001E-2</v>
          </cell>
          <cell r="W2438">
            <v>2.0499999999999997E-2</v>
          </cell>
          <cell r="X2438">
            <v>2.35E-2</v>
          </cell>
          <cell r="Y2438">
            <v>2.545E-2</v>
          </cell>
          <cell r="Z2438">
            <v>2.7900000000000001E-2</v>
          </cell>
          <cell r="AA2438">
            <v>0.03</v>
          </cell>
          <cell r="AB2438">
            <v>3.4000000000000002E-2</v>
          </cell>
          <cell r="AC2438">
            <v>3.6499999999999998E-2</v>
          </cell>
        </row>
        <row r="2439">
          <cell r="T2439">
            <v>37451</v>
          </cell>
          <cell r="U2439">
            <v>1.9299999999999998E-2</v>
          </cell>
          <cell r="V2439">
            <v>1.9950000000000002E-2</v>
          </cell>
          <cell r="W2439">
            <v>1.95E-2</v>
          </cell>
          <cell r="X2439">
            <v>2.23E-2</v>
          </cell>
          <cell r="Y2439">
            <v>2.58E-2</v>
          </cell>
          <cell r="Z2439">
            <v>2.8099999999999997E-2</v>
          </cell>
          <cell r="AA2439">
            <v>3.0149999999999996E-2</v>
          </cell>
          <cell r="AB2439">
            <v>3.3149999999999999E-2</v>
          </cell>
          <cell r="AC2439">
            <v>3.6499999999999998E-2</v>
          </cell>
        </row>
        <row r="2440">
          <cell r="T2440">
            <v>37450</v>
          </cell>
          <cell r="U2440">
            <v>1.9299999999999998E-2</v>
          </cell>
          <cell r="V2440">
            <v>1.9950000000000002E-2</v>
          </cell>
          <cell r="W2440">
            <v>1.95E-2</v>
          </cell>
          <cell r="X2440">
            <v>2.23E-2</v>
          </cell>
          <cell r="Y2440">
            <v>2.58E-2</v>
          </cell>
          <cell r="Z2440">
            <v>2.8099999999999997E-2</v>
          </cell>
          <cell r="AA2440">
            <v>3.0149999999999996E-2</v>
          </cell>
          <cell r="AB2440">
            <v>3.3149999999999999E-2</v>
          </cell>
          <cell r="AC2440">
            <v>3.6499999999999998E-2</v>
          </cell>
        </row>
        <row r="2441">
          <cell r="T2441">
            <v>37449</v>
          </cell>
          <cell r="U2441">
            <v>1.9299999999999998E-2</v>
          </cell>
          <cell r="V2441">
            <v>1.9950000000000002E-2</v>
          </cell>
          <cell r="W2441">
            <v>1.95E-2</v>
          </cell>
          <cell r="X2441">
            <v>2.23E-2</v>
          </cell>
          <cell r="Y2441">
            <v>2.58E-2</v>
          </cell>
          <cell r="Z2441">
            <v>2.8099999999999997E-2</v>
          </cell>
          <cell r="AA2441">
            <v>3.0149999999999996E-2</v>
          </cell>
          <cell r="AB2441">
            <v>3.3149999999999999E-2</v>
          </cell>
          <cell r="AC2441">
            <v>3.6499999999999998E-2</v>
          </cell>
        </row>
        <row r="2442">
          <cell r="T2442">
            <v>37448</v>
          </cell>
          <cell r="U2442">
            <v>1.9299999999999998E-2</v>
          </cell>
          <cell r="V2442">
            <v>1.9950000000000002E-2</v>
          </cell>
          <cell r="W2442">
            <v>1.95E-2</v>
          </cell>
          <cell r="X2442">
            <v>2.2000000000000002E-2</v>
          </cell>
          <cell r="Y2442">
            <v>2.5000000000000001E-2</v>
          </cell>
          <cell r="Z2442">
            <v>2.75E-2</v>
          </cell>
          <cell r="AA2442">
            <v>2.9500000000000002E-2</v>
          </cell>
          <cell r="AB2442">
            <v>3.2500000000000001E-2</v>
          </cell>
          <cell r="AC2442">
            <v>3.6499999999999998E-2</v>
          </cell>
        </row>
        <row r="2443">
          <cell r="T2443">
            <v>37447</v>
          </cell>
          <cell r="U2443">
            <v>1.9713999999999999E-2</v>
          </cell>
          <cell r="V2443">
            <v>2.0083000000000004E-2</v>
          </cell>
          <cell r="W2443">
            <v>1.9699999999999999E-2</v>
          </cell>
          <cell r="X2443">
            <v>2.2850000000000002E-2</v>
          </cell>
          <cell r="Y2443">
            <v>2.5999999999999995E-2</v>
          </cell>
          <cell r="Z2443">
            <v>2.8499999999999998E-2</v>
          </cell>
          <cell r="AA2443">
            <v>3.0499999999999999E-2</v>
          </cell>
          <cell r="AB2443">
            <v>3.3250000000000002E-2</v>
          </cell>
          <cell r="AC2443">
            <v>3.6499999999999998E-2</v>
          </cell>
        </row>
        <row r="2444">
          <cell r="T2444">
            <v>37446</v>
          </cell>
          <cell r="U2444">
            <v>1.95E-2</v>
          </cell>
          <cell r="V2444">
            <v>1.9963999999999999E-2</v>
          </cell>
          <cell r="W2444">
            <v>2.0499999999999997E-2</v>
          </cell>
          <cell r="X2444">
            <v>2.35E-2</v>
          </cell>
          <cell r="Y2444">
            <v>2.665E-2</v>
          </cell>
          <cell r="Z2444">
            <v>2.9299999999999996E-2</v>
          </cell>
          <cell r="AA2444">
            <v>3.15E-2</v>
          </cell>
          <cell r="AB2444">
            <v>3.4000000000000002E-2</v>
          </cell>
          <cell r="AC2444">
            <v>3.7000000000000005E-2</v>
          </cell>
        </row>
        <row r="2445">
          <cell r="T2445">
            <v>37445</v>
          </cell>
          <cell r="U2445">
            <v>1.95E-2</v>
          </cell>
          <cell r="V2445">
            <v>2.0031E-2</v>
          </cell>
          <cell r="W2445">
            <v>2.0499999999999997E-2</v>
          </cell>
          <cell r="X2445">
            <v>2.375E-2</v>
          </cell>
          <cell r="Y2445">
            <v>2.6499999999999999E-2</v>
          </cell>
          <cell r="Z2445">
            <v>2.9500000000000002E-2</v>
          </cell>
          <cell r="AA2445">
            <v>3.15E-2</v>
          </cell>
          <cell r="AB2445">
            <v>3.4000000000000002E-2</v>
          </cell>
          <cell r="AC2445">
            <v>3.7000000000000005E-2</v>
          </cell>
        </row>
        <row r="2446">
          <cell r="T2446">
            <v>37444</v>
          </cell>
          <cell r="U2446">
            <v>1.975E-2</v>
          </cell>
          <cell r="V2446">
            <v>2.0392999999999998E-2</v>
          </cell>
          <cell r="W2446">
            <v>0.02</v>
          </cell>
          <cell r="X2446">
            <v>2.3650000000000001E-2</v>
          </cell>
          <cell r="Y2446">
            <v>2.6500000000000003E-2</v>
          </cell>
          <cell r="Z2446">
            <v>2.9299999999999996E-2</v>
          </cell>
          <cell r="AA2446">
            <v>3.1300000000000001E-2</v>
          </cell>
          <cell r="AB2446">
            <v>3.4249999999999996E-2</v>
          </cell>
          <cell r="AC2446">
            <v>3.7000000000000005E-2</v>
          </cell>
        </row>
        <row r="2447">
          <cell r="T2447">
            <v>37443</v>
          </cell>
          <cell r="U2447">
            <v>1.975E-2</v>
          </cell>
          <cell r="V2447">
            <v>2.0392999999999998E-2</v>
          </cell>
          <cell r="W2447">
            <v>0.02</v>
          </cell>
          <cell r="X2447">
            <v>2.3650000000000001E-2</v>
          </cell>
          <cell r="Y2447">
            <v>2.6500000000000003E-2</v>
          </cell>
          <cell r="Z2447">
            <v>2.9299999999999996E-2</v>
          </cell>
          <cell r="AA2447">
            <v>3.1300000000000001E-2</v>
          </cell>
          <cell r="AB2447">
            <v>3.4249999999999996E-2</v>
          </cell>
          <cell r="AC2447">
            <v>3.7000000000000005E-2</v>
          </cell>
        </row>
        <row r="2448">
          <cell r="T2448">
            <v>37442</v>
          </cell>
          <cell r="U2448">
            <v>1.975E-2</v>
          </cell>
          <cell r="V2448">
            <v>2.0392999999999998E-2</v>
          </cell>
          <cell r="W2448">
            <v>0.02</v>
          </cell>
          <cell r="X2448">
            <v>2.3650000000000001E-2</v>
          </cell>
          <cell r="Y2448">
            <v>2.6500000000000003E-2</v>
          </cell>
          <cell r="Z2448">
            <v>2.9299999999999996E-2</v>
          </cell>
          <cell r="AA2448">
            <v>3.1300000000000001E-2</v>
          </cell>
          <cell r="AB2448">
            <v>3.4249999999999996E-2</v>
          </cell>
          <cell r="AC2448">
            <v>3.7000000000000005E-2</v>
          </cell>
        </row>
        <row r="2449">
          <cell r="T2449">
            <v>37441</v>
          </cell>
          <cell r="U2449">
            <v>1.9611E-2</v>
          </cell>
          <cell r="V2449">
            <v>2.0250000000000001E-2</v>
          </cell>
          <cell r="W2449">
            <v>1.9899999999999998E-2</v>
          </cell>
          <cell r="X2449">
            <v>2.3300000000000001E-2</v>
          </cell>
          <cell r="Y2449">
            <v>2.6150000000000003E-2</v>
          </cell>
          <cell r="Z2449">
            <v>2.8900000000000002E-2</v>
          </cell>
          <cell r="AA2449">
            <v>3.0999999999999996E-2</v>
          </cell>
          <cell r="AB2449">
            <v>3.8350000000000002E-2</v>
          </cell>
          <cell r="AC2449">
            <v>3.5000000000000003E-2</v>
          </cell>
        </row>
        <row r="2450">
          <cell r="T2450">
            <v>37440</v>
          </cell>
          <cell r="U2450">
            <v>1.95E-2</v>
          </cell>
          <cell r="V2450">
            <v>2.0160999999999998E-2</v>
          </cell>
          <cell r="W2450">
            <v>1.9799999999999998E-2</v>
          </cell>
          <cell r="X2450">
            <v>2.2499999999999999E-2</v>
          </cell>
          <cell r="Y2450">
            <v>2.5499999999999998E-2</v>
          </cell>
          <cell r="Z2450">
            <v>2.8300000000000002E-2</v>
          </cell>
          <cell r="AA2450">
            <v>3.0499999999999999E-2</v>
          </cell>
          <cell r="AB2450">
            <v>3.7999999999999999E-2</v>
          </cell>
          <cell r="AC2450">
            <v>3.5000000000000003E-2</v>
          </cell>
        </row>
        <row r="2451">
          <cell r="T2451">
            <v>37439</v>
          </cell>
          <cell r="U2451">
            <v>1.975E-2</v>
          </cell>
          <cell r="V2451">
            <v>2.0541999999999998E-2</v>
          </cell>
          <cell r="W2451">
            <v>1.9899999999999998E-2</v>
          </cell>
          <cell r="X2451">
            <v>2.2499999999999999E-2</v>
          </cell>
          <cell r="Y2451">
            <v>2.5499999999999998E-2</v>
          </cell>
          <cell r="Z2451">
            <v>2.8499999999999998E-2</v>
          </cell>
          <cell r="AA2451">
            <v>3.0699999999999998E-2</v>
          </cell>
          <cell r="AB2451">
            <v>3.3000000000000002E-2</v>
          </cell>
          <cell r="AC2451">
            <v>3.5000000000000003E-2</v>
          </cell>
        </row>
        <row r="2452">
          <cell r="T2452">
            <v>37438</v>
          </cell>
          <cell r="U2452">
            <v>1.9921000000000001E-2</v>
          </cell>
          <cell r="V2452">
            <v>2.0445999999999999E-2</v>
          </cell>
          <cell r="W2452">
            <v>1.95E-2</v>
          </cell>
          <cell r="X2452">
            <v>2.29E-2</v>
          </cell>
          <cell r="Y2452">
            <v>2.5999999999999995E-2</v>
          </cell>
          <cell r="Z2452">
            <v>2.8499999999999998E-2</v>
          </cell>
          <cell r="AA2452">
            <v>3.0600000000000002E-2</v>
          </cell>
          <cell r="AB2452">
            <v>3.3250000000000002E-2</v>
          </cell>
          <cell r="AC2452">
            <v>3.5000000000000003E-2</v>
          </cell>
        </row>
        <row r="2453">
          <cell r="T2453">
            <v>37437</v>
          </cell>
          <cell r="U2453">
            <v>1.9682999999999999E-2</v>
          </cell>
          <cell r="V2453">
            <v>2.0312999999999998E-2</v>
          </cell>
          <cell r="W2453">
            <v>0.02</v>
          </cell>
          <cell r="X2453">
            <v>2.3499999999999997E-2</v>
          </cell>
          <cell r="Y2453">
            <v>2.6699999999999998E-2</v>
          </cell>
          <cell r="Z2453">
            <v>2.955E-2</v>
          </cell>
          <cell r="AA2453">
            <v>3.1649999999999998E-2</v>
          </cell>
          <cell r="AB2453">
            <v>3.4500000000000003E-2</v>
          </cell>
          <cell r="AC2453">
            <v>3.6000000000000004E-2</v>
          </cell>
        </row>
        <row r="2454">
          <cell r="T2454">
            <v>37436</v>
          </cell>
          <cell r="U2454">
            <v>1.9682999999999999E-2</v>
          </cell>
          <cell r="V2454">
            <v>2.0312999999999998E-2</v>
          </cell>
          <cell r="W2454">
            <v>0.02</v>
          </cell>
          <cell r="X2454">
            <v>2.3499999999999997E-2</v>
          </cell>
          <cell r="Y2454">
            <v>2.6699999999999998E-2</v>
          </cell>
          <cell r="Z2454">
            <v>2.955E-2</v>
          </cell>
          <cell r="AA2454">
            <v>3.1649999999999998E-2</v>
          </cell>
          <cell r="AB2454">
            <v>3.4500000000000003E-2</v>
          </cell>
          <cell r="AC2454">
            <v>3.6000000000000004E-2</v>
          </cell>
        </row>
        <row r="2455">
          <cell r="T2455">
            <v>37435</v>
          </cell>
          <cell r="U2455">
            <v>1.9682999999999999E-2</v>
          </cell>
          <cell r="V2455">
            <v>2.0312999999999998E-2</v>
          </cell>
          <cell r="W2455">
            <v>0.02</v>
          </cell>
          <cell r="X2455">
            <v>2.3499999999999997E-2</v>
          </cell>
          <cell r="Y2455">
            <v>2.6699999999999998E-2</v>
          </cell>
          <cell r="Z2455">
            <v>2.955E-2</v>
          </cell>
          <cell r="AA2455">
            <v>3.1649999999999998E-2</v>
          </cell>
          <cell r="AB2455">
            <v>3.4500000000000003E-2</v>
          </cell>
          <cell r="AC2455">
            <v>3.6000000000000004E-2</v>
          </cell>
        </row>
        <row r="2456">
          <cell r="T2456">
            <v>37434</v>
          </cell>
          <cell r="U2456">
            <v>2.0108999999999998E-2</v>
          </cell>
          <cell r="V2456">
            <v>2.0655999999999997E-2</v>
          </cell>
          <cell r="W2456">
            <v>2.2000000000000002E-2</v>
          </cell>
          <cell r="X2456">
            <v>2.4500000000000001E-2</v>
          </cell>
          <cell r="Y2456">
            <v>2.7999999999999997E-2</v>
          </cell>
          <cell r="Z2456">
            <v>2.9500000000000002E-2</v>
          </cell>
          <cell r="AA2456">
            <v>3.1850000000000003E-2</v>
          </cell>
          <cell r="AB2456">
            <v>3.5499999999999997E-2</v>
          </cell>
          <cell r="AC2456">
            <v>3.6000000000000004E-2</v>
          </cell>
        </row>
        <row r="2457">
          <cell r="T2457">
            <v>37433</v>
          </cell>
          <cell r="U2457">
            <v>2.0577999999999999E-2</v>
          </cell>
          <cell r="V2457">
            <v>2.1285999999999999E-2</v>
          </cell>
          <cell r="W2457">
            <v>2.0649999999999998E-2</v>
          </cell>
          <cell r="X2457">
            <v>2.2949999999999998E-2</v>
          </cell>
          <cell r="Y2457">
            <v>2.5849999999999998E-2</v>
          </cell>
          <cell r="Z2457">
            <v>2.8849999999999997E-2</v>
          </cell>
          <cell r="AA2457">
            <v>3.0849999999999999E-2</v>
          </cell>
          <cell r="AB2457">
            <v>3.4000000000000002E-2</v>
          </cell>
          <cell r="AC2457">
            <v>3.6000000000000004E-2</v>
          </cell>
        </row>
        <row r="2458">
          <cell r="T2458">
            <v>37432</v>
          </cell>
          <cell r="U2458">
            <v>2.0781000000000001E-2</v>
          </cell>
          <cell r="V2458">
            <v>2.1469000000000002E-2</v>
          </cell>
          <cell r="W2458">
            <v>2.0999999999999998E-2</v>
          </cell>
          <cell r="X2458">
            <v>2.3949999999999999E-2</v>
          </cell>
          <cell r="Y2458">
            <v>2.6950000000000002E-2</v>
          </cell>
          <cell r="Z2458">
            <v>2.9649999999999999E-2</v>
          </cell>
          <cell r="AA2458">
            <v>3.2000000000000001E-2</v>
          </cell>
          <cell r="AB2458">
            <v>3.4000000000000002E-2</v>
          </cell>
          <cell r="AC2458">
            <v>3.5499999999999997E-2</v>
          </cell>
        </row>
        <row r="2459">
          <cell r="T2459">
            <v>37431</v>
          </cell>
          <cell r="U2459">
            <v>2.2275E-2</v>
          </cell>
          <cell r="V2459">
            <v>2.2707999999999999E-2</v>
          </cell>
          <cell r="W2459">
            <v>2.1500000000000005E-2</v>
          </cell>
          <cell r="X2459">
            <v>2.4500000000000001E-2</v>
          </cell>
          <cell r="Y2459">
            <v>2.6950000000000002E-2</v>
          </cell>
          <cell r="Z2459">
            <v>2.9500000000000002E-2</v>
          </cell>
          <cell r="AA2459">
            <v>3.1699999999999999E-2</v>
          </cell>
          <cell r="AB2459">
            <v>3.9E-2</v>
          </cell>
          <cell r="AC2459">
            <v>3.5499999999999997E-2</v>
          </cell>
        </row>
        <row r="2460">
          <cell r="T2460">
            <v>37430</v>
          </cell>
          <cell r="U2460">
            <v>2.2418999999999998E-2</v>
          </cell>
          <cell r="V2460">
            <v>2.2875E-2</v>
          </cell>
          <cell r="W2460">
            <v>2.1899999999999999E-2</v>
          </cell>
          <cell r="X2460">
            <v>2.5150000000000002E-2</v>
          </cell>
          <cell r="Y2460">
            <v>2.7999999999999997E-2</v>
          </cell>
          <cell r="Z2460">
            <v>3.0999999999999996E-2</v>
          </cell>
          <cell r="AA2460">
            <v>3.3000000000000002E-2</v>
          </cell>
          <cell r="AB2460">
            <v>3.56E-2</v>
          </cell>
          <cell r="AC2460">
            <v>3.7000000000000005E-2</v>
          </cell>
        </row>
        <row r="2461">
          <cell r="T2461">
            <v>37429</v>
          </cell>
          <cell r="U2461">
            <v>2.2418999999999998E-2</v>
          </cell>
          <cell r="V2461">
            <v>2.2875E-2</v>
          </cell>
          <cell r="W2461">
            <v>2.1899999999999999E-2</v>
          </cell>
          <cell r="X2461">
            <v>2.5150000000000002E-2</v>
          </cell>
          <cell r="Y2461">
            <v>2.7999999999999997E-2</v>
          </cell>
          <cell r="Z2461">
            <v>3.0999999999999996E-2</v>
          </cell>
          <cell r="AA2461">
            <v>3.3000000000000002E-2</v>
          </cell>
          <cell r="AB2461">
            <v>3.56E-2</v>
          </cell>
          <cell r="AC2461">
            <v>3.7000000000000005E-2</v>
          </cell>
        </row>
        <row r="2462">
          <cell r="T2462">
            <v>37428</v>
          </cell>
          <cell r="U2462">
            <v>2.2418999999999998E-2</v>
          </cell>
          <cell r="V2462">
            <v>2.2875E-2</v>
          </cell>
          <cell r="W2462">
            <v>2.1899999999999999E-2</v>
          </cell>
          <cell r="X2462">
            <v>2.5150000000000002E-2</v>
          </cell>
          <cell r="Y2462">
            <v>2.7999999999999997E-2</v>
          </cell>
          <cell r="Z2462">
            <v>3.0999999999999996E-2</v>
          </cell>
          <cell r="AA2462">
            <v>3.3000000000000002E-2</v>
          </cell>
          <cell r="AB2462">
            <v>3.56E-2</v>
          </cell>
          <cell r="AC2462">
            <v>3.7000000000000005E-2</v>
          </cell>
        </row>
        <row r="2463">
          <cell r="T2463">
            <v>37427</v>
          </cell>
          <cell r="U2463">
            <v>2.2250000000000002E-2</v>
          </cell>
          <cell r="V2463">
            <v>2.3E-2</v>
          </cell>
          <cell r="W2463">
            <v>2.2000000000000002E-2</v>
          </cell>
          <cell r="X2463">
            <v>2.41E-2</v>
          </cell>
          <cell r="Y2463">
            <v>2.7050000000000001E-2</v>
          </cell>
          <cell r="Z2463">
            <v>2.9500000000000002E-2</v>
          </cell>
          <cell r="AA2463">
            <v>3.2050000000000002E-2</v>
          </cell>
          <cell r="AB2463">
            <v>3.5000000000000003E-2</v>
          </cell>
          <cell r="AC2463">
            <v>3.7000000000000005E-2</v>
          </cell>
        </row>
        <row r="2464">
          <cell r="T2464">
            <v>37426</v>
          </cell>
          <cell r="U2464">
            <v>2.2550000000000001E-2</v>
          </cell>
          <cell r="V2464">
            <v>2.3035999999999997E-2</v>
          </cell>
          <cell r="W2464">
            <v>2.1749999999999999E-2</v>
          </cell>
          <cell r="X2464">
            <v>2.4399999999999998E-2</v>
          </cell>
          <cell r="Y2464">
            <v>2.7350000000000003E-2</v>
          </cell>
          <cell r="Z2464">
            <v>3.0499999999999999E-2</v>
          </cell>
          <cell r="AA2464">
            <v>3.27E-2</v>
          </cell>
          <cell r="AB2464">
            <v>3.5499999999999997E-2</v>
          </cell>
          <cell r="AC2464">
            <v>3.7750000000000006E-2</v>
          </cell>
        </row>
        <row r="2465">
          <cell r="T2465">
            <v>37425</v>
          </cell>
          <cell r="U2465">
            <v>2.2775E-2</v>
          </cell>
          <cell r="V2465">
            <v>2.3375E-2</v>
          </cell>
          <cell r="W2465">
            <v>2.2250000000000002E-2</v>
          </cell>
          <cell r="X2465">
            <v>2.5099999999999997E-2</v>
          </cell>
          <cell r="Y2465">
            <v>2.8149999999999998E-2</v>
          </cell>
          <cell r="Z2465">
            <v>3.1150000000000001E-2</v>
          </cell>
          <cell r="AA2465">
            <v>3.3250000000000002E-2</v>
          </cell>
          <cell r="AB2465">
            <v>3.5750000000000004E-2</v>
          </cell>
          <cell r="AC2465">
            <v>3.7999999999999999E-2</v>
          </cell>
        </row>
        <row r="2466">
          <cell r="T2466">
            <v>37424</v>
          </cell>
          <cell r="U2466">
            <v>2.2797000000000001E-2</v>
          </cell>
          <cell r="V2466">
            <v>2.3285999999999998E-2</v>
          </cell>
          <cell r="W2466">
            <v>2.2400000000000003E-2</v>
          </cell>
          <cell r="X2466">
            <v>2.5300000000000003E-2</v>
          </cell>
          <cell r="Y2466">
            <v>2.8300000000000002E-2</v>
          </cell>
          <cell r="Z2466">
            <v>3.1300000000000001E-2</v>
          </cell>
          <cell r="AA2466">
            <v>3.3300000000000003E-2</v>
          </cell>
          <cell r="AB2466">
            <v>3.5750000000000004E-2</v>
          </cell>
          <cell r="AC2466">
            <v>3.7999999999999999E-2</v>
          </cell>
        </row>
        <row r="2467">
          <cell r="T2467">
            <v>37423</v>
          </cell>
          <cell r="U2467">
            <v>2.2890999999999998E-2</v>
          </cell>
          <cell r="V2467">
            <v>2.3429000000000002E-2</v>
          </cell>
          <cell r="W2467">
            <v>2.3E-2</v>
          </cell>
          <cell r="X2467">
            <v>2.5399999999999999E-2</v>
          </cell>
          <cell r="Y2467">
            <v>2.8499999999999998E-2</v>
          </cell>
          <cell r="Z2467">
            <v>3.15E-2</v>
          </cell>
          <cell r="AA2467">
            <v>3.3649999999999999E-2</v>
          </cell>
          <cell r="AB2467">
            <v>3.5750000000000004E-2</v>
          </cell>
          <cell r="AC2467">
            <v>3.7999999999999999E-2</v>
          </cell>
        </row>
        <row r="2468">
          <cell r="T2468">
            <v>37422</v>
          </cell>
          <cell r="U2468">
            <v>2.2890999999999998E-2</v>
          </cell>
          <cell r="V2468">
            <v>2.3429000000000002E-2</v>
          </cell>
          <cell r="W2468">
            <v>2.3E-2</v>
          </cell>
          <cell r="X2468">
            <v>2.5399999999999999E-2</v>
          </cell>
          <cell r="Y2468">
            <v>2.8499999999999998E-2</v>
          </cell>
          <cell r="Z2468">
            <v>3.15E-2</v>
          </cell>
          <cell r="AA2468">
            <v>3.3649999999999999E-2</v>
          </cell>
          <cell r="AB2468">
            <v>3.5750000000000004E-2</v>
          </cell>
          <cell r="AC2468">
            <v>3.7999999999999999E-2</v>
          </cell>
        </row>
        <row r="2469">
          <cell r="T2469">
            <v>37421</v>
          </cell>
          <cell r="U2469">
            <v>2.2890999999999998E-2</v>
          </cell>
          <cell r="V2469">
            <v>2.3429000000000002E-2</v>
          </cell>
          <cell r="W2469">
            <v>2.3E-2</v>
          </cell>
          <cell r="X2469">
            <v>2.5399999999999999E-2</v>
          </cell>
          <cell r="Y2469">
            <v>2.8499999999999998E-2</v>
          </cell>
          <cell r="Z2469">
            <v>3.15E-2</v>
          </cell>
          <cell r="AA2469">
            <v>3.3649999999999999E-2</v>
          </cell>
          <cell r="AB2469">
            <v>3.5750000000000004E-2</v>
          </cell>
          <cell r="AC2469">
            <v>3.7999999999999999E-2</v>
          </cell>
        </row>
        <row r="2470">
          <cell r="T2470">
            <v>37420</v>
          </cell>
          <cell r="U2470">
            <v>2.2780999999999999E-2</v>
          </cell>
          <cell r="V2470">
            <v>2.3525000000000001E-2</v>
          </cell>
          <cell r="W2470">
            <v>2.2550000000000001E-2</v>
          </cell>
          <cell r="X2470">
            <v>2.58E-2</v>
          </cell>
          <cell r="Y2470">
            <v>2.9100000000000001E-2</v>
          </cell>
          <cell r="Z2470">
            <v>3.2199999999999999E-2</v>
          </cell>
          <cell r="AA2470">
            <v>3.4299999999999997E-2</v>
          </cell>
          <cell r="AB2470">
            <v>3.6799999999999999E-2</v>
          </cell>
          <cell r="AC2470">
            <v>3.9E-2</v>
          </cell>
        </row>
        <row r="2471">
          <cell r="T2471">
            <v>37419</v>
          </cell>
          <cell r="U2471">
            <v>2.2905999999999999E-2</v>
          </cell>
          <cell r="V2471">
            <v>2.35E-2</v>
          </cell>
          <cell r="W2471">
            <v>2.375E-2</v>
          </cell>
          <cell r="X2471">
            <v>2.5999999999999995E-2</v>
          </cell>
          <cell r="Y2471">
            <v>2.9350000000000001E-2</v>
          </cell>
          <cell r="Z2471">
            <v>3.2549999999999996E-2</v>
          </cell>
          <cell r="AA2471">
            <v>3.465E-2</v>
          </cell>
          <cell r="AB2471">
            <v>3.6799999999999999E-2</v>
          </cell>
          <cell r="AC2471">
            <v>3.9E-2</v>
          </cell>
        </row>
        <row r="2472">
          <cell r="T2472">
            <v>37418</v>
          </cell>
          <cell r="U2472">
            <v>2.2931E-2</v>
          </cell>
          <cell r="V2472">
            <v>2.3405999999999996E-2</v>
          </cell>
          <cell r="W2472">
            <v>2.5949999999999997E-2</v>
          </cell>
          <cell r="X2472">
            <v>2.6900000000000004E-2</v>
          </cell>
          <cell r="Y2472">
            <v>3.5949999999999996E-2</v>
          </cell>
          <cell r="Z2472">
            <v>3.4000000000000002E-2</v>
          </cell>
          <cell r="AA2472">
            <v>3.6249999999999998E-2</v>
          </cell>
          <cell r="AB2472">
            <v>3.7499999999999999E-2</v>
          </cell>
          <cell r="AC2472">
            <v>3.95E-2</v>
          </cell>
        </row>
        <row r="2473">
          <cell r="T2473">
            <v>37417</v>
          </cell>
          <cell r="U2473">
            <v>2.2931E-2</v>
          </cell>
          <cell r="V2473">
            <v>2.3405999999999996E-2</v>
          </cell>
          <cell r="W2473">
            <v>2.3300000000000001E-2</v>
          </cell>
          <cell r="X2473">
            <v>2.6900000000000004E-2</v>
          </cell>
          <cell r="Y2473">
            <v>3.1400000000000004E-2</v>
          </cell>
          <cell r="Z2473">
            <v>3.4200000000000001E-2</v>
          </cell>
          <cell r="AA2473">
            <v>3.5900000000000001E-2</v>
          </cell>
          <cell r="AB2473">
            <v>3.8249999999999999E-2</v>
          </cell>
          <cell r="AC2473">
            <v>4.0800000000000003E-2</v>
          </cell>
        </row>
        <row r="2474">
          <cell r="T2474">
            <v>37416</v>
          </cell>
          <cell r="U2474">
            <v>2.2931E-2</v>
          </cell>
          <cell r="V2474">
            <v>2.3405999999999996E-2</v>
          </cell>
          <cell r="W2474">
            <v>2.3099999999999996E-2</v>
          </cell>
          <cell r="X2474">
            <v>2.7050000000000001E-2</v>
          </cell>
          <cell r="Y2474">
            <v>3.2000000000000001E-2</v>
          </cell>
          <cell r="Z2474">
            <v>3.39E-2</v>
          </cell>
          <cell r="AA2474">
            <v>3.56E-2</v>
          </cell>
          <cell r="AB2474">
            <v>3.8249999999999999E-2</v>
          </cell>
          <cell r="AC2474">
            <v>4.0800000000000003E-2</v>
          </cell>
        </row>
        <row r="2475">
          <cell r="T2475">
            <v>37415</v>
          </cell>
          <cell r="U2475">
            <v>2.2931E-2</v>
          </cell>
          <cell r="V2475">
            <v>2.3405999999999996E-2</v>
          </cell>
          <cell r="W2475">
            <v>2.3099999999999996E-2</v>
          </cell>
          <cell r="X2475">
            <v>2.7050000000000001E-2</v>
          </cell>
          <cell r="Y2475">
            <v>3.2000000000000001E-2</v>
          </cell>
          <cell r="Z2475">
            <v>3.39E-2</v>
          </cell>
          <cell r="AA2475">
            <v>3.56E-2</v>
          </cell>
          <cell r="AB2475">
            <v>3.8249999999999999E-2</v>
          </cell>
          <cell r="AC2475">
            <v>4.0800000000000003E-2</v>
          </cell>
        </row>
        <row r="2476">
          <cell r="T2476">
            <v>37414</v>
          </cell>
          <cell r="U2476">
            <v>2.2931E-2</v>
          </cell>
          <cell r="V2476">
            <v>2.3405999999999996E-2</v>
          </cell>
          <cell r="W2476">
            <v>2.3099999999999996E-2</v>
          </cell>
          <cell r="X2476">
            <v>2.7050000000000001E-2</v>
          </cell>
          <cell r="Y2476">
            <v>3.2000000000000001E-2</v>
          </cell>
          <cell r="Z2476">
            <v>3.39E-2</v>
          </cell>
          <cell r="AA2476">
            <v>3.56E-2</v>
          </cell>
          <cell r="AB2476">
            <v>3.8249999999999999E-2</v>
          </cell>
          <cell r="AC2476">
            <v>4.0800000000000003E-2</v>
          </cell>
        </row>
        <row r="2477">
          <cell r="T2477">
            <v>37413</v>
          </cell>
          <cell r="U2477">
            <v>2.2953000000000001E-2</v>
          </cell>
          <cell r="V2477">
            <v>2.35E-2</v>
          </cell>
          <cell r="W2477">
            <v>2.4299999999999999E-2</v>
          </cell>
          <cell r="X2477">
            <v>2.8250000000000001E-2</v>
          </cell>
          <cell r="Y2477">
            <v>3.2050000000000002E-2</v>
          </cell>
          <cell r="Z2477">
            <v>3.44E-2</v>
          </cell>
          <cell r="AA2477">
            <v>3.6450000000000003E-2</v>
          </cell>
          <cell r="AB2477">
            <v>3.875E-2</v>
          </cell>
          <cell r="AC2477">
            <v>4.1500000000000002E-2</v>
          </cell>
        </row>
        <row r="2478">
          <cell r="T2478">
            <v>37412</v>
          </cell>
          <cell r="U2478">
            <v>2.2938999999999998E-2</v>
          </cell>
          <cell r="V2478">
            <v>2.3391000000000002E-2</v>
          </cell>
          <cell r="W2478">
            <v>2.4E-2</v>
          </cell>
          <cell r="X2478">
            <v>2.7999999999999997E-2</v>
          </cell>
          <cell r="Y2478">
            <v>3.2500000000000001E-2</v>
          </cell>
          <cell r="Z2478">
            <v>3.44E-2</v>
          </cell>
          <cell r="AA2478">
            <v>3.7000000000000005E-2</v>
          </cell>
          <cell r="AB2478">
            <v>3.875E-2</v>
          </cell>
          <cell r="AC2478">
            <v>4.1500000000000002E-2</v>
          </cell>
        </row>
        <row r="2479">
          <cell r="T2479">
            <v>37411</v>
          </cell>
          <cell r="U2479">
            <v>2.2905999999999999E-2</v>
          </cell>
          <cell r="V2479">
            <v>2.3375E-2</v>
          </cell>
          <cell r="W2479">
            <v>2.4399999999999998E-2</v>
          </cell>
          <cell r="X2479">
            <v>2.81E-2</v>
          </cell>
          <cell r="Y2479">
            <v>3.2149999999999998E-2</v>
          </cell>
          <cell r="Z2479">
            <v>3.44E-2</v>
          </cell>
          <cell r="AA2479">
            <v>3.6500000000000005E-2</v>
          </cell>
          <cell r="AB2479">
            <v>3.875E-2</v>
          </cell>
          <cell r="AC2479">
            <v>4.1500000000000002E-2</v>
          </cell>
        </row>
        <row r="2480">
          <cell r="T2480">
            <v>37410</v>
          </cell>
          <cell r="U2480">
            <v>2.2963000000000001E-2</v>
          </cell>
          <cell r="V2480">
            <v>2.3481999999999999E-2</v>
          </cell>
          <cell r="W2480">
            <v>2.4749999999999998E-2</v>
          </cell>
          <cell r="X2480">
            <v>2.8750000000000001E-2</v>
          </cell>
          <cell r="Y2480">
            <v>3.3750000000000002E-2</v>
          </cell>
          <cell r="Z2480">
            <v>3.4699999999999995E-2</v>
          </cell>
          <cell r="AA2480">
            <v>3.7499999999999999E-2</v>
          </cell>
          <cell r="AB2480">
            <v>3.875E-2</v>
          </cell>
          <cell r="AC2480">
            <v>4.1500000000000002E-2</v>
          </cell>
        </row>
        <row r="2481">
          <cell r="T2481">
            <v>37409</v>
          </cell>
          <cell r="U2481">
            <v>2.2931E-2</v>
          </cell>
          <cell r="V2481">
            <v>2.3304000000000002E-2</v>
          </cell>
          <cell r="W2481">
            <v>2.4749999999999998E-2</v>
          </cell>
          <cell r="X2481">
            <v>2.8750000000000001E-2</v>
          </cell>
          <cell r="Y2481">
            <v>3.3750000000000002E-2</v>
          </cell>
          <cell r="Z2481">
            <v>3.4549999999999997E-2</v>
          </cell>
          <cell r="AA2481">
            <v>3.7499999999999999E-2</v>
          </cell>
          <cell r="AB2481">
            <v>3.875E-2</v>
          </cell>
          <cell r="AC2481">
            <v>4.1500000000000002E-2</v>
          </cell>
        </row>
        <row r="2482">
          <cell r="T2482">
            <v>37408</v>
          </cell>
          <cell r="U2482">
            <v>2.2931E-2</v>
          </cell>
          <cell r="V2482">
            <v>2.3304000000000002E-2</v>
          </cell>
          <cell r="W2482">
            <v>2.4749999999999998E-2</v>
          </cell>
          <cell r="X2482">
            <v>2.8750000000000001E-2</v>
          </cell>
          <cell r="Y2482">
            <v>3.3750000000000002E-2</v>
          </cell>
          <cell r="Z2482">
            <v>3.4549999999999997E-2</v>
          </cell>
          <cell r="AA2482">
            <v>3.7499999999999999E-2</v>
          </cell>
          <cell r="AB2482">
            <v>3.875E-2</v>
          </cell>
          <cell r="AC2482">
            <v>4.1500000000000002E-2</v>
          </cell>
        </row>
        <row r="2483">
          <cell r="T2483">
            <v>37407</v>
          </cell>
          <cell r="U2483">
            <v>2.2931E-2</v>
          </cell>
          <cell r="V2483">
            <v>2.3304000000000002E-2</v>
          </cell>
          <cell r="W2483">
            <v>2.4749999999999998E-2</v>
          </cell>
          <cell r="X2483">
            <v>2.8750000000000001E-2</v>
          </cell>
          <cell r="Y2483">
            <v>3.3750000000000002E-2</v>
          </cell>
          <cell r="Z2483">
            <v>3.4549999999999997E-2</v>
          </cell>
          <cell r="AA2483">
            <v>3.7499999999999999E-2</v>
          </cell>
          <cell r="AB2483">
            <v>3.875E-2</v>
          </cell>
          <cell r="AC2483">
            <v>4.1500000000000002E-2</v>
          </cell>
        </row>
        <row r="2484">
          <cell r="T2484">
            <v>37406</v>
          </cell>
          <cell r="U2484">
            <v>2.2931E-2</v>
          </cell>
          <cell r="V2484">
            <v>2.3304000000000002E-2</v>
          </cell>
          <cell r="W2484">
            <v>2.4749999999999998E-2</v>
          </cell>
          <cell r="X2484">
            <v>2.8499999999999998E-2</v>
          </cell>
          <cell r="Y2484">
            <v>3.2249999999999994E-2</v>
          </cell>
          <cell r="Z2484">
            <v>3.4500000000000003E-2</v>
          </cell>
          <cell r="AA2484">
            <v>3.6650000000000002E-2</v>
          </cell>
          <cell r="AB2484">
            <v>3.8849999999999996E-2</v>
          </cell>
          <cell r="AC2484">
            <v>4.1500000000000002E-2</v>
          </cell>
        </row>
        <row r="2485">
          <cell r="T2485">
            <v>37405</v>
          </cell>
          <cell r="U2485">
            <v>2.2931E-2</v>
          </cell>
          <cell r="V2485">
            <v>2.3304000000000002E-2</v>
          </cell>
          <cell r="W2485">
            <v>2.4500000000000001E-2</v>
          </cell>
          <cell r="X2485">
            <v>2.8499999999999998E-2</v>
          </cell>
          <cell r="Y2485">
            <v>3.2300000000000002E-2</v>
          </cell>
          <cell r="Z2485">
            <v>3.465E-2</v>
          </cell>
          <cell r="AA2485">
            <v>3.6500000000000005E-2</v>
          </cell>
          <cell r="AB2485">
            <v>3.8849999999999996E-2</v>
          </cell>
          <cell r="AC2485">
            <v>4.1500000000000002E-2</v>
          </cell>
        </row>
        <row r="2486">
          <cell r="T2486">
            <v>37404</v>
          </cell>
          <cell r="U2486">
            <v>2.2837999999999997E-2</v>
          </cell>
          <cell r="V2486">
            <v>2.3178999999999998E-2</v>
          </cell>
          <cell r="W2486">
            <v>2.4500000000000001E-2</v>
          </cell>
          <cell r="X2486">
            <v>2.8500000000000001E-2</v>
          </cell>
          <cell r="Y2486">
            <v>3.2250000000000001E-2</v>
          </cell>
          <cell r="Z2486">
            <v>3.49E-2</v>
          </cell>
          <cell r="AA2486">
            <v>3.6950000000000004E-2</v>
          </cell>
          <cell r="AB2486">
            <v>3.8399999999999997E-2</v>
          </cell>
          <cell r="AC2486">
            <v>4.1500000000000002E-2</v>
          </cell>
        </row>
        <row r="2487">
          <cell r="T2487">
            <v>37403</v>
          </cell>
          <cell r="U2487">
            <v>2.2837999999999997E-2</v>
          </cell>
          <cell r="V2487">
            <v>2.3178999999999998E-2</v>
          </cell>
          <cell r="W2487">
            <v>2.5250000000000005E-2</v>
          </cell>
          <cell r="X2487">
            <v>2.8849999999999997E-2</v>
          </cell>
          <cell r="Y2487">
            <v>3.2250000000000001E-2</v>
          </cell>
          <cell r="Z2487">
            <v>3.5049999999999998E-2</v>
          </cell>
          <cell r="AA2487">
            <v>3.6950000000000004E-2</v>
          </cell>
          <cell r="AB2487">
            <v>3.8399999999999997E-2</v>
          </cell>
          <cell r="AC2487">
            <v>4.1500000000000002E-2</v>
          </cell>
        </row>
        <row r="2488">
          <cell r="T2488">
            <v>37402</v>
          </cell>
          <cell r="U2488">
            <v>2.2837999999999997E-2</v>
          </cell>
          <cell r="V2488">
            <v>2.3178999999999998E-2</v>
          </cell>
          <cell r="W2488">
            <v>2.4500000000000001E-2</v>
          </cell>
          <cell r="X2488">
            <v>2.8250000000000001E-2</v>
          </cell>
          <cell r="Y2488">
            <v>3.1899999999999998E-2</v>
          </cell>
          <cell r="Z2488">
            <v>3.4549999999999997E-2</v>
          </cell>
          <cell r="AA2488">
            <v>3.6400000000000002E-2</v>
          </cell>
          <cell r="AB2488">
            <v>3.8399999999999997E-2</v>
          </cell>
          <cell r="AC2488">
            <v>4.1500000000000002E-2</v>
          </cell>
        </row>
        <row r="2489">
          <cell r="T2489">
            <v>37401</v>
          </cell>
          <cell r="U2489">
            <v>2.2837999999999997E-2</v>
          </cell>
          <cell r="V2489">
            <v>2.3178999999999998E-2</v>
          </cell>
          <cell r="W2489">
            <v>2.4500000000000001E-2</v>
          </cell>
          <cell r="X2489">
            <v>2.8250000000000001E-2</v>
          </cell>
          <cell r="Y2489">
            <v>3.1899999999999998E-2</v>
          </cell>
          <cell r="Z2489">
            <v>3.4549999999999997E-2</v>
          </cell>
          <cell r="AA2489">
            <v>3.6400000000000002E-2</v>
          </cell>
          <cell r="AB2489">
            <v>3.8399999999999997E-2</v>
          </cell>
          <cell r="AC2489">
            <v>4.1500000000000002E-2</v>
          </cell>
        </row>
        <row r="2490">
          <cell r="T2490">
            <v>37400</v>
          </cell>
          <cell r="U2490">
            <v>2.2837999999999997E-2</v>
          </cell>
          <cell r="V2490">
            <v>2.3178999999999998E-2</v>
          </cell>
          <cell r="W2490">
            <v>2.4500000000000001E-2</v>
          </cell>
          <cell r="X2490">
            <v>2.8250000000000001E-2</v>
          </cell>
          <cell r="Y2490">
            <v>3.1899999999999998E-2</v>
          </cell>
          <cell r="Z2490">
            <v>3.4549999999999997E-2</v>
          </cell>
          <cell r="AA2490">
            <v>3.6400000000000002E-2</v>
          </cell>
          <cell r="AB2490">
            <v>3.8399999999999997E-2</v>
          </cell>
          <cell r="AC2490">
            <v>4.1500000000000002E-2</v>
          </cell>
        </row>
        <row r="2491">
          <cell r="T2491">
            <v>37399</v>
          </cell>
          <cell r="U2491">
            <v>2.3E-2</v>
          </cell>
          <cell r="V2491">
            <v>2.3355999999999998E-2</v>
          </cell>
          <cell r="W2491">
            <v>2.3900000000000001E-2</v>
          </cell>
          <cell r="X2491">
            <v>2.8200000000000003E-2</v>
          </cell>
          <cell r="Y2491">
            <v>3.2050000000000002E-2</v>
          </cell>
          <cell r="Z2491">
            <v>3.465E-2</v>
          </cell>
          <cell r="AA2491">
            <v>3.6249999999999998E-2</v>
          </cell>
          <cell r="AB2491">
            <v>3.875E-2</v>
          </cell>
          <cell r="AC2491">
            <v>4.1500000000000002E-2</v>
          </cell>
        </row>
        <row r="2492">
          <cell r="T2492">
            <v>37398</v>
          </cell>
          <cell r="U2492">
            <v>2.3441E-2</v>
          </cell>
          <cell r="V2492">
            <v>2.3893000000000001E-2</v>
          </cell>
          <cell r="W2492">
            <v>2.4500000000000001E-2</v>
          </cell>
          <cell r="X2492">
            <v>2.8049999999999999E-2</v>
          </cell>
          <cell r="Y2492">
            <v>3.2050000000000002E-2</v>
          </cell>
          <cell r="Z2492">
            <v>3.465E-2</v>
          </cell>
          <cell r="AA2492">
            <v>3.6249999999999998E-2</v>
          </cell>
          <cell r="AB2492">
            <v>3.85E-2</v>
          </cell>
          <cell r="AC2492">
            <v>4.1500000000000002E-2</v>
          </cell>
        </row>
        <row r="2493">
          <cell r="T2493">
            <v>37397</v>
          </cell>
          <cell r="U2493">
            <v>2.3441E-2</v>
          </cell>
          <cell r="V2493">
            <v>2.3893000000000001E-2</v>
          </cell>
          <cell r="W2493">
            <v>2.5099999999999997E-2</v>
          </cell>
          <cell r="X2493">
            <v>2.8750000000000001E-2</v>
          </cell>
          <cell r="Y2493">
            <v>3.2649999999999998E-2</v>
          </cell>
          <cell r="Z2493">
            <v>3.5049999999999998E-2</v>
          </cell>
          <cell r="AA2493">
            <v>3.6749999999999998E-2</v>
          </cell>
          <cell r="AB2493">
            <v>3.875E-2</v>
          </cell>
          <cell r="AC2493">
            <v>4.2249999999999996E-2</v>
          </cell>
        </row>
        <row r="2494">
          <cell r="T2494">
            <v>37396</v>
          </cell>
          <cell r="U2494">
            <v>2.3441E-2</v>
          </cell>
          <cell r="V2494">
            <v>2.3893000000000001E-2</v>
          </cell>
          <cell r="W2494">
            <v>2.5099999999999997E-2</v>
          </cell>
          <cell r="X2494">
            <v>2.8999999999999998E-2</v>
          </cell>
          <cell r="Y2494">
            <v>3.3300000000000003E-2</v>
          </cell>
          <cell r="Z2494">
            <v>3.5400000000000001E-2</v>
          </cell>
          <cell r="AA2494">
            <v>3.7400000000000003E-2</v>
          </cell>
          <cell r="AB2494">
            <v>3.95E-2</v>
          </cell>
          <cell r="AC2494">
            <v>4.2249999999999996E-2</v>
          </cell>
        </row>
        <row r="2495">
          <cell r="T2495">
            <v>37395</v>
          </cell>
          <cell r="U2495">
            <v>2.3441E-2</v>
          </cell>
          <cell r="V2495">
            <v>2.3893000000000001E-2</v>
          </cell>
          <cell r="W2495">
            <v>2.5049999999999999E-2</v>
          </cell>
          <cell r="X2495">
            <v>2.8750000000000001E-2</v>
          </cell>
          <cell r="Y2495">
            <v>3.2649999999999998E-2</v>
          </cell>
          <cell r="Z2495">
            <v>3.5349999999999999E-2</v>
          </cell>
          <cell r="AA2495">
            <v>3.6650000000000002E-2</v>
          </cell>
          <cell r="AB2495">
            <v>3.95E-2</v>
          </cell>
          <cell r="AC2495">
            <v>4.2249999999999996E-2</v>
          </cell>
        </row>
        <row r="2496">
          <cell r="T2496">
            <v>37394</v>
          </cell>
          <cell r="U2496">
            <v>2.3441E-2</v>
          </cell>
          <cell r="V2496">
            <v>2.3893000000000001E-2</v>
          </cell>
          <cell r="W2496">
            <v>2.5049999999999999E-2</v>
          </cell>
          <cell r="X2496">
            <v>2.8750000000000001E-2</v>
          </cell>
          <cell r="Y2496">
            <v>3.2649999999999998E-2</v>
          </cell>
          <cell r="Z2496">
            <v>3.5349999999999999E-2</v>
          </cell>
          <cell r="AA2496">
            <v>3.6650000000000002E-2</v>
          </cell>
          <cell r="AB2496">
            <v>3.95E-2</v>
          </cell>
          <cell r="AC2496">
            <v>4.2249999999999996E-2</v>
          </cell>
        </row>
        <row r="2497">
          <cell r="T2497">
            <v>37393</v>
          </cell>
          <cell r="U2497">
            <v>2.3441E-2</v>
          </cell>
          <cell r="V2497">
            <v>2.3893000000000001E-2</v>
          </cell>
          <cell r="W2497">
            <v>2.5049999999999999E-2</v>
          </cell>
          <cell r="X2497">
            <v>2.8750000000000001E-2</v>
          </cell>
          <cell r="Y2497">
            <v>3.2649999999999998E-2</v>
          </cell>
          <cell r="Z2497">
            <v>3.5349999999999999E-2</v>
          </cell>
          <cell r="AA2497">
            <v>3.6650000000000002E-2</v>
          </cell>
          <cell r="AB2497">
            <v>3.95E-2</v>
          </cell>
          <cell r="AC2497">
            <v>4.2249999999999996E-2</v>
          </cell>
        </row>
        <row r="2498">
          <cell r="T2498">
            <v>37392</v>
          </cell>
          <cell r="U2498">
            <v>2.3488000000000002E-2</v>
          </cell>
          <cell r="V2498">
            <v>2.4035999999999998E-2</v>
          </cell>
          <cell r="W2498">
            <v>2.495E-2</v>
          </cell>
          <cell r="X2498">
            <v>2.8499999999999998E-2</v>
          </cell>
          <cell r="Y2498">
            <v>3.2549999999999996E-2</v>
          </cell>
          <cell r="Z2498">
            <v>3.5249999999999997E-2</v>
          </cell>
          <cell r="AA2498">
            <v>3.7000000000000005E-2</v>
          </cell>
          <cell r="AB2498">
            <v>3.9E-2</v>
          </cell>
          <cell r="AC2498">
            <v>4.2249999999999996E-2</v>
          </cell>
        </row>
        <row r="2499">
          <cell r="T2499">
            <v>37391</v>
          </cell>
          <cell r="U2499">
            <v>2.3488000000000002E-2</v>
          </cell>
          <cell r="V2499">
            <v>2.4035999999999998E-2</v>
          </cell>
          <cell r="W2499">
            <v>2.4900000000000002E-2</v>
          </cell>
          <cell r="X2499">
            <v>2.9500000000000002E-2</v>
          </cell>
          <cell r="Y2499">
            <v>3.32E-2</v>
          </cell>
          <cell r="Z2499">
            <v>3.5900000000000001E-2</v>
          </cell>
          <cell r="AA2499">
            <v>3.7649999999999996E-2</v>
          </cell>
          <cell r="AB2499">
            <v>4.0250000000000001E-2</v>
          </cell>
          <cell r="AC2499">
            <v>4.2500000000000003E-2</v>
          </cell>
        </row>
        <row r="2500">
          <cell r="T2500">
            <v>37390</v>
          </cell>
          <cell r="U2500">
            <v>2.3405999999999996E-2</v>
          </cell>
          <cell r="V2500">
            <v>2.3937E-2</v>
          </cell>
          <cell r="W2500">
            <v>2.46E-2</v>
          </cell>
          <cell r="X2500">
            <v>2.9100000000000001E-2</v>
          </cell>
          <cell r="Y2500">
            <v>3.3450000000000001E-2</v>
          </cell>
          <cell r="Z2500">
            <v>3.6150000000000002E-2</v>
          </cell>
          <cell r="AA2500">
            <v>3.8149999999999996E-2</v>
          </cell>
          <cell r="AB2500">
            <v>4.0500000000000008E-2</v>
          </cell>
          <cell r="AC2500">
            <v>4.3250000000000004E-2</v>
          </cell>
        </row>
        <row r="2501">
          <cell r="T2501">
            <v>37389</v>
          </cell>
          <cell r="U2501">
            <v>2.3488000000000002E-2</v>
          </cell>
          <cell r="V2501">
            <v>2.4035999999999998E-2</v>
          </cell>
          <cell r="W2501">
            <v>2.4649999999999998E-2</v>
          </cell>
          <cell r="X2501">
            <v>2.9299999999999996E-2</v>
          </cell>
          <cell r="Y2501">
            <v>3.32E-2</v>
          </cell>
          <cell r="Z2501">
            <v>3.5799999999999998E-2</v>
          </cell>
          <cell r="AA2501">
            <v>3.7499999999999999E-2</v>
          </cell>
          <cell r="AB2501">
            <v>4.0250000000000001E-2</v>
          </cell>
          <cell r="AC2501">
            <v>4.3250000000000004E-2</v>
          </cell>
        </row>
        <row r="2502">
          <cell r="T2502">
            <v>37388</v>
          </cell>
          <cell r="U2502">
            <v>2.3557999999999999E-2</v>
          </cell>
          <cell r="V2502">
            <v>2.4094000000000001E-2</v>
          </cell>
          <cell r="W2502">
            <v>2.4900000000000002E-2</v>
          </cell>
          <cell r="X2502">
            <v>2.9750000000000002E-2</v>
          </cell>
          <cell r="Y2502">
            <v>3.4000000000000002E-2</v>
          </cell>
          <cell r="Z2502">
            <v>3.7000000000000005E-2</v>
          </cell>
          <cell r="AA2502">
            <v>3.9199999999999999E-2</v>
          </cell>
          <cell r="AB2502">
            <v>4.1749999999999995E-2</v>
          </cell>
          <cell r="AC2502">
            <v>4.4749999999999998E-2</v>
          </cell>
        </row>
        <row r="2503">
          <cell r="T2503">
            <v>37387</v>
          </cell>
          <cell r="U2503">
            <v>2.3557999999999999E-2</v>
          </cell>
          <cell r="V2503">
            <v>2.4094000000000001E-2</v>
          </cell>
          <cell r="W2503">
            <v>2.4900000000000002E-2</v>
          </cell>
          <cell r="X2503">
            <v>2.9750000000000002E-2</v>
          </cell>
          <cell r="Y2503">
            <v>3.4000000000000002E-2</v>
          </cell>
          <cell r="Z2503">
            <v>3.7000000000000005E-2</v>
          </cell>
          <cell r="AA2503">
            <v>3.9199999999999999E-2</v>
          </cell>
          <cell r="AB2503">
            <v>4.1749999999999995E-2</v>
          </cell>
          <cell r="AC2503">
            <v>4.4749999999999998E-2</v>
          </cell>
        </row>
        <row r="2504">
          <cell r="T2504">
            <v>37386</v>
          </cell>
          <cell r="U2504">
            <v>2.3557999999999999E-2</v>
          </cell>
          <cell r="V2504">
            <v>2.4094000000000001E-2</v>
          </cell>
          <cell r="W2504">
            <v>2.4900000000000002E-2</v>
          </cell>
          <cell r="X2504">
            <v>2.9750000000000002E-2</v>
          </cell>
          <cell r="Y2504">
            <v>3.4000000000000002E-2</v>
          </cell>
          <cell r="Z2504">
            <v>3.7000000000000005E-2</v>
          </cell>
          <cell r="AA2504">
            <v>3.9199999999999999E-2</v>
          </cell>
          <cell r="AB2504">
            <v>4.1749999999999995E-2</v>
          </cell>
          <cell r="AC2504">
            <v>4.4749999999999998E-2</v>
          </cell>
        </row>
        <row r="2505">
          <cell r="T2505">
            <v>37385</v>
          </cell>
          <cell r="U2505">
            <v>2.3527999999999997E-2</v>
          </cell>
          <cell r="V2505">
            <v>2.4E-2</v>
          </cell>
          <cell r="W2505">
            <v>2.6000000000000002E-2</v>
          </cell>
          <cell r="X2505">
            <v>3.0899999999999997E-2</v>
          </cell>
          <cell r="Y2505">
            <v>3.5000000000000003E-2</v>
          </cell>
          <cell r="Z2505">
            <v>3.7999999999999999E-2</v>
          </cell>
          <cell r="AA2505">
            <v>0.04</v>
          </cell>
          <cell r="AB2505">
            <v>4.2500000000000003E-2</v>
          </cell>
          <cell r="AC2505">
            <v>4.4749999999999998E-2</v>
          </cell>
        </row>
        <row r="2506">
          <cell r="T2506">
            <v>37384</v>
          </cell>
          <cell r="U2506">
            <v>2.3607999999999997E-2</v>
          </cell>
          <cell r="V2506">
            <v>2.4094000000000001E-2</v>
          </cell>
          <cell r="W2506">
            <v>2.6000000000000002E-2</v>
          </cell>
          <cell r="X2506">
            <v>0.03</v>
          </cell>
          <cell r="Y2506">
            <v>3.6499999999999998E-2</v>
          </cell>
          <cell r="Z2506">
            <v>3.7999999999999999E-2</v>
          </cell>
          <cell r="AA2506">
            <v>0.04</v>
          </cell>
          <cell r="AB2506">
            <v>4.2249999999999996E-2</v>
          </cell>
          <cell r="AC2506">
            <v>4.4249999999999998E-2</v>
          </cell>
        </row>
        <row r="2507">
          <cell r="T2507">
            <v>37383</v>
          </cell>
          <cell r="U2507">
            <v>2.3628999999999997E-2</v>
          </cell>
          <cell r="V2507">
            <v>2.4125000000000001E-2</v>
          </cell>
          <cell r="W2507">
            <v>2.64E-2</v>
          </cell>
          <cell r="X2507">
            <v>0.03</v>
          </cell>
          <cell r="Y2507">
            <v>3.4750000000000003E-2</v>
          </cell>
          <cell r="Z2507">
            <v>3.7499999999999999E-2</v>
          </cell>
          <cell r="AA2507">
            <v>0.04</v>
          </cell>
          <cell r="AB2507">
            <v>4.1999999999999996E-2</v>
          </cell>
          <cell r="AC2507">
            <v>4.4249999999999998E-2</v>
          </cell>
        </row>
        <row r="2508">
          <cell r="T2508">
            <v>37382</v>
          </cell>
          <cell r="U2508">
            <v>2.3706000000000001E-2</v>
          </cell>
          <cell r="V2508">
            <v>2.4006E-2</v>
          </cell>
          <cell r="W2508">
            <v>2.5249999999999998E-2</v>
          </cell>
          <cell r="X2508">
            <v>2.9900000000000003E-2</v>
          </cell>
          <cell r="Y2508">
            <v>3.4500000000000003E-2</v>
          </cell>
          <cell r="Z2508">
            <v>3.7400000000000003E-2</v>
          </cell>
          <cell r="AA2508">
            <v>3.9800000000000002E-2</v>
          </cell>
          <cell r="AB2508">
            <v>4.1999999999999996E-2</v>
          </cell>
          <cell r="AC2508">
            <v>4.4249999999999998E-2</v>
          </cell>
        </row>
        <row r="2509">
          <cell r="T2509">
            <v>37381</v>
          </cell>
          <cell r="U2509">
            <v>2.3706000000000001E-2</v>
          </cell>
          <cell r="V2509">
            <v>2.4142999999999998E-2</v>
          </cell>
          <cell r="W2509">
            <v>2.5649999999999999E-2</v>
          </cell>
          <cell r="X2509">
            <v>3.0499999999999999E-2</v>
          </cell>
          <cell r="Y2509">
            <v>3.5349999999999999E-2</v>
          </cell>
          <cell r="Z2509">
            <v>3.8650000000000004E-2</v>
          </cell>
          <cell r="AA2509">
            <v>4.0749999999999995E-2</v>
          </cell>
          <cell r="AB2509">
            <v>4.3299999999999998E-2</v>
          </cell>
          <cell r="AC2509">
            <v>4.4749999999999998E-2</v>
          </cell>
        </row>
        <row r="2510">
          <cell r="T2510">
            <v>37380</v>
          </cell>
          <cell r="U2510">
            <v>2.3706000000000001E-2</v>
          </cell>
          <cell r="V2510">
            <v>2.4142999999999998E-2</v>
          </cell>
          <cell r="W2510">
            <v>2.5649999999999999E-2</v>
          </cell>
          <cell r="X2510">
            <v>3.0499999999999999E-2</v>
          </cell>
          <cell r="Y2510">
            <v>3.5349999999999999E-2</v>
          </cell>
          <cell r="Z2510">
            <v>3.8650000000000004E-2</v>
          </cell>
          <cell r="AA2510">
            <v>4.0749999999999995E-2</v>
          </cell>
          <cell r="AB2510">
            <v>4.3299999999999998E-2</v>
          </cell>
          <cell r="AC2510">
            <v>4.4749999999999998E-2</v>
          </cell>
        </row>
        <row r="2511">
          <cell r="T2511">
            <v>37379</v>
          </cell>
          <cell r="U2511">
            <v>2.3706000000000001E-2</v>
          </cell>
          <cell r="V2511">
            <v>2.4142999999999998E-2</v>
          </cell>
          <cell r="W2511">
            <v>2.5649999999999999E-2</v>
          </cell>
          <cell r="X2511">
            <v>3.0499999999999999E-2</v>
          </cell>
          <cell r="Y2511">
            <v>3.5349999999999999E-2</v>
          </cell>
          <cell r="Z2511">
            <v>3.8650000000000004E-2</v>
          </cell>
          <cell r="AA2511">
            <v>4.0749999999999995E-2</v>
          </cell>
          <cell r="AB2511">
            <v>4.3299999999999998E-2</v>
          </cell>
          <cell r="AC2511">
            <v>4.4749999999999998E-2</v>
          </cell>
        </row>
        <row r="2512">
          <cell r="T2512">
            <v>37378</v>
          </cell>
          <cell r="U2512">
            <v>2.3706000000000001E-2</v>
          </cell>
          <cell r="V2512">
            <v>2.4142999999999998E-2</v>
          </cell>
          <cell r="W2512">
            <v>2.5949999999999997E-2</v>
          </cell>
          <cell r="X2512">
            <v>3.0499999999999999E-2</v>
          </cell>
          <cell r="Y2512">
            <v>3.5400000000000001E-2</v>
          </cell>
          <cell r="Z2512">
            <v>3.85E-2</v>
          </cell>
          <cell r="AA2512">
            <v>4.0649999999999992E-2</v>
          </cell>
          <cell r="AB2512">
            <v>4.2849999999999999E-2</v>
          </cell>
          <cell r="AC2512">
            <v>4.4749999999999998E-2</v>
          </cell>
        </row>
        <row r="2513">
          <cell r="T2513">
            <v>37377</v>
          </cell>
          <cell r="U2513">
            <v>2.3607999999999997E-2</v>
          </cell>
          <cell r="V2513">
            <v>2.4094000000000001E-2</v>
          </cell>
          <cell r="W2513">
            <v>2.5899999999999999E-2</v>
          </cell>
          <cell r="X2513">
            <v>3.0350000000000002E-2</v>
          </cell>
          <cell r="Y2513">
            <v>3.5499999999999997E-2</v>
          </cell>
          <cell r="Z2513">
            <v>3.85E-2</v>
          </cell>
          <cell r="AA2513">
            <v>4.0649999999999992E-2</v>
          </cell>
          <cell r="AB2513">
            <v>4.2849999999999999E-2</v>
          </cell>
          <cell r="AC2513">
            <v>4.4749999999999998E-2</v>
          </cell>
        </row>
        <row r="2514">
          <cell r="T2514">
            <v>37376</v>
          </cell>
          <cell r="U2514">
            <v>2.3607999999999997E-2</v>
          </cell>
          <cell r="V2514">
            <v>2.4094000000000001E-2</v>
          </cell>
          <cell r="W2514">
            <v>2.5899999999999999E-2</v>
          </cell>
          <cell r="X2514">
            <v>3.0350000000000002E-2</v>
          </cell>
          <cell r="Y2514">
            <v>3.5499999999999997E-2</v>
          </cell>
          <cell r="Z2514">
            <v>3.85E-2</v>
          </cell>
          <cell r="AA2514">
            <v>4.0649999999999992E-2</v>
          </cell>
          <cell r="AB2514">
            <v>4.2849999999999999E-2</v>
          </cell>
          <cell r="AC2514">
            <v>4.4749999999999998E-2</v>
          </cell>
        </row>
        <row r="2515">
          <cell r="T2515">
            <v>37375</v>
          </cell>
          <cell r="U2515">
            <v>2.3636000000000001E-2</v>
          </cell>
          <cell r="V2515">
            <v>2.4094000000000001E-2</v>
          </cell>
          <cell r="W2515">
            <v>2.5899999999999999E-2</v>
          </cell>
          <cell r="X2515">
            <v>3.0800000000000001E-2</v>
          </cell>
          <cell r="Y2515">
            <v>3.5999999999999997E-2</v>
          </cell>
          <cell r="Z2515">
            <v>3.9100000000000003E-2</v>
          </cell>
          <cell r="AA2515">
            <v>4.1200000000000001E-2</v>
          </cell>
          <cell r="AB2515">
            <v>4.3299999999999998E-2</v>
          </cell>
          <cell r="AC2515">
            <v>4.4749999999999998E-2</v>
          </cell>
        </row>
        <row r="2516">
          <cell r="T2516">
            <v>37374</v>
          </cell>
          <cell r="U2516">
            <v>2.3736999999999998E-2</v>
          </cell>
          <cell r="V2516">
            <v>2.4142999999999998E-2</v>
          </cell>
          <cell r="W2516">
            <v>2.6249999999999999E-2</v>
          </cell>
          <cell r="X2516">
            <v>3.1400000000000004E-2</v>
          </cell>
          <cell r="Y2516">
            <v>3.6600000000000001E-2</v>
          </cell>
          <cell r="Z2516">
            <v>3.9699999999999999E-2</v>
          </cell>
          <cell r="AA2516">
            <v>4.1700000000000001E-2</v>
          </cell>
          <cell r="AB2516">
            <v>4.4000000000000004E-2</v>
          </cell>
          <cell r="AC2516">
            <v>4.5999999999999999E-2</v>
          </cell>
        </row>
        <row r="2517">
          <cell r="T2517">
            <v>37373</v>
          </cell>
          <cell r="U2517">
            <v>2.3736999999999998E-2</v>
          </cell>
          <cell r="V2517">
            <v>2.4142999999999998E-2</v>
          </cell>
          <cell r="W2517">
            <v>2.6249999999999999E-2</v>
          </cell>
          <cell r="X2517">
            <v>3.1400000000000004E-2</v>
          </cell>
          <cell r="Y2517">
            <v>3.6600000000000001E-2</v>
          </cell>
          <cell r="Z2517">
            <v>3.9699999999999999E-2</v>
          </cell>
          <cell r="AA2517">
            <v>4.1700000000000001E-2</v>
          </cell>
          <cell r="AB2517">
            <v>4.4000000000000004E-2</v>
          </cell>
          <cell r="AC2517">
            <v>4.5999999999999999E-2</v>
          </cell>
        </row>
        <row r="2518">
          <cell r="T2518">
            <v>37372</v>
          </cell>
          <cell r="U2518">
            <v>2.3736999999999998E-2</v>
          </cell>
          <cell r="V2518">
            <v>2.4142999999999998E-2</v>
          </cell>
          <cell r="W2518">
            <v>2.6249999999999999E-2</v>
          </cell>
          <cell r="X2518">
            <v>3.1400000000000004E-2</v>
          </cell>
          <cell r="Y2518">
            <v>3.6600000000000001E-2</v>
          </cell>
          <cell r="Z2518">
            <v>3.9699999999999999E-2</v>
          </cell>
          <cell r="AA2518">
            <v>4.1700000000000001E-2</v>
          </cell>
          <cell r="AB2518">
            <v>4.4000000000000004E-2</v>
          </cell>
          <cell r="AC2518">
            <v>4.5999999999999999E-2</v>
          </cell>
        </row>
        <row r="2519">
          <cell r="T2519">
            <v>37371</v>
          </cell>
          <cell r="U2519">
            <v>2.3736999999999998E-2</v>
          </cell>
          <cell r="V2519">
            <v>2.4142999999999998E-2</v>
          </cell>
          <cell r="W2519">
            <v>2.6500000000000003E-2</v>
          </cell>
          <cell r="X2519">
            <v>3.1349999999999996E-2</v>
          </cell>
          <cell r="Y2519">
            <v>3.6850000000000001E-2</v>
          </cell>
          <cell r="Z2519">
            <v>0.04</v>
          </cell>
          <cell r="AA2519">
            <v>4.215E-2</v>
          </cell>
          <cell r="AB2519">
            <v>4.4000000000000004E-2</v>
          </cell>
          <cell r="AC2519">
            <v>4.5999999999999999E-2</v>
          </cell>
        </row>
        <row r="2520">
          <cell r="T2520">
            <v>37370</v>
          </cell>
          <cell r="U2520">
            <v>2.3565999999999997E-2</v>
          </cell>
          <cell r="V2520">
            <v>2.4056000000000001E-2</v>
          </cell>
          <cell r="W2520">
            <v>2.665E-2</v>
          </cell>
          <cell r="X2520">
            <v>3.1550000000000002E-2</v>
          </cell>
          <cell r="Y2520">
            <v>3.705E-2</v>
          </cell>
          <cell r="Z2520">
            <v>4.0300000000000002E-2</v>
          </cell>
          <cell r="AA2520">
            <v>4.2099999999999999E-2</v>
          </cell>
          <cell r="AB2520">
            <v>4.4000000000000004E-2</v>
          </cell>
          <cell r="AC2520">
            <v>4.5999999999999999E-2</v>
          </cell>
        </row>
        <row r="2521">
          <cell r="T2521">
            <v>37369</v>
          </cell>
          <cell r="U2521">
            <v>2.3668999999999999E-2</v>
          </cell>
          <cell r="V2521">
            <v>2.4188000000000001E-2</v>
          </cell>
          <cell r="W2521">
            <v>2.7000000000000003E-2</v>
          </cell>
          <cell r="X2521">
            <v>3.1399999999999997E-2</v>
          </cell>
          <cell r="Y2521">
            <v>3.705E-2</v>
          </cell>
          <cell r="Z2521">
            <v>4.0399999999999998E-2</v>
          </cell>
          <cell r="AA2521">
            <v>4.2200000000000008E-2</v>
          </cell>
          <cell r="AB2521">
            <v>4.4000000000000004E-2</v>
          </cell>
          <cell r="AC2521">
            <v>4.5999999999999999E-2</v>
          </cell>
        </row>
        <row r="2522">
          <cell r="T2522">
            <v>37368</v>
          </cell>
          <cell r="U2522">
            <v>2.3744000000000001E-2</v>
          </cell>
          <cell r="V2522">
            <v>2.4156E-2</v>
          </cell>
          <cell r="W2522">
            <v>2.64E-2</v>
          </cell>
          <cell r="X2522">
            <v>3.1600000000000003E-2</v>
          </cell>
          <cell r="Y2522">
            <v>3.7400000000000003E-2</v>
          </cell>
          <cell r="Z2522">
            <v>4.0500000000000001E-2</v>
          </cell>
          <cell r="AA2522">
            <v>4.2750000000000003E-2</v>
          </cell>
          <cell r="AB2522">
            <v>4.4500000000000005E-2</v>
          </cell>
          <cell r="AC2522">
            <v>4.5999999999999999E-2</v>
          </cell>
        </row>
        <row r="2523">
          <cell r="T2523">
            <v>37367</v>
          </cell>
          <cell r="U2523">
            <v>2.3744000000000001E-2</v>
          </cell>
          <cell r="V2523">
            <v>2.4214000000000003E-2</v>
          </cell>
          <cell r="W2523">
            <v>2.6749999999999999E-2</v>
          </cell>
          <cell r="X2523">
            <v>3.175E-2</v>
          </cell>
          <cell r="Y2523">
            <v>3.7400000000000003E-2</v>
          </cell>
          <cell r="Z2523">
            <v>4.0800000000000003E-2</v>
          </cell>
          <cell r="AA2523">
            <v>4.2500000000000003E-2</v>
          </cell>
          <cell r="AB2523">
            <v>4.4999999999999998E-2</v>
          </cell>
          <cell r="AC2523">
            <v>4.5999999999999999E-2</v>
          </cell>
        </row>
        <row r="2524">
          <cell r="T2524">
            <v>37366</v>
          </cell>
          <cell r="U2524">
            <v>2.3744000000000001E-2</v>
          </cell>
          <cell r="V2524">
            <v>2.4214000000000003E-2</v>
          </cell>
          <cell r="W2524">
            <v>2.6749999999999999E-2</v>
          </cell>
          <cell r="X2524">
            <v>3.175E-2</v>
          </cell>
          <cell r="Y2524">
            <v>3.7400000000000003E-2</v>
          </cell>
          <cell r="Z2524">
            <v>4.0800000000000003E-2</v>
          </cell>
          <cell r="AA2524">
            <v>4.2500000000000003E-2</v>
          </cell>
          <cell r="AB2524">
            <v>4.4999999999999998E-2</v>
          </cell>
          <cell r="AC2524">
            <v>4.5999999999999999E-2</v>
          </cell>
        </row>
        <row r="2525">
          <cell r="T2525">
            <v>37365</v>
          </cell>
          <cell r="U2525">
            <v>2.3744000000000001E-2</v>
          </cell>
          <cell r="V2525">
            <v>2.4214000000000003E-2</v>
          </cell>
          <cell r="W2525">
            <v>2.6749999999999999E-2</v>
          </cell>
          <cell r="X2525">
            <v>3.175E-2</v>
          </cell>
          <cell r="Y2525">
            <v>3.7400000000000003E-2</v>
          </cell>
          <cell r="Z2525">
            <v>4.0800000000000003E-2</v>
          </cell>
          <cell r="AA2525">
            <v>4.2500000000000003E-2</v>
          </cell>
          <cell r="AB2525">
            <v>4.4999999999999998E-2</v>
          </cell>
          <cell r="AC2525">
            <v>4.5999999999999999E-2</v>
          </cell>
        </row>
        <row r="2526">
          <cell r="T2526">
            <v>37364</v>
          </cell>
          <cell r="U2526">
            <v>2.3628E-2</v>
          </cell>
          <cell r="V2526">
            <v>2.4046999999999999E-2</v>
          </cell>
          <cell r="W2526">
            <v>2.775E-2</v>
          </cell>
          <cell r="X2526">
            <v>3.1850000000000003E-2</v>
          </cell>
          <cell r="Y2526">
            <v>3.755E-2</v>
          </cell>
          <cell r="Z2526">
            <v>4.0899999999999999E-2</v>
          </cell>
          <cell r="AA2526">
            <v>4.2500000000000003E-2</v>
          </cell>
          <cell r="AB2526">
            <v>4.4500000000000005E-2</v>
          </cell>
          <cell r="AC2526">
            <v>4.5999999999999999E-2</v>
          </cell>
        </row>
        <row r="2527">
          <cell r="T2527">
            <v>37363</v>
          </cell>
          <cell r="U2527">
            <v>2.3628E-2</v>
          </cell>
          <cell r="V2527">
            <v>2.4046999999999999E-2</v>
          </cell>
          <cell r="W2527">
            <v>2.7000000000000003E-2</v>
          </cell>
          <cell r="X2527">
            <v>3.2000000000000001E-2</v>
          </cell>
          <cell r="Y2527">
            <v>3.755E-2</v>
          </cell>
          <cell r="Z2527">
            <v>4.095E-2</v>
          </cell>
          <cell r="AA2527">
            <v>4.2900000000000001E-2</v>
          </cell>
          <cell r="AB2527">
            <v>4.4999999999999998E-2</v>
          </cell>
          <cell r="AC2527">
            <v>4.5999999999999999E-2</v>
          </cell>
        </row>
        <row r="2528">
          <cell r="T2528">
            <v>37362</v>
          </cell>
          <cell r="U2528">
            <v>2.3736999999999998E-2</v>
          </cell>
          <cell r="V2528">
            <v>2.4088999999999999E-2</v>
          </cell>
          <cell r="W2528">
            <v>2.6900000000000004E-2</v>
          </cell>
          <cell r="X2528">
            <v>3.1300000000000001E-2</v>
          </cell>
          <cell r="Y2528">
            <v>3.6900000000000002E-2</v>
          </cell>
          <cell r="Z2528">
            <v>4.0999999999999995E-2</v>
          </cell>
          <cell r="AA2528">
            <v>4.2500000000000003E-2</v>
          </cell>
          <cell r="AB2528">
            <v>4.5500000000000006E-2</v>
          </cell>
          <cell r="AC2528">
            <v>4.6500000000000007E-2</v>
          </cell>
        </row>
        <row r="2529">
          <cell r="T2529">
            <v>37361</v>
          </cell>
          <cell r="U2529">
            <v>2.3736999999999998E-2</v>
          </cell>
          <cell r="V2529">
            <v>2.4088999999999999E-2</v>
          </cell>
          <cell r="W2529">
            <v>2.6849999999999999E-2</v>
          </cell>
          <cell r="X2529">
            <v>3.1300000000000001E-2</v>
          </cell>
          <cell r="Y2529">
            <v>3.7000000000000005E-2</v>
          </cell>
          <cell r="Z2529">
            <v>0.04</v>
          </cell>
          <cell r="AA2529">
            <v>4.2249999999999996E-2</v>
          </cell>
          <cell r="AB2529">
            <v>4.4499999999999991E-2</v>
          </cell>
          <cell r="AC2529">
            <v>4.6500000000000007E-2</v>
          </cell>
        </row>
        <row r="2530">
          <cell r="T2530">
            <v>37360</v>
          </cell>
          <cell r="U2530">
            <v>2.3628E-2</v>
          </cell>
          <cell r="V2530">
            <v>2.3953000000000002E-2</v>
          </cell>
          <cell r="W2530">
            <v>2.7000000000000003E-2</v>
          </cell>
          <cell r="X2530">
            <v>3.175E-2</v>
          </cell>
          <cell r="Y2530">
            <v>3.7000000000000005E-2</v>
          </cell>
          <cell r="Z2530">
            <v>0.04</v>
          </cell>
          <cell r="AA2530">
            <v>4.2249999999999996E-2</v>
          </cell>
          <cell r="AB2530">
            <v>4.4499999999999991E-2</v>
          </cell>
          <cell r="AC2530">
            <v>4.6500000000000007E-2</v>
          </cell>
        </row>
        <row r="2531">
          <cell r="T2531">
            <v>37359</v>
          </cell>
          <cell r="U2531">
            <v>2.3628E-2</v>
          </cell>
          <cell r="V2531">
            <v>2.3953000000000002E-2</v>
          </cell>
          <cell r="W2531">
            <v>2.7000000000000003E-2</v>
          </cell>
          <cell r="X2531">
            <v>3.175E-2</v>
          </cell>
          <cell r="Y2531">
            <v>3.7000000000000005E-2</v>
          </cell>
          <cell r="Z2531">
            <v>0.04</v>
          </cell>
          <cell r="AA2531">
            <v>4.2249999999999996E-2</v>
          </cell>
          <cell r="AB2531">
            <v>4.4499999999999991E-2</v>
          </cell>
          <cell r="AC2531">
            <v>4.6500000000000007E-2</v>
          </cell>
        </row>
        <row r="2532">
          <cell r="T2532">
            <v>37358</v>
          </cell>
          <cell r="U2532">
            <v>2.3628E-2</v>
          </cell>
          <cell r="V2532">
            <v>2.3953000000000002E-2</v>
          </cell>
          <cell r="W2532">
            <v>2.7000000000000003E-2</v>
          </cell>
          <cell r="X2532">
            <v>3.175E-2</v>
          </cell>
          <cell r="Y2532">
            <v>3.7000000000000005E-2</v>
          </cell>
          <cell r="Z2532">
            <v>0.04</v>
          </cell>
          <cell r="AA2532">
            <v>4.2249999999999996E-2</v>
          </cell>
          <cell r="AB2532">
            <v>4.4499999999999991E-2</v>
          </cell>
          <cell r="AC2532">
            <v>4.6500000000000007E-2</v>
          </cell>
        </row>
        <row r="2533">
          <cell r="T2533">
            <v>37357</v>
          </cell>
          <cell r="U2533">
            <v>2.3628E-2</v>
          </cell>
          <cell r="V2533">
            <v>2.4046999999999999E-2</v>
          </cell>
          <cell r="W2533">
            <v>2.6500000000000003E-2</v>
          </cell>
          <cell r="X2533">
            <v>3.0499999999999999E-2</v>
          </cell>
          <cell r="Y2533">
            <v>3.6699999999999997E-2</v>
          </cell>
          <cell r="Z2533">
            <v>3.95E-2</v>
          </cell>
          <cell r="AA2533">
            <v>4.1749999999999995E-2</v>
          </cell>
          <cell r="AB2533">
            <v>4.4249999999999998E-2</v>
          </cell>
          <cell r="AC2533">
            <v>4.6500000000000007E-2</v>
          </cell>
        </row>
        <row r="2534">
          <cell r="T2534">
            <v>37356</v>
          </cell>
          <cell r="U2534">
            <v>2.3799999999999998E-2</v>
          </cell>
          <cell r="V2534">
            <v>2.4281E-2</v>
          </cell>
          <cell r="W2534">
            <v>2.64E-2</v>
          </cell>
          <cell r="X2534">
            <v>3.0249999999999999E-2</v>
          </cell>
          <cell r="Y2534">
            <v>3.5900000000000001E-2</v>
          </cell>
          <cell r="Z2534">
            <v>3.9100000000000003E-2</v>
          </cell>
          <cell r="AA2534">
            <v>4.0999999999999995E-2</v>
          </cell>
          <cell r="AB2534">
            <v>4.4249999999999998E-2</v>
          </cell>
          <cell r="AC2534">
            <v>4.6500000000000007E-2</v>
          </cell>
        </row>
        <row r="2535">
          <cell r="T2535">
            <v>37355</v>
          </cell>
          <cell r="U2535">
            <v>2.3736999999999998E-2</v>
          </cell>
          <cell r="V2535">
            <v>2.4088999999999999E-2</v>
          </cell>
          <cell r="W2535">
            <v>2.6500000000000003E-2</v>
          </cell>
          <cell r="X2535">
            <v>3.0750000000000003E-2</v>
          </cell>
          <cell r="Y2535">
            <v>3.7100000000000001E-2</v>
          </cell>
          <cell r="Z2535">
            <v>0.04</v>
          </cell>
          <cell r="AA2535">
            <v>4.2249999999999996E-2</v>
          </cell>
          <cell r="AB2535">
            <v>4.4249999999999998E-2</v>
          </cell>
          <cell r="AC2535">
            <v>4.6500000000000007E-2</v>
          </cell>
        </row>
        <row r="2536">
          <cell r="T2536">
            <v>37354</v>
          </cell>
          <cell r="U2536">
            <v>2.3820999999999998E-2</v>
          </cell>
          <cell r="V2536">
            <v>2.4146000000000001E-2</v>
          </cell>
          <cell r="W2536">
            <v>2.75E-2</v>
          </cell>
          <cell r="X2536">
            <v>3.04E-2</v>
          </cell>
          <cell r="Y2536">
            <v>3.6900000000000002E-2</v>
          </cell>
          <cell r="Z2536">
            <v>0.04</v>
          </cell>
          <cell r="AA2536">
            <v>4.1749999999999995E-2</v>
          </cell>
          <cell r="AB2536">
            <v>4.4000000000000004E-2</v>
          </cell>
          <cell r="AC2536">
            <v>4.6500000000000007E-2</v>
          </cell>
        </row>
        <row r="2537">
          <cell r="T2537">
            <v>37353</v>
          </cell>
          <cell r="U2537">
            <v>2.3812000000000003E-2</v>
          </cell>
          <cell r="V2537">
            <v>2.4088999999999999E-2</v>
          </cell>
          <cell r="W2537">
            <v>2.6500000000000003E-2</v>
          </cell>
          <cell r="X2537">
            <v>3.0499999999999999E-2</v>
          </cell>
          <cell r="Y2537">
            <v>3.6500000000000005E-2</v>
          </cell>
          <cell r="Z2537">
            <v>3.9400000000000004E-2</v>
          </cell>
          <cell r="AA2537">
            <v>4.1500000000000002E-2</v>
          </cell>
          <cell r="AB2537">
            <v>4.4000000000000004E-2</v>
          </cell>
          <cell r="AC2537">
            <v>4.6500000000000007E-2</v>
          </cell>
        </row>
        <row r="2538">
          <cell r="T2538">
            <v>37352</v>
          </cell>
          <cell r="U2538">
            <v>2.3812000000000003E-2</v>
          </cell>
          <cell r="V2538">
            <v>2.4088999999999999E-2</v>
          </cell>
          <cell r="W2538">
            <v>2.6500000000000003E-2</v>
          </cell>
          <cell r="X2538">
            <v>3.0499999999999999E-2</v>
          </cell>
          <cell r="Y2538">
            <v>3.6500000000000005E-2</v>
          </cell>
          <cell r="Z2538">
            <v>3.9400000000000004E-2</v>
          </cell>
          <cell r="AA2538">
            <v>4.1500000000000002E-2</v>
          </cell>
          <cell r="AB2538">
            <v>4.4000000000000004E-2</v>
          </cell>
          <cell r="AC2538">
            <v>4.6500000000000007E-2</v>
          </cell>
        </row>
        <row r="2539">
          <cell r="T2539">
            <v>37351</v>
          </cell>
          <cell r="U2539">
            <v>2.3812000000000003E-2</v>
          </cell>
          <cell r="V2539">
            <v>2.4088999999999999E-2</v>
          </cell>
          <cell r="W2539">
            <v>2.6500000000000003E-2</v>
          </cell>
          <cell r="X2539">
            <v>3.0499999999999999E-2</v>
          </cell>
          <cell r="Y2539">
            <v>3.6500000000000005E-2</v>
          </cell>
          <cell r="Z2539">
            <v>3.9400000000000004E-2</v>
          </cell>
          <cell r="AA2539">
            <v>4.1500000000000002E-2</v>
          </cell>
          <cell r="AB2539">
            <v>4.4000000000000004E-2</v>
          </cell>
          <cell r="AC2539">
            <v>4.6500000000000007E-2</v>
          </cell>
        </row>
        <row r="2540">
          <cell r="T2540">
            <v>37350</v>
          </cell>
          <cell r="U2540">
            <v>2.3812000000000003E-2</v>
          </cell>
          <cell r="V2540">
            <v>2.4088999999999999E-2</v>
          </cell>
          <cell r="W2540">
            <v>2.7000000000000003E-2</v>
          </cell>
          <cell r="X2540">
            <v>0.03</v>
          </cell>
          <cell r="Y2540">
            <v>3.7249999999999998E-2</v>
          </cell>
          <cell r="Z2540">
            <v>3.9400000000000004E-2</v>
          </cell>
          <cell r="AA2540">
            <v>4.1500000000000002E-2</v>
          </cell>
          <cell r="AB2540">
            <v>4.4000000000000004E-2</v>
          </cell>
          <cell r="AC2540">
            <v>4.6500000000000007E-2</v>
          </cell>
        </row>
        <row r="2541">
          <cell r="T2541">
            <v>37349</v>
          </cell>
          <cell r="U2541">
            <v>2.3812000000000003E-2</v>
          </cell>
          <cell r="V2541">
            <v>2.4088999999999999E-2</v>
          </cell>
          <cell r="W2541">
            <v>2.5250000000000005E-2</v>
          </cell>
          <cell r="X2541">
            <v>2.9500000000000002E-2</v>
          </cell>
          <cell r="Y2541">
            <v>3.3500000000000002E-2</v>
          </cell>
          <cell r="Z2541">
            <v>3.6000000000000004E-2</v>
          </cell>
          <cell r="AA2541">
            <v>3.7999999999999999E-2</v>
          </cell>
          <cell r="AB2541">
            <v>0.04</v>
          </cell>
          <cell r="AC2541">
            <v>4.1500000000000002E-2</v>
          </cell>
        </row>
        <row r="2542">
          <cell r="T2542">
            <v>37348</v>
          </cell>
          <cell r="U2542">
            <v>2.3719E-2</v>
          </cell>
          <cell r="V2542">
            <v>2.3925000000000002E-2</v>
          </cell>
          <cell r="W2542">
            <v>2.7000000000000003E-2</v>
          </cell>
          <cell r="X2542">
            <v>3.0999999999999996E-2</v>
          </cell>
          <cell r="Y2542">
            <v>3.7499999999999999E-2</v>
          </cell>
          <cell r="Z2542">
            <v>4.0500000000000001E-2</v>
          </cell>
          <cell r="AA2542">
            <v>4.2500000000000003E-2</v>
          </cell>
          <cell r="AB2542">
            <v>4.4499999999999991E-2</v>
          </cell>
          <cell r="AC2542">
            <v>4.6500000000000007E-2</v>
          </cell>
        </row>
        <row r="2543">
          <cell r="T2543">
            <v>37347</v>
          </cell>
          <cell r="U2543">
            <v>2.3435000000000001E-2</v>
          </cell>
          <cell r="V2543">
            <v>2.3184999999999997E-2</v>
          </cell>
          <cell r="W2543">
            <v>2.7000000000000003E-2</v>
          </cell>
          <cell r="X2543">
            <v>3.0999999999999996E-2</v>
          </cell>
          <cell r="Y2543">
            <v>3.7000000000000005E-2</v>
          </cell>
          <cell r="Z2543">
            <v>3.9E-2</v>
          </cell>
          <cell r="AA2543">
            <v>4.1250000000000002E-2</v>
          </cell>
          <cell r="AB2543">
            <v>4.4499999999999991E-2</v>
          </cell>
          <cell r="AC2543">
            <v>4.6500000000000007E-2</v>
          </cell>
        </row>
        <row r="2544">
          <cell r="T2544">
            <v>37346</v>
          </cell>
          <cell r="U2544">
            <v>2.3435000000000001E-2</v>
          </cell>
          <cell r="V2544">
            <v>2.3184999999999997E-2</v>
          </cell>
          <cell r="W2544">
            <v>2.7000000000000003E-2</v>
          </cell>
          <cell r="X2544">
            <v>3.0750000000000003E-2</v>
          </cell>
          <cell r="Y2544">
            <v>3.6500000000000005E-2</v>
          </cell>
          <cell r="Z2544">
            <v>3.9E-2</v>
          </cell>
          <cell r="AA2544">
            <v>4.1250000000000002E-2</v>
          </cell>
          <cell r="AB2544">
            <v>4.4499999999999991E-2</v>
          </cell>
          <cell r="AC2544">
            <v>4.6500000000000007E-2</v>
          </cell>
        </row>
        <row r="2545">
          <cell r="T2545">
            <v>37345</v>
          </cell>
          <cell r="U2545">
            <v>2.3435000000000001E-2</v>
          </cell>
          <cell r="V2545">
            <v>2.3184999999999997E-2</v>
          </cell>
          <cell r="W2545">
            <v>2.7000000000000003E-2</v>
          </cell>
          <cell r="X2545">
            <v>3.0750000000000003E-2</v>
          </cell>
          <cell r="Y2545">
            <v>3.6500000000000005E-2</v>
          </cell>
          <cell r="Z2545">
            <v>3.9E-2</v>
          </cell>
          <cell r="AA2545">
            <v>4.1250000000000002E-2</v>
          </cell>
          <cell r="AB2545">
            <v>4.4499999999999991E-2</v>
          </cell>
          <cell r="AC2545">
            <v>4.6500000000000007E-2</v>
          </cell>
        </row>
        <row r="2546">
          <cell r="T2546">
            <v>37344</v>
          </cell>
          <cell r="U2546">
            <v>2.3435000000000001E-2</v>
          </cell>
          <cell r="V2546">
            <v>2.3184999999999997E-2</v>
          </cell>
          <cell r="W2546">
            <v>2.7000000000000003E-2</v>
          </cell>
          <cell r="X2546">
            <v>3.0750000000000003E-2</v>
          </cell>
          <cell r="Y2546">
            <v>3.6500000000000005E-2</v>
          </cell>
          <cell r="Z2546">
            <v>3.9E-2</v>
          </cell>
          <cell r="AA2546">
            <v>4.1250000000000002E-2</v>
          </cell>
          <cell r="AB2546">
            <v>4.4499999999999991E-2</v>
          </cell>
          <cell r="AC2546">
            <v>4.6500000000000007E-2</v>
          </cell>
        </row>
        <row r="2547">
          <cell r="T2547">
            <v>37343</v>
          </cell>
          <cell r="U2547">
            <v>2.3708E-2</v>
          </cell>
          <cell r="V2547">
            <v>2.3969000000000001E-2</v>
          </cell>
          <cell r="W2547">
            <v>2.6249999999999999E-2</v>
          </cell>
          <cell r="X2547">
            <v>0.03</v>
          </cell>
          <cell r="Y2547">
            <v>3.6000000000000004E-2</v>
          </cell>
          <cell r="Z2547">
            <v>3.9E-2</v>
          </cell>
          <cell r="AA2547">
            <v>4.2249999999999996E-2</v>
          </cell>
          <cell r="AB2547">
            <v>4.4499999999999991E-2</v>
          </cell>
          <cell r="AC2547">
            <v>4.6500000000000007E-2</v>
          </cell>
        </row>
        <row r="2548">
          <cell r="T2548">
            <v>37342</v>
          </cell>
          <cell r="U2548">
            <v>2.3819E-2</v>
          </cell>
          <cell r="V2548">
            <v>2.41E-2</v>
          </cell>
          <cell r="W2548">
            <v>2.7000000000000003E-2</v>
          </cell>
          <cell r="X2548">
            <v>3.15E-2</v>
          </cell>
          <cell r="Y2548">
            <v>3.7000000000000005E-2</v>
          </cell>
          <cell r="Z2548">
            <v>4.0250000000000001E-2</v>
          </cell>
          <cell r="AA2548">
            <v>4.1999999999999996E-2</v>
          </cell>
          <cell r="AB2548">
            <v>4.4999999999999998E-2</v>
          </cell>
          <cell r="AC2548">
            <v>4.6500000000000007E-2</v>
          </cell>
        </row>
        <row r="2549">
          <cell r="T2549">
            <v>37341</v>
          </cell>
          <cell r="U2549">
            <v>2.3708E-2</v>
          </cell>
          <cell r="V2549">
            <v>2.4056000000000001E-2</v>
          </cell>
          <cell r="W2549">
            <v>2.7349999999999999E-2</v>
          </cell>
          <cell r="X2549">
            <v>3.1900000000000005E-2</v>
          </cell>
          <cell r="Y2549">
            <v>3.7499999999999999E-2</v>
          </cell>
          <cell r="Z2549">
            <v>4.0250000000000001E-2</v>
          </cell>
          <cell r="AA2549">
            <v>4.2750000000000003E-2</v>
          </cell>
          <cell r="AB2549">
            <v>4.5500000000000006E-2</v>
          </cell>
          <cell r="AC2549">
            <v>4.7500000000000001E-2</v>
          </cell>
        </row>
        <row r="2550">
          <cell r="T2550">
            <v>37340</v>
          </cell>
          <cell r="U2550">
            <v>2.3708E-2</v>
          </cell>
          <cell r="V2550">
            <v>2.4056000000000001E-2</v>
          </cell>
          <cell r="W2550">
            <v>2.7999999999999997E-2</v>
          </cell>
          <cell r="X2550">
            <v>3.3000000000000002E-2</v>
          </cell>
          <cell r="Y2550">
            <v>3.9E-2</v>
          </cell>
          <cell r="Z2550">
            <v>4.1500000000000002E-2</v>
          </cell>
          <cell r="AA2550">
            <v>4.3749999999999997E-2</v>
          </cell>
          <cell r="AB2550">
            <v>4.5999999999999999E-2</v>
          </cell>
          <cell r="AC2550">
            <v>4.6999999999999993E-2</v>
          </cell>
        </row>
        <row r="2551">
          <cell r="T2551">
            <v>37339</v>
          </cell>
          <cell r="U2551">
            <v>2.3708E-2</v>
          </cell>
          <cell r="V2551">
            <v>2.3994000000000001E-2</v>
          </cell>
          <cell r="W2551">
            <v>2.7000000000000003E-2</v>
          </cell>
          <cell r="X2551">
            <v>3.175E-2</v>
          </cell>
          <cell r="Y2551">
            <v>3.7249999999999998E-2</v>
          </cell>
          <cell r="Z2551">
            <v>4.0250000000000001E-2</v>
          </cell>
          <cell r="AA2551">
            <v>4.2500000000000003E-2</v>
          </cell>
          <cell r="AB2551">
            <v>4.300000000000001E-2</v>
          </cell>
          <cell r="AC2551">
            <v>4.4000000000000004E-2</v>
          </cell>
        </row>
        <row r="2552">
          <cell r="T2552">
            <v>37338</v>
          </cell>
          <cell r="U2552">
            <v>2.3708E-2</v>
          </cell>
          <cell r="V2552">
            <v>2.3994000000000001E-2</v>
          </cell>
          <cell r="W2552">
            <v>2.7000000000000003E-2</v>
          </cell>
          <cell r="X2552">
            <v>3.175E-2</v>
          </cell>
          <cell r="Y2552">
            <v>3.7249999999999998E-2</v>
          </cell>
          <cell r="Z2552">
            <v>4.0250000000000001E-2</v>
          </cell>
          <cell r="AA2552">
            <v>4.2500000000000003E-2</v>
          </cell>
          <cell r="AB2552">
            <v>4.300000000000001E-2</v>
          </cell>
          <cell r="AC2552">
            <v>4.4000000000000004E-2</v>
          </cell>
        </row>
        <row r="2553">
          <cell r="T2553">
            <v>37337</v>
          </cell>
          <cell r="U2553">
            <v>2.3708E-2</v>
          </cell>
          <cell r="V2553">
            <v>2.3994000000000001E-2</v>
          </cell>
          <cell r="W2553">
            <v>2.7000000000000003E-2</v>
          </cell>
          <cell r="X2553">
            <v>3.175E-2</v>
          </cell>
          <cell r="Y2553">
            <v>3.7249999999999998E-2</v>
          </cell>
          <cell r="Z2553">
            <v>4.0250000000000001E-2</v>
          </cell>
          <cell r="AA2553">
            <v>4.2500000000000003E-2</v>
          </cell>
          <cell r="AB2553">
            <v>4.300000000000001E-2</v>
          </cell>
          <cell r="AC2553">
            <v>4.4000000000000004E-2</v>
          </cell>
        </row>
        <row r="2554">
          <cell r="T2554">
            <v>37336</v>
          </cell>
          <cell r="U2554">
            <v>2.3708E-2</v>
          </cell>
          <cell r="V2554">
            <v>2.4065E-2</v>
          </cell>
          <cell r="W2554">
            <v>2.7000000000000003E-2</v>
          </cell>
          <cell r="X2554">
            <v>3.0999999999999996E-2</v>
          </cell>
          <cell r="Y2554">
            <v>3.6799999999999999E-2</v>
          </cell>
          <cell r="Z2554">
            <v>3.95E-2</v>
          </cell>
          <cell r="AA2554">
            <v>4.2000000000000003E-2</v>
          </cell>
          <cell r="AB2554">
            <v>4.300000000000001E-2</v>
          </cell>
          <cell r="AC2554">
            <v>4.4000000000000004E-2</v>
          </cell>
        </row>
        <row r="2555">
          <cell r="T2555">
            <v>37335</v>
          </cell>
          <cell r="U2555">
            <v>2.3694000000000003E-2</v>
          </cell>
          <cell r="V2555">
            <v>2.3925000000000002E-2</v>
          </cell>
          <cell r="W2555">
            <v>2.6500000000000003E-2</v>
          </cell>
          <cell r="X2555">
            <v>0.03</v>
          </cell>
          <cell r="Y2555">
            <v>3.5750000000000004E-2</v>
          </cell>
          <cell r="Z2555">
            <v>3.9000000000000007E-2</v>
          </cell>
          <cell r="AA2555">
            <v>4.1250000000000002E-2</v>
          </cell>
          <cell r="AB2555">
            <v>4.2500000000000003E-2</v>
          </cell>
          <cell r="AC2555">
            <v>4.3499999999999997E-2</v>
          </cell>
        </row>
        <row r="2556">
          <cell r="T2556">
            <v>37334</v>
          </cell>
          <cell r="U2556">
            <v>2.3819E-2</v>
          </cell>
          <cell r="V2556">
            <v>2.41E-2</v>
          </cell>
          <cell r="W2556">
            <v>2.6500000000000003E-2</v>
          </cell>
          <cell r="X2556">
            <v>3.0499999999999999E-2</v>
          </cell>
          <cell r="Y2556">
            <v>3.5999999999999997E-2</v>
          </cell>
          <cell r="Z2556">
            <v>3.9000000000000007E-2</v>
          </cell>
          <cell r="AA2556">
            <v>4.1299999999999996E-2</v>
          </cell>
          <cell r="AB2556">
            <v>4.2500000000000003E-2</v>
          </cell>
          <cell r="AC2556">
            <v>4.3499999999999997E-2</v>
          </cell>
        </row>
        <row r="2557">
          <cell r="T2557">
            <v>37333</v>
          </cell>
          <cell r="U2557">
            <v>2.3812000000000003E-2</v>
          </cell>
          <cell r="V2557">
            <v>2.4049999999999998E-2</v>
          </cell>
          <cell r="W2557">
            <v>2.64E-2</v>
          </cell>
          <cell r="X2557">
            <v>3.0499999999999999E-2</v>
          </cell>
          <cell r="Y2557">
            <v>3.5999999999999997E-2</v>
          </cell>
          <cell r="Z2557">
            <v>3.8249999999999999E-2</v>
          </cell>
          <cell r="AA2557">
            <v>4.0250000000000001E-2</v>
          </cell>
          <cell r="AB2557">
            <v>4.1999999999999996E-2</v>
          </cell>
          <cell r="AC2557">
            <v>4.3499999999999997E-2</v>
          </cell>
        </row>
        <row r="2558">
          <cell r="T2558">
            <v>37332</v>
          </cell>
          <cell r="U2558">
            <v>2.3536999999999999E-2</v>
          </cell>
          <cell r="V2558">
            <v>2.3671000000000001E-2</v>
          </cell>
          <cell r="W2558">
            <v>2.63E-2</v>
          </cell>
          <cell r="X2558">
            <v>3.0099999999999998E-2</v>
          </cell>
          <cell r="Y2558">
            <v>3.5300000000000005E-2</v>
          </cell>
          <cell r="Z2558">
            <v>3.8200000000000005E-2</v>
          </cell>
          <cell r="AA2558">
            <v>0.04</v>
          </cell>
          <cell r="AB2558">
            <v>4.1999999999999996E-2</v>
          </cell>
          <cell r="AC2558">
            <v>4.3499999999999997E-2</v>
          </cell>
        </row>
        <row r="2559">
          <cell r="T2559">
            <v>37331</v>
          </cell>
          <cell r="U2559">
            <v>2.3536999999999999E-2</v>
          </cell>
          <cell r="V2559">
            <v>2.3671000000000001E-2</v>
          </cell>
          <cell r="W2559">
            <v>2.63E-2</v>
          </cell>
          <cell r="X2559">
            <v>3.0099999999999998E-2</v>
          </cell>
          <cell r="Y2559">
            <v>3.5300000000000005E-2</v>
          </cell>
          <cell r="Z2559">
            <v>3.8200000000000005E-2</v>
          </cell>
          <cell r="AA2559">
            <v>0.04</v>
          </cell>
          <cell r="AB2559">
            <v>4.1999999999999996E-2</v>
          </cell>
          <cell r="AC2559">
            <v>4.3499999999999997E-2</v>
          </cell>
        </row>
        <row r="2560">
          <cell r="T2560">
            <v>37330</v>
          </cell>
          <cell r="U2560">
            <v>2.3536999999999999E-2</v>
          </cell>
          <cell r="V2560">
            <v>2.3671000000000001E-2</v>
          </cell>
          <cell r="W2560">
            <v>2.63E-2</v>
          </cell>
          <cell r="X2560">
            <v>3.0099999999999998E-2</v>
          </cell>
          <cell r="Y2560">
            <v>3.5300000000000005E-2</v>
          </cell>
          <cell r="Z2560">
            <v>3.8200000000000005E-2</v>
          </cell>
          <cell r="AA2560">
            <v>0.04</v>
          </cell>
          <cell r="AB2560">
            <v>4.1999999999999996E-2</v>
          </cell>
          <cell r="AC2560">
            <v>4.3499999999999997E-2</v>
          </cell>
        </row>
        <row r="2561">
          <cell r="T2561">
            <v>37329</v>
          </cell>
          <cell r="U2561">
            <v>2.3521999999999998E-2</v>
          </cell>
          <cell r="V2561">
            <v>2.3872000000000001E-2</v>
          </cell>
          <cell r="W2561">
            <v>2.5999999999999995E-2</v>
          </cell>
          <cell r="X2561">
            <v>2.9249999999999998E-2</v>
          </cell>
          <cell r="Y2561">
            <v>3.4249999999999996E-2</v>
          </cell>
          <cell r="Z2561">
            <v>3.6749999999999998E-2</v>
          </cell>
          <cell r="AA2561">
            <v>3.9000000000000007E-2</v>
          </cell>
          <cell r="AB2561">
            <v>4.1999999999999996E-2</v>
          </cell>
          <cell r="AC2561">
            <v>4.3499999999999997E-2</v>
          </cell>
        </row>
        <row r="2562">
          <cell r="T2562">
            <v>37328</v>
          </cell>
          <cell r="U2562">
            <v>2.3618999999999998E-2</v>
          </cell>
          <cell r="V2562">
            <v>2.3988999999999996E-2</v>
          </cell>
          <cell r="W2562">
            <v>2.6500000000000003E-2</v>
          </cell>
          <cell r="X2562">
            <v>2.9500000000000002E-2</v>
          </cell>
          <cell r="Y2562">
            <v>3.5000000000000003E-2</v>
          </cell>
          <cell r="Z2562">
            <v>3.7499999999999999E-2</v>
          </cell>
          <cell r="AA2562">
            <v>3.9749999999999994E-2</v>
          </cell>
          <cell r="AB2562">
            <v>4.1999999999999996E-2</v>
          </cell>
          <cell r="AC2562">
            <v>4.3499999999999997E-2</v>
          </cell>
        </row>
        <row r="2563">
          <cell r="T2563">
            <v>37327</v>
          </cell>
          <cell r="U2563">
            <v>2.3633000000000001E-2</v>
          </cell>
          <cell r="V2563">
            <v>2.3975E-2</v>
          </cell>
          <cell r="W2563">
            <v>2.6200000000000001E-2</v>
          </cell>
          <cell r="X2563">
            <v>3.04E-2</v>
          </cell>
          <cell r="Y2563">
            <v>3.5750000000000004E-2</v>
          </cell>
          <cell r="Z2563">
            <v>3.78E-2</v>
          </cell>
          <cell r="AA2563">
            <v>4.0200000000000007E-2</v>
          </cell>
          <cell r="AB2563">
            <v>4.1999999999999996E-2</v>
          </cell>
          <cell r="AC2563">
            <v>4.3499999999999997E-2</v>
          </cell>
        </row>
        <row r="2564">
          <cell r="T2564">
            <v>37326</v>
          </cell>
          <cell r="U2564">
            <v>2.3633000000000001E-2</v>
          </cell>
          <cell r="V2564">
            <v>2.3975E-2</v>
          </cell>
          <cell r="W2564">
            <v>2.6500000000000003E-2</v>
          </cell>
          <cell r="X2564">
            <v>3.0750000000000003E-2</v>
          </cell>
          <cell r="Y2564">
            <v>3.5750000000000004E-2</v>
          </cell>
          <cell r="Z2564">
            <v>3.85E-2</v>
          </cell>
          <cell r="AA2564">
            <v>0.04</v>
          </cell>
          <cell r="AB2564">
            <v>4.1999999999999996E-2</v>
          </cell>
          <cell r="AC2564">
            <v>4.3499999999999997E-2</v>
          </cell>
        </row>
        <row r="2565">
          <cell r="T2565">
            <v>37325</v>
          </cell>
          <cell r="U2565">
            <v>2.3577000000000001E-2</v>
          </cell>
          <cell r="V2565">
            <v>2.3866000000000002E-2</v>
          </cell>
          <cell r="W2565">
            <v>2.5000000000000001E-2</v>
          </cell>
          <cell r="X2565">
            <v>2.9500000000000002E-2</v>
          </cell>
          <cell r="Y2565">
            <v>3.4000000000000002E-2</v>
          </cell>
          <cell r="Z2565">
            <v>3.7900000000000003E-2</v>
          </cell>
          <cell r="AA2565">
            <v>3.7999999999999999E-2</v>
          </cell>
          <cell r="AB2565">
            <v>3.95E-2</v>
          </cell>
          <cell r="AC2565">
            <v>4.1999999999999996E-2</v>
          </cell>
        </row>
        <row r="2566">
          <cell r="T2566">
            <v>37324</v>
          </cell>
          <cell r="U2566">
            <v>2.3577000000000001E-2</v>
          </cell>
          <cell r="V2566">
            <v>2.3866000000000002E-2</v>
          </cell>
          <cell r="W2566">
            <v>2.5000000000000001E-2</v>
          </cell>
          <cell r="X2566">
            <v>2.9500000000000002E-2</v>
          </cell>
          <cell r="Y2566">
            <v>3.4000000000000002E-2</v>
          </cell>
          <cell r="Z2566">
            <v>3.7900000000000003E-2</v>
          </cell>
          <cell r="AA2566">
            <v>3.7999999999999999E-2</v>
          </cell>
          <cell r="AB2566">
            <v>3.95E-2</v>
          </cell>
          <cell r="AC2566">
            <v>4.1999999999999996E-2</v>
          </cell>
        </row>
        <row r="2567">
          <cell r="T2567">
            <v>37323</v>
          </cell>
          <cell r="U2567">
            <v>2.3577000000000001E-2</v>
          </cell>
          <cell r="V2567">
            <v>2.3866000000000002E-2</v>
          </cell>
          <cell r="W2567">
            <v>2.5000000000000001E-2</v>
          </cell>
          <cell r="X2567">
            <v>2.9500000000000002E-2</v>
          </cell>
          <cell r="Y2567">
            <v>3.4000000000000002E-2</v>
          </cell>
          <cell r="Z2567">
            <v>3.7900000000000003E-2</v>
          </cell>
          <cell r="AA2567">
            <v>3.7999999999999999E-2</v>
          </cell>
          <cell r="AB2567">
            <v>3.95E-2</v>
          </cell>
          <cell r="AC2567">
            <v>4.1999999999999996E-2</v>
          </cell>
        </row>
        <row r="2568">
          <cell r="T2568">
            <v>37322</v>
          </cell>
          <cell r="U2568">
            <v>2.3736999999999998E-2</v>
          </cell>
          <cell r="V2568">
            <v>2.3990999999999998E-2</v>
          </cell>
          <cell r="W2568">
            <v>2.5249999999999998E-2</v>
          </cell>
          <cell r="X2568">
            <v>2.9500000000000002E-2</v>
          </cell>
          <cell r="Y2568">
            <v>3.4000000000000002E-2</v>
          </cell>
          <cell r="Z2568">
            <v>3.7000000000000005E-2</v>
          </cell>
          <cell r="AA2568">
            <v>3.85E-2</v>
          </cell>
          <cell r="AB2568">
            <v>4.0999999999999995E-2</v>
          </cell>
          <cell r="AC2568">
            <v>4.1999999999999996E-2</v>
          </cell>
        </row>
        <row r="2569">
          <cell r="T2569">
            <v>37321</v>
          </cell>
          <cell r="U2569">
            <v>2.3578000000000002E-2</v>
          </cell>
          <cell r="V2569">
            <v>2.3906E-2</v>
          </cell>
          <cell r="W2569">
            <v>2.5249999999999998E-2</v>
          </cell>
          <cell r="X2569">
            <v>2.9500000000000002E-2</v>
          </cell>
          <cell r="Y2569">
            <v>3.44E-2</v>
          </cell>
          <cell r="Z2569">
            <v>3.7100000000000001E-2</v>
          </cell>
          <cell r="AA2569">
            <v>3.9000000000000007E-2</v>
          </cell>
          <cell r="AB2569">
            <v>4.0999999999999995E-2</v>
          </cell>
          <cell r="AC2569">
            <v>4.1999999999999996E-2</v>
          </cell>
        </row>
        <row r="2570">
          <cell r="T2570">
            <v>37320</v>
          </cell>
          <cell r="U2570">
            <v>2.3572000000000003E-2</v>
          </cell>
          <cell r="V2570">
            <v>2.3916E-2</v>
          </cell>
          <cell r="W2570">
            <v>2.4249999999999997E-2</v>
          </cell>
          <cell r="X2570">
            <v>2.9249999999999998E-2</v>
          </cell>
          <cell r="Y2570">
            <v>3.2899999999999999E-2</v>
          </cell>
          <cell r="Z2570">
            <v>3.6249999999999998E-2</v>
          </cell>
          <cell r="AA2570">
            <v>3.6900000000000002E-2</v>
          </cell>
          <cell r="AB2570">
            <v>3.5000000000000003E-2</v>
          </cell>
          <cell r="AC2570">
            <v>4.1999999999999996E-2</v>
          </cell>
        </row>
        <row r="2571">
          <cell r="T2571">
            <v>37319</v>
          </cell>
          <cell r="U2571">
            <v>2.3663E-2</v>
          </cell>
          <cell r="V2571">
            <v>2.3988999999999996E-2</v>
          </cell>
          <cell r="W2571">
            <v>2.4249999999999997E-2</v>
          </cell>
          <cell r="X2571">
            <v>2.8750000000000001E-2</v>
          </cell>
          <cell r="Y2571">
            <v>3.3250000000000002E-2</v>
          </cell>
          <cell r="Z2571">
            <v>3.5250000000000004E-2</v>
          </cell>
          <cell r="AA2571">
            <v>3.7999999999999999E-2</v>
          </cell>
          <cell r="AB2571">
            <v>0.04</v>
          </cell>
          <cell r="AC2571">
            <v>4.0999999999999995E-2</v>
          </cell>
        </row>
        <row r="2572">
          <cell r="T2572">
            <v>37318</v>
          </cell>
          <cell r="U2572">
            <v>2.3572000000000003E-2</v>
          </cell>
          <cell r="V2572">
            <v>2.3916E-2</v>
          </cell>
          <cell r="W2572">
            <v>2.4500000000000001E-2</v>
          </cell>
          <cell r="X2572">
            <v>2.7999999999999997E-2</v>
          </cell>
          <cell r="Y2572">
            <v>3.2500000000000001E-2</v>
          </cell>
          <cell r="Z2572">
            <v>3.5000000000000003E-2</v>
          </cell>
          <cell r="AA2572">
            <v>3.7249999999999998E-2</v>
          </cell>
          <cell r="AB2572">
            <v>3.95E-2</v>
          </cell>
          <cell r="AC2572">
            <v>4.0500000000000008E-2</v>
          </cell>
        </row>
        <row r="2573">
          <cell r="T2573">
            <v>37317</v>
          </cell>
          <cell r="U2573">
            <v>2.3572000000000003E-2</v>
          </cell>
          <cell r="V2573">
            <v>2.3916E-2</v>
          </cell>
          <cell r="W2573">
            <v>2.4500000000000001E-2</v>
          </cell>
          <cell r="X2573">
            <v>2.7999999999999997E-2</v>
          </cell>
          <cell r="Y2573">
            <v>3.2500000000000001E-2</v>
          </cell>
          <cell r="Z2573">
            <v>3.5000000000000003E-2</v>
          </cell>
          <cell r="AA2573">
            <v>3.7249999999999998E-2</v>
          </cell>
          <cell r="AB2573">
            <v>3.95E-2</v>
          </cell>
          <cell r="AC2573">
            <v>4.0500000000000008E-2</v>
          </cell>
        </row>
        <row r="2574">
          <cell r="T2574">
            <v>37316</v>
          </cell>
          <cell r="U2574">
            <v>2.3572000000000003E-2</v>
          </cell>
          <cell r="V2574">
            <v>2.3916E-2</v>
          </cell>
          <cell r="W2574">
            <v>2.4500000000000001E-2</v>
          </cell>
          <cell r="X2574">
            <v>2.7999999999999997E-2</v>
          </cell>
          <cell r="Y2574">
            <v>3.2500000000000001E-2</v>
          </cell>
          <cell r="Z2574">
            <v>3.5000000000000003E-2</v>
          </cell>
          <cell r="AA2574">
            <v>3.7249999999999998E-2</v>
          </cell>
          <cell r="AB2574">
            <v>3.95E-2</v>
          </cell>
          <cell r="AC2574">
            <v>4.0500000000000008E-2</v>
          </cell>
        </row>
        <row r="2575">
          <cell r="T2575">
            <v>37315</v>
          </cell>
          <cell r="U2575">
            <v>2.3666999999999997E-2</v>
          </cell>
          <cell r="V2575">
            <v>2.3988999999999996E-2</v>
          </cell>
          <cell r="W2575">
            <v>2.4500000000000001E-2</v>
          </cell>
          <cell r="X2575">
            <v>2.8499999999999998E-2</v>
          </cell>
          <cell r="Y2575">
            <v>3.3000000000000002E-2</v>
          </cell>
          <cell r="Z2575">
            <v>3.5300000000000005E-2</v>
          </cell>
          <cell r="AA2575">
            <v>3.73E-2</v>
          </cell>
          <cell r="AB2575">
            <v>0.04</v>
          </cell>
          <cell r="AC2575">
            <v>4.0999999999999995E-2</v>
          </cell>
        </row>
        <row r="2576">
          <cell r="T2576">
            <v>37314</v>
          </cell>
          <cell r="U2576">
            <v>2.3666999999999997E-2</v>
          </cell>
          <cell r="V2576">
            <v>2.3988999999999996E-2</v>
          </cell>
          <cell r="W2576">
            <v>2.4500000000000001E-2</v>
          </cell>
          <cell r="X2576">
            <v>2.8499999999999998E-2</v>
          </cell>
          <cell r="Y2576">
            <v>3.3000000000000002E-2</v>
          </cell>
          <cell r="Z2576">
            <v>3.5300000000000005E-2</v>
          </cell>
          <cell r="AA2576">
            <v>3.73E-2</v>
          </cell>
          <cell r="AB2576">
            <v>0.04</v>
          </cell>
          <cell r="AC2576">
            <v>4.0999999999999995E-2</v>
          </cell>
        </row>
        <row r="2577">
          <cell r="T2577">
            <v>37313</v>
          </cell>
          <cell r="U2577">
            <v>2.3666999999999997E-2</v>
          </cell>
          <cell r="V2577">
            <v>2.3969000000000001E-2</v>
          </cell>
          <cell r="W2577">
            <v>2.4500000000000001E-2</v>
          </cell>
          <cell r="X2577">
            <v>2.8499999999999998E-2</v>
          </cell>
          <cell r="Y2577">
            <v>3.3000000000000002E-2</v>
          </cell>
          <cell r="Z2577">
            <v>3.5300000000000005E-2</v>
          </cell>
          <cell r="AA2577">
            <v>3.73E-2</v>
          </cell>
          <cell r="AB2577">
            <v>0.04</v>
          </cell>
          <cell r="AC2577">
            <v>4.0999999999999995E-2</v>
          </cell>
        </row>
        <row r="2578">
          <cell r="T2578">
            <v>37312</v>
          </cell>
          <cell r="U2578">
            <v>2.3969000000000001E-2</v>
          </cell>
          <cell r="V2578">
            <v>2.4214000000000003E-2</v>
          </cell>
          <cell r="W2578">
            <v>2.4749999999999998E-2</v>
          </cell>
          <cell r="X2578">
            <v>2.8750000000000001E-2</v>
          </cell>
          <cell r="Y2578">
            <v>3.3750000000000002E-2</v>
          </cell>
          <cell r="Z2578">
            <v>3.5250000000000004E-2</v>
          </cell>
          <cell r="AA2578">
            <v>3.7499999999999999E-2</v>
          </cell>
          <cell r="AB2578">
            <v>0.04</v>
          </cell>
          <cell r="AC2578">
            <v>4.0999999999999995E-2</v>
          </cell>
        </row>
        <row r="2579">
          <cell r="T2579">
            <v>37311</v>
          </cell>
          <cell r="U2579">
            <v>2.3917000000000001E-2</v>
          </cell>
          <cell r="V2579">
            <v>2.4156E-2</v>
          </cell>
          <cell r="W2579">
            <v>2.4749999999999998E-2</v>
          </cell>
          <cell r="X2579">
            <v>2.8750000000000001E-2</v>
          </cell>
          <cell r="Y2579">
            <v>3.3250000000000002E-2</v>
          </cell>
          <cell r="Z2579">
            <v>3.5250000000000004E-2</v>
          </cell>
          <cell r="AA2579">
            <v>3.7499999999999999E-2</v>
          </cell>
          <cell r="AB2579">
            <v>0.04</v>
          </cell>
          <cell r="AC2579">
            <v>4.0999999999999995E-2</v>
          </cell>
        </row>
        <row r="2580">
          <cell r="T2580">
            <v>37310</v>
          </cell>
          <cell r="U2580">
            <v>2.3917000000000001E-2</v>
          </cell>
          <cell r="V2580">
            <v>2.4156E-2</v>
          </cell>
          <cell r="W2580">
            <v>2.4749999999999998E-2</v>
          </cell>
          <cell r="X2580">
            <v>2.8750000000000001E-2</v>
          </cell>
          <cell r="Y2580">
            <v>3.3250000000000002E-2</v>
          </cell>
          <cell r="Z2580">
            <v>3.5250000000000004E-2</v>
          </cell>
          <cell r="AA2580">
            <v>3.7499999999999999E-2</v>
          </cell>
          <cell r="AB2580">
            <v>0.04</v>
          </cell>
          <cell r="AC2580">
            <v>4.0999999999999995E-2</v>
          </cell>
        </row>
        <row r="2581">
          <cell r="T2581">
            <v>37309</v>
          </cell>
          <cell r="U2581">
            <v>2.3917000000000001E-2</v>
          </cell>
          <cell r="V2581">
            <v>2.4156E-2</v>
          </cell>
          <cell r="W2581">
            <v>2.4749999999999998E-2</v>
          </cell>
          <cell r="X2581">
            <v>2.8750000000000001E-2</v>
          </cell>
          <cell r="Y2581">
            <v>3.3250000000000002E-2</v>
          </cell>
          <cell r="Z2581">
            <v>3.5250000000000004E-2</v>
          </cell>
          <cell r="AA2581">
            <v>3.7499999999999999E-2</v>
          </cell>
          <cell r="AB2581">
            <v>0.04</v>
          </cell>
          <cell r="AC2581">
            <v>4.0999999999999995E-2</v>
          </cell>
        </row>
        <row r="2582">
          <cell r="T2582">
            <v>37308</v>
          </cell>
          <cell r="U2582">
            <v>2.4062999999999998E-2</v>
          </cell>
          <cell r="V2582">
            <v>2.4321000000000002E-2</v>
          </cell>
          <cell r="W2582">
            <v>2.5000000000000001E-2</v>
          </cell>
          <cell r="X2582">
            <v>2.8999999999999998E-2</v>
          </cell>
          <cell r="Y2582">
            <v>3.4000000000000002E-2</v>
          </cell>
          <cell r="Z2582">
            <v>3.5750000000000004E-2</v>
          </cell>
          <cell r="AA2582">
            <v>3.7999999999999999E-2</v>
          </cell>
          <cell r="AB2582">
            <v>0.04</v>
          </cell>
          <cell r="AC2582">
            <v>4.0999999999999995E-2</v>
          </cell>
        </row>
        <row r="2583">
          <cell r="T2583">
            <v>37307</v>
          </cell>
          <cell r="U2583">
            <v>2.4142999999999998E-2</v>
          </cell>
          <cell r="V2583">
            <v>2.4417000000000001E-2</v>
          </cell>
          <cell r="W2583">
            <v>2.4500000000000001E-2</v>
          </cell>
          <cell r="X2583">
            <v>2.8499999999999998E-2</v>
          </cell>
          <cell r="Y2583">
            <v>3.3499999999999995E-2</v>
          </cell>
          <cell r="Z2583">
            <v>3.5750000000000004E-2</v>
          </cell>
          <cell r="AA2583">
            <v>3.7999999999999999E-2</v>
          </cell>
          <cell r="AB2583">
            <v>0.04</v>
          </cell>
          <cell r="AC2583">
            <v>4.0999999999999995E-2</v>
          </cell>
        </row>
        <row r="2584">
          <cell r="T2584">
            <v>37306</v>
          </cell>
          <cell r="U2584">
            <v>2.4178999999999999E-2</v>
          </cell>
          <cell r="V2584">
            <v>2.4417000000000001E-2</v>
          </cell>
          <cell r="W2584">
            <v>2.5000000000000001E-2</v>
          </cell>
          <cell r="X2584">
            <v>2.9249999999999998E-2</v>
          </cell>
          <cell r="Y2584">
            <v>3.3750000000000002E-2</v>
          </cell>
          <cell r="Z2584">
            <v>3.5750000000000004E-2</v>
          </cell>
          <cell r="AA2584">
            <v>3.7999999999999999E-2</v>
          </cell>
          <cell r="AB2584">
            <v>0.04</v>
          </cell>
          <cell r="AC2584">
            <v>4.0999999999999995E-2</v>
          </cell>
        </row>
        <row r="2585">
          <cell r="T2585">
            <v>37305</v>
          </cell>
          <cell r="U2585">
            <v>2.4178999999999999E-2</v>
          </cell>
          <cell r="V2585">
            <v>2.4417000000000001E-2</v>
          </cell>
          <cell r="W2585">
            <v>2.4749999999999998E-2</v>
          </cell>
          <cell r="X2585">
            <v>2.8999999999999998E-2</v>
          </cell>
          <cell r="Y2585">
            <v>3.3500000000000002E-2</v>
          </cell>
          <cell r="Z2585">
            <v>3.5499999999999997E-2</v>
          </cell>
          <cell r="AA2585">
            <v>3.7499999999999999E-2</v>
          </cell>
          <cell r="AB2585">
            <v>0.04</v>
          </cell>
          <cell r="AC2585">
            <v>4.0999999999999995E-2</v>
          </cell>
        </row>
        <row r="2586">
          <cell r="T2586">
            <v>37304</v>
          </cell>
          <cell r="U2586">
            <v>2.4016000000000003E-2</v>
          </cell>
          <cell r="V2586">
            <v>2.4222E-2</v>
          </cell>
          <cell r="W2586">
            <v>2.4749999999999998E-2</v>
          </cell>
          <cell r="X2586">
            <v>2.8999999999999998E-2</v>
          </cell>
          <cell r="Y2586">
            <v>3.3500000000000002E-2</v>
          </cell>
          <cell r="Z2586">
            <v>3.5499999999999997E-2</v>
          </cell>
          <cell r="AA2586">
            <v>3.7499999999999999E-2</v>
          </cell>
          <cell r="AB2586">
            <v>0.04</v>
          </cell>
          <cell r="AC2586">
            <v>4.0999999999999995E-2</v>
          </cell>
        </row>
        <row r="2587">
          <cell r="T2587">
            <v>37303</v>
          </cell>
          <cell r="U2587">
            <v>2.4016000000000003E-2</v>
          </cell>
          <cell r="V2587">
            <v>2.4222E-2</v>
          </cell>
          <cell r="W2587">
            <v>2.4749999999999998E-2</v>
          </cell>
          <cell r="X2587">
            <v>2.8999999999999998E-2</v>
          </cell>
          <cell r="Y2587">
            <v>3.3500000000000002E-2</v>
          </cell>
          <cell r="Z2587">
            <v>3.5499999999999997E-2</v>
          </cell>
          <cell r="AA2587">
            <v>3.7499999999999999E-2</v>
          </cell>
          <cell r="AB2587">
            <v>0.04</v>
          </cell>
          <cell r="AC2587">
            <v>4.0999999999999995E-2</v>
          </cell>
        </row>
        <row r="2588">
          <cell r="T2588">
            <v>37302</v>
          </cell>
          <cell r="U2588">
            <v>2.4016000000000003E-2</v>
          </cell>
          <cell r="V2588">
            <v>2.4222E-2</v>
          </cell>
          <cell r="W2588">
            <v>2.4749999999999998E-2</v>
          </cell>
          <cell r="X2588">
            <v>2.8999999999999998E-2</v>
          </cell>
          <cell r="Y2588">
            <v>3.3500000000000002E-2</v>
          </cell>
          <cell r="Z2588">
            <v>3.5499999999999997E-2</v>
          </cell>
          <cell r="AA2588">
            <v>3.7499999999999999E-2</v>
          </cell>
          <cell r="AB2588">
            <v>0.04</v>
          </cell>
          <cell r="AC2588">
            <v>4.0999999999999995E-2</v>
          </cell>
        </row>
        <row r="2589">
          <cell r="T2589">
            <v>37301</v>
          </cell>
          <cell r="U2589">
            <v>2.4049999999999998E-2</v>
          </cell>
          <cell r="V2589">
            <v>2.4375000000000001E-2</v>
          </cell>
          <cell r="W2589">
            <v>2.4749999999999998E-2</v>
          </cell>
          <cell r="X2589">
            <v>2.8999999999999998E-2</v>
          </cell>
          <cell r="Y2589">
            <v>3.3500000000000002E-2</v>
          </cell>
          <cell r="Z2589">
            <v>3.5499999999999997E-2</v>
          </cell>
          <cell r="AA2589">
            <v>3.7499999999999999E-2</v>
          </cell>
          <cell r="AB2589">
            <v>0.04</v>
          </cell>
          <cell r="AC2589">
            <v>4.0999999999999995E-2</v>
          </cell>
        </row>
        <row r="2590">
          <cell r="T2590">
            <v>37300</v>
          </cell>
          <cell r="U2590">
            <v>2.4049999999999998E-2</v>
          </cell>
          <cell r="V2590">
            <v>2.4375000000000001E-2</v>
          </cell>
          <cell r="W2590">
            <v>2.4749999999999998E-2</v>
          </cell>
          <cell r="X2590">
            <v>2.8999999999999998E-2</v>
          </cell>
          <cell r="Y2590">
            <v>3.3500000000000002E-2</v>
          </cell>
          <cell r="Z2590">
            <v>3.5499999999999997E-2</v>
          </cell>
          <cell r="AA2590">
            <v>3.7499999999999999E-2</v>
          </cell>
          <cell r="AB2590">
            <v>0.04</v>
          </cell>
          <cell r="AC2590">
            <v>4.0999999999999995E-2</v>
          </cell>
        </row>
        <row r="2591">
          <cell r="T2591">
            <v>37299</v>
          </cell>
          <cell r="U2591">
            <v>2.4049999999999998E-2</v>
          </cell>
          <cell r="V2591">
            <v>2.4375000000000001E-2</v>
          </cell>
          <cell r="W2591">
            <v>2.4749999999999998E-2</v>
          </cell>
          <cell r="X2591">
            <v>2.8999999999999998E-2</v>
          </cell>
          <cell r="Y2591">
            <v>3.3500000000000002E-2</v>
          </cell>
          <cell r="Z2591">
            <v>3.5499999999999997E-2</v>
          </cell>
          <cell r="AA2591">
            <v>3.7499999999999999E-2</v>
          </cell>
          <cell r="AB2591">
            <v>0.04</v>
          </cell>
          <cell r="AC2591">
            <v>4.0999999999999995E-2</v>
          </cell>
        </row>
        <row r="2592">
          <cell r="T2592">
            <v>37298</v>
          </cell>
          <cell r="U2592">
            <v>2.4049999999999998E-2</v>
          </cell>
          <cell r="V2592">
            <v>2.4375000000000001E-2</v>
          </cell>
          <cell r="W2592">
            <v>2.4749999999999998E-2</v>
          </cell>
          <cell r="X2592">
            <v>2.8999999999999998E-2</v>
          </cell>
          <cell r="Y2592">
            <v>3.3500000000000002E-2</v>
          </cell>
          <cell r="Z2592">
            <v>3.5499999999999997E-2</v>
          </cell>
          <cell r="AA2592">
            <v>3.7499999999999999E-2</v>
          </cell>
          <cell r="AB2592">
            <v>0.04</v>
          </cell>
          <cell r="AC2592">
            <v>4.0999999999999995E-2</v>
          </cell>
        </row>
        <row r="2593">
          <cell r="T2593">
            <v>37297</v>
          </cell>
          <cell r="U2593">
            <v>2.4049999999999998E-2</v>
          </cell>
          <cell r="V2593">
            <v>2.4375000000000001E-2</v>
          </cell>
          <cell r="W2593">
            <v>2.4749999999999998E-2</v>
          </cell>
          <cell r="X2593">
            <v>2.8999999999999998E-2</v>
          </cell>
          <cell r="Y2593">
            <v>3.3500000000000002E-2</v>
          </cell>
          <cell r="Z2593">
            <v>3.5499999999999997E-2</v>
          </cell>
          <cell r="AA2593">
            <v>3.7499999999999999E-2</v>
          </cell>
          <cell r="AB2593">
            <v>0.04</v>
          </cell>
          <cell r="AC2593">
            <v>4.0999999999999995E-2</v>
          </cell>
        </row>
        <row r="2594">
          <cell r="T2594">
            <v>37296</v>
          </cell>
          <cell r="U2594">
            <v>2.4049999999999998E-2</v>
          </cell>
          <cell r="V2594">
            <v>2.4375000000000001E-2</v>
          </cell>
          <cell r="W2594">
            <v>2.4749999999999998E-2</v>
          </cell>
          <cell r="X2594">
            <v>2.8999999999999998E-2</v>
          </cell>
          <cell r="Y2594">
            <v>3.3500000000000002E-2</v>
          </cell>
          <cell r="Z2594">
            <v>3.5499999999999997E-2</v>
          </cell>
          <cell r="AA2594">
            <v>3.7499999999999999E-2</v>
          </cell>
          <cell r="AB2594">
            <v>0.04</v>
          </cell>
          <cell r="AC2594">
            <v>4.0999999999999995E-2</v>
          </cell>
        </row>
        <row r="2595">
          <cell r="T2595">
            <v>37295</v>
          </cell>
          <cell r="U2595">
            <v>2.4049999999999998E-2</v>
          </cell>
          <cell r="V2595">
            <v>2.4375000000000001E-2</v>
          </cell>
          <cell r="W2595">
            <v>2.4749999999999998E-2</v>
          </cell>
          <cell r="X2595">
            <v>2.8999999999999998E-2</v>
          </cell>
          <cell r="Y2595">
            <v>3.3500000000000002E-2</v>
          </cell>
          <cell r="Z2595">
            <v>3.5499999999999997E-2</v>
          </cell>
          <cell r="AA2595">
            <v>3.7499999999999999E-2</v>
          </cell>
          <cell r="AB2595">
            <v>0.04</v>
          </cell>
          <cell r="AC2595">
            <v>4.0999999999999995E-2</v>
          </cell>
        </row>
        <row r="2596">
          <cell r="T2596">
            <v>37294</v>
          </cell>
          <cell r="U2596">
            <v>2.4188000000000001E-2</v>
          </cell>
          <cell r="V2596">
            <v>2.4550000000000002E-2</v>
          </cell>
          <cell r="W2596">
            <v>2.4749999999999998E-2</v>
          </cell>
          <cell r="X2596">
            <v>2.8999999999999998E-2</v>
          </cell>
          <cell r="Y2596">
            <v>3.3500000000000002E-2</v>
          </cell>
          <cell r="Z2596">
            <v>3.5499999999999997E-2</v>
          </cell>
          <cell r="AA2596">
            <v>3.7750000000000006E-2</v>
          </cell>
          <cell r="AB2596">
            <v>0.04</v>
          </cell>
          <cell r="AC2596">
            <v>4.0999999999999995E-2</v>
          </cell>
        </row>
        <row r="2597">
          <cell r="T2597">
            <v>37293</v>
          </cell>
          <cell r="U2597">
            <v>2.4097E-2</v>
          </cell>
          <cell r="V2597">
            <v>2.4281E-2</v>
          </cell>
          <cell r="W2597">
            <v>2.5250000000000005E-2</v>
          </cell>
          <cell r="X2597">
            <v>2.9249999999999998E-2</v>
          </cell>
          <cell r="Y2597">
            <v>3.3750000000000002E-2</v>
          </cell>
          <cell r="Z2597">
            <v>3.5750000000000004E-2</v>
          </cell>
          <cell r="AA2597">
            <v>3.7750000000000006E-2</v>
          </cell>
          <cell r="AB2597">
            <v>0.04</v>
          </cell>
          <cell r="AC2597">
            <v>4.0999999999999995E-2</v>
          </cell>
        </row>
        <row r="2598">
          <cell r="T2598">
            <v>37292</v>
          </cell>
          <cell r="U2598">
            <v>2.4097E-2</v>
          </cell>
          <cell r="V2598">
            <v>2.4281E-2</v>
          </cell>
          <cell r="W2598">
            <v>2.5250000000000005E-2</v>
          </cell>
          <cell r="X2598">
            <v>2.9249999999999998E-2</v>
          </cell>
          <cell r="Y2598">
            <v>3.4000000000000002E-2</v>
          </cell>
          <cell r="Z2598">
            <v>3.6249999999999998E-2</v>
          </cell>
          <cell r="AA2598">
            <v>3.7750000000000006E-2</v>
          </cell>
          <cell r="AB2598">
            <v>0.04</v>
          </cell>
          <cell r="AC2598">
            <v>4.0999999999999995E-2</v>
          </cell>
        </row>
        <row r="2599">
          <cell r="T2599">
            <v>37291</v>
          </cell>
          <cell r="U2599">
            <v>2.4097E-2</v>
          </cell>
          <cell r="V2599">
            <v>2.4281E-2</v>
          </cell>
          <cell r="W2599">
            <v>2.5499999999999998E-2</v>
          </cell>
          <cell r="X2599">
            <v>2.9249999999999998E-2</v>
          </cell>
          <cell r="Y2599">
            <v>3.4249999999999996E-2</v>
          </cell>
          <cell r="Z2599">
            <v>3.6249999999999998E-2</v>
          </cell>
          <cell r="AA2599">
            <v>3.8249999999999999E-2</v>
          </cell>
          <cell r="AB2599">
            <v>0.04</v>
          </cell>
          <cell r="AC2599">
            <v>4.0999999999999995E-2</v>
          </cell>
        </row>
        <row r="2600">
          <cell r="T2600">
            <v>37290</v>
          </cell>
          <cell r="U2600">
            <v>2.4016000000000003E-2</v>
          </cell>
          <cell r="V2600">
            <v>2.4214000000000003E-2</v>
          </cell>
          <cell r="W2600">
            <v>2.5499999999999998E-2</v>
          </cell>
          <cell r="X2600">
            <v>2.8999999999999998E-2</v>
          </cell>
          <cell r="Y2600">
            <v>3.4000000000000002E-2</v>
          </cell>
          <cell r="Z2600">
            <v>3.6000000000000004E-2</v>
          </cell>
          <cell r="AA2600">
            <v>3.7999999999999999E-2</v>
          </cell>
          <cell r="AB2600">
            <v>0.04</v>
          </cell>
          <cell r="AC2600">
            <v>4.0999999999999995E-2</v>
          </cell>
        </row>
        <row r="2601">
          <cell r="T2601">
            <v>37289</v>
          </cell>
          <cell r="U2601">
            <v>2.4016000000000003E-2</v>
          </cell>
          <cell r="V2601">
            <v>2.4214000000000003E-2</v>
          </cell>
          <cell r="W2601">
            <v>2.5499999999999998E-2</v>
          </cell>
          <cell r="X2601">
            <v>2.8999999999999998E-2</v>
          </cell>
          <cell r="Y2601">
            <v>3.4000000000000002E-2</v>
          </cell>
          <cell r="Z2601">
            <v>3.6000000000000004E-2</v>
          </cell>
          <cell r="AA2601">
            <v>3.7999999999999999E-2</v>
          </cell>
          <cell r="AB2601">
            <v>0.04</v>
          </cell>
          <cell r="AC2601">
            <v>4.0999999999999995E-2</v>
          </cell>
        </row>
        <row r="2602">
          <cell r="T2602">
            <v>37288</v>
          </cell>
          <cell r="U2602">
            <v>2.4016000000000003E-2</v>
          </cell>
          <cell r="V2602">
            <v>2.4214000000000003E-2</v>
          </cell>
          <cell r="W2602">
            <v>2.5499999999999998E-2</v>
          </cell>
          <cell r="X2602">
            <v>2.8999999999999998E-2</v>
          </cell>
          <cell r="Y2602">
            <v>3.4000000000000002E-2</v>
          </cell>
          <cell r="Z2602">
            <v>3.6000000000000004E-2</v>
          </cell>
          <cell r="AA2602">
            <v>3.7999999999999999E-2</v>
          </cell>
          <cell r="AB2602">
            <v>0.04</v>
          </cell>
          <cell r="AC2602">
            <v>4.0999999999999995E-2</v>
          </cell>
        </row>
        <row r="2603">
          <cell r="T2603">
            <v>37287</v>
          </cell>
          <cell r="U2603">
            <v>2.4088999999999999E-2</v>
          </cell>
          <cell r="V2603">
            <v>2.4291999999999998E-2</v>
          </cell>
          <cell r="W2603">
            <v>2.5000000000000001E-2</v>
          </cell>
          <cell r="X2603">
            <v>2.8500000000000001E-2</v>
          </cell>
          <cell r="Y2603">
            <v>3.3500000000000002E-2</v>
          </cell>
          <cell r="Z2603">
            <v>3.5499999999999997E-2</v>
          </cell>
          <cell r="AA2603">
            <v>3.7499999999999999E-2</v>
          </cell>
          <cell r="AB2603">
            <v>0.04</v>
          </cell>
          <cell r="AC2603">
            <v>4.0999999999999995E-2</v>
          </cell>
        </row>
        <row r="2604">
          <cell r="T2604">
            <v>37286</v>
          </cell>
          <cell r="U2604">
            <v>2.4110999999999997E-2</v>
          </cell>
          <cell r="V2604">
            <v>2.4296999999999999E-2</v>
          </cell>
          <cell r="W2604">
            <v>2.5000000000000001E-2</v>
          </cell>
          <cell r="X2604">
            <v>2.8500000000000001E-2</v>
          </cell>
          <cell r="Y2604">
            <v>3.3500000000000002E-2</v>
          </cell>
          <cell r="Z2604">
            <v>3.5499999999999997E-2</v>
          </cell>
          <cell r="AA2604">
            <v>3.7499999999999999E-2</v>
          </cell>
          <cell r="AB2604">
            <v>0.04</v>
          </cell>
          <cell r="AC2604">
            <v>4.0999999999999995E-2</v>
          </cell>
        </row>
        <row r="2605">
          <cell r="T2605">
            <v>37285</v>
          </cell>
          <cell r="U2605">
            <v>2.4056000000000001E-2</v>
          </cell>
          <cell r="V2605">
            <v>2.4249999999999997E-2</v>
          </cell>
          <cell r="W2605">
            <v>2.5250000000000005E-2</v>
          </cell>
          <cell r="X2605">
            <v>2.8999999999999998E-2</v>
          </cell>
          <cell r="Y2605">
            <v>3.3500000000000002E-2</v>
          </cell>
          <cell r="Z2605">
            <v>3.6000000000000004E-2</v>
          </cell>
          <cell r="AA2605">
            <v>3.8249999999999999E-2</v>
          </cell>
          <cell r="AB2605">
            <v>0.04</v>
          </cell>
          <cell r="AC2605">
            <v>4.0999999999999995E-2</v>
          </cell>
        </row>
        <row r="2606">
          <cell r="T2606">
            <v>37284</v>
          </cell>
          <cell r="U2606">
            <v>2.4108999999999998E-2</v>
          </cell>
          <cell r="V2606">
            <v>2.4321000000000002E-2</v>
          </cell>
          <cell r="W2606">
            <v>2.5250000000000005E-2</v>
          </cell>
          <cell r="X2606">
            <v>2.8999999999999998E-2</v>
          </cell>
          <cell r="Y2606">
            <v>3.4000000000000002E-2</v>
          </cell>
          <cell r="Z2606">
            <v>3.6000000000000004E-2</v>
          </cell>
          <cell r="AA2606">
            <v>3.8249999999999999E-2</v>
          </cell>
          <cell r="AB2606">
            <v>0.04</v>
          </cell>
          <cell r="AC2606">
            <v>4.0999999999999995E-2</v>
          </cell>
        </row>
        <row r="2607">
          <cell r="T2607">
            <v>37283</v>
          </cell>
          <cell r="U2607">
            <v>2.4046999999999999E-2</v>
          </cell>
          <cell r="V2607">
            <v>2.4249999999999997E-2</v>
          </cell>
          <cell r="W2607">
            <v>2.5250000000000005E-2</v>
          </cell>
          <cell r="X2607">
            <v>2.8750000000000001E-2</v>
          </cell>
          <cell r="Y2607">
            <v>3.3500000000000002E-2</v>
          </cell>
          <cell r="Z2607">
            <v>3.5499999999999997E-2</v>
          </cell>
          <cell r="AA2607">
            <v>3.7499999999999999E-2</v>
          </cell>
          <cell r="AB2607">
            <v>0.04</v>
          </cell>
          <cell r="AC2607">
            <v>4.0999999999999995E-2</v>
          </cell>
        </row>
        <row r="2608">
          <cell r="T2608">
            <v>37282</v>
          </cell>
          <cell r="U2608">
            <v>2.4046999999999999E-2</v>
          </cell>
          <cell r="V2608">
            <v>2.4249999999999997E-2</v>
          </cell>
          <cell r="W2608">
            <v>2.5250000000000005E-2</v>
          </cell>
          <cell r="X2608">
            <v>2.8750000000000001E-2</v>
          </cell>
          <cell r="Y2608">
            <v>3.3500000000000002E-2</v>
          </cell>
          <cell r="Z2608">
            <v>3.5499999999999997E-2</v>
          </cell>
          <cell r="AA2608">
            <v>3.7499999999999999E-2</v>
          </cell>
          <cell r="AB2608">
            <v>0.04</v>
          </cell>
          <cell r="AC2608">
            <v>4.0999999999999995E-2</v>
          </cell>
        </row>
        <row r="2609">
          <cell r="T2609">
            <v>37281</v>
          </cell>
          <cell r="U2609">
            <v>2.4046999999999999E-2</v>
          </cell>
          <cell r="V2609">
            <v>2.4249999999999997E-2</v>
          </cell>
          <cell r="W2609">
            <v>2.5250000000000005E-2</v>
          </cell>
          <cell r="X2609">
            <v>2.8750000000000001E-2</v>
          </cell>
          <cell r="Y2609">
            <v>3.3500000000000002E-2</v>
          </cell>
          <cell r="Z2609">
            <v>3.5499999999999997E-2</v>
          </cell>
          <cell r="AA2609">
            <v>3.7499999999999999E-2</v>
          </cell>
          <cell r="AB2609">
            <v>0.04</v>
          </cell>
          <cell r="AC2609">
            <v>4.0999999999999995E-2</v>
          </cell>
        </row>
        <row r="2610">
          <cell r="T2610">
            <v>37280</v>
          </cell>
          <cell r="U2610">
            <v>2.3896999999999998E-2</v>
          </cell>
          <cell r="V2610">
            <v>2.4142999999999998E-2</v>
          </cell>
          <cell r="W2610">
            <v>2.4500000000000001E-2</v>
          </cell>
          <cell r="X2610">
            <v>2.7999999999999997E-2</v>
          </cell>
          <cell r="Y2610">
            <v>3.2750000000000001E-2</v>
          </cell>
          <cell r="Z2610">
            <v>3.5000000000000003E-2</v>
          </cell>
          <cell r="AA2610">
            <v>3.7000000000000005E-2</v>
          </cell>
          <cell r="AB2610">
            <v>3.9E-2</v>
          </cell>
          <cell r="AC2610">
            <v>0.04</v>
          </cell>
        </row>
        <row r="2611">
          <cell r="T2611">
            <v>37279</v>
          </cell>
          <cell r="U2611">
            <v>2.3927999999999998E-2</v>
          </cell>
          <cell r="V2611">
            <v>2.4178999999999999E-2</v>
          </cell>
          <cell r="W2611">
            <v>2.4249999999999997E-2</v>
          </cell>
          <cell r="X2611">
            <v>2.775E-2</v>
          </cell>
          <cell r="Y2611">
            <v>3.3000000000000002E-2</v>
          </cell>
          <cell r="Z2611">
            <v>3.5000000000000003E-2</v>
          </cell>
          <cell r="AA2611">
            <v>3.6749999999999998E-2</v>
          </cell>
          <cell r="AB2611">
            <v>3.9E-2</v>
          </cell>
          <cell r="AC2611">
            <v>0.04</v>
          </cell>
        </row>
        <row r="2612">
          <cell r="T2612">
            <v>37278</v>
          </cell>
          <cell r="U2612">
            <v>2.3882E-2</v>
          </cell>
          <cell r="V2612">
            <v>2.4167000000000001E-2</v>
          </cell>
          <cell r="W2612">
            <v>2.4249999999999997E-2</v>
          </cell>
          <cell r="X2612">
            <v>2.775E-2</v>
          </cell>
          <cell r="Y2612">
            <v>3.3000000000000002E-2</v>
          </cell>
          <cell r="Z2612">
            <v>3.5000000000000003E-2</v>
          </cell>
          <cell r="AA2612">
            <v>3.6749999999999998E-2</v>
          </cell>
          <cell r="AB2612">
            <v>3.7999999999999999E-2</v>
          </cell>
          <cell r="AC2612">
            <v>3.95E-2</v>
          </cell>
        </row>
        <row r="2613">
          <cell r="T2613">
            <v>37277</v>
          </cell>
          <cell r="U2613">
            <v>2.3911999999999999E-2</v>
          </cell>
          <cell r="V2613">
            <v>2.4161000000000002E-2</v>
          </cell>
          <cell r="W2613">
            <v>2.375E-2</v>
          </cell>
          <cell r="X2613">
            <v>2.7249999999999996E-2</v>
          </cell>
          <cell r="Y2613">
            <v>3.2249999999999994E-2</v>
          </cell>
          <cell r="Z2613">
            <v>3.3750000000000002E-2</v>
          </cell>
          <cell r="AA2613">
            <v>3.6749999999999998E-2</v>
          </cell>
          <cell r="AB2613">
            <v>3.7999999999999999E-2</v>
          </cell>
          <cell r="AC2613">
            <v>3.95E-2</v>
          </cell>
        </row>
        <row r="2614">
          <cell r="T2614">
            <v>37276</v>
          </cell>
          <cell r="U2614">
            <v>2.3807000000000002E-2</v>
          </cell>
          <cell r="V2614">
            <v>2.4091999999999999E-2</v>
          </cell>
          <cell r="W2614">
            <v>2.3250000000000003E-2</v>
          </cell>
          <cell r="X2614">
            <v>2.6749999999999999E-2</v>
          </cell>
          <cell r="Y2614">
            <v>3.0750000000000003E-2</v>
          </cell>
          <cell r="Z2614">
            <v>3.2750000000000001E-2</v>
          </cell>
          <cell r="AA2614">
            <v>3.5499999999999997E-2</v>
          </cell>
          <cell r="AB2614">
            <v>3.7499999999999999E-2</v>
          </cell>
          <cell r="AC2614">
            <v>3.9E-2</v>
          </cell>
        </row>
        <row r="2615">
          <cell r="T2615">
            <v>37275</v>
          </cell>
          <cell r="U2615">
            <v>2.3807000000000002E-2</v>
          </cell>
          <cell r="V2615">
            <v>2.4091999999999999E-2</v>
          </cell>
          <cell r="W2615">
            <v>2.3250000000000003E-2</v>
          </cell>
          <cell r="X2615">
            <v>2.6749999999999999E-2</v>
          </cell>
          <cell r="Y2615">
            <v>3.0750000000000003E-2</v>
          </cell>
          <cell r="Z2615">
            <v>3.2750000000000001E-2</v>
          </cell>
          <cell r="AA2615">
            <v>3.5499999999999997E-2</v>
          </cell>
          <cell r="AB2615">
            <v>3.7499999999999999E-2</v>
          </cell>
          <cell r="AC2615">
            <v>3.9E-2</v>
          </cell>
        </row>
        <row r="2616">
          <cell r="T2616">
            <v>37274</v>
          </cell>
          <cell r="U2616">
            <v>2.3807000000000002E-2</v>
          </cell>
          <cell r="V2616">
            <v>2.4091999999999999E-2</v>
          </cell>
          <cell r="W2616">
            <v>2.3250000000000003E-2</v>
          </cell>
          <cell r="X2616">
            <v>2.6749999999999999E-2</v>
          </cell>
          <cell r="Y2616">
            <v>3.0750000000000003E-2</v>
          </cell>
          <cell r="Z2616">
            <v>3.2750000000000001E-2</v>
          </cell>
          <cell r="AA2616">
            <v>3.5499999999999997E-2</v>
          </cell>
          <cell r="AB2616">
            <v>3.7499999999999999E-2</v>
          </cell>
          <cell r="AC2616">
            <v>3.9E-2</v>
          </cell>
        </row>
        <row r="2617">
          <cell r="T2617">
            <v>37273</v>
          </cell>
          <cell r="U2617">
            <v>2.3788999999999998E-2</v>
          </cell>
          <cell r="V2617">
            <v>2.4049999999999998E-2</v>
          </cell>
          <cell r="W2617">
            <v>2.3250000000000003E-2</v>
          </cell>
          <cell r="X2617">
            <v>2.6249999999999999E-2</v>
          </cell>
          <cell r="Y2617">
            <v>3.0250000000000003E-2</v>
          </cell>
          <cell r="Z2617">
            <v>3.2500000000000001E-2</v>
          </cell>
          <cell r="AA2617">
            <v>3.4500000000000003E-2</v>
          </cell>
          <cell r="AB2617">
            <v>3.6000000000000004E-2</v>
          </cell>
          <cell r="AC2617">
            <v>3.7499999999999999E-2</v>
          </cell>
        </row>
        <row r="2618">
          <cell r="T2618">
            <v>37272</v>
          </cell>
          <cell r="U2618">
            <v>2.3736E-2</v>
          </cell>
          <cell r="V2618">
            <v>2.4007999999999998E-2</v>
          </cell>
          <cell r="W2618">
            <v>2.3250000000000003E-2</v>
          </cell>
          <cell r="X2618">
            <v>2.6249999999999999E-2</v>
          </cell>
          <cell r="Y2618">
            <v>3.0250000000000003E-2</v>
          </cell>
          <cell r="Z2618">
            <v>3.2500000000000001E-2</v>
          </cell>
          <cell r="AA2618">
            <v>3.4500000000000003E-2</v>
          </cell>
          <cell r="AB2618">
            <v>3.6000000000000004E-2</v>
          </cell>
          <cell r="AC2618">
            <v>3.7499999999999999E-2</v>
          </cell>
        </row>
        <row r="2619">
          <cell r="T2619">
            <v>37271</v>
          </cell>
          <cell r="U2619">
            <v>2.3612000000000001E-2</v>
          </cell>
          <cell r="V2619">
            <v>2.3845999999999999E-2</v>
          </cell>
          <cell r="W2619">
            <v>2.3250000000000003E-2</v>
          </cell>
          <cell r="X2619">
            <v>2.6249999999999999E-2</v>
          </cell>
          <cell r="Y2619">
            <v>3.0499999999999999E-2</v>
          </cell>
          <cell r="Z2619">
            <v>3.3000000000000002E-2</v>
          </cell>
          <cell r="AA2619">
            <v>3.5000000000000003E-2</v>
          </cell>
          <cell r="AB2619">
            <v>3.6249999999999998E-2</v>
          </cell>
          <cell r="AC2619">
            <v>3.7999999999999999E-2</v>
          </cell>
        </row>
        <row r="2620">
          <cell r="T2620">
            <v>37270</v>
          </cell>
          <cell r="U2620">
            <v>2.3616000000000002E-2</v>
          </cell>
          <cell r="V2620">
            <v>2.3893000000000001E-2</v>
          </cell>
          <cell r="W2620">
            <v>2.4500000000000001E-2</v>
          </cell>
          <cell r="X2620">
            <v>2.6499999999999999E-2</v>
          </cell>
          <cell r="Y2620">
            <v>3.15E-2</v>
          </cell>
          <cell r="Z2620">
            <v>3.125E-2</v>
          </cell>
          <cell r="AA2620">
            <v>3.3300000000000003E-2</v>
          </cell>
          <cell r="AB2620">
            <v>3.5249999999999997E-2</v>
          </cell>
          <cell r="AC2620">
            <v>3.7499999999999999E-2</v>
          </cell>
        </row>
        <row r="2621">
          <cell r="T2621">
            <v>37269</v>
          </cell>
          <cell r="U2621">
            <v>2.3641000000000002E-2</v>
          </cell>
          <cell r="V2621">
            <v>2.3875E-2</v>
          </cell>
          <cell r="W2621">
            <v>2.3E-2</v>
          </cell>
          <cell r="X2621">
            <v>2.6000000000000002E-2</v>
          </cell>
          <cell r="Y2621">
            <v>2.9500000000000002E-2</v>
          </cell>
          <cell r="Z2621">
            <v>3.2000000000000001E-2</v>
          </cell>
          <cell r="AA2621">
            <v>3.4000000000000002E-2</v>
          </cell>
          <cell r="AB2621">
            <v>3.6000000000000004E-2</v>
          </cell>
          <cell r="AC2621">
            <v>3.7999999999999999E-2</v>
          </cell>
        </row>
        <row r="2622">
          <cell r="T2622">
            <v>37268</v>
          </cell>
          <cell r="U2622">
            <v>2.3641000000000002E-2</v>
          </cell>
          <cell r="V2622">
            <v>2.3875E-2</v>
          </cell>
          <cell r="W2622">
            <v>2.3E-2</v>
          </cell>
          <cell r="X2622">
            <v>2.6000000000000002E-2</v>
          </cell>
          <cell r="Y2622">
            <v>2.9500000000000002E-2</v>
          </cell>
          <cell r="Z2622">
            <v>3.2000000000000001E-2</v>
          </cell>
          <cell r="AA2622">
            <v>3.4000000000000002E-2</v>
          </cell>
          <cell r="AB2622">
            <v>3.6000000000000004E-2</v>
          </cell>
          <cell r="AC2622">
            <v>3.7999999999999999E-2</v>
          </cell>
        </row>
        <row r="2623">
          <cell r="T2623">
            <v>37267</v>
          </cell>
          <cell r="U2623">
            <v>2.3641000000000002E-2</v>
          </cell>
          <cell r="V2623">
            <v>2.3875E-2</v>
          </cell>
          <cell r="W2623">
            <v>2.3E-2</v>
          </cell>
          <cell r="X2623">
            <v>2.6000000000000002E-2</v>
          </cell>
          <cell r="Y2623">
            <v>2.9500000000000002E-2</v>
          </cell>
          <cell r="Z2623">
            <v>3.2000000000000001E-2</v>
          </cell>
          <cell r="AA2623">
            <v>3.4000000000000002E-2</v>
          </cell>
          <cell r="AB2623">
            <v>3.6000000000000004E-2</v>
          </cell>
          <cell r="AC2623">
            <v>3.7999999999999999E-2</v>
          </cell>
        </row>
        <row r="2624">
          <cell r="T2624">
            <v>37266</v>
          </cell>
          <cell r="U2624">
            <v>2.3641000000000002E-2</v>
          </cell>
          <cell r="V2624">
            <v>2.3910999999999998E-2</v>
          </cell>
          <cell r="W2624">
            <v>2.3250000000000003E-2</v>
          </cell>
          <cell r="X2624">
            <v>2.7000000000000003E-2</v>
          </cell>
          <cell r="Y2624">
            <v>3.1E-2</v>
          </cell>
          <cell r="Z2624">
            <v>3.2000000000000001E-2</v>
          </cell>
          <cell r="AA2624">
            <v>3.5000000000000003E-2</v>
          </cell>
          <cell r="AB2624">
            <v>3.6499999999999998E-2</v>
          </cell>
          <cell r="AC2624">
            <v>3.85E-2</v>
          </cell>
        </row>
        <row r="2625">
          <cell r="T2625">
            <v>37265</v>
          </cell>
          <cell r="U2625">
            <v>2.3542E-2</v>
          </cell>
          <cell r="V2625">
            <v>2.3781E-2</v>
          </cell>
          <cell r="W2625">
            <v>2.3250000000000003E-2</v>
          </cell>
          <cell r="X2625">
            <v>2.7000000000000003E-2</v>
          </cell>
          <cell r="Y2625">
            <v>3.15E-2</v>
          </cell>
          <cell r="Z2625">
            <v>3.4000000000000002E-2</v>
          </cell>
          <cell r="AA2625">
            <v>3.5499999999999997E-2</v>
          </cell>
          <cell r="AB2625">
            <v>3.6499999999999998E-2</v>
          </cell>
          <cell r="AC2625">
            <v>3.85E-2</v>
          </cell>
        </row>
        <row r="2626">
          <cell r="T2626">
            <v>37264</v>
          </cell>
          <cell r="U2626">
            <v>2.3679000000000002E-2</v>
          </cell>
          <cell r="V2626">
            <v>2.3979E-2</v>
          </cell>
          <cell r="W2626">
            <v>2.35E-2</v>
          </cell>
          <cell r="X2626">
            <v>2.7000000000000003E-2</v>
          </cell>
          <cell r="Y2626">
            <v>3.3000000000000002E-2</v>
          </cell>
          <cell r="Z2626">
            <v>3.5000000000000003E-2</v>
          </cell>
          <cell r="AA2626">
            <v>3.7000000000000005E-2</v>
          </cell>
          <cell r="AB2626">
            <v>3.7999999999999999E-2</v>
          </cell>
          <cell r="AC2626">
            <v>0.04</v>
          </cell>
        </row>
        <row r="2627">
          <cell r="T2627">
            <v>37263</v>
          </cell>
          <cell r="U2627">
            <v>2.3542E-2</v>
          </cell>
          <cell r="V2627">
            <v>2.3781E-2</v>
          </cell>
          <cell r="W2627">
            <v>2.4249999999999997E-2</v>
          </cell>
          <cell r="X2627">
            <v>2.9249999999999998E-2</v>
          </cell>
          <cell r="Y2627">
            <v>3.4249999999999996E-2</v>
          </cell>
          <cell r="Z2627">
            <v>3.6749999999999998E-2</v>
          </cell>
          <cell r="AA2627">
            <v>3.85E-2</v>
          </cell>
          <cell r="AB2627">
            <v>3.95E-2</v>
          </cell>
          <cell r="AC2627">
            <v>0.04</v>
          </cell>
        </row>
        <row r="2628">
          <cell r="T2628">
            <v>37262</v>
          </cell>
          <cell r="U2628">
            <v>2.3624999999999997E-2</v>
          </cell>
          <cell r="V2628">
            <v>2.3857E-2</v>
          </cell>
          <cell r="W2628">
            <v>2.4249999999999997E-2</v>
          </cell>
          <cell r="X2628">
            <v>0.03</v>
          </cell>
          <cell r="Y2628">
            <v>3.4249999999999996E-2</v>
          </cell>
          <cell r="Z2628">
            <v>3.6749999999999998E-2</v>
          </cell>
          <cell r="AA2628">
            <v>3.875E-2</v>
          </cell>
          <cell r="AB2628">
            <v>3.95E-2</v>
          </cell>
          <cell r="AC2628">
            <v>0.04</v>
          </cell>
        </row>
        <row r="2629">
          <cell r="T2629">
            <v>37261</v>
          </cell>
          <cell r="U2629">
            <v>2.3624999999999997E-2</v>
          </cell>
          <cell r="V2629">
            <v>2.3857E-2</v>
          </cell>
          <cell r="W2629">
            <v>2.4249999999999997E-2</v>
          </cell>
          <cell r="X2629">
            <v>0.03</v>
          </cell>
          <cell r="Y2629">
            <v>3.4249999999999996E-2</v>
          </cell>
          <cell r="Z2629">
            <v>3.6749999999999998E-2</v>
          </cell>
          <cell r="AA2629">
            <v>3.875E-2</v>
          </cell>
          <cell r="AB2629">
            <v>3.95E-2</v>
          </cell>
          <cell r="AC2629">
            <v>0.04</v>
          </cell>
        </row>
        <row r="2630">
          <cell r="T2630">
            <v>37260</v>
          </cell>
          <cell r="U2630">
            <v>2.3624999999999997E-2</v>
          </cell>
          <cell r="V2630">
            <v>2.3857E-2</v>
          </cell>
          <cell r="W2630">
            <v>2.4249999999999997E-2</v>
          </cell>
          <cell r="X2630">
            <v>0.03</v>
          </cell>
          <cell r="Y2630">
            <v>3.4249999999999996E-2</v>
          </cell>
          <cell r="Z2630">
            <v>3.6749999999999998E-2</v>
          </cell>
          <cell r="AA2630">
            <v>3.875E-2</v>
          </cell>
          <cell r="AB2630">
            <v>3.95E-2</v>
          </cell>
          <cell r="AC2630">
            <v>0.04</v>
          </cell>
        </row>
        <row r="2631">
          <cell r="T2631">
            <v>37259</v>
          </cell>
          <cell r="U2631">
            <v>2.3696000000000002E-2</v>
          </cell>
          <cell r="V2631">
            <v>2.3958E-2</v>
          </cell>
          <cell r="W2631">
            <v>2.4749999999999998E-2</v>
          </cell>
          <cell r="X2631">
            <v>3.0250000000000003E-2</v>
          </cell>
          <cell r="Y2631">
            <v>3.5250000000000004E-2</v>
          </cell>
          <cell r="Z2631">
            <v>3.6749999999999998E-2</v>
          </cell>
          <cell r="AA2631">
            <v>3.925E-2</v>
          </cell>
          <cell r="AB2631">
            <v>0.04</v>
          </cell>
          <cell r="AC2631">
            <v>4.0999999999999995E-2</v>
          </cell>
        </row>
        <row r="2632">
          <cell r="T2632">
            <v>37258</v>
          </cell>
          <cell r="U2632">
            <v>2.3767999999999997E-2</v>
          </cell>
          <cell r="V2632">
            <v>2.4021000000000001E-2</v>
          </cell>
          <cell r="W2632">
            <v>2.4500000000000001E-2</v>
          </cell>
          <cell r="X2632">
            <v>0.03</v>
          </cell>
          <cell r="Y2632">
            <v>3.4500000000000003E-2</v>
          </cell>
          <cell r="Z2632">
            <v>3.6249999999999998E-2</v>
          </cell>
          <cell r="AA2632">
            <v>3.875E-2</v>
          </cell>
          <cell r="AB2632">
            <v>0.04</v>
          </cell>
          <cell r="AC2632">
            <v>4.0999999999999995E-2</v>
          </cell>
        </row>
        <row r="2633">
          <cell r="T2633">
            <v>37257</v>
          </cell>
          <cell r="U2633">
            <v>2.3910999999999998E-2</v>
          </cell>
          <cell r="V2633">
            <v>2.4E-2</v>
          </cell>
          <cell r="W2633">
            <v>2.4749999999999998E-2</v>
          </cell>
          <cell r="X2633">
            <v>0.03</v>
          </cell>
          <cell r="Y2633">
            <v>3.3500000000000002E-2</v>
          </cell>
          <cell r="Z2633">
            <v>3.5000000000000003E-2</v>
          </cell>
          <cell r="AA2633">
            <v>3.85E-2</v>
          </cell>
          <cell r="AB2633">
            <v>4.0500000000000008E-2</v>
          </cell>
          <cell r="AC2633">
            <v>4.2249999999999996E-2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富邦"/>
      <sheetName val="台新"/>
      <sheetName val="凱基"/>
      <sheetName val="債券部報價"/>
      <sheetName val="群益報價"/>
      <sheetName val="國票"/>
      <sheetName val="第一金報價"/>
      <sheetName val="元富"/>
      <sheetName val="康和"/>
      <sheetName val="永豐"/>
      <sheetName val="統一證"/>
      <sheetName val="大展報價"/>
    </sheetNames>
    <sheetDataSet>
      <sheetData sheetId="0">
        <row r="1">
          <cell r="C1"/>
          <cell r="D1"/>
          <cell r="E1"/>
          <cell r="F1"/>
          <cell r="G1"/>
          <cell r="H1"/>
        </row>
        <row r="2">
          <cell r="F2"/>
          <cell r="G2"/>
          <cell r="H2"/>
        </row>
        <row r="3">
          <cell r="C3" t="str">
            <v>CB代號
CB code</v>
          </cell>
          <cell r="D3" t="str">
            <v>擔保/評等
TCRI</v>
          </cell>
          <cell r="E3" t="str">
            <v>權利金百元報價 Premium on 100</v>
          </cell>
          <cell r="F3" t="str">
            <v>權利金
(參考價)
Premium</v>
          </cell>
          <cell r="G3" t="str">
            <v>期間
Duration</v>
          </cell>
          <cell r="H3" t="str">
            <v>折現率
R</v>
          </cell>
        </row>
        <row r="4">
          <cell r="C4">
            <v>13164</v>
          </cell>
          <cell r="D4" t="str">
            <v>日盛銀行</v>
          </cell>
          <cell r="E4">
            <v>1.6809589041095887</v>
          </cell>
          <cell r="F4">
            <v>25.480958904109585</v>
          </cell>
          <cell r="G4">
            <v>0.69589041095890414</v>
          </cell>
          <cell r="H4">
            <v>2.1999999999999999E-2</v>
          </cell>
        </row>
        <row r="5">
          <cell r="C5">
            <v>140201</v>
          </cell>
          <cell r="D5" t="str">
            <v>TCRI 3</v>
          </cell>
          <cell r="E5">
            <v>6.3636986301369864</v>
          </cell>
          <cell r="F5">
            <v>13.363698630136987</v>
          </cell>
          <cell r="G5">
            <v>2.2191780821917808</v>
          </cell>
          <cell r="H5">
            <v>2.8000000000000001E-2</v>
          </cell>
        </row>
        <row r="6">
          <cell r="C6">
            <v>140202</v>
          </cell>
          <cell r="D6" t="str">
            <v>TCRI 3</v>
          </cell>
          <cell r="E6">
            <v>6.3636986301369864</v>
          </cell>
          <cell r="F6">
            <v>3.2636986301369921</v>
          </cell>
          <cell r="G6">
            <v>2.2191780821917808</v>
          </cell>
          <cell r="H6">
            <v>2.8000000000000001E-2</v>
          </cell>
        </row>
        <row r="7">
          <cell r="C7">
            <v>14381</v>
          </cell>
          <cell r="D7" t="str">
            <v>台中銀行</v>
          </cell>
          <cell r="E7">
            <v>4.5846917808219247</v>
          </cell>
          <cell r="F7">
            <v>32.584691780821927</v>
          </cell>
          <cell r="G7">
            <v>2.5835616438356164</v>
          </cell>
          <cell r="H7">
            <v>2.3E-2</v>
          </cell>
        </row>
        <row r="8">
          <cell r="C8">
            <v>15142</v>
          </cell>
          <cell r="D8" t="str">
            <v>TCRI 6</v>
          </cell>
          <cell r="E8">
            <v>8.6802917808219142</v>
          </cell>
          <cell r="F8">
            <v>17.530291780821909</v>
          </cell>
          <cell r="G8">
            <v>2.6520547945205482</v>
          </cell>
          <cell r="H8">
            <v>3.5000000000000003E-2</v>
          </cell>
        </row>
        <row r="9">
          <cell r="C9">
            <v>15601</v>
          </cell>
          <cell r="D9" t="str">
            <v>TCRI 4</v>
          </cell>
          <cell r="E9">
            <v>5.5993150684931505</v>
          </cell>
          <cell r="F9">
            <v>16.599315068493151</v>
          </cell>
          <cell r="G9">
            <v>2.095890410958904</v>
          </cell>
          <cell r="H9">
            <v>2.5999999999999999E-2</v>
          </cell>
        </row>
        <row r="10">
          <cell r="C10">
            <v>15864</v>
          </cell>
          <cell r="D10" t="str">
            <v>合庫銀行</v>
          </cell>
          <cell r="E10">
            <v>3.0927397260273972</v>
          </cell>
          <cell r="F10">
            <v>10.892739726027393</v>
          </cell>
          <cell r="G10">
            <v>1.2794520547945205</v>
          </cell>
          <cell r="H10">
            <v>2.3E-2</v>
          </cell>
        </row>
        <row r="11">
          <cell r="C11">
            <v>15991</v>
          </cell>
          <cell r="D11" t="str">
            <v>富邦銀行</v>
          </cell>
          <cell r="E11">
            <v>1.246986301369863</v>
          </cell>
          <cell r="F11">
            <v>0.74698630136986299</v>
          </cell>
          <cell r="G11">
            <v>0.49863013698630138</v>
          </cell>
          <cell r="H11">
            <v>2.1999999999999999E-2</v>
          </cell>
        </row>
        <row r="12">
          <cell r="C12">
            <v>17813</v>
          </cell>
          <cell r="D12" t="str">
            <v>華南銀行</v>
          </cell>
          <cell r="E12">
            <v>5.5502739726027395</v>
          </cell>
          <cell r="F12">
            <v>10.050273972602739</v>
          </cell>
          <cell r="G12">
            <v>2.3479452054794518</v>
          </cell>
          <cell r="H12">
            <v>2.3E-2</v>
          </cell>
        </row>
        <row r="13">
          <cell r="C13">
            <v>22283</v>
          </cell>
          <cell r="D13" t="str">
            <v>TCRI 5</v>
          </cell>
          <cell r="E13">
            <v>6.9801369863013694</v>
          </cell>
          <cell r="F13">
            <v>21.43013698630137</v>
          </cell>
          <cell r="G13">
            <v>2.2767123287671232</v>
          </cell>
          <cell r="H13">
            <v>0.03</v>
          </cell>
        </row>
        <row r="14">
          <cell r="C14">
            <v>23682</v>
          </cell>
          <cell r="D14" t="str">
            <v>TCRI 4</v>
          </cell>
          <cell r="E14">
            <v>4.3220547945205485</v>
          </cell>
          <cell r="F14">
            <v>17.922054794520541</v>
          </cell>
          <cell r="G14">
            <v>1.5452054794520549</v>
          </cell>
          <cell r="H14">
            <v>2.7E-2</v>
          </cell>
        </row>
        <row r="15">
          <cell r="C15">
            <v>23836</v>
          </cell>
          <cell r="D15" t="str">
            <v>TCRI 3</v>
          </cell>
          <cell r="E15">
            <v>6.0267123287671236</v>
          </cell>
          <cell r="F15">
            <v>21.326712328767123</v>
          </cell>
          <cell r="G15">
            <v>2.3506849315068492</v>
          </cell>
          <cell r="H15">
            <v>2.5000000000000001E-2</v>
          </cell>
        </row>
        <row r="16">
          <cell r="C16">
            <v>23837</v>
          </cell>
          <cell r="D16" t="str">
            <v>TCRI 3</v>
          </cell>
          <cell r="E16">
            <v>13.325342465753426</v>
          </cell>
          <cell r="F16">
            <v>45.825342465753423</v>
          </cell>
          <cell r="G16">
            <v>4.3917808219178083</v>
          </cell>
          <cell r="H16">
            <v>0.03</v>
          </cell>
        </row>
        <row r="17">
          <cell r="C17">
            <v>24394</v>
          </cell>
          <cell r="D17" t="str">
            <v>TCRI 3</v>
          </cell>
          <cell r="E17">
            <v>5.4993150684931518</v>
          </cell>
          <cell r="F17">
            <v>10.949315068493155</v>
          </cell>
          <cell r="G17">
            <v>2.1397260273972605</v>
          </cell>
          <cell r="H17">
            <v>2.5000000000000001E-2</v>
          </cell>
        </row>
        <row r="18">
          <cell r="C18">
            <v>24395</v>
          </cell>
          <cell r="D18" t="str">
            <v>TCRI 3</v>
          </cell>
          <cell r="E18">
            <v>5.5815068493150699</v>
          </cell>
          <cell r="F18">
            <v>12.281506849315072</v>
          </cell>
          <cell r="G18">
            <v>2.1726027397260275</v>
          </cell>
          <cell r="H18">
            <v>2.5000000000000001E-2</v>
          </cell>
        </row>
        <row r="19">
          <cell r="C19">
            <v>24616</v>
          </cell>
          <cell r="D19" t="str">
            <v>台中銀行</v>
          </cell>
          <cell r="E19">
            <v>2.0908219178082192</v>
          </cell>
          <cell r="F19">
            <v>42.090821917808221</v>
          </cell>
          <cell r="G19">
            <v>0.84383561643835614</v>
          </cell>
          <cell r="H19">
            <v>2.3E-2</v>
          </cell>
        </row>
        <row r="20">
          <cell r="C20">
            <v>24762</v>
          </cell>
          <cell r="D20" t="str">
            <v>TCRI 4</v>
          </cell>
          <cell r="E20">
            <v>4.7067123287671242</v>
          </cell>
          <cell r="F20">
            <v>22.306712328767119</v>
          </cell>
          <cell r="G20">
            <v>1.6876712328767123</v>
          </cell>
          <cell r="H20">
            <v>2.7E-2</v>
          </cell>
        </row>
        <row r="21">
          <cell r="C21">
            <v>24972</v>
          </cell>
          <cell r="D21" t="str">
            <v>兆豐銀行</v>
          </cell>
          <cell r="E21">
            <v>0.43931506849315061</v>
          </cell>
          <cell r="F21">
            <v>8.9315068493156291E-2</v>
          </cell>
          <cell r="G21">
            <v>0.13150684931506848</v>
          </cell>
          <cell r="H21">
            <v>2.1999999999999999E-2</v>
          </cell>
        </row>
        <row r="22">
          <cell r="C22">
            <v>25283</v>
          </cell>
          <cell r="D22" t="str">
            <v>元大銀行</v>
          </cell>
          <cell r="E22">
            <v>5.4158082191780856</v>
          </cell>
          <cell r="F22">
            <v>20.915808219178086</v>
          </cell>
          <cell r="G22">
            <v>2.6164383561643834</v>
          </cell>
          <cell r="H22">
            <v>2.3E-2</v>
          </cell>
        </row>
        <row r="23">
          <cell r="C23">
            <v>26107</v>
          </cell>
          <cell r="D23" t="str">
            <v>TCRI 5</v>
          </cell>
          <cell r="E23">
            <v>2.4993150684931509</v>
          </cell>
          <cell r="F23">
            <v>32.999315068493154</v>
          </cell>
          <cell r="G23">
            <v>0.9397260273972603</v>
          </cell>
          <cell r="H23">
            <v>2.5000000000000001E-2</v>
          </cell>
        </row>
        <row r="24">
          <cell r="C24">
            <v>27271</v>
          </cell>
          <cell r="D24" t="str">
            <v>TCRI 4</v>
          </cell>
          <cell r="E24">
            <v>1.9707027397260211</v>
          </cell>
          <cell r="F24">
            <v>9.9707027397260219</v>
          </cell>
          <cell r="G24">
            <v>0.8575342465753425</v>
          </cell>
          <cell r="H24">
            <v>0.03</v>
          </cell>
        </row>
        <row r="25">
          <cell r="C25">
            <v>30134</v>
          </cell>
          <cell r="D25" t="str">
            <v>中信銀、兆豐銀</v>
          </cell>
          <cell r="E25">
            <v>5.7015068493150682</v>
          </cell>
          <cell r="F25">
            <v>10.501506849315065</v>
          </cell>
          <cell r="G25">
            <v>2.4136986301369863</v>
          </cell>
          <cell r="H25">
            <v>2.3E-2</v>
          </cell>
        </row>
        <row r="26">
          <cell r="C26">
            <v>30238</v>
          </cell>
          <cell r="D26" t="str">
            <v>TCRI 4</v>
          </cell>
          <cell r="E26">
            <v>1.6173972602739726</v>
          </cell>
          <cell r="F26">
            <v>5.4173972602739697</v>
          </cell>
          <cell r="G26">
            <v>0.56438356164383563</v>
          </cell>
          <cell r="H26">
            <v>2.5999999999999999E-2</v>
          </cell>
        </row>
        <row r="27">
          <cell r="C27">
            <v>30882</v>
          </cell>
          <cell r="D27" t="str">
            <v>TCRI 5</v>
          </cell>
          <cell r="E27">
            <v>3.9719178082191777</v>
          </cell>
          <cell r="F27">
            <v>20.721917808219178</v>
          </cell>
          <cell r="G27">
            <v>1.273972602739726</v>
          </cell>
          <cell r="H27">
            <v>0.03</v>
          </cell>
        </row>
        <row r="28">
          <cell r="C28">
            <v>30954</v>
          </cell>
          <cell r="D28" t="str">
            <v>陽信商銀</v>
          </cell>
          <cell r="E28">
            <v>4.2206849315068498</v>
          </cell>
          <cell r="F28">
            <v>19.220684931506849</v>
          </cell>
          <cell r="G28">
            <v>1.7698630136986302</v>
          </cell>
          <cell r="H28">
            <v>2.3E-2</v>
          </cell>
        </row>
        <row r="29">
          <cell r="C29">
            <v>33133</v>
          </cell>
          <cell r="D29" t="str">
            <v>元大銀行</v>
          </cell>
          <cell r="E29">
            <v>5.9661643835616438</v>
          </cell>
          <cell r="F29">
            <v>13.766164383561641</v>
          </cell>
          <cell r="G29">
            <v>2.5287671232876714</v>
          </cell>
          <cell r="H29">
            <v>2.3E-2</v>
          </cell>
        </row>
        <row r="30">
          <cell r="C30">
            <v>33244</v>
          </cell>
          <cell r="D30" t="str">
            <v>TCRI 4</v>
          </cell>
          <cell r="E30">
            <v>1.4036986301369863</v>
          </cell>
          <cell r="F30">
            <v>149.40369863013697</v>
          </cell>
          <cell r="G30">
            <v>0.48219178082191783</v>
          </cell>
          <cell r="H30">
            <v>2.5999999999999999E-2</v>
          </cell>
        </row>
        <row r="31">
          <cell r="C31">
            <v>33245</v>
          </cell>
          <cell r="D31" t="str">
            <v>TCRI 4</v>
          </cell>
          <cell r="E31">
            <v>4.5751027397260344</v>
          </cell>
          <cell r="F31">
            <v>15.825102739726034</v>
          </cell>
          <cell r="G31">
            <v>2.1972602739726028</v>
          </cell>
          <cell r="H31">
            <v>2.7E-2</v>
          </cell>
        </row>
        <row r="32">
          <cell r="C32">
            <v>33571</v>
          </cell>
          <cell r="D32" t="str">
            <v>TCRI 4</v>
          </cell>
          <cell r="E32">
            <v>4.0631506849315073</v>
          </cell>
          <cell r="F32">
            <v>11.063150684931507</v>
          </cell>
          <cell r="G32">
            <v>1.4493150684931506</v>
          </cell>
          <cell r="H32">
            <v>2.7E-2</v>
          </cell>
        </row>
        <row r="33">
          <cell r="C33">
            <v>33621</v>
          </cell>
          <cell r="D33" t="str">
            <v>土地銀行</v>
          </cell>
          <cell r="E33">
            <v>4.3591780821917805</v>
          </cell>
          <cell r="F33">
            <v>5.7091780821917748</v>
          </cell>
          <cell r="G33">
            <v>2.1561643835616437</v>
          </cell>
          <cell r="H33">
            <v>2.3E-2</v>
          </cell>
        </row>
        <row r="34">
          <cell r="C34">
            <v>33763</v>
          </cell>
          <cell r="D34" t="str">
            <v>TCRI 4</v>
          </cell>
          <cell r="E34">
            <v>4.7427397260273931</v>
          </cell>
          <cell r="F34">
            <v>23.742739726027395</v>
          </cell>
          <cell r="G34">
            <v>2.2602739726027399</v>
          </cell>
          <cell r="H34">
            <v>2.7E-2</v>
          </cell>
        </row>
        <row r="35">
          <cell r="C35">
            <v>33881</v>
          </cell>
          <cell r="D35" t="str">
            <v>TCRI 4</v>
          </cell>
          <cell r="E35">
            <v>1.4771232876712328</v>
          </cell>
          <cell r="F35">
            <v>5.9771232876712332</v>
          </cell>
          <cell r="G35">
            <v>0.47397260273972602</v>
          </cell>
          <cell r="H35">
            <v>2.8000000000000001E-2</v>
          </cell>
        </row>
        <row r="36">
          <cell r="C36">
            <v>33902</v>
          </cell>
          <cell r="D36" t="str">
            <v>中國信託</v>
          </cell>
          <cell r="E36">
            <v>6.4954794520547949</v>
          </cell>
          <cell r="F36">
            <v>16.495479452054795</v>
          </cell>
          <cell r="G36">
            <v>2.7589041095890412</v>
          </cell>
          <cell r="H36">
            <v>2.3E-2</v>
          </cell>
        </row>
        <row r="37">
          <cell r="C37">
            <v>34132</v>
          </cell>
          <cell r="D37" t="str">
            <v>TCRI 4</v>
          </cell>
          <cell r="E37">
            <v>1.4321917808219176</v>
          </cell>
          <cell r="F37">
            <v>68.432191780821924</v>
          </cell>
          <cell r="G37">
            <v>0.49315068493150682</v>
          </cell>
          <cell r="H37">
            <v>2.5999999999999999E-2</v>
          </cell>
        </row>
        <row r="38">
          <cell r="C38">
            <v>34163</v>
          </cell>
          <cell r="D38" t="str">
            <v>TCRI 5</v>
          </cell>
          <cell r="E38">
            <v>1.7047945205479449</v>
          </cell>
          <cell r="F38">
            <v>19.704794520547946</v>
          </cell>
          <cell r="G38">
            <v>0.68493150684931503</v>
          </cell>
          <cell r="H38">
            <v>0.03</v>
          </cell>
        </row>
        <row r="39">
          <cell r="C39">
            <v>34341</v>
          </cell>
          <cell r="D39" t="str">
            <v>華南銀行</v>
          </cell>
          <cell r="E39">
            <v>4.2332876712328771</v>
          </cell>
          <cell r="F39">
            <v>106.23328767123287</v>
          </cell>
          <cell r="G39">
            <v>1.7753424657534247</v>
          </cell>
          <cell r="H39">
            <v>2.3E-2</v>
          </cell>
        </row>
        <row r="40">
          <cell r="C40">
            <v>34793</v>
          </cell>
          <cell r="D40" t="str">
            <v>TCRI 5</v>
          </cell>
          <cell r="E40">
            <v>5.1801369863013704</v>
          </cell>
          <cell r="F40">
            <v>12.93013698630137</v>
          </cell>
          <cell r="G40">
            <v>1.6767123287671233</v>
          </cell>
          <cell r="H40">
            <v>0.03</v>
          </cell>
        </row>
        <row r="41">
          <cell r="C41">
            <v>34843</v>
          </cell>
          <cell r="D41" t="str">
            <v>TCRI 5</v>
          </cell>
          <cell r="E41">
            <v>2.418493150684931</v>
          </cell>
          <cell r="F41">
            <v>23.418493150684931</v>
          </cell>
          <cell r="G41">
            <v>0.92876712328767119</v>
          </cell>
          <cell r="H41">
            <v>3.2500000000000001E-2</v>
          </cell>
        </row>
        <row r="42">
          <cell r="C42">
            <v>34912</v>
          </cell>
          <cell r="D42" t="str">
            <v>TCRI 5</v>
          </cell>
          <cell r="E42">
            <v>6.9719178082191791</v>
          </cell>
          <cell r="F42">
            <v>34.621917808219187</v>
          </cell>
          <cell r="G42">
            <v>2.2739726027397262</v>
          </cell>
          <cell r="H42">
            <v>0.03</v>
          </cell>
        </row>
        <row r="43">
          <cell r="C43">
            <v>35161</v>
          </cell>
          <cell r="D43" t="str">
            <v>永豐銀行</v>
          </cell>
          <cell r="E43">
            <v>5.7015068493150682</v>
          </cell>
          <cell r="F43">
            <v>12.701506849315068</v>
          </cell>
          <cell r="G43">
            <v>2.4136986301369863</v>
          </cell>
          <cell r="H43">
            <v>2.3E-2</v>
          </cell>
        </row>
        <row r="44">
          <cell r="C44">
            <v>35181</v>
          </cell>
          <cell r="D44" t="str">
            <v>台新銀行</v>
          </cell>
          <cell r="E44">
            <v>5.2982191780821912</v>
          </cell>
          <cell r="F44">
            <v>8.248219178082195</v>
          </cell>
          <cell r="G44">
            <v>2.2383561643835614</v>
          </cell>
          <cell r="H44">
            <v>2.3E-2</v>
          </cell>
        </row>
        <row r="45">
          <cell r="C45">
            <v>35221</v>
          </cell>
          <cell r="D45" t="str">
            <v>兆豐銀行</v>
          </cell>
          <cell r="E45">
            <v>0.42530821917808415</v>
          </cell>
          <cell r="F45">
            <v>10.425308219178085</v>
          </cell>
          <cell r="G45">
            <v>0.58082191780821912</v>
          </cell>
          <cell r="H45">
            <v>2.1999999999999999E-2</v>
          </cell>
        </row>
        <row r="46">
          <cell r="C46">
            <v>35265</v>
          </cell>
          <cell r="D46" t="str">
            <v>TCRI 5</v>
          </cell>
          <cell r="E46">
            <v>2.3691780821917807</v>
          </cell>
          <cell r="F46">
            <v>57.36917808219178</v>
          </cell>
          <cell r="G46">
            <v>0.73972602739726023</v>
          </cell>
          <cell r="H46">
            <v>0.03</v>
          </cell>
        </row>
        <row r="47">
          <cell r="C47">
            <v>35266</v>
          </cell>
          <cell r="D47" t="str">
            <v>TCRI 5</v>
          </cell>
          <cell r="E47">
            <v>5.2376712328767132</v>
          </cell>
          <cell r="F47">
            <v>35.237671232876714</v>
          </cell>
          <cell r="G47">
            <v>1.6958904109589041</v>
          </cell>
          <cell r="H47">
            <v>0.03</v>
          </cell>
        </row>
        <row r="48">
          <cell r="C48">
            <v>35482</v>
          </cell>
          <cell r="D48" t="str">
            <v>TCRI 4</v>
          </cell>
          <cell r="E48">
            <v>4.6554794520547951</v>
          </cell>
          <cell r="F48">
            <v>7.1554794520547951</v>
          </cell>
          <cell r="G48">
            <v>1.6383561643835616</v>
          </cell>
          <cell r="H48">
            <v>2.75E-2</v>
          </cell>
        </row>
        <row r="49">
          <cell r="C49">
            <v>35483</v>
          </cell>
          <cell r="D49" t="str">
            <v>TCRI 4</v>
          </cell>
          <cell r="E49">
            <v>7.7671232876712342</v>
          </cell>
          <cell r="F49">
            <v>10.467123287671237</v>
          </cell>
          <cell r="G49">
            <v>2.7698630136986302</v>
          </cell>
          <cell r="H49">
            <v>2.75E-2</v>
          </cell>
        </row>
        <row r="50">
          <cell r="C50">
            <v>35871</v>
          </cell>
          <cell r="D50" t="str">
            <v>TCRI 4</v>
          </cell>
          <cell r="E50">
            <v>3.0793150684931505</v>
          </cell>
          <cell r="F50">
            <v>13.82931506849315</v>
          </cell>
          <cell r="G50">
            <v>1.0849315068493151</v>
          </cell>
          <cell r="H50">
            <v>2.7E-2</v>
          </cell>
        </row>
        <row r="51">
          <cell r="C51">
            <v>36804</v>
          </cell>
          <cell r="D51" t="str">
            <v>TCRI 5</v>
          </cell>
          <cell r="E51">
            <v>1.3910958904109589</v>
          </cell>
          <cell r="F51">
            <v>16.991095890410953</v>
          </cell>
          <cell r="G51">
            <v>0.41369863013698632</v>
          </cell>
          <cell r="H51">
            <v>0.03</v>
          </cell>
        </row>
        <row r="52">
          <cell r="C52">
            <v>37083</v>
          </cell>
          <cell r="D52" t="str">
            <v>第一銀行</v>
          </cell>
          <cell r="E52">
            <v>3.2691780821917811</v>
          </cell>
          <cell r="F52">
            <v>11.269178082191781</v>
          </cell>
          <cell r="G52">
            <v>1.3561643835616439</v>
          </cell>
          <cell r="H52">
            <v>2.3E-2</v>
          </cell>
        </row>
        <row r="53">
          <cell r="C53">
            <v>37131</v>
          </cell>
          <cell r="D53" t="str">
            <v>永豐銀行</v>
          </cell>
          <cell r="E53">
            <v>1.9220547945205477</v>
          </cell>
          <cell r="F53">
            <v>-0.57794520547945227</v>
          </cell>
          <cell r="G53">
            <v>0.80547945205479454</v>
          </cell>
          <cell r="H53">
            <v>2.1999999999999999E-2</v>
          </cell>
        </row>
        <row r="54">
          <cell r="C54">
            <v>41234</v>
          </cell>
          <cell r="D54" t="str">
            <v>上海商銀</v>
          </cell>
          <cell r="E54">
            <v>0.81301369863013695</v>
          </cell>
          <cell r="F54">
            <v>0.71301369863014263</v>
          </cell>
          <cell r="G54">
            <v>0.30136986301369861</v>
          </cell>
          <cell r="H54">
            <v>2.1999999999999999E-2</v>
          </cell>
        </row>
        <row r="55">
          <cell r="C55">
            <v>41235</v>
          </cell>
          <cell r="D55" t="str">
            <v>合庫銀行</v>
          </cell>
          <cell r="E55">
            <v>0.81904109589041096</v>
          </cell>
          <cell r="F55">
            <v>0.61904109589040812</v>
          </cell>
          <cell r="G55">
            <v>0.30410958904109592</v>
          </cell>
          <cell r="H55">
            <v>2.1999999999999999E-2</v>
          </cell>
        </row>
        <row r="56">
          <cell r="C56">
            <v>41236</v>
          </cell>
          <cell r="D56" t="str">
            <v>永豐銀行</v>
          </cell>
          <cell r="E56">
            <v>6.9050684931506856</v>
          </cell>
          <cell r="F56">
            <v>15.905068493150686</v>
          </cell>
          <cell r="G56">
            <v>2.9369863013698629</v>
          </cell>
          <cell r="H56">
            <v>2.3E-2</v>
          </cell>
        </row>
        <row r="57">
          <cell r="C57">
            <v>41644</v>
          </cell>
          <cell r="D57" t="str">
            <v>一銀、中信、富邦</v>
          </cell>
          <cell r="E57">
            <v>-1.9169178082191838</v>
          </cell>
          <cell r="F57">
            <v>5.0830821917808162</v>
          </cell>
          <cell r="G57">
            <v>0.20821917808219179</v>
          </cell>
          <cell r="H57">
            <v>2.1999999999999999E-2</v>
          </cell>
        </row>
        <row r="58">
          <cell r="C58">
            <v>41683</v>
          </cell>
          <cell r="D58" t="str">
            <v>台新銀行</v>
          </cell>
          <cell r="E58">
            <v>0.37904109589041096</v>
          </cell>
          <cell r="F58">
            <v>0.57904109589041375</v>
          </cell>
          <cell r="G58">
            <v>0.10410958904109589</v>
          </cell>
          <cell r="H58">
            <v>2.1999999999999999E-2</v>
          </cell>
        </row>
        <row r="59">
          <cell r="C59">
            <v>44163</v>
          </cell>
          <cell r="D59" t="str">
            <v>第一銀行</v>
          </cell>
          <cell r="E59">
            <v>-0.55835616438356672</v>
          </cell>
          <cell r="F59">
            <v>7.3416438356164386</v>
          </cell>
          <cell r="G59">
            <v>0.36438356164383562</v>
          </cell>
          <cell r="H59">
            <v>2.1999999999999999E-2</v>
          </cell>
        </row>
        <row r="60">
          <cell r="C60">
            <v>44382</v>
          </cell>
          <cell r="D60" t="str">
            <v>TCRI 4</v>
          </cell>
          <cell r="E60">
            <v>1.1932876712328766</v>
          </cell>
          <cell r="F60">
            <v>1.0432876712328709</v>
          </cell>
          <cell r="G60">
            <v>0.37260273972602742</v>
          </cell>
          <cell r="H60">
            <v>2.8000000000000001E-2</v>
          </cell>
        </row>
        <row r="61">
          <cell r="C61">
            <v>45401</v>
          </cell>
          <cell r="D61" t="str">
            <v>第一銀行</v>
          </cell>
          <cell r="E61">
            <v>1.0963013698630135</v>
          </cell>
          <cell r="F61">
            <v>13.096301369863014</v>
          </cell>
          <cell r="G61">
            <v>0.43013698630136987</v>
          </cell>
          <cell r="H61">
            <v>2.1999999999999999E-2</v>
          </cell>
        </row>
        <row r="62">
          <cell r="C62">
            <v>45553</v>
          </cell>
          <cell r="D62" t="str">
            <v>彰化銀行</v>
          </cell>
          <cell r="E62">
            <v>0.80095890410958903</v>
          </cell>
          <cell r="F62">
            <v>0.30095890410958903</v>
          </cell>
          <cell r="G62">
            <v>0.29589041095890412</v>
          </cell>
          <cell r="H62">
            <v>2.1999999999999999E-2</v>
          </cell>
        </row>
        <row r="63">
          <cell r="C63">
            <v>45663</v>
          </cell>
          <cell r="D63" t="str">
            <v>TCRI 5</v>
          </cell>
          <cell r="E63">
            <v>4.7198630136986299</v>
          </cell>
          <cell r="F63">
            <v>29.069863013698622</v>
          </cell>
          <cell r="G63">
            <v>1.5232876712328767</v>
          </cell>
          <cell r="H63">
            <v>0.03</v>
          </cell>
        </row>
        <row r="64">
          <cell r="C64">
            <v>47393</v>
          </cell>
          <cell r="D64" t="str">
            <v>彰化銀行</v>
          </cell>
          <cell r="E64">
            <v>3.4645205479452055</v>
          </cell>
          <cell r="F64">
            <v>3.6145205479452112</v>
          </cell>
          <cell r="G64">
            <v>1.441095890410959</v>
          </cell>
          <cell r="H64">
            <v>2.3E-2</v>
          </cell>
        </row>
        <row r="65">
          <cell r="C65">
            <v>49066</v>
          </cell>
          <cell r="D65" t="str">
            <v>TCRI 5</v>
          </cell>
          <cell r="E65">
            <v>3.7746575342465754</v>
          </cell>
          <cell r="F65">
            <v>14.174657534246581</v>
          </cell>
          <cell r="G65">
            <v>1.0356164383561643</v>
          </cell>
          <cell r="H65">
            <v>3.5000000000000003E-2</v>
          </cell>
        </row>
        <row r="66">
          <cell r="C66">
            <v>50097</v>
          </cell>
          <cell r="D66" t="str">
            <v>TCRI 4</v>
          </cell>
          <cell r="E66">
            <v>3.4290410958904065</v>
          </cell>
          <cell r="F66">
            <v>7.7290410958904037</v>
          </cell>
          <cell r="G66">
            <v>1.1972602739726028</v>
          </cell>
          <cell r="H66">
            <v>0.04</v>
          </cell>
        </row>
        <row r="67">
          <cell r="C67">
            <v>52303</v>
          </cell>
          <cell r="D67" t="str">
            <v>富邦銀行</v>
          </cell>
          <cell r="E67">
            <v>2.8595890410958904</v>
          </cell>
          <cell r="F67">
            <v>11.859589041095891</v>
          </cell>
          <cell r="G67">
            <v>1.178082191780822</v>
          </cell>
          <cell r="H67">
            <v>2.3E-2</v>
          </cell>
        </row>
        <row r="68">
          <cell r="C68">
            <v>52451</v>
          </cell>
          <cell r="D68" t="str">
            <v>合庫銀行</v>
          </cell>
          <cell r="E68">
            <v>0.73465753424657532</v>
          </cell>
          <cell r="F68">
            <v>0.23465753424657532</v>
          </cell>
          <cell r="G68">
            <v>0.26575342465753427</v>
          </cell>
          <cell r="H68">
            <v>2.1999999999999999E-2</v>
          </cell>
        </row>
        <row r="69">
          <cell r="C69">
            <v>52635</v>
          </cell>
          <cell r="D69" t="str">
            <v>台中銀行</v>
          </cell>
          <cell r="E69">
            <v>1.764694520547939</v>
          </cell>
          <cell r="F69">
            <v>12.764694520547939</v>
          </cell>
          <cell r="G69">
            <v>0.78904109589041094</v>
          </cell>
          <cell r="H69">
            <v>2.3E-2</v>
          </cell>
        </row>
        <row r="70">
          <cell r="C70">
            <v>53064</v>
          </cell>
          <cell r="D70" t="str">
            <v>瑞穗銀行</v>
          </cell>
          <cell r="E70">
            <v>3.5338356164383558</v>
          </cell>
          <cell r="F70">
            <v>6.1338356164383505</v>
          </cell>
          <cell r="G70">
            <v>1.4712328767123288</v>
          </cell>
          <cell r="H70">
            <v>2.3E-2</v>
          </cell>
        </row>
        <row r="71">
          <cell r="C71">
            <v>53887</v>
          </cell>
          <cell r="D71" t="str">
            <v>TCRI 4</v>
          </cell>
          <cell r="E71">
            <v>4.3294520547945208</v>
          </cell>
          <cell r="F71">
            <v>11.279452054794524</v>
          </cell>
          <cell r="G71">
            <v>1.547945205479452</v>
          </cell>
          <cell r="H71">
            <v>2.7E-2</v>
          </cell>
        </row>
        <row r="72">
          <cell r="C72">
            <v>54342</v>
          </cell>
          <cell r="D72" t="str">
            <v>TCRI 4</v>
          </cell>
          <cell r="E72">
            <v>3.1458904109589039</v>
          </cell>
          <cell r="F72">
            <v>38.145890410958906</v>
          </cell>
          <cell r="G72">
            <v>1.1095890410958904</v>
          </cell>
          <cell r="H72">
            <v>2.7E-2</v>
          </cell>
        </row>
        <row r="73">
          <cell r="C73">
            <v>54501</v>
          </cell>
          <cell r="D73" t="str">
            <v>土地銀行</v>
          </cell>
          <cell r="E73">
            <v>1.2383561643835614</v>
          </cell>
          <cell r="F73">
            <v>6.3383561643835558</v>
          </cell>
          <cell r="G73">
            <v>0.83561643835616439</v>
          </cell>
          <cell r="H73">
            <v>2.1999999999999999E-2</v>
          </cell>
        </row>
        <row r="74">
          <cell r="C74">
            <v>56086</v>
          </cell>
          <cell r="D74" t="str">
            <v>陽信商銀</v>
          </cell>
          <cell r="E74">
            <v>2.6516438356164382</v>
          </cell>
          <cell r="F74">
            <v>7.7016438356164354</v>
          </cell>
          <cell r="G74">
            <v>1.0876712328767124</v>
          </cell>
          <cell r="H74">
            <v>2.3E-2</v>
          </cell>
        </row>
        <row r="75">
          <cell r="C75">
            <v>56087</v>
          </cell>
          <cell r="D75" t="str">
            <v>第一銀行</v>
          </cell>
          <cell r="E75">
            <v>6.0795890410958906</v>
          </cell>
          <cell r="F75">
            <v>15.379589041095887</v>
          </cell>
          <cell r="G75">
            <v>2.5780821917808221</v>
          </cell>
          <cell r="H75">
            <v>2.3E-2</v>
          </cell>
        </row>
        <row r="76">
          <cell r="C76">
            <v>59055</v>
          </cell>
          <cell r="D76" t="str">
            <v>土地銀行</v>
          </cell>
          <cell r="E76">
            <v>2.3379452054794521</v>
          </cell>
          <cell r="F76">
            <v>7.3379452054794516</v>
          </cell>
          <cell r="G76">
            <v>0.9945205479452055</v>
          </cell>
          <cell r="H76">
            <v>2.1999999999999999E-2</v>
          </cell>
        </row>
        <row r="77">
          <cell r="C77">
            <v>61041</v>
          </cell>
          <cell r="D77" t="str">
            <v>TCRI 5</v>
          </cell>
          <cell r="E77">
            <v>0.40684931506849309</v>
          </cell>
          <cell r="F77">
            <v>20.406849315068492</v>
          </cell>
          <cell r="G77">
            <v>0.26849315068493151</v>
          </cell>
          <cell r="H77">
            <v>3.7499999999999999E-2</v>
          </cell>
        </row>
        <row r="78">
          <cell r="C78">
            <v>61394</v>
          </cell>
          <cell r="D78" t="str">
            <v>TCRI 4</v>
          </cell>
          <cell r="E78">
            <v>0.92832191780822138</v>
          </cell>
          <cell r="F78">
            <v>49.428321917808219</v>
          </cell>
          <cell r="G78">
            <v>0.68493150684931503</v>
          </cell>
          <cell r="H78">
            <v>2.5999999999999999E-2</v>
          </cell>
        </row>
        <row r="79">
          <cell r="C79">
            <v>61875</v>
          </cell>
          <cell r="D79" t="str">
            <v>TCRI 5</v>
          </cell>
          <cell r="E79">
            <v>6.5691780821917822</v>
          </cell>
          <cell r="F79">
            <v>32.569178082191783</v>
          </cell>
          <cell r="G79">
            <v>2.1397260273972605</v>
          </cell>
          <cell r="H79">
            <v>0.03</v>
          </cell>
        </row>
        <row r="80">
          <cell r="C80">
            <v>61894</v>
          </cell>
          <cell r="D80" t="str">
            <v>TCRI 4</v>
          </cell>
          <cell r="E80">
            <v>3.3852232876712272</v>
          </cell>
          <cell r="F80">
            <v>33.785223287671229</v>
          </cell>
          <cell r="G80">
            <v>1.4767123287671233</v>
          </cell>
          <cell r="H80">
            <v>2.7E-2</v>
          </cell>
        </row>
        <row r="81">
          <cell r="C81">
            <v>61965</v>
          </cell>
          <cell r="D81" t="str">
            <v>TCRI 4</v>
          </cell>
          <cell r="E81">
            <v>3.0206849315068491</v>
          </cell>
          <cell r="F81">
            <v>24.820684931506847</v>
          </cell>
          <cell r="G81">
            <v>1.1041095890410959</v>
          </cell>
          <cell r="H81">
            <v>2.5999999999999999E-2</v>
          </cell>
        </row>
        <row r="82">
          <cell r="C82">
            <v>61973</v>
          </cell>
          <cell r="D82" t="str">
            <v>TCRI 5</v>
          </cell>
          <cell r="E82">
            <v>7.3664383561643838</v>
          </cell>
          <cell r="F82">
            <v>14.916438356164381</v>
          </cell>
          <cell r="G82">
            <v>2.4054794520547946</v>
          </cell>
          <cell r="H82">
            <v>0.03</v>
          </cell>
        </row>
        <row r="83">
          <cell r="C83">
            <v>62235</v>
          </cell>
          <cell r="D83" t="str">
            <v>TCRI 4</v>
          </cell>
          <cell r="E83">
            <v>7.5373972602739734</v>
          </cell>
          <cell r="F83">
            <v>11.787397260273973</v>
          </cell>
          <cell r="G83">
            <v>2.6383561643835618</v>
          </cell>
          <cell r="H83">
            <v>2.8000000000000001E-2</v>
          </cell>
        </row>
        <row r="84">
          <cell r="C84">
            <v>62744</v>
          </cell>
          <cell r="D84" t="str">
            <v>TCRI 4</v>
          </cell>
          <cell r="E84">
            <v>5.4464383561643839</v>
          </cell>
          <cell r="F84">
            <v>15.84643835616439</v>
          </cell>
          <cell r="G84">
            <v>1.9616438356164383</v>
          </cell>
          <cell r="H84">
            <v>2.7E-2</v>
          </cell>
        </row>
        <row r="85">
          <cell r="C85">
            <v>62756</v>
          </cell>
          <cell r="D85" t="str">
            <v>第一銀行</v>
          </cell>
          <cell r="E85">
            <v>2.0320821917808214</v>
          </cell>
          <cell r="F85">
            <v>107.03208219178082</v>
          </cell>
          <cell r="G85">
            <v>1.3643835616438356</v>
          </cell>
          <cell r="H85">
            <v>2.3E-2</v>
          </cell>
        </row>
        <row r="86">
          <cell r="C86">
            <v>62843</v>
          </cell>
          <cell r="D86" t="str">
            <v>TCRI 4</v>
          </cell>
          <cell r="E86">
            <v>1.6316438356164382</v>
          </cell>
          <cell r="F86">
            <v>9.0816438356164415</v>
          </cell>
          <cell r="G86">
            <v>0.56986301369863013</v>
          </cell>
          <cell r="H86">
            <v>2.5999999999999999E-2</v>
          </cell>
        </row>
        <row r="87">
          <cell r="C87">
            <v>64145</v>
          </cell>
          <cell r="D87" t="str">
            <v>TCRI 4</v>
          </cell>
          <cell r="E87">
            <v>3.3768493150684926</v>
          </cell>
          <cell r="F87">
            <v>13.726849315068486</v>
          </cell>
          <cell r="G87">
            <v>1.2410958904109588</v>
          </cell>
          <cell r="H87">
            <v>2.5999999999999999E-2</v>
          </cell>
        </row>
        <row r="88">
          <cell r="C88">
            <v>64251</v>
          </cell>
          <cell r="D88" t="str">
            <v>上海銀行</v>
          </cell>
          <cell r="E88">
            <v>5.6826027397260281</v>
          </cell>
          <cell r="F88">
            <v>19.832602739726035</v>
          </cell>
          <cell r="G88">
            <v>2.4054794520547946</v>
          </cell>
          <cell r="H88">
            <v>2.3E-2</v>
          </cell>
        </row>
        <row r="89">
          <cell r="C89">
            <v>64692</v>
          </cell>
          <cell r="D89" t="str">
            <v>TCRI 4</v>
          </cell>
          <cell r="E89">
            <v>1.0321917808219179</v>
          </cell>
          <cell r="F89">
            <v>3.4821917808219207</v>
          </cell>
          <cell r="G89">
            <v>0.31506849315068491</v>
          </cell>
          <cell r="H89">
            <v>2.8000000000000001E-2</v>
          </cell>
        </row>
        <row r="90">
          <cell r="C90">
            <v>65096</v>
          </cell>
          <cell r="D90" t="str">
            <v>TCRI 5</v>
          </cell>
          <cell r="E90">
            <v>3.5116438356164381</v>
          </cell>
          <cell r="F90">
            <v>6.2616438356164377</v>
          </cell>
          <cell r="G90">
            <v>1.1205479452054794</v>
          </cell>
          <cell r="H90">
            <v>0.03</v>
          </cell>
        </row>
        <row r="91">
          <cell r="C91">
            <v>65521</v>
          </cell>
          <cell r="D91" t="str">
            <v>台新銀行</v>
          </cell>
          <cell r="E91">
            <v>3.445616438356164</v>
          </cell>
          <cell r="F91">
            <v>3.2956164383561584</v>
          </cell>
          <cell r="G91">
            <v>1.4328767123287671</v>
          </cell>
          <cell r="H91">
            <v>2.3E-2</v>
          </cell>
        </row>
        <row r="92">
          <cell r="C92">
            <v>65841</v>
          </cell>
          <cell r="D92" t="str">
            <v>彰化銀行</v>
          </cell>
          <cell r="E92">
            <v>2.468321917808221</v>
          </cell>
          <cell r="F92">
            <v>6.468321917808221</v>
          </cell>
          <cell r="G92">
            <v>1.4438356164383561</v>
          </cell>
          <cell r="H92">
            <v>2.3E-2</v>
          </cell>
        </row>
        <row r="93">
          <cell r="C93">
            <v>65851</v>
          </cell>
          <cell r="D93" t="str">
            <v>第一銀行</v>
          </cell>
          <cell r="E93">
            <v>3.4519178082191782</v>
          </cell>
          <cell r="F93">
            <v>23.951917808219179</v>
          </cell>
          <cell r="G93">
            <v>1.4356164383561645</v>
          </cell>
          <cell r="H93">
            <v>2.3E-2</v>
          </cell>
        </row>
        <row r="94">
          <cell r="C94">
            <v>66241</v>
          </cell>
          <cell r="D94" t="str">
            <v>土地銀行</v>
          </cell>
          <cell r="E94">
            <v>4.2898630136986311</v>
          </cell>
          <cell r="F94">
            <v>7.9898630136986339</v>
          </cell>
          <cell r="G94">
            <v>2.1260273972602741</v>
          </cell>
          <cell r="H94">
            <v>2.3E-2</v>
          </cell>
        </row>
        <row r="95">
          <cell r="C95">
            <v>68061</v>
          </cell>
          <cell r="D95" t="str">
            <v>台銀、台灣中小企銀、台中、台新、新光、高雄</v>
          </cell>
          <cell r="E95">
            <v>3.6220547945205479</v>
          </cell>
          <cell r="F95">
            <v>9.6220547945205475</v>
          </cell>
          <cell r="G95">
            <v>1.5095890410958903</v>
          </cell>
          <cell r="H95">
            <v>2.3E-2</v>
          </cell>
        </row>
        <row r="96">
          <cell r="C96">
            <v>80506</v>
          </cell>
          <cell r="D96" t="str">
            <v>TCRI 5</v>
          </cell>
          <cell r="E96">
            <v>1.1835616438356165</v>
          </cell>
          <cell r="F96">
            <v>9.1835616438356169</v>
          </cell>
          <cell r="G96">
            <v>0.50958904109589043</v>
          </cell>
          <cell r="H96">
            <v>3.5000000000000003E-2</v>
          </cell>
        </row>
        <row r="97">
          <cell r="C97">
            <v>80914</v>
          </cell>
          <cell r="D97" t="str">
            <v>TCRI 5</v>
          </cell>
          <cell r="E97">
            <v>3.6150684931506847</v>
          </cell>
          <cell r="F97">
            <v>11.715068493150678</v>
          </cell>
          <cell r="G97">
            <v>1.2383561643835617</v>
          </cell>
          <cell r="H97">
            <v>0.03</v>
          </cell>
        </row>
        <row r="98">
          <cell r="C98">
            <v>80924</v>
          </cell>
          <cell r="D98" t="str">
            <v>陽信商銀</v>
          </cell>
          <cell r="E98">
            <v>1.0064041095890435</v>
          </cell>
          <cell r="F98">
            <v>51.006404109589042</v>
          </cell>
          <cell r="G98">
            <v>0.80821917808219179</v>
          </cell>
          <cell r="H98">
            <v>2.3E-2</v>
          </cell>
        </row>
        <row r="99">
          <cell r="C99">
            <v>81551</v>
          </cell>
          <cell r="D99" t="str">
            <v>TCRI 4</v>
          </cell>
          <cell r="E99">
            <v>7.2883561643835613</v>
          </cell>
          <cell r="F99">
            <v>19.938356164383567</v>
          </cell>
          <cell r="G99">
            <v>2.6438356164383561</v>
          </cell>
          <cell r="H99">
            <v>2.7E-2</v>
          </cell>
        </row>
        <row r="100">
          <cell r="C100">
            <v>82101</v>
          </cell>
          <cell r="D100" t="str">
            <v>TCRI 4</v>
          </cell>
          <cell r="E100">
            <v>4.6549315068493158</v>
          </cell>
          <cell r="F100">
            <v>17.204931506849313</v>
          </cell>
          <cell r="G100">
            <v>1.6684931506849314</v>
          </cell>
          <cell r="H100">
            <v>2.7E-2</v>
          </cell>
        </row>
        <row r="101">
          <cell r="C101">
            <v>82551</v>
          </cell>
          <cell r="D101" t="str">
            <v>TCRI 4</v>
          </cell>
          <cell r="E101">
            <v>3.4491780821917808</v>
          </cell>
          <cell r="F101">
            <v>5.4491780821917803</v>
          </cell>
          <cell r="G101">
            <v>1.2219178082191782</v>
          </cell>
          <cell r="H101">
            <v>2.7E-2</v>
          </cell>
        </row>
        <row r="102">
          <cell r="C102">
            <v>82992</v>
          </cell>
          <cell r="D102" t="str">
            <v>TCRI 3</v>
          </cell>
          <cell r="E102">
            <v>4.516575342465754</v>
          </cell>
          <cell r="F102">
            <v>11.516575342465753</v>
          </cell>
          <cell r="G102">
            <v>1.6794520547945206</v>
          </cell>
          <cell r="H102">
            <v>2.5999999999999999E-2</v>
          </cell>
        </row>
        <row r="103">
          <cell r="C103">
            <v>84421</v>
          </cell>
          <cell r="D103" t="str">
            <v>玉山銀行</v>
          </cell>
          <cell r="E103">
            <v>0.69849315068493156</v>
          </cell>
          <cell r="F103">
            <v>46.198493150684932</v>
          </cell>
          <cell r="G103">
            <v>0.24931506849315069</v>
          </cell>
          <cell r="H103">
            <v>2.1999999999999999E-2</v>
          </cell>
        </row>
        <row r="104">
          <cell r="C104">
            <v>84422</v>
          </cell>
          <cell r="D104" t="str">
            <v>富邦銀行</v>
          </cell>
          <cell r="E104">
            <v>3.4078082191780821</v>
          </cell>
          <cell r="F104">
            <v>18.70780821917808</v>
          </cell>
          <cell r="G104">
            <v>1.4164383561643836</v>
          </cell>
          <cell r="H104">
            <v>2.3E-2</v>
          </cell>
        </row>
        <row r="105">
          <cell r="C105">
            <v>84672</v>
          </cell>
          <cell r="D105" t="str">
            <v>富邦、凱基、玉山、上海、兆豐、國泰世華</v>
          </cell>
          <cell r="E105">
            <v>4.8130136986301375</v>
          </cell>
          <cell r="F105">
            <v>15.613013698630134</v>
          </cell>
          <cell r="G105">
            <v>2.0273972602739727</v>
          </cell>
          <cell r="H105">
            <v>2.3E-2</v>
          </cell>
        </row>
        <row r="106">
          <cell r="C106">
            <v>84881</v>
          </cell>
          <cell r="D106" t="str">
            <v>玉山、王道</v>
          </cell>
          <cell r="E106">
            <v>3.7921917808219172</v>
          </cell>
          <cell r="F106">
            <v>4.2421917808219201</v>
          </cell>
          <cell r="G106">
            <v>1.5835616438356164</v>
          </cell>
          <cell r="H106">
            <v>2.3E-2</v>
          </cell>
        </row>
        <row r="107">
          <cell r="C107">
            <v>84891</v>
          </cell>
          <cell r="D107" t="str">
            <v>上海銀行</v>
          </cell>
          <cell r="E107">
            <v>3.5290780821917749</v>
          </cell>
          <cell r="F107">
            <v>27.329078082191771</v>
          </cell>
          <cell r="G107">
            <v>1.5561643835616439</v>
          </cell>
          <cell r="H107">
            <v>2.3E-2</v>
          </cell>
        </row>
        <row r="108">
          <cell r="C108">
            <v>89277</v>
          </cell>
          <cell r="D108" t="str">
            <v>合庫銀行</v>
          </cell>
          <cell r="E108">
            <v>3.7970205479452126</v>
          </cell>
          <cell r="F108">
            <v>15.297020547945213</v>
          </cell>
          <cell r="G108">
            <v>2.2410958904109588</v>
          </cell>
          <cell r="H108">
            <v>2.3E-2</v>
          </cell>
        </row>
        <row r="109">
          <cell r="C109">
            <v>99392</v>
          </cell>
          <cell r="D109" t="str">
            <v>TCRI 4</v>
          </cell>
          <cell r="E109">
            <v>6.5039726027397267</v>
          </cell>
          <cell r="F109">
            <v>13.85397260273972</v>
          </cell>
          <cell r="G109">
            <v>2.4438356164383563</v>
          </cell>
          <cell r="H109">
            <v>2.5999999999999999E-2</v>
          </cell>
        </row>
        <row r="110">
          <cell r="E110"/>
          <cell r="F110"/>
          <cell r="G110"/>
          <cell r="H110"/>
        </row>
        <row r="111">
          <cell r="E111"/>
          <cell r="F111"/>
          <cell r="G111"/>
          <cell r="H111"/>
        </row>
        <row r="112">
          <cell r="E112"/>
          <cell r="F112"/>
          <cell r="G112"/>
          <cell r="H112"/>
        </row>
        <row r="113">
          <cell r="E113"/>
          <cell r="F113"/>
          <cell r="G113"/>
          <cell r="H113"/>
        </row>
        <row r="114">
          <cell r="E114"/>
          <cell r="F114"/>
          <cell r="G114"/>
          <cell r="H114"/>
        </row>
        <row r="115">
          <cell r="C115"/>
          <cell r="D115"/>
          <cell r="E115"/>
          <cell r="F115"/>
          <cell r="G115"/>
          <cell r="H115"/>
        </row>
        <row r="116">
          <cell r="H116"/>
        </row>
        <row r="117">
          <cell r="C117"/>
          <cell r="D117"/>
          <cell r="E117"/>
          <cell r="F117"/>
          <cell r="G117"/>
          <cell r="H117"/>
        </row>
        <row r="118">
          <cell r="C118"/>
          <cell r="D118"/>
          <cell r="E118"/>
          <cell r="F118"/>
          <cell r="G118"/>
        </row>
        <row r="120">
          <cell r="C120"/>
          <cell r="D120"/>
          <cell r="E120"/>
          <cell r="F120"/>
          <cell r="G120"/>
          <cell r="H120"/>
        </row>
        <row r="121">
          <cell r="C121"/>
          <cell r="D121"/>
          <cell r="E121"/>
          <cell r="F121"/>
          <cell r="G121"/>
          <cell r="H121"/>
        </row>
        <row r="122">
          <cell r="C122"/>
          <cell r="D122"/>
          <cell r="E122"/>
          <cell r="F122"/>
          <cell r="G122"/>
          <cell r="H122"/>
        </row>
        <row r="123">
          <cell r="C123"/>
          <cell r="D123"/>
          <cell r="E123"/>
          <cell r="F123"/>
          <cell r="G123"/>
          <cell r="H123"/>
        </row>
        <row r="124">
          <cell r="C124"/>
          <cell r="D124"/>
          <cell r="E124"/>
          <cell r="F124"/>
          <cell r="G124"/>
          <cell r="H124"/>
        </row>
        <row r="125">
          <cell r="C125"/>
          <cell r="D125"/>
          <cell r="E125"/>
          <cell r="F125"/>
          <cell r="G125"/>
          <cell r="H125"/>
        </row>
        <row r="126">
          <cell r="C126"/>
          <cell r="D126"/>
          <cell r="E126">
            <v>45782</v>
          </cell>
          <cell r="F126"/>
          <cell r="G126"/>
          <cell r="H126"/>
        </row>
        <row r="127">
          <cell r="C127" t="str">
            <v>賣回價格</v>
          </cell>
          <cell r="D127" t="str">
            <v>履約交割日</v>
          </cell>
          <cell r="E127" t="str">
            <v>選擇權到期日</v>
          </cell>
          <cell r="F127" t="str">
            <v>剩餘天數D</v>
          </cell>
          <cell r="G127" t="str">
            <v>折現率</v>
          </cell>
          <cell r="H127" t="str">
            <v>履約張數</v>
          </cell>
        </row>
        <row r="128">
          <cell r="C128">
            <v>100</v>
          </cell>
          <cell r="D128">
            <v>45784</v>
          </cell>
          <cell r="E128">
            <v>46126</v>
          </cell>
          <cell r="F128">
            <v>343</v>
          </cell>
          <cell r="G128">
            <v>2.5000000000000001E-2</v>
          </cell>
          <cell r="H128">
            <v>10</v>
          </cell>
        </row>
        <row r="129">
          <cell r="G129"/>
        </row>
        <row r="130">
          <cell r="C130"/>
          <cell r="D130"/>
          <cell r="E130"/>
          <cell r="F130"/>
          <cell r="G130"/>
          <cell r="H130"/>
        </row>
        <row r="131">
          <cell r="C131"/>
          <cell r="D131"/>
          <cell r="E131"/>
          <cell r="F131"/>
          <cell r="G131"/>
          <cell r="H131"/>
        </row>
        <row r="132">
          <cell r="C132"/>
          <cell r="D132"/>
          <cell r="E132"/>
          <cell r="F132"/>
          <cell r="G132"/>
          <cell r="H132"/>
        </row>
        <row r="133">
          <cell r="C133"/>
          <cell r="D133"/>
          <cell r="E133"/>
          <cell r="F133"/>
          <cell r="G133"/>
          <cell r="H133"/>
        </row>
        <row r="134">
          <cell r="C134"/>
          <cell r="D134"/>
          <cell r="E134"/>
          <cell r="F134"/>
          <cell r="G134"/>
          <cell r="H134"/>
        </row>
        <row r="135">
          <cell r="C135"/>
          <cell r="D135"/>
          <cell r="E135"/>
          <cell r="F135"/>
          <cell r="G135"/>
          <cell r="H135"/>
        </row>
        <row r="136">
          <cell r="C136"/>
          <cell r="D136"/>
          <cell r="E136"/>
          <cell r="F136"/>
          <cell r="G136"/>
          <cell r="H136"/>
        </row>
        <row r="137">
          <cell r="G137"/>
          <cell r="H137"/>
        </row>
      </sheetData>
      <sheetData sheetId="1">
        <row r="1">
          <cell r="B1"/>
          <cell r="C1"/>
          <cell r="D1"/>
          <cell r="E1"/>
          <cell r="F1"/>
          <cell r="G1"/>
          <cell r="H1"/>
        </row>
        <row r="2">
          <cell r="B2">
            <v>45761</v>
          </cell>
          <cell r="C2"/>
          <cell r="D2"/>
          <cell r="E2" t="str">
            <v>選擇權生效日：</v>
          </cell>
          <cell r="F2">
            <v>45763</v>
          </cell>
          <cell r="G2"/>
          <cell r="H2"/>
        </row>
        <row r="3">
          <cell r="B3" t="str">
            <v>可轉債
代號</v>
          </cell>
          <cell r="C3" t="str">
            <v>權利金
百元報價</v>
          </cell>
          <cell r="D3" t="str">
            <v>剩餘
年限</v>
          </cell>
          <cell r="E3" t="str">
            <v>賣回日</v>
          </cell>
          <cell r="F3" t="str">
            <v>選擇權
履約截止日</v>
          </cell>
          <cell r="G3" t="str">
            <v>TCRI 評等/
擔保銀行</v>
          </cell>
          <cell r="H3" t="str">
            <v>履約
折現率</v>
          </cell>
        </row>
        <row r="4">
          <cell r="B4">
            <v>11011</v>
          </cell>
          <cell r="C4">
            <v>7.21</v>
          </cell>
          <cell r="D4">
            <v>2.6136986301369864</v>
          </cell>
          <cell r="E4">
            <v>46731</v>
          </cell>
          <cell r="F4">
            <v>46717</v>
          </cell>
          <cell r="G4">
            <v>4</v>
          </cell>
          <cell r="H4">
            <v>2.7E-2</v>
          </cell>
        </row>
        <row r="5">
          <cell r="B5">
            <v>13164</v>
          </cell>
          <cell r="C5">
            <v>1.88</v>
          </cell>
          <cell r="D5">
            <v>0.75068493150684934</v>
          </cell>
          <cell r="E5">
            <v>46051</v>
          </cell>
          <cell r="F5">
            <v>46037</v>
          </cell>
          <cell r="G5" t="str">
            <v>富邦</v>
          </cell>
          <cell r="H5">
            <v>2.3E-2</v>
          </cell>
        </row>
        <row r="6">
          <cell r="B6">
            <v>13166</v>
          </cell>
          <cell r="C6">
            <v>3.8099999999999996</v>
          </cell>
          <cell r="D6">
            <v>1.6602739726027398</v>
          </cell>
          <cell r="E6">
            <v>46383</v>
          </cell>
          <cell r="F6">
            <v>46369</v>
          </cell>
          <cell r="G6" t="str">
            <v>板信</v>
          </cell>
          <cell r="H6">
            <v>2.5000000000000001E-2</v>
          </cell>
        </row>
        <row r="7">
          <cell r="B7">
            <v>13421</v>
          </cell>
          <cell r="C7">
            <v>0.36</v>
          </cell>
          <cell r="D7">
            <v>9.0410958904109592E-2</v>
          </cell>
          <cell r="E7">
            <v>45810</v>
          </cell>
          <cell r="F7">
            <v>45796</v>
          </cell>
          <cell r="G7" t="str">
            <v>華南</v>
          </cell>
          <cell r="H7">
            <v>2.3E-2</v>
          </cell>
        </row>
        <row r="8">
          <cell r="B8">
            <v>14362</v>
          </cell>
          <cell r="C8">
            <v>1.51</v>
          </cell>
          <cell r="D8">
            <v>0.58904109589041098</v>
          </cell>
          <cell r="E8">
            <v>45992</v>
          </cell>
          <cell r="F8">
            <v>45978</v>
          </cell>
          <cell r="G8" t="str">
            <v>一銀</v>
          </cell>
          <cell r="H8">
            <v>2.3E-2</v>
          </cell>
        </row>
        <row r="9">
          <cell r="B9">
            <v>14381</v>
          </cell>
          <cell r="C9">
            <v>5.24</v>
          </cell>
          <cell r="D9">
            <v>2.6383561643835618</v>
          </cell>
          <cell r="E9">
            <v>46740</v>
          </cell>
          <cell r="F9">
            <v>46726</v>
          </cell>
          <cell r="G9" t="str">
            <v>台中</v>
          </cell>
          <cell r="H9">
            <v>2.5000000000000001E-2</v>
          </cell>
        </row>
        <row r="10">
          <cell r="B10">
            <v>15142</v>
          </cell>
          <cell r="C10">
            <v>10.23</v>
          </cell>
          <cell r="D10">
            <v>2.7068493150684931</v>
          </cell>
          <cell r="E10">
            <v>46765</v>
          </cell>
          <cell r="F10">
            <v>46751</v>
          </cell>
          <cell r="G10">
            <v>6</v>
          </cell>
          <cell r="H10">
            <v>0.04</v>
          </cell>
        </row>
        <row r="11">
          <cell r="B11">
            <v>15601</v>
          </cell>
          <cell r="C11">
            <v>5.53</v>
          </cell>
          <cell r="D11">
            <v>2.1506849315068495</v>
          </cell>
          <cell r="E11">
            <v>46562</v>
          </cell>
          <cell r="F11">
            <v>46548</v>
          </cell>
          <cell r="G11">
            <v>4</v>
          </cell>
          <cell r="H11">
            <v>2.5000000000000001E-2</v>
          </cell>
        </row>
        <row r="12">
          <cell r="B12">
            <v>15864</v>
          </cell>
          <cell r="C12">
            <v>3.2199999999999998</v>
          </cell>
          <cell r="D12">
            <v>1.3342465753424657</v>
          </cell>
          <cell r="E12">
            <v>46264</v>
          </cell>
          <cell r="F12">
            <v>46250</v>
          </cell>
          <cell r="G12" t="str">
            <v>合庫</v>
          </cell>
          <cell r="H12">
            <v>2.3E-2</v>
          </cell>
        </row>
        <row r="13">
          <cell r="B13">
            <v>15991</v>
          </cell>
          <cell r="C13">
            <v>1.43</v>
          </cell>
          <cell r="D13">
            <v>0.55342465753424652</v>
          </cell>
          <cell r="E13">
            <v>45979</v>
          </cell>
          <cell r="F13">
            <v>45965</v>
          </cell>
          <cell r="G13" t="str">
            <v>富邦</v>
          </cell>
          <cell r="H13">
            <v>2.3E-2</v>
          </cell>
        </row>
        <row r="14">
          <cell r="B14">
            <v>17813</v>
          </cell>
          <cell r="C14">
            <v>5.68</v>
          </cell>
          <cell r="D14">
            <v>2.4027397260273973</v>
          </cell>
          <cell r="E14">
            <v>46654</v>
          </cell>
          <cell r="F14">
            <v>46640</v>
          </cell>
          <cell r="G14" t="str">
            <v>華南</v>
          </cell>
          <cell r="H14">
            <v>2.3E-2</v>
          </cell>
        </row>
        <row r="15">
          <cell r="B15">
            <v>20632</v>
          </cell>
          <cell r="C15">
            <v>1.75</v>
          </cell>
          <cell r="D15">
            <v>0.53150684931506853</v>
          </cell>
          <cell r="E15">
            <v>45971</v>
          </cell>
          <cell r="F15">
            <v>45957</v>
          </cell>
          <cell r="G15">
            <v>5</v>
          </cell>
          <cell r="H15">
            <v>0.03</v>
          </cell>
        </row>
        <row r="16">
          <cell r="B16">
            <v>20662</v>
          </cell>
          <cell r="C16">
            <v>4.54</v>
          </cell>
          <cell r="D16">
            <v>1.252054794520548</v>
          </cell>
          <cell r="E16">
            <v>46234</v>
          </cell>
          <cell r="F16">
            <v>46220</v>
          </cell>
          <cell r="G16">
            <v>6</v>
          </cell>
          <cell r="H16">
            <v>3.5000000000000003E-2</v>
          </cell>
        </row>
        <row r="17">
          <cell r="B17">
            <v>22013</v>
          </cell>
          <cell r="C17">
            <v>2.61</v>
          </cell>
          <cell r="D17">
            <v>1.0684931506849316</v>
          </cell>
          <cell r="E17">
            <v>46167</v>
          </cell>
          <cell r="F17">
            <v>46153</v>
          </cell>
          <cell r="G17">
            <v>5</v>
          </cell>
          <cell r="H17">
            <v>0.03</v>
          </cell>
        </row>
        <row r="18">
          <cell r="B18">
            <v>22283</v>
          </cell>
          <cell r="C18">
            <v>6.68</v>
          </cell>
          <cell r="D18">
            <v>2.3315068493150686</v>
          </cell>
          <cell r="E18">
            <v>46628</v>
          </cell>
          <cell r="F18">
            <v>46614</v>
          </cell>
          <cell r="G18">
            <v>5</v>
          </cell>
          <cell r="H18">
            <v>2.8000000000000001E-2</v>
          </cell>
        </row>
        <row r="19">
          <cell r="B19">
            <v>23682</v>
          </cell>
          <cell r="C19">
            <v>4.3100000000000005</v>
          </cell>
          <cell r="D19">
            <v>1.6</v>
          </cell>
          <cell r="E19">
            <v>46361</v>
          </cell>
          <cell r="F19">
            <v>46347</v>
          </cell>
          <cell r="G19">
            <v>4</v>
          </cell>
          <cell r="H19">
            <v>2.5999999999999999E-2</v>
          </cell>
        </row>
        <row r="20">
          <cell r="B20">
            <v>23836</v>
          </cell>
          <cell r="C20">
            <v>6.17</v>
          </cell>
          <cell r="D20">
            <v>2.4054794520547946</v>
          </cell>
          <cell r="E20">
            <v>46655</v>
          </cell>
          <cell r="F20">
            <v>46641</v>
          </cell>
          <cell r="G20">
            <v>3</v>
          </cell>
          <cell r="H20">
            <v>2.5000000000000001E-2</v>
          </cell>
        </row>
        <row r="21">
          <cell r="B21">
            <v>24394</v>
          </cell>
          <cell r="C21">
            <v>5.6400000000000006</v>
          </cell>
          <cell r="D21">
            <v>2.1945205479452055</v>
          </cell>
          <cell r="E21">
            <v>46578</v>
          </cell>
          <cell r="F21">
            <v>46564</v>
          </cell>
          <cell r="G21">
            <v>3</v>
          </cell>
          <cell r="H21">
            <v>2.5000000000000001E-2</v>
          </cell>
        </row>
        <row r="22">
          <cell r="B22">
            <v>24395</v>
          </cell>
          <cell r="C22">
            <v>5.72</v>
          </cell>
          <cell r="D22">
            <v>2.2273972602739724</v>
          </cell>
          <cell r="E22">
            <v>46590</v>
          </cell>
          <cell r="F22">
            <v>46576</v>
          </cell>
          <cell r="G22">
            <v>3</v>
          </cell>
          <cell r="H22">
            <v>2.5000000000000001E-2</v>
          </cell>
        </row>
        <row r="23">
          <cell r="B23">
            <v>24616</v>
          </cell>
          <cell r="C23">
            <v>2.2199999999999998</v>
          </cell>
          <cell r="D23">
            <v>0.89863013698630134</v>
          </cell>
          <cell r="E23">
            <v>46105</v>
          </cell>
          <cell r="F23">
            <v>46091</v>
          </cell>
          <cell r="G23" t="str">
            <v>台中</v>
          </cell>
          <cell r="H23">
            <v>2.3E-2</v>
          </cell>
        </row>
        <row r="24">
          <cell r="B24">
            <v>24762</v>
          </cell>
          <cell r="C24">
            <v>4.6900000000000004</v>
          </cell>
          <cell r="D24">
            <v>1.7424657534246575</v>
          </cell>
          <cell r="E24">
            <v>46413</v>
          </cell>
          <cell r="F24">
            <v>46399</v>
          </cell>
          <cell r="G24">
            <v>4</v>
          </cell>
          <cell r="H24">
            <v>2.5999999999999999E-2</v>
          </cell>
        </row>
        <row r="25">
          <cell r="B25">
            <v>24972</v>
          </cell>
          <cell r="C25">
            <v>0.57999999999999996</v>
          </cell>
          <cell r="D25">
            <v>0.18630136986301371</v>
          </cell>
          <cell r="E25">
            <v>45845</v>
          </cell>
          <cell r="F25">
            <v>45831</v>
          </cell>
          <cell r="G25" t="str">
            <v>兆豐</v>
          </cell>
          <cell r="H25">
            <v>2.3E-2</v>
          </cell>
        </row>
        <row r="26">
          <cell r="B26">
            <v>25283</v>
          </cell>
          <cell r="C26">
            <v>5.55</v>
          </cell>
          <cell r="D26">
            <v>2.6712328767123288</v>
          </cell>
          <cell r="E26">
            <v>46752</v>
          </cell>
          <cell r="F26">
            <v>46738</v>
          </cell>
          <cell r="G26" t="str">
            <v>元大</v>
          </cell>
          <cell r="H26">
            <v>2.3E-2</v>
          </cell>
        </row>
        <row r="27">
          <cell r="B27">
            <v>25483</v>
          </cell>
          <cell r="C27">
            <v>8.0399999999999991</v>
          </cell>
          <cell r="D27">
            <v>2.4246575342465753</v>
          </cell>
          <cell r="E27">
            <v>46662</v>
          </cell>
          <cell r="F27">
            <v>46648</v>
          </cell>
          <cell r="G27">
            <v>4</v>
          </cell>
          <cell r="H27">
            <v>3.2500000000000001E-2</v>
          </cell>
        </row>
        <row r="28">
          <cell r="B28">
            <v>25484</v>
          </cell>
          <cell r="C28">
            <v>8.18</v>
          </cell>
          <cell r="D28">
            <v>2.4684931506849317</v>
          </cell>
          <cell r="E28">
            <v>46678</v>
          </cell>
          <cell r="F28">
            <v>46664</v>
          </cell>
          <cell r="G28">
            <v>4</v>
          </cell>
          <cell r="H28">
            <v>3.2500000000000001E-2</v>
          </cell>
        </row>
        <row r="29">
          <cell r="B29">
            <v>26107</v>
          </cell>
          <cell r="C29">
            <v>2.6399999999999997</v>
          </cell>
          <cell r="D29">
            <v>0.9945205479452055</v>
          </cell>
          <cell r="E29">
            <v>46140</v>
          </cell>
          <cell r="F29">
            <v>46126</v>
          </cell>
          <cell r="G29">
            <v>4</v>
          </cell>
          <cell r="H29">
            <v>2.5000000000000001E-2</v>
          </cell>
        </row>
        <row r="30">
          <cell r="B30">
            <v>26417</v>
          </cell>
          <cell r="C30">
            <v>9.11</v>
          </cell>
          <cell r="D30">
            <v>2.2383561643835614</v>
          </cell>
          <cell r="E30">
            <v>46594</v>
          </cell>
          <cell r="F30">
            <v>46580</v>
          </cell>
          <cell r="G30">
            <v>6</v>
          </cell>
          <cell r="H30">
            <v>0.04</v>
          </cell>
        </row>
        <row r="31">
          <cell r="B31">
            <v>27271</v>
          </cell>
          <cell r="C31">
            <v>1.96</v>
          </cell>
          <cell r="D31">
            <v>0.9123287671232877</v>
          </cell>
          <cell r="E31">
            <v>46110</v>
          </cell>
          <cell r="F31">
            <v>46096</v>
          </cell>
          <cell r="G31">
            <v>4</v>
          </cell>
          <cell r="H31">
            <v>2.8000000000000001E-2</v>
          </cell>
        </row>
        <row r="32">
          <cell r="B32">
            <v>27323</v>
          </cell>
          <cell r="C32">
            <v>1.23</v>
          </cell>
          <cell r="D32">
            <v>0.74246575342465748</v>
          </cell>
          <cell r="E32">
            <v>46048</v>
          </cell>
          <cell r="F32">
            <v>46034</v>
          </cell>
          <cell r="G32">
            <v>5</v>
          </cell>
          <cell r="H32">
            <v>2.8000000000000001E-2</v>
          </cell>
        </row>
        <row r="33">
          <cell r="B33">
            <v>29051</v>
          </cell>
          <cell r="C33">
            <v>2.5599999999999996</v>
          </cell>
          <cell r="D33">
            <v>0.73972602739726023</v>
          </cell>
          <cell r="E33">
            <v>46047</v>
          </cell>
          <cell r="F33">
            <v>46033</v>
          </cell>
          <cell r="G33">
            <v>5</v>
          </cell>
          <cell r="H33">
            <v>3.2500000000000001E-2</v>
          </cell>
        </row>
        <row r="34">
          <cell r="B34">
            <v>30134</v>
          </cell>
          <cell r="C34">
            <v>5.83</v>
          </cell>
          <cell r="D34">
            <v>2.4684931506849317</v>
          </cell>
          <cell r="E34">
            <v>46678</v>
          </cell>
          <cell r="F34">
            <v>46664</v>
          </cell>
          <cell r="G34" t="str">
            <v>中信、兆豐</v>
          </cell>
          <cell r="H34">
            <v>2.3E-2</v>
          </cell>
        </row>
        <row r="35">
          <cell r="B35">
            <v>30165</v>
          </cell>
          <cell r="C35">
            <v>9.11</v>
          </cell>
          <cell r="D35">
            <v>2.2383561643835614</v>
          </cell>
          <cell r="E35">
            <v>46594</v>
          </cell>
          <cell r="F35">
            <v>46580</v>
          </cell>
          <cell r="G35">
            <v>6</v>
          </cell>
          <cell r="H35">
            <v>0.04</v>
          </cell>
        </row>
        <row r="36">
          <cell r="B36">
            <v>30238</v>
          </cell>
          <cell r="C36">
            <v>1.7</v>
          </cell>
          <cell r="D36">
            <v>0.61917808219178083</v>
          </cell>
          <cell r="E36">
            <v>46003</v>
          </cell>
          <cell r="F36">
            <v>45989</v>
          </cell>
          <cell r="G36">
            <v>4</v>
          </cell>
          <cell r="H36">
            <v>2.5000000000000001E-2</v>
          </cell>
        </row>
        <row r="37">
          <cell r="B37">
            <v>30337</v>
          </cell>
          <cell r="C37">
            <v>8.44</v>
          </cell>
          <cell r="D37">
            <v>2.3671232876712329</v>
          </cell>
          <cell r="E37">
            <v>46641</v>
          </cell>
          <cell r="F37">
            <v>46627</v>
          </cell>
          <cell r="G37">
            <v>6</v>
          </cell>
          <cell r="H37">
            <v>3.5000000000000003E-2</v>
          </cell>
        </row>
        <row r="38">
          <cell r="B38">
            <v>30454</v>
          </cell>
          <cell r="C38">
            <v>6.65</v>
          </cell>
          <cell r="D38">
            <v>2.8219178082191783</v>
          </cell>
          <cell r="E38">
            <v>46807</v>
          </cell>
          <cell r="F38">
            <v>46793</v>
          </cell>
          <cell r="G38">
            <v>2</v>
          </cell>
          <cell r="H38">
            <v>2.3E-2</v>
          </cell>
        </row>
        <row r="39">
          <cell r="B39">
            <v>30455</v>
          </cell>
          <cell r="C39">
            <v>6.65</v>
          </cell>
          <cell r="D39">
            <v>2.8246575342465752</v>
          </cell>
          <cell r="E39">
            <v>46808</v>
          </cell>
          <cell r="F39">
            <v>46794</v>
          </cell>
          <cell r="G39">
            <v>2</v>
          </cell>
          <cell r="H39">
            <v>2.3E-2</v>
          </cell>
        </row>
        <row r="40">
          <cell r="B40">
            <v>30882</v>
          </cell>
          <cell r="C40">
            <v>3.88</v>
          </cell>
          <cell r="D40">
            <v>1.3287671232876712</v>
          </cell>
          <cell r="E40">
            <v>46262</v>
          </cell>
          <cell r="F40">
            <v>46248</v>
          </cell>
          <cell r="G40">
            <v>5</v>
          </cell>
          <cell r="H40">
            <v>2.8000000000000001E-2</v>
          </cell>
        </row>
        <row r="41">
          <cell r="B41">
            <v>30954</v>
          </cell>
          <cell r="C41">
            <v>4.72</v>
          </cell>
          <cell r="D41">
            <v>1.8246575342465754</v>
          </cell>
          <cell r="E41">
            <v>46443</v>
          </cell>
          <cell r="F41">
            <v>46429</v>
          </cell>
          <cell r="G41" t="str">
            <v>陽信</v>
          </cell>
          <cell r="H41">
            <v>2.5000000000000001E-2</v>
          </cell>
        </row>
        <row r="42">
          <cell r="B42">
            <v>33055</v>
          </cell>
          <cell r="C42">
            <v>1.77</v>
          </cell>
          <cell r="D42">
            <v>0.65479452054794518</v>
          </cell>
          <cell r="E42">
            <v>46016</v>
          </cell>
          <cell r="F42">
            <v>46002</v>
          </cell>
          <cell r="G42">
            <v>6</v>
          </cell>
          <cell r="H42">
            <v>0.04</v>
          </cell>
        </row>
        <row r="43">
          <cell r="B43">
            <v>33101</v>
          </cell>
          <cell r="C43">
            <v>0.29000000000000004</v>
          </cell>
          <cell r="D43">
            <v>0.38630136986301372</v>
          </cell>
          <cell r="E43">
            <v>45918</v>
          </cell>
          <cell r="F43">
            <v>45904</v>
          </cell>
          <cell r="G43" t="str">
            <v>彰銀</v>
          </cell>
          <cell r="H43">
            <v>2.3E-2</v>
          </cell>
        </row>
        <row r="44">
          <cell r="B44">
            <v>33133</v>
          </cell>
          <cell r="C44">
            <v>6.1000000000000005</v>
          </cell>
          <cell r="D44">
            <v>2.5835616438356164</v>
          </cell>
          <cell r="E44">
            <v>46720</v>
          </cell>
          <cell r="F44">
            <v>46706</v>
          </cell>
          <cell r="G44" t="str">
            <v>元大</v>
          </cell>
          <cell r="H44">
            <v>2.3E-2</v>
          </cell>
        </row>
        <row r="45">
          <cell r="B45">
            <v>33244</v>
          </cell>
          <cell r="C45">
            <v>1.44</v>
          </cell>
          <cell r="D45">
            <v>0.53698630136986303</v>
          </cell>
          <cell r="E45">
            <v>45973</v>
          </cell>
          <cell r="F45">
            <v>45959</v>
          </cell>
          <cell r="G45">
            <v>4</v>
          </cell>
          <cell r="H45">
            <v>2.4E-2</v>
          </cell>
        </row>
        <row r="46">
          <cell r="B46">
            <v>33245</v>
          </cell>
          <cell r="C46">
            <v>4.05</v>
          </cell>
          <cell r="D46">
            <v>2.2520547945205478</v>
          </cell>
          <cell r="E46">
            <v>46599</v>
          </cell>
          <cell r="F46">
            <v>46585</v>
          </cell>
          <cell r="G46">
            <v>4</v>
          </cell>
          <cell r="H46">
            <v>2.4E-2</v>
          </cell>
        </row>
        <row r="47">
          <cell r="B47">
            <v>33571</v>
          </cell>
          <cell r="C47">
            <v>3.9199999999999995</v>
          </cell>
          <cell r="D47">
            <v>1.5041095890410958</v>
          </cell>
          <cell r="E47">
            <v>46326</v>
          </cell>
          <cell r="F47">
            <v>46312</v>
          </cell>
          <cell r="G47">
            <v>4</v>
          </cell>
          <cell r="H47">
            <v>2.5000000000000001E-2</v>
          </cell>
        </row>
        <row r="48">
          <cell r="B48">
            <v>33621</v>
          </cell>
          <cell r="C48">
            <v>4.49</v>
          </cell>
          <cell r="D48">
            <v>2.2109589041095892</v>
          </cell>
          <cell r="E48">
            <v>46584</v>
          </cell>
          <cell r="F48">
            <v>46570</v>
          </cell>
          <cell r="G48" t="str">
            <v>土銀</v>
          </cell>
          <cell r="H48">
            <v>2.3E-2</v>
          </cell>
        </row>
        <row r="49">
          <cell r="B49">
            <v>33763</v>
          </cell>
          <cell r="C49">
            <v>4.2</v>
          </cell>
          <cell r="D49">
            <v>2.3150684931506849</v>
          </cell>
          <cell r="E49">
            <v>46622</v>
          </cell>
          <cell r="F49">
            <v>46608</v>
          </cell>
          <cell r="G49">
            <v>4</v>
          </cell>
          <cell r="H49">
            <v>2.4E-2</v>
          </cell>
        </row>
        <row r="50">
          <cell r="B50">
            <v>33881</v>
          </cell>
          <cell r="C50">
            <v>1.6099999999999999</v>
          </cell>
          <cell r="D50">
            <v>0.52876712328767128</v>
          </cell>
          <cell r="E50">
            <v>45970</v>
          </cell>
          <cell r="F50">
            <v>45956</v>
          </cell>
          <cell r="G50">
            <v>4</v>
          </cell>
          <cell r="H50">
            <v>2.75E-2</v>
          </cell>
        </row>
        <row r="51">
          <cell r="B51">
            <v>33902</v>
          </cell>
          <cell r="C51">
            <v>6.63</v>
          </cell>
          <cell r="D51">
            <v>2.8136986301369862</v>
          </cell>
          <cell r="E51">
            <v>46804</v>
          </cell>
          <cell r="F51">
            <v>46790</v>
          </cell>
          <cell r="G51" t="str">
            <v>中信</v>
          </cell>
          <cell r="H51">
            <v>2.3E-2</v>
          </cell>
        </row>
        <row r="52">
          <cell r="B52">
            <v>34132</v>
          </cell>
          <cell r="C52">
            <v>1.5799999999999998</v>
          </cell>
          <cell r="D52">
            <v>0.54794520547945202</v>
          </cell>
          <cell r="E52">
            <v>45977</v>
          </cell>
          <cell r="F52">
            <v>45963</v>
          </cell>
          <cell r="G52">
            <v>4</v>
          </cell>
          <cell r="H52">
            <v>2.5999999999999999E-2</v>
          </cell>
        </row>
        <row r="53">
          <cell r="B53">
            <v>34163</v>
          </cell>
          <cell r="C53">
            <v>1.65</v>
          </cell>
          <cell r="D53">
            <v>0.73972602739726023</v>
          </cell>
          <cell r="E53">
            <v>46047</v>
          </cell>
          <cell r="F53">
            <v>46033</v>
          </cell>
          <cell r="G53">
            <v>5</v>
          </cell>
          <cell r="H53">
            <v>2.7000000000000003E-2</v>
          </cell>
        </row>
        <row r="54">
          <cell r="B54">
            <v>34341</v>
          </cell>
          <cell r="C54">
            <v>4.3600000000000003</v>
          </cell>
          <cell r="D54">
            <v>1.8301369863013699</v>
          </cell>
          <cell r="E54">
            <v>46445</v>
          </cell>
          <cell r="F54">
            <v>46431</v>
          </cell>
          <cell r="G54" t="str">
            <v>華南</v>
          </cell>
          <cell r="H54">
            <v>2.3E-2</v>
          </cell>
        </row>
        <row r="55">
          <cell r="B55">
            <v>34793</v>
          </cell>
          <cell r="C55">
            <v>5</v>
          </cell>
          <cell r="D55">
            <v>1.7315068493150685</v>
          </cell>
          <cell r="E55">
            <v>46409</v>
          </cell>
          <cell r="F55">
            <v>46395</v>
          </cell>
          <cell r="G55">
            <v>5</v>
          </cell>
          <cell r="H55">
            <v>2.7999999999999997E-2</v>
          </cell>
        </row>
        <row r="56">
          <cell r="B56">
            <v>34834</v>
          </cell>
          <cell r="C56">
            <v>8.4</v>
          </cell>
          <cell r="D56">
            <v>2.0602739726027397</v>
          </cell>
          <cell r="E56">
            <v>46529</v>
          </cell>
          <cell r="F56">
            <v>46515</v>
          </cell>
          <cell r="G56">
            <v>6</v>
          </cell>
          <cell r="H56">
            <v>0.04</v>
          </cell>
        </row>
        <row r="57">
          <cell r="B57">
            <v>34843</v>
          </cell>
          <cell r="C57">
            <v>2.36</v>
          </cell>
          <cell r="D57">
            <v>0.98356164383561639</v>
          </cell>
          <cell r="E57">
            <v>46136</v>
          </cell>
          <cell r="F57">
            <v>46122</v>
          </cell>
          <cell r="G57">
            <v>5</v>
          </cell>
          <cell r="H57">
            <v>0.03</v>
          </cell>
        </row>
        <row r="58">
          <cell r="B58">
            <v>34912</v>
          </cell>
          <cell r="C58">
            <v>6.5600000000000005</v>
          </cell>
          <cell r="D58">
            <v>2.3287671232876712</v>
          </cell>
          <cell r="E58">
            <v>46627</v>
          </cell>
          <cell r="F58">
            <v>46613</v>
          </cell>
          <cell r="G58">
            <v>5</v>
          </cell>
          <cell r="H58">
            <v>2.75E-2</v>
          </cell>
        </row>
        <row r="59">
          <cell r="B59">
            <v>35161</v>
          </cell>
          <cell r="C59">
            <v>5.83</v>
          </cell>
          <cell r="D59">
            <v>2.4684931506849317</v>
          </cell>
          <cell r="E59">
            <v>46678</v>
          </cell>
          <cell r="F59">
            <v>46664</v>
          </cell>
          <cell r="G59" t="str">
            <v>永豐</v>
          </cell>
          <cell r="H59">
            <v>2.3E-2</v>
          </cell>
        </row>
        <row r="60">
          <cell r="B60">
            <v>35181</v>
          </cell>
          <cell r="C60">
            <v>5.43</v>
          </cell>
          <cell r="D60">
            <v>2.2931506849315069</v>
          </cell>
          <cell r="E60">
            <v>46614</v>
          </cell>
          <cell r="F60">
            <v>46600</v>
          </cell>
          <cell r="G60" t="str">
            <v>台新</v>
          </cell>
          <cell r="H60">
            <v>2.3E-2</v>
          </cell>
        </row>
        <row r="61">
          <cell r="B61">
            <v>35221</v>
          </cell>
          <cell r="C61">
            <v>0.61</v>
          </cell>
          <cell r="D61">
            <v>0.63561643835616444</v>
          </cell>
          <cell r="E61">
            <v>46009</v>
          </cell>
          <cell r="F61">
            <v>45995</v>
          </cell>
          <cell r="G61" t="str">
            <v>兆豐</v>
          </cell>
          <cell r="H61">
            <v>2.3E-2</v>
          </cell>
        </row>
        <row r="62">
          <cell r="B62">
            <v>35265</v>
          </cell>
          <cell r="C62">
            <v>2.38</v>
          </cell>
          <cell r="D62">
            <v>0.79452054794520544</v>
          </cell>
          <cell r="E62">
            <v>46067</v>
          </cell>
          <cell r="F62">
            <v>46053</v>
          </cell>
          <cell r="G62">
            <v>5</v>
          </cell>
          <cell r="H62">
            <v>2.7999999999999997E-2</v>
          </cell>
        </row>
        <row r="63">
          <cell r="B63">
            <v>35266</v>
          </cell>
          <cell r="C63">
            <v>5.0600000000000005</v>
          </cell>
          <cell r="D63">
            <v>1.7506849315068493</v>
          </cell>
          <cell r="E63">
            <v>46416</v>
          </cell>
          <cell r="F63">
            <v>46402</v>
          </cell>
          <cell r="G63">
            <v>5</v>
          </cell>
          <cell r="H63">
            <v>2.7999999999999997E-2</v>
          </cell>
        </row>
        <row r="64">
          <cell r="B64">
            <v>35483</v>
          </cell>
          <cell r="C64">
            <v>7.5</v>
          </cell>
          <cell r="D64">
            <v>2.8246575342465752</v>
          </cell>
          <cell r="E64">
            <v>46808</v>
          </cell>
          <cell r="F64">
            <v>46794</v>
          </cell>
          <cell r="G64">
            <v>4</v>
          </cell>
          <cell r="H64">
            <v>2.5999999999999999E-2</v>
          </cell>
        </row>
        <row r="65">
          <cell r="B65">
            <v>36804</v>
          </cell>
          <cell r="C65">
            <v>1.5599999999999998</v>
          </cell>
          <cell r="D65">
            <v>0.46849315068493153</v>
          </cell>
          <cell r="E65">
            <v>45948</v>
          </cell>
          <cell r="F65">
            <v>45934</v>
          </cell>
          <cell r="G65">
            <v>5</v>
          </cell>
          <cell r="H65">
            <v>0.03</v>
          </cell>
        </row>
        <row r="66">
          <cell r="B66">
            <v>36894</v>
          </cell>
          <cell r="C66">
            <v>2.9099999999999997</v>
          </cell>
          <cell r="D66">
            <v>0.84657534246575339</v>
          </cell>
          <cell r="E66">
            <v>46086</v>
          </cell>
          <cell r="F66">
            <v>46072</v>
          </cell>
          <cell r="G66">
            <v>6</v>
          </cell>
          <cell r="H66">
            <v>3.2500000000000001E-2</v>
          </cell>
        </row>
        <row r="67">
          <cell r="B67">
            <v>36913</v>
          </cell>
          <cell r="C67">
            <v>5.5200000000000005</v>
          </cell>
          <cell r="D67">
            <v>2.3342465753424659</v>
          </cell>
          <cell r="E67">
            <v>46629</v>
          </cell>
          <cell r="F67">
            <v>46615</v>
          </cell>
          <cell r="G67" t="str">
            <v>上海銀、合庫、彰銀</v>
          </cell>
          <cell r="H67">
            <v>2.3E-2</v>
          </cell>
        </row>
        <row r="68">
          <cell r="B68">
            <v>37022</v>
          </cell>
          <cell r="C68">
            <v>7.25</v>
          </cell>
          <cell r="D68">
            <v>2.5342465753424657</v>
          </cell>
          <cell r="E68">
            <v>46702</v>
          </cell>
          <cell r="F68">
            <v>46688</v>
          </cell>
          <cell r="G68">
            <v>4</v>
          </cell>
          <cell r="H68">
            <v>2.8000000000000001E-2</v>
          </cell>
        </row>
        <row r="69">
          <cell r="B69">
            <v>37023</v>
          </cell>
          <cell r="C69">
            <v>7.33</v>
          </cell>
          <cell r="D69">
            <v>2.5616438356164384</v>
          </cell>
          <cell r="E69">
            <v>46712</v>
          </cell>
          <cell r="F69">
            <v>46698</v>
          </cell>
          <cell r="G69">
            <v>4</v>
          </cell>
          <cell r="H69">
            <v>2.8000000000000001E-2</v>
          </cell>
        </row>
        <row r="70">
          <cell r="B70">
            <v>37083</v>
          </cell>
          <cell r="C70">
            <v>3.4</v>
          </cell>
          <cell r="D70">
            <v>1.4109589041095891</v>
          </cell>
          <cell r="E70">
            <v>46292</v>
          </cell>
          <cell r="F70">
            <v>46278</v>
          </cell>
          <cell r="G70" t="str">
            <v>一銀</v>
          </cell>
          <cell r="H70">
            <v>2.3E-2</v>
          </cell>
        </row>
        <row r="71">
          <cell r="B71">
            <v>37131</v>
          </cell>
          <cell r="C71">
            <v>2.13</v>
          </cell>
          <cell r="D71">
            <v>0.86027397260273974</v>
          </cell>
          <cell r="E71">
            <v>46091</v>
          </cell>
          <cell r="F71">
            <v>46077</v>
          </cell>
          <cell r="G71" t="str">
            <v>永豐</v>
          </cell>
          <cell r="H71">
            <v>2.3E-2</v>
          </cell>
        </row>
        <row r="72">
          <cell r="B72">
            <v>41234</v>
          </cell>
          <cell r="C72">
            <v>0.97000000000000008</v>
          </cell>
          <cell r="D72">
            <v>0.35616438356164382</v>
          </cell>
          <cell r="E72">
            <v>45907</v>
          </cell>
          <cell r="F72">
            <v>45893</v>
          </cell>
          <cell r="G72" t="str">
            <v>上海銀</v>
          </cell>
          <cell r="H72">
            <v>2.3E-2</v>
          </cell>
        </row>
        <row r="73">
          <cell r="B73">
            <v>41235</v>
          </cell>
          <cell r="C73">
            <v>0.98</v>
          </cell>
          <cell r="D73">
            <v>0.35890410958904112</v>
          </cell>
          <cell r="E73">
            <v>45908</v>
          </cell>
          <cell r="F73">
            <v>45894</v>
          </cell>
          <cell r="G73" t="str">
            <v>合庫、彰銀、土銀、華南、元大</v>
          </cell>
          <cell r="H73">
            <v>2.3E-2</v>
          </cell>
        </row>
        <row r="74">
          <cell r="B74">
            <v>41236</v>
          </cell>
          <cell r="C74">
            <v>7.04</v>
          </cell>
          <cell r="D74">
            <v>2.9917808219178084</v>
          </cell>
          <cell r="E74">
            <v>46869</v>
          </cell>
          <cell r="F74">
            <v>46855</v>
          </cell>
          <cell r="G74" t="str">
            <v>永豐</v>
          </cell>
          <cell r="H74">
            <v>2.3E-2</v>
          </cell>
        </row>
        <row r="75">
          <cell r="B75">
            <v>41644</v>
          </cell>
          <cell r="C75">
            <v>-1.78</v>
          </cell>
          <cell r="D75">
            <v>0.26301369863013696</v>
          </cell>
          <cell r="E75">
            <v>45873</v>
          </cell>
          <cell r="F75">
            <v>45859</v>
          </cell>
          <cell r="G75" t="str">
            <v>中信、一銀、富邦</v>
          </cell>
          <cell r="H75">
            <v>2.3E-2</v>
          </cell>
        </row>
        <row r="76">
          <cell r="B76">
            <v>41683</v>
          </cell>
          <cell r="C76">
            <v>0.52</v>
          </cell>
          <cell r="D76">
            <v>0.15890410958904111</v>
          </cell>
          <cell r="E76">
            <v>45835</v>
          </cell>
          <cell r="F76">
            <v>45821</v>
          </cell>
          <cell r="G76" t="str">
            <v>台新</v>
          </cell>
          <cell r="H76">
            <v>2.3E-2</v>
          </cell>
        </row>
        <row r="77">
          <cell r="B77">
            <v>44163</v>
          </cell>
          <cell r="C77">
            <v>-0.4</v>
          </cell>
          <cell r="D77">
            <v>0.41917808219178082</v>
          </cell>
          <cell r="E77">
            <v>45930</v>
          </cell>
          <cell r="F77">
            <v>45916</v>
          </cell>
          <cell r="G77" t="str">
            <v>一銀</v>
          </cell>
          <cell r="H77">
            <v>2.3E-2</v>
          </cell>
        </row>
        <row r="78">
          <cell r="B78">
            <v>45401</v>
          </cell>
          <cell r="C78">
            <v>1.27</v>
          </cell>
          <cell r="D78">
            <v>0.48493150684931507</v>
          </cell>
          <cell r="E78">
            <v>45954</v>
          </cell>
          <cell r="F78">
            <v>45940</v>
          </cell>
          <cell r="G78" t="str">
            <v>一銀</v>
          </cell>
          <cell r="H78">
            <v>2.3E-2</v>
          </cell>
        </row>
        <row r="79">
          <cell r="B79">
            <v>45491</v>
          </cell>
          <cell r="C79">
            <v>9.620000000000001</v>
          </cell>
          <cell r="D79">
            <v>2.5232876712328767</v>
          </cell>
          <cell r="E79">
            <v>46698</v>
          </cell>
          <cell r="F79">
            <v>46684</v>
          </cell>
          <cell r="G79">
            <v>5</v>
          </cell>
          <cell r="H79">
            <v>3.7499999999999999E-2</v>
          </cell>
        </row>
        <row r="80">
          <cell r="B80">
            <v>45553</v>
          </cell>
          <cell r="C80">
            <v>0.96000000000000008</v>
          </cell>
          <cell r="D80">
            <v>0.35068493150684932</v>
          </cell>
          <cell r="E80">
            <v>45905</v>
          </cell>
          <cell r="F80">
            <v>45891</v>
          </cell>
          <cell r="G80" t="str">
            <v>彰銀</v>
          </cell>
          <cell r="H80">
            <v>2.3E-2</v>
          </cell>
        </row>
        <row r="81">
          <cell r="B81">
            <v>45663</v>
          </cell>
          <cell r="C81">
            <v>4.8900000000000006</v>
          </cell>
          <cell r="D81">
            <v>1.5780821917808219</v>
          </cell>
          <cell r="E81">
            <v>46353</v>
          </cell>
          <cell r="F81">
            <v>46339</v>
          </cell>
          <cell r="G81">
            <v>5</v>
          </cell>
          <cell r="H81">
            <v>0.03</v>
          </cell>
        </row>
        <row r="82">
          <cell r="B82">
            <v>45721</v>
          </cell>
          <cell r="C82">
            <v>4.3900000000000006</v>
          </cell>
          <cell r="D82">
            <v>1.210958904109589</v>
          </cell>
          <cell r="E82">
            <v>46219</v>
          </cell>
          <cell r="F82">
            <v>46205</v>
          </cell>
          <cell r="G82">
            <v>6</v>
          </cell>
          <cell r="H82">
            <v>3.5000000000000003E-2</v>
          </cell>
        </row>
        <row r="83">
          <cell r="B83">
            <v>47393</v>
          </cell>
          <cell r="C83">
            <v>3.5999999999999996</v>
          </cell>
          <cell r="D83">
            <v>1.4958904109589042</v>
          </cell>
          <cell r="E83">
            <v>46323</v>
          </cell>
          <cell r="F83">
            <v>46309</v>
          </cell>
          <cell r="G83" t="str">
            <v>彰銀</v>
          </cell>
          <cell r="H83">
            <v>2.3E-2</v>
          </cell>
        </row>
        <row r="84">
          <cell r="B84">
            <v>49066</v>
          </cell>
          <cell r="C84">
            <v>-0.55999999999999994</v>
          </cell>
          <cell r="D84">
            <v>9.0410958904109592E-2</v>
          </cell>
          <cell r="E84">
            <v>45810</v>
          </cell>
          <cell r="F84">
            <v>45796</v>
          </cell>
          <cell r="G84">
            <v>5</v>
          </cell>
          <cell r="H84">
            <v>3.2500000000000001E-2</v>
          </cell>
        </row>
        <row r="85">
          <cell r="B85">
            <v>50097</v>
          </cell>
          <cell r="C85">
            <v>3.65</v>
          </cell>
          <cell r="D85">
            <v>1.252054794520548</v>
          </cell>
          <cell r="E85">
            <v>46234</v>
          </cell>
          <cell r="F85">
            <v>46220</v>
          </cell>
          <cell r="G85">
            <v>4</v>
          </cell>
          <cell r="H85">
            <v>0.04</v>
          </cell>
        </row>
        <row r="86">
          <cell r="B86">
            <v>52251</v>
          </cell>
          <cell r="C86">
            <v>1.49</v>
          </cell>
          <cell r="D86">
            <v>0.58082191780821912</v>
          </cell>
          <cell r="E86">
            <v>45989</v>
          </cell>
          <cell r="F86">
            <v>45975</v>
          </cell>
          <cell r="G86" t="str">
            <v>中信</v>
          </cell>
          <cell r="H86">
            <v>2.3E-2</v>
          </cell>
        </row>
        <row r="87">
          <cell r="B87">
            <v>52303</v>
          </cell>
          <cell r="C87">
            <v>2.9899999999999998</v>
          </cell>
          <cell r="D87">
            <v>1.2328767123287672</v>
          </cell>
          <cell r="E87">
            <v>46227</v>
          </cell>
          <cell r="F87">
            <v>46213</v>
          </cell>
          <cell r="G87" t="str">
            <v>富邦</v>
          </cell>
          <cell r="H87">
            <v>2.3E-2</v>
          </cell>
        </row>
        <row r="88">
          <cell r="B88">
            <v>52451</v>
          </cell>
          <cell r="C88">
            <v>0.89</v>
          </cell>
          <cell r="D88">
            <v>0.32054794520547947</v>
          </cell>
          <cell r="E88">
            <v>45894</v>
          </cell>
          <cell r="F88">
            <v>45880</v>
          </cell>
          <cell r="G88" t="str">
            <v>合庫</v>
          </cell>
          <cell r="H88">
            <v>2.3E-2</v>
          </cell>
        </row>
        <row r="89">
          <cell r="B89">
            <v>52635</v>
          </cell>
          <cell r="C89">
            <v>1.9</v>
          </cell>
          <cell r="D89">
            <v>0.84383561643835614</v>
          </cell>
          <cell r="E89">
            <v>46085</v>
          </cell>
          <cell r="F89">
            <v>46071</v>
          </cell>
          <cell r="G89" t="str">
            <v>台中</v>
          </cell>
          <cell r="H89">
            <v>2.3E-2</v>
          </cell>
        </row>
        <row r="90">
          <cell r="B90">
            <v>53064</v>
          </cell>
          <cell r="C90">
            <v>3.6599999999999997</v>
          </cell>
          <cell r="D90">
            <v>1.526027397260274</v>
          </cell>
          <cell r="E90">
            <v>46334</v>
          </cell>
          <cell r="F90">
            <v>46320</v>
          </cell>
          <cell r="G90" t="str">
            <v>瑞穗銀</v>
          </cell>
          <cell r="H90">
            <v>2.3E-2</v>
          </cell>
        </row>
        <row r="91">
          <cell r="B91">
            <v>54342</v>
          </cell>
          <cell r="C91">
            <v>3.1799999999999997</v>
          </cell>
          <cell r="D91">
            <v>1.1643835616438356</v>
          </cell>
          <cell r="E91">
            <v>46202</v>
          </cell>
          <cell r="F91">
            <v>46188</v>
          </cell>
          <cell r="G91">
            <v>4</v>
          </cell>
          <cell r="H91">
            <v>2.5999999999999999E-2</v>
          </cell>
        </row>
        <row r="92">
          <cell r="B92">
            <v>54501</v>
          </cell>
          <cell r="C92">
            <v>1.45</v>
          </cell>
          <cell r="D92">
            <v>0.8904109589041096</v>
          </cell>
          <cell r="E92">
            <v>46102</v>
          </cell>
          <cell r="F92">
            <v>46088</v>
          </cell>
          <cell r="G92" t="str">
            <v>土銀</v>
          </cell>
          <cell r="H92">
            <v>2.3E-2</v>
          </cell>
        </row>
        <row r="93">
          <cell r="B93">
            <v>56086</v>
          </cell>
          <cell r="C93">
            <v>2.78</v>
          </cell>
          <cell r="D93">
            <v>1.1424657534246576</v>
          </cell>
          <cell r="E93">
            <v>46194</v>
          </cell>
          <cell r="F93">
            <v>46180</v>
          </cell>
          <cell r="G93" t="str">
            <v>陽信</v>
          </cell>
          <cell r="H93">
            <v>2.3E-2</v>
          </cell>
        </row>
        <row r="94">
          <cell r="B94">
            <v>56087</v>
          </cell>
          <cell r="C94">
            <v>6.21</v>
          </cell>
          <cell r="D94">
            <v>2.6328767123287671</v>
          </cell>
          <cell r="E94">
            <v>46738</v>
          </cell>
          <cell r="F94">
            <v>46724</v>
          </cell>
          <cell r="G94" t="str">
            <v>一銀</v>
          </cell>
          <cell r="H94">
            <v>2.3E-2</v>
          </cell>
        </row>
        <row r="95">
          <cell r="B95">
            <v>59055</v>
          </cell>
          <cell r="C95">
            <v>-1.76</v>
          </cell>
          <cell r="D95">
            <v>4.9315068493150684E-2</v>
          </cell>
          <cell r="E95">
            <v>45795</v>
          </cell>
          <cell r="F95">
            <v>45781</v>
          </cell>
          <cell r="G95" t="str">
            <v>土銀</v>
          </cell>
          <cell r="H95">
            <v>2.3E-2</v>
          </cell>
        </row>
        <row r="96">
          <cell r="B96">
            <v>61394</v>
          </cell>
          <cell r="C96">
            <v>1.08</v>
          </cell>
          <cell r="D96">
            <v>0.73972602739726023</v>
          </cell>
          <cell r="E96">
            <v>46047</v>
          </cell>
          <cell r="F96">
            <v>46033</v>
          </cell>
          <cell r="G96">
            <v>4</v>
          </cell>
          <cell r="H96">
            <v>2.5999999999999999E-2</v>
          </cell>
        </row>
        <row r="97">
          <cell r="B97">
            <v>61843</v>
          </cell>
          <cell r="C97">
            <v>5.58</v>
          </cell>
          <cell r="D97">
            <v>1.8493150684931507</v>
          </cell>
          <cell r="E97">
            <v>46452</v>
          </cell>
          <cell r="F97">
            <v>46438</v>
          </cell>
          <cell r="G97">
            <v>6</v>
          </cell>
          <cell r="H97">
            <v>3.7499999999999999E-2</v>
          </cell>
        </row>
        <row r="98">
          <cell r="B98">
            <v>61875</v>
          </cell>
          <cell r="C98">
            <v>6.3</v>
          </cell>
          <cell r="D98">
            <v>2.1945205479452055</v>
          </cell>
          <cell r="E98">
            <v>46578</v>
          </cell>
          <cell r="F98">
            <v>46564</v>
          </cell>
          <cell r="G98">
            <v>5</v>
          </cell>
          <cell r="H98">
            <v>2.8000000000000001E-2</v>
          </cell>
        </row>
        <row r="99">
          <cell r="B99">
            <v>61894</v>
          </cell>
          <cell r="C99">
            <v>3.3899999999999997</v>
          </cell>
          <cell r="D99">
            <v>1.5315068493150685</v>
          </cell>
          <cell r="E99">
            <v>46336</v>
          </cell>
          <cell r="F99">
            <v>46322</v>
          </cell>
          <cell r="G99">
            <v>4</v>
          </cell>
          <cell r="H99">
            <v>2.5999999999999999E-2</v>
          </cell>
        </row>
        <row r="100">
          <cell r="B100">
            <v>61965</v>
          </cell>
          <cell r="C100">
            <v>3.05</v>
          </cell>
          <cell r="D100">
            <v>1.1589041095890411</v>
          </cell>
          <cell r="E100">
            <v>46200</v>
          </cell>
          <cell r="F100">
            <v>46186</v>
          </cell>
          <cell r="G100">
            <v>4</v>
          </cell>
          <cell r="H100">
            <v>2.5000000000000001E-2</v>
          </cell>
        </row>
        <row r="101">
          <cell r="B101">
            <v>61973</v>
          </cell>
          <cell r="C101">
            <v>7.54</v>
          </cell>
          <cell r="D101">
            <v>2.4602739726027396</v>
          </cell>
          <cell r="E101">
            <v>46675</v>
          </cell>
          <cell r="F101">
            <v>46661</v>
          </cell>
          <cell r="G101">
            <v>5</v>
          </cell>
          <cell r="H101">
            <v>0.03</v>
          </cell>
        </row>
        <row r="102">
          <cell r="B102">
            <v>62235</v>
          </cell>
          <cell r="C102">
            <v>7.16</v>
          </cell>
          <cell r="D102">
            <v>2.6931506849315068</v>
          </cell>
          <cell r="E102">
            <v>46760</v>
          </cell>
          <cell r="F102">
            <v>46746</v>
          </cell>
          <cell r="G102">
            <v>4</v>
          </cell>
          <cell r="H102">
            <v>2.5999999999999999E-2</v>
          </cell>
        </row>
        <row r="103">
          <cell r="B103">
            <v>62744</v>
          </cell>
          <cell r="C103">
            <v>5.2</v>
          </cell>
          <cell r="D103">
            <v>2.0164383561643837</v>
          </cell>
          <cell r="E103">
            <v>46513</v>
          </cell>
          <cell r="F103">
            <v>46499</v>
          </cell>
          <cell r="G103">
            <v>4</v>
          </cell>
          <cell r="H103">
            <v>2.5000000000000001E-2</v>
          </cell>
        </row>
        <row r="104">
          <cell r="B104">
            <v>62756</v>
          </cell>
          <cell r="C104">
            <v>2.1599999999999997</v>
          </cell>
          <cell r="D104">
            <v>1.4191780821917808</v>
          </cell>
          <cell r="E104">
            <v>46295</v>
          </cell>
          <cell r="F104">
            <v>46281</v>
          </cell>
          <cell r="G104" t="str">
            <v>一銀</v>
          </cell>
          <cell r="H104">
            <v>2.3E-2</v>
          </cell>
        </row>
        <row r="105">
          <cell r="B105">
            <v>62843</v>
          </cell>
          <cell r="C105">
            <v>1.78</v>
          </cell>
          <cell r="D105">
            <v>0.62465753424657533</v>
          </cell>
          <cell r="E105">
            <v>46005</v>
          </cell>
          <cell r="F105">
            <v>45991</v>
          </cell>
          <cell r="G105">
            <v>4</v>
          </cell>
          <cell r="H105">
            <v>2.5999999999999999E-2</v>
          </cell>
        </row>
        <row r="106">
          <cell r="B106">
            <v>64144</v>
          </cell>
          <cell r="C106">
            <v>3.7199999999999998</v>
          </cell>
          <cell r="D106">
            <v>1.547945205479452</v>
          </cell>
          <cell r="E106">
            <v>46342</v>
          </cell>
          <cell r="F106">
            <v>46328</v>
          </cell>
          <cell r="G106">
            <v>4</v>
          </cell>
          <cell r="H106">
            <v>2.3E-2</v>
          </cell>
        </row>
        <row r="107">
          <cell r="B107">
            <v>64145</v>
          </cell>
          <cell r="C107">
            <v>3.3899999999999997</v>
          </cell>
          <cell r="D107">
            <v>1.295890410958904</v>
          </cell>
          <cell r="E107">
            <v>46250</v>
          </cell>
          <cell r="F107">
            <v>46236</v>
          </cell>
          <cell r="G107">
            <v>4</v>
          </cell>
          <cell r="H107">
            <v>2.5000000000000001E-2</v>
          </cell>
        </row>
        <row r="108">
          <cell r="B108">
            <v>64251</v>
          </cell>
          <cell r="C108">
            <v>5.8100000000000005</v>
          </cell>
          <cell r="D108">
            <v>2.4602739726027396</v>
          </cell>
          <cell r="E108">
            <v>46675</v>
          </cell>
          <cell r="F108">
            <v>46661</v>
          </cell>
          <cell r="G108" t="str">
            <v>上海銀</v>
          </cell>
          <cell r="H108">
            <v>2.3E-2</v>
          </cell>
        </row>
        <row r="109">
          <cell r="B109">
            <v>65096</v>
          </cell>
          <cell r="C109">
            <v>3.4499999999999997</v>
          </cell>
          <cell r="D109">
            <v>1.1753424657534246</v>
          </cell>
          <cell r="E109">
            <v>46206</v>
          </cell>
          <cell r="F109">
            <v>46192</v>
          </cell>
          <cell r="G109">
            <v>5</v>
          </cell>
          <cell r="H109">
            <v>2.7999999999999997E-2</v>
          </cell>
        </row>
        <row r="110">
          <cell r="B110">
            <v>65521</v>
          </cell>
          <cell r="C110">
            <v>3.5799999999999996</v>
          </cell>
          <cell r="D110">
            <v>1.4876712328767123</v>
          </cell>
          <cell r="E110">
            <v>46320</v>
          </cell>
          <cell r="F110">
            <v>46306</v>
          </cell>
          <cell r="G110" t="str">
            <v>台新</v>
          </cell>
          <cell r="H110">
            <v>2.3E-2</v>
          </cell>
        </row>
        <row r="111">
          <cell r="B111">
            <v>65841</v>
          </cell>
          <cell r="C111">
            <v>2.5999999999999996</v>
          </cell>
          <cell r="D111">
            <v>1.4986301369863013</v>
          </cell>
          <cell r="E111">
            <v>46324</v>
          </cell>
          <cell r="F111">
            <v>46310</v>
          </cell>
          <cell r="G111" t="str">
            <v>彰銀</v>
          </cell>
          <cell r="H111">
            <v>2.3E-2</v>
          </cell>
        </row>
        <row r="112">
          <cell r="B112">
            <v>65851</v>
          </cell>
          <cell r="C112">
            <v>3.5799999999999996</v>
          </cell>
          <cell r="D112">
            <v>1.4904109589041097</v>
          </cell>
          <cell r="E112">
            <v>46321</v>
          </cell>
          <cell r="F112">
            <v>46307</v>
          </cell>
          <cell r="G112" t="str">
            <v>一銀</v>
          </cell>
          <cell r="H112">
            <v>2.3E-2</v>
          </cell>
        </row>
        <row r="113">
          <cell r="B113">
            <v>65931</v>
          </cell>
          <cell r="C113">
            <v>1.5899999999999999</v>
          </cell>
          <cell r="D113">
            <v>0.62465753424657533</v>
          </cell>
          <cell r="E113">
            <v>46005</v>
          </cell>
          <cell r="F113">
            <v>45991</v>
          </cell>
          <cell r="G113" t="str">
            <v>台新</v>
          </cell>
          <cell r="H113">
            <v>2.3E-2</v>
          </cell>
        </row>
        <row r="114">
          <cell r="B114">
            <v>66241</v>
          </cell>
          <cell r="C114">
            <v>4.42</v>
          </cell>
          <cell r="D114">
            <v>2.1808219178082191</v>
          </cell>
          <cell r="E114">
            <v>46573</v>
          </cell>
          <cell r="F114">
            <v>46559</v>
          </cell>
          <cell r="G114" t="str">
            <v>土銀</v>
          </cell>
          <cell r="H114">
            <v>2.3E-2</v>
          </cell>
        </row>
        <row r="115">
          <cell r="B115">
            <v>66292</v>
          </cell>
          <cell r="C115">
            <v>4.6400000000000006</v>
          </cell>
          <cell r="D115">
            <v>1.3726027397260274</v>
          </cell>
          <cell r="E115">
            <v>46278</v>
          </cell>
          <cell r="F115">
            <v>46264</v>
          </cell>
          <cell r="G115">
            <v>6</v>
          </cell>
          <cell r="H115">
            <v>0.04</v>
          </cell>
        </row>
        <row r="116">
          <cell r="B116">
            <v>66642</v>
          </cell>
          <cell r="C116">
            <v>10.38</v>
          </cell>
          <cell r="D116">
            <v>2.5561643835616437</v>
          </cell>
          <cell r="E116">
            <v>46710</v>
          </cell>
          <cell r="F116">
            <v>46696</v>
          </cell>
          <cell r="G116">
            <v>6</v>
          </cell>
          <cell r="H116">
            <v>0.04</v>
          </cell>
        </row>
        <row r="117">
          <cell r="B117">
            <v>67152</v>
          </cell>
          <cell r="C117">
            <v>4.97</v>
          </cell>
          <cell r="D117">
            <v>1.7205479452054795</v>
          </cell>
          <cell r="E117">
            <v>46405</v>
          </cell>
          <cell r="F117">
            <v>46391</v>
          </cell>
          <cell r="G117">
            <v>5</v>
          </cell>
          <cell r="H117">
            <v>2.7999999999999997E-2</v>
          </cell>
        </row>
        <row r="118">
          <cell r="B118">
            <v>67681</v>
          </cell>
          <cell r="C118">
            <v>8.2900000000000009</v>
          </cell>
          <cell r="D118">
            <v>2.504109589041096</v>
          </cell>
          <cell r="E118">
            <v>46691</v>
          </cell>
          <cell r="F118">
            <v>46677</v>
          </cell>
          <cell r="G118">
            <v>4</v>
          </cell>
          <cell r="H118">
            <v>3.2500000000000001E-2</v>
          </cell>
        </row>
        <row r="119">
          <cell r="B119">
            <v>68061</v>
          </cell>
          <cell r="C119">
            <v>3.7499999999999996</v>
          </cell>
          <cell r="D119">
            <v>1.5643835616438355</v>
          </cell>
          <cell r="E119">
            <v>46348</v>
          </cell>
          <cell r="F119">
            <v>46334</v>
          </cell>
          <cell r="G119" t="str">
            <v>台銀、台企、台中、台新、新光、高雄</v>
          </cell>
          <cell r="H119">
            <v>2.3E-2</v>
          </cell>
        </row>
        <row r="120">
          <cell r="B120">
            <v>68301</v>
          </cell>
          <cell r="C120">
            <v>4.03</v>
          </cell>
          <cell r="D120">
            <v>1.2931506849315069</v>
          </cell>
          <cell r="E120">
            <v>46249</v>
          </cell>
          <cell r="F120">
            <v>46235</v>
          </cell>
          <cell r="G120">
            <v>5</v>
          </cell>
          <cell r="H120">
            <v>0.03</v>
          </cell>
        </row>
        <row r="121">
          <cell r="B121">
            <v>68351</v>
          </cell>
          <cell r="C121">
            <v>6.18</v>
          </cell>
          <cell r="D121">
            <v>1.5068493150684932</v>
          </cell>
          <cell r="E121">
            <v>46327</v>
          </cell>
          <cell r="F121">
            <v>46313</v>
          </cell>
          <cell r="G121">
            <v>6</v>
          </cell>
          <cell r="H121">
            <v>0.04</v>
          </cell>
        </row>
        <row r="122">
          <cell r="B122">
            <v>80273</v>
          </cell>
          <cell r="C122">
            <v>-0.54999999999999993</v>
          </cell>
          <cell r="D122">
            <v>0.20273972602739726</v>
          </cell>
          <cell r="E122">
            <v>45851</v>
          </cell>
          <cell r="F122">
            <v>45837</v>
          </cell>
          <cell r="G122">
            <v>6</v>
          </cell>
          <cell r="H122">
            <v>0.04</v>
          </cell>
        </row>
        <row r="123">
          <cell r="B123">
            <v>80506</v>
          </cell>
          <cell r="C123">
            <v>1.24</v>
          </cell>
          <cell r="D123">
            <v>0.56438356164383563</v>
          </cell>
          <cell r="E123">
            <v>45983</v>
          </cell>
          <cell r="F123">
            <v>45969</v>
          </cell>
          <cell r="G123">
            <v>5</v>
          </cell>
          <cell r="H123">
            <v>3.2500000000000001E-2</v>
          </cell>
        </row>
        <row r="124">
          <cell r="B124">
            <v>81551</v>
          </cell>
          <cell r="C124">
            <v>7.17</v>
          </cell>
          <cell r="D124">
            <v>2.6986301369863015</v>
          </cell>
          <cell r="E124">
            <v>46762</v>
          </cell>
          <cell r="F124">
            <v>46748</v>
          </cell>
          <cell r="G124">
            <v>4</v>
          </cell>
          <cell r="H124">
            <v>2.5999999999999999E-2</v>
          </cell>
        </row>
        <row r="125">
          <cell r="B125">
            <v>81714</v>
          </cell>
          <cell r="C125">
            <v>6.5</v>
          </cell>
          <cell r="D125">
            <v>2.536986301369863</v>
          </cell>
          <cell r="E125">
            <v>46703</v>
          </cell>
          <cell r="F125">
            <v>46689</v>
          </cell>
          <cell r="G125" t="str">
            <v>板信、台中</v>
          </cell>
          <cell r="H125">
            <v>2.5000000000000001E-2</v>
          </cell>
        </row>
        <row r="126">
          <cell r="B126">
            <v>82101</v>
          </cell>
          <cell r="C126">
            <v>4.6400000000000006</v>
          </cell>
          <cell r="D126">
            <v>1.7232876712328766</v>
          </cell>
          <cell r="E126">
            <v>46406</v>
          </cell>
          <cell r="F126">
            <v>46392</v>
          </cell>
          <cell r="G126">
            <v>4</v>
          </cell>
          <cell r="H126">
            <v>2.5999999999999999E-2</v>
          </cell>
        </row>
        <row r="127">
          <cell r="B127">
            <v>82551</v>
          </cell>
          <cell r="C127">
            <v>3.4699999999999998</v>
          </cell>
          <cell r="D127">
            <v>1.2767123287671234</v>
          </cell>
          <cell r="E127">
            <v>46243</v>
          </cell>
          <cell r="F127">
            <v>46229</v>
          </cell>
          <cell r="G127">
            <v>4</v>
          </cell>
          <cell r="H127">
            <v>2.5999999999999999E-2</v>
          </cell>
        </row>
        <row r="128">
          <cell r="B128">
            <v>82992</v>
          </cell>
          <cell r="C128">
            <v>4.49</v>
          </cell>
          <cell r="D128">
            <v>1.7342465753424658</v>
          </cell>
          <cell r="E128">
            <v>46410</v>
          </cell>
          <cell r="F128">
            <v>46396</v>
          </cell>
          <cell r="G128">
            <v>3</v>
          </cell>
          <cell r="H128">
            <v>2.5000000000000001E-2</v>
          </cell>
        </row>
        <row r="129">
          <cell r="B129">
            <v>84221</v>
          </cell>
          <cell r="C129">
            <v>0.87</v>
          </cell>
          <cell r="D129">
            <v>0.56438356164383563</v>
          </cell>
          <cell r="E129">
            <v>45983</v>
          </cell>
          <cell r="F129">
            <v>45969</v>
          </cell>
          <cell r="G129">
            <v>4</v>
          </cell>
          <cell r="H129">
            <v>2.5999999999999999E-2</v>
          </cell>
        </row>
        <row r="130">
          <cell r="B130">
            <v>84421</v>
          </cell>
          <cell r="C130">
            <v>0.85</v>
          </cell>
          <cell r="D130">
            <v>0.30410958904109592</v>
          </cell>
          <cell r="E130">
            <v>45888</v>
          </cell>
          <cell r="F130">
            <v>45874</v>
          </cell>
          <cell r="G130" t="str">
            <v>玉山</v>
          </cell>
          <cell r="H130">
            <v>2.3E-2</v>
          </cell>
        </row>
        <row r="131">
          <cell r="B131">
            <v>84422</v>
          </cell>
          <cell r="C131">
            <v>3.5399999999999996</v>
          </cell>
          <cell r="D131">
            <v>1.4712328767123288</v>
          </cell>
          <cell r="E131">
            <v>46314</v>
          </cell>
          <cell r="F131">
            <v>46300</v>
          </cell>
          <cell r="G131" t="str">
            <v>富邦</v>
          </cell>
          <cell r="H131">
            <v>2.3E-2</v>
          </cell>
        </row>
        <row r="132">
          <cell r="B132">
            <v>84672</v>
          </cell>
          <cell r="C132">
            <v>4.9400000000000004</v>
          </cell>
          <cell r="D132">
            <v>2.0821917808219177</v>
          </cell>
          <cell r="E132">
            <v>46537</v>
          </cell>
          <cell r="F132">
            <v>46523</v>
          </cell>
          <cell r="G132" t="str">
            <v>富邦、凱基、玉山、上海銀、兆豐、國泰</v>
          </cell>
          <cell r="H132">
            <v>2.3E-2</v>
          </cell>
        </row>
        <row r="133">
          <cell r="B133">
            <v>84673</v>
          </cell>
          <cell r="C133">
            <v>8.49</v>
          </cell>
          <cell r="D133">
            <v>2.0849315068493151</v>
          </cell>
          <cell r="E133">
            <v>46538</v>
          </cell>
          <cell r="F133">
            <v>46524</v>
          </cell>
          <cell r="G133">
            <v>6</v>
          </cell>
          <cell r="H133">
            <v>0.04</v>
          </cell>
        </row>
        <row r="134">
          <cell r="B134">
            <v>84781</v>
          </cell>
          <cell r="C134">
            <v>8.44</v>
          </cell>
          <cell r="D134">
            <v>2.2082191780821918</v>
          </cell>
          <cell r="E134">
            <v>46583</v>
          </cell>
          <cell r="F134">
            <v>46569</v>
          </cell>
          <cell r="G134">
            <v>5</v>
          </cell>
          <cell r="H134">
            <v>3.7499999999999999E-2</v>
          </cell>
        </row>
        <row r="135">
          <cell r="B135">
            <v>84881</v>
          </cell>
          <cell r="C135">
            <v>3.9199999999999995</v>
          </cell>
          <cell r="D135">
            <v>1.6383561643835616</v>
          </cell>
          <cell r="E135">
            <v>46375</v>
          </cell>
          <cell r="F135">
            <v>46361</v>
          </cell>
          <cell r="G135" t="str">
            <v>玉山、王道</v>
          </cell>
          <cell r="H135">
            <v>2.3E-2</v>
          </cell>
        </row>
        <row r="136">
          <cell r="B136">
            <v>84891</v>
          </cell>
          <cell r="C136">
            <v>3.6599999999999997</v>
          </cell>
          <cell r="D136">
            <v>1.6109589041095891</v>
          </cell>
          <cell r="E136">
            <v>46365</v>
          </cell>
          <cell r="F136">
            <v>46351</v>
          </cell>
          <cell r="G136" t="str">
            <v>上海銀</v>
          </cell>
          <cell r="H136">
            <v>2.3E-2</v>
          </cell>
        </row>
        <row r="137">
          <cell r="B137">
            <v>89964</v>
          </cell>
          <cell r="C137">
            <v>4.6100000000000003</v>
          </cell>
          <cell r="D137">
            <v>1.6027397260273972</v>
          </cell>
          <cell r="E137">
            <v>46362</v>
          </cell>
          <cell r="F137">
            <v>46348</v>
          </cell>
          <cell r="G137">
            <v>5</v>
          </cell>
          <cell r="H137">
            <v>3.2500000000000001E-2</v>
          </cell>
        </row>
        <row r="138">
          <cell r="B138">
            <v>98026</v>
          </cell>
          <cell r="C138">
            <v>4.17</v>
          </cell>
          <cell r="D138">
            <v>1.5452054794520549</v>
          </cell>
          <cell r="E138">
            <v>46341</v>
          </cell>
          <cell r="F138">
            <v>46327</v>
          </cell>
          <cell r="G138">
            <v>4</v>
          </cell>
          <cell r="H138">
            <v>3.2500000000000001E-2</v>
          </cell>
        </row>
        <row r="139">
          <cell r="B139">
            <v>99211</v>
          </cell>
          <cell r="C139">
            <v>0.49</v>
          </cell>
          <cell r="D139">
            <v>0.12054794520547946</v>
          </cell>
          <cell r="E139">
            <v>45821</v>
          </cell>
          <cell r="F139">
            <v>45807</v>
          </cell>
          <cell r="G139">
            <v>3</v>
          </cell>
          <cell r="H139">
            <v>2.8000000000000001E-2</v>
          </cell>
        </row>
        <row r="140">
          <cell r="B140">
            <v>99332</v>
          </cell>
          <cell r="C140">
            <v>5.51</v>
          </cell>
          <cell r="D140">
            <v>2.2301369863013698</v>
          </cell>
          <cell r="E140">
            <v>46591</v>
          </cell>
          <cell r="F140">
            <v>46577</v>
          </cell>
          <cell r="G140">
            <v>3</v>
          </cell>
          <cell r="H140">
            <v>2.4E-2</v>
          </cell>
        </row>
        <row r="141">
          <cell r="B141">
            <v>99412</v>
          </cell>
          <cell r="C141">
            <v>6.3900000000000006</v>
          </cell>
          <cell r="D141">
            <v>1.558904109589041</v>
          </cell>
          <cell r="E141">
            <v>46346</v>
          </cell>
          <cell r="F141">
            <v>46332</v>
          </cell>
          <cell r="G141" t="str">
            <v>-</v>
          </cell>
          <cell r="H141">
            <v>0.04</v>
          </cell>
        </row>
      </sheetData>
      <sheetData sheetId="2">
        <row r="1">
          <cell r="C1"/>
          <cell r="D1"/>
          <cell r="E1"/>
          <cell r="F1"/>
          <cell r="G1"/>
          <cell r="H1"/>
          <cell r="I1"/>
          <cell r="J1"/>
        </row>
        <row r="2">
          <cell r="C2"/>
          <cell r="D2"/>
          <cell r="E2"/>
          <cell r="F2"/>
          <cell r="G2"/>
          <cell r="H2"/>
          <cell r="I2"/>
          <cell r="J2"/>
        </row>
        <row r="3">
          <cell r="C3"/>
          <cell r="D3"/>
          <cell r="E3"/>
          <cell r="F3"/>
          <cell r="G3"/>
          <cell r="H3"/>
          <cell r="I3"/>
          <cell r="J3"/>
        </row>
        <row r="4">
          <cell r="C4"/>
          <cell r="D4"/>
          <cell r="E4"/>
          <cell r="F4"/>
          <cell r="G4"/>
          <cell r="H4"/>
          <cell r="I4"/>
          <cell r="J4"/>
        </row>
        <row r="5">
          <cell r="C5"/>
          <cell r="D5"/>
          <cell r="E5"/>
          <cell r="F5"/>
          <cell r="G5"/>
          <cell r="H5"/>
          <cell r="I5"/>
          <cell r="J5"/>
        </row>
        <row r="6">
          <cell r="C6"/>
          <cell r="D6"/>
          <cell r="E6"/>
          <cell r="F6"/>
          <cell r="G6"/>
          <cell r="H6"/>
          <cell r="I6"/>
          <cell r="J6"/>
        </row>
        <row r="7">
          <cell r="C7" t="str">
            <v>轉換債代號</v>
          </cell>
          <cell r="D7" t="str">
            <v>產業</v>
          </cell>
          <cell r="E7" t="str">
            <v>信評/TCRI</v>
          </cell>
          <cell r="F7" t="str">
            <v>賣回日</v>
          </cell>
          <cell r="G7" t="str">
            <v>剩餘天期</v>
          </cell>
          <cell r="H7" t="str">
            <v>權利金(百元價)</v>
          </cell>
          <cell r="I7" t="str">
            <v>權利金(市價)</v>
          </cell>
          <cell r="J7" t="str">
            <v>履約利率</v>
          </cell>
        </row>
        <row r="8">
          <cell r="C8">
            <v>11011</v>
          </cell>
          <cell r="D8" t="str">
            <v>傳產-水泥</v>
          </cell>
          <cell r="E8">
            <v>4</v>
          </cell>
          <cell r="F8">
            <v>46731</v>
          </cell>
          <cell r="G8">
            <v>2.73</v>
          </cell>
          <cell r="H8">
            <v>7.71</v>
          </cell>
          <cell r="I8">
            <v>12.809999999999995</v>
          </cell>
          <cell r="J8">
            <v>2.75</v>
          </cell>
        </row>
        <row r="9">
          <cell r="C9">
            <v>13164</v>
          </cell>
          <cell r="D9" t="str">
            <v>傳產-營建</v>
          </cell>
          <cell r="E9" t="str">
            <v>北富銀</v>
          </cell>
          <cell r="F9">
            <v>46051</v>
          </cell>
          <cell r="G9">
            <v>0.87</v>
          </cell>
          <cell r="H9">
            <v>2.16</v>
          </cell>
          <cell r="I9">
            <v>30.16</v>
          </cell>
          <cell r="J9">
            <v>2.25</v>
          </cell>
        </row>
        <row r="10">
          <cell r="C10">
            <v>13166</v>
          </cell>
          <cell r="D10" t="str">
            <v>傳產-營建</v>
          </cell>
          <cell r="E10" t="str">
            <v>板信</v>
          </cell>
          <cell r="F10">
            <v>46383</v>
          </cell>
          <cell r="G10">
            <v>1.78</v>
          </cell>
          <cell r="H10">
            <v>4.1500000000000004</v>
          </cell>
          <cell r="I10">
            <v>20.9</v>
          </cell>
          <cell r="J10">
            <v>2.5</v>
          </cell>
        </row>
        <row r="11">
          <cell r="C11">
            <v>13421</v>
          </cell>
          <cell r="D11" t="str">
            <v>傳產-塑膠</v>
          </cell>
          <cell r="E11" t="str">
            <v>華南</v>
          </cell>
          <cell r="F11">
            <v>45810</v>
          </cell>
          <cell r="G11">
            <v>0.21</v>
          </cell>
          <cell r="H11">
            <v>0.66</v>
          </cell>
          <cell r="I11">
            <v>86.66</v>
          </cell>
          <cell r="J11">
            <v>2.2000000000000002</v>
          </cell>
        </row>
        <row r="12">
          <cell r="C12">
            <v>140201</v>
          </cell>
          <cell r="D12" t="str">
            <v>傳產-紡織纖維</v>
          </cell>
          <cell r="E12">
            <v>3</v>
          </cell>
          <cell r="F12">
            <v>46607</v>
          </cell>
          <cell r="G12">
            <v>2.39</v>
          </cell>
          <cell r="H12">
            <v>6.41</v>
          </cell>
          <cell r="I12">
            <v>13.41</v>
          </cell>
          <cell r="J12">
            <v>2.6</v>
          </cell>
        </row>
        <row r="13">
          <cell r="C13">
            <v>140202</v>
          </cell>
          <cell r="D13" t="str">
            <v>傳產-紡織纖維</v>
          </cell>
          <cell r="E13">
            <v>3</v>
          </cell>
          <cell r="F13">
            <v>46607</v>
          </cell>
          <cell r="G13">
            <v>2.39</v>
          </cell>
          <cell r="H13">
            <v>6.41</v>
          </cell>
          <cell r="I13">
            <v>3.41</v>
          </cell>
          <cell r="J13">
            <v>2.6</v>
          </cell>
        </row>
        <row r="14">
          <cell r="C14">
            <v>14362</v>
          </cell>
          <cell r="D14" t="str">
            <v>傳產-營建</v>
          </cell>
          <cell r="E14" t="str">
            <v>一銀</v>
          </cell>
          <cell r="F14">
            <v>45992</v>
          </cell>
          <cell r="G14">
            <v>0.71</v>
          </cell>
          <cell r="H14">
            <v>1.76</v>
          </cell>
          <cell r="I14">
            <v>381.76</v>
          </cell>
          <cell r="J14">
            <v>2.2000000000000002</v>
          </cell>
        </row>
        <row r="15">
          <cell r="C15">
            <v>14381</v>
          </cell>
          <cell r="D15" t="str">
            <v>傳產-營建</v>
          </cell>
          <cell r="E15" t="str">
            <v>台中</v>
          </cell>
          <cell r="F15">
            <v>46740</v>
          </cell>
          <cell r="G15">
            <v>2.76</v>
          </cell>
          <cell r="H15">
            <v>5.18</v>
          </cell>
          <cell r="I15">
            <v>33.18</v>
          </cell>
          <cell r="J15">
            <v>2.35</v>
          </cell>
        </row>
        <row r="16">
          <cell r="C16">
            <v>15142</v>
          </cell>
          <cell r="D16" t="str">
            <v>傳產-電機</v>
          </cell>
          <cell r="E16">
            <v>6</v>
          </cell>
          <cell r="F16">
            <v>46765</v>
          </cell>
          <cell r="G16">
            <v>2.83</v>
          </cell>
          <cell r="H16">
            <v>9.35</v>
          </cell>
          <cell r="I16">
            <v>19.850000000000001</v>
          </cell>
          <cell r="J16">
            <v>3.5</v>
          </cell>
        </row>
        <row r="17">
          <cell r="C17">
            <v>15601</v>
          </cell>
          <cell r="D17" t="str">
            <v>傳產-電機</v>
          </cell>
          <cell r="E17">
            <v>4</v>
          </cell>
          <cell r="F17">
            <v>46562</v>
          </cell>
          <cell r="G17">
            <v>2.27</v>
          </cell>
          <cell r="H17">
            <v>5.88</v>
          </cell>
          <cell r="I17">
            <v>17.679999999999996</v>
          </cell>
          <cell r="J17">
            <v>2.5</v>
          </cell>
        </row>
        <row r="18">
          <cell r="C18">
            <v>15864</v>
          </cell>
          <cell r="D18" t="str">
            <v>電子中游-其他</v>
          </cell>
          <cell r="E18" t="str">
            <v>合庫</v>
          </cell>
          <cell r="F18">
            <v>46264</v>
          </cell>
          <cell r="G18">
            <v>1.45</v>
          </cell>
          <cell r="H18">
            <v>3.54</v>
          </cell>
          <cell r="I18">
            <v>15.04</v>
          </cell>
          <cell r="J18">
            <v>2.2999999999999998</v>
          </cell>
        </row>
        <row r="19">
          <cell r="C19">
            <v>15991</v>
          </cell>
          <cell r="D19" t="str">
            <v>傳產-電機</v>
          </cell>
          <cell r="E19" t="str">
            <v>北富銀</v>
          </cell>
          <cell r="F19">
            <v>45979</v>
          </cell>
          <cell r="G19">
            <v>0.67</v>
          </cell>
          <cell r="H19">
            <v>1.67</v>
          </cell>
          <cell r="I19">
            <v>1.9699999999999971</v>
          </cell>
          <cell r="J19">
            <v>2.2000000000000002</v>
          </cell>
        </row>
        <row r="20">
          <cell r="C20">
            <v>17813</v>
          </cell>
          <cell r="D20" t="str">
            <v>傳產-生技</v>
          </cell>
          <cell r="E20" t="str">
            <v>華南</v>
          </cell>
          <cell r="F20">
            <v>46654</v>
          </cell>
          <cell r="G20">
            <v>2.52</v>
          </cell>
          <cell r="H20">
            <v>6</v>
          </cell>
          <cell r="I20">
            <v>14.099999999999994</v>
          </cell>
          <cell r="J20">
            <v>2.2999999999999998</v>
          </cell>
        </row>
        <row r="21">
          <cell r="C21">
            <v>20343</v>
          </cell>
          <cell r="D21" t="str">
            <v>傳產-鋼鐵</v>
          </cell>
          <cell r="E21">
            <v>4</v>
          </cell>
          <cell r="F21">
            <v>46006</v>
          </cell>
          <cell r="G21">
            <v>0.75</v>
          </cell>
          <cell r="H21">
            <v>2.2599999999999998</v>
          </cell>
          <cell r="I21">
            <v>26.759999999999998</v>
          </cell>
          <cell r="J21">
            <v>2.75</v>
          </cell>
        </row>
        <row r="22">
          <cell r="C22">
            <v>20632</v>
          </cell>
          <cell r="D22" t="str">
            <v>傳產-鋼鐵</v>
          </cell>
          <cell r="E22">
            <v>5</v>
          </cell>
          <cell r="F22">
            <v>45971</v>
          </cell>
          <cell r="G22">
            <v>0.65</v>
          </cell>
          <cell r="H22">
            <v>2.31</v>
          </cell>
          <cell r="I22">
            <v>4.3100000000000005</v>
          </cell>
          <cell r="J22">
            <v>3.25</v>
          </cell>
        </row>
        <row r="23">
          <cell r="C23">
            <v>21043</v>
          </cell>
          <cell r="D23" t="str">
            <v>傳產-橡膠</v>
          </cell>
          <cell r="E23">
            <v>4</v>
          </cell>
          <cell r="F23">
            <v>46308</v>
          </cell>
          <cell r="G23">
            <v>1.58</v>
          </cell>
          <cell r="H23">
            <v>3.65</v>
          </cell>
          <cell r="I23">
            <v>1.9499999999999971</v>
          </cell>
          <cell r="J23">
            <v>2.75</v>
          </cell>
        </row>
        <row r="24">
          <cell r="C24">
            <v>24394</v>
          </cell>
          <cell r="D24" t="str">
            <v>電子中游-NB與手機零組件</v>
          </cell>
          <cell r="E24">
            <v>3</v>
          </cell>
          <cell r="F24">
            <v>46578</v>
          </cell>
          <cell r="G24">
            <v>2.3199999999999998</v>
          </cell>
          <cell r="H24">
            <v>6</v>
          </cell>
          <cell r="I24">
            <v>14.150000000000006</v>
          </cell>
          <cell r="J24">
            <v>2.5</v>
          </cell>
        </row>
        <row r="25">
          <cell r="C25">
            <v>24395</v>
          </cell>
          <cell r="D25" t="str">
            <v>電子中游-NB與手機零組件</v>
          </cell>
          <cell r="E25">
            <v>3</v>
          </cell>
          <cell r="F25">
            <v>46590</v>
          </cell>
          <cell r="G25">
            <v>2.35</v>
          </cell>
          <cell r="H25">
            <v>6.08</v>
          </cell>
          <cell r="I25">
            <v>17.28</v>
          </cell>
          <cell r="J25">
            <v>2.5</v>
          </cell>
        </row>
        <row r="26">
          <cell r="C26">
            <v>24616</v>
          </cell>
          <cell r="D26" t="str">
            <v>電子中游-其他</v>
          </cell>
          <cell r="E26" t="str">
            <v>台中</v>
          </cell>
          <cell r="F26">
            <v>46105</v>
          </cell>
          <cell r="G26">
            <v>1.02</v>
          </cell>
          <cell r="H26">
            <v>2.5</v>
          </cell>
          <cell r="I26">
            <v>51.5</v>
          </cell>
          <cell r="J26">
            <v>2.25</v>
          </cell>
        </row>
        <row r="27">
          <cell r="C27">
            <v>24972</v>
          </cell>
          <cell r="D27" t="str">
            <v>傳產-汽車零組件</v>
          </cell>
          <cell r="E27" t="str">
            <v>兆豐</v>
          </cell>
          <cell r="F27">
            <v>45845</v>
          </cell>
          <cell r="G27">
            <v>0.31</v>
          </cell>
          <cell r="H27">
            <v>0.88</v>
          </cell>
          <cell r="I27">
            <v>2.38</v>
          </cell>
          <cell r="J27">
            <v>2.2000000000000002</v>
          </cell>
        </row>
        <row r="28">
          <cell r="C28">
            <v>25283</v>
          </cell>
          <cell r="D28" t="str">
            <v>傳產-營建</v>
          </cell>
          <cell r="E28" t="str">
            <v>元大</v>
          </cell>
          <cell r="F28">
            <v>46752</v>
          </cell>
          <cell r="G28">
            <v>2.79</v>
          </cell>
          <cell r="H28">
            <v>5.87</v>
          </cell>
          <cell r="I28">
            <v>23.37</v>
          </cell>
          <cell r="J28">
            <v>2.2999999999999998</v>
          </cell>
        </row>
        <row r="29">
          <cell r="C29">
            <v>26107</v>
          </cell>
          <cell r="D29" t="str">
            <v>傳產-航運</v>
          </cell>
          <cell r="E29">
            <v>4</v>
          </cell>
          <cell r="F29">
            <v>46140</v>
          </cell>
          <cell r="G29">
            <v>1.1200000000000001</v>
          </cell>
          <cell r="H29">
            <v>3</v>
          </cell>
          <cell r="I29">
            <v>45.75</v>
          </cell>
          <cell r="J29">
            <v>2.5</v>
          </cell>
        </row>
        <row r="30">
          <cell r="C30">
            <v>27271</v>
          </cell>
          <cell r="D30" t="str">
            <v>傳產-觀光</v>
          </cell>
          <cell r="E30">
            <v>4</v>
          </cell>
          <cell r="F30">
            <v>46110</v>
          </cell>
          <cell r="G30">
            <v>1.03</v>
          </cell>
          <cell r="H30">
            <v>2.44</v>
          </cell>
          <cell r="I30">
            <v>12.94</v>
          </cell>
          <cell r="J30">
            <v>2.9</v>
          </cell>
        </row>
        <row r="31">
          <cell r="C31">
            <v>30238</v>
          </cell>
          <cell r="D31" t="str">
            <v>電子上游-連接元件</v>
          </cell>
          <cell r="E31">
            <v>4</v>
          </cell>
          <cell r="F31">
            <v>46003</v>
          </cell>
          <cell r="G31">
            <v>0.74</v>
          </cell>
          <cell r="H31">
            <v>2.09</v>
          </cell>
          <cell r="I31">
            <v>13.59</v>
          </cell>
          <cell r="J31">
            <v>2.5499999999999998</v>
          </cell>
        </row>
        <row r="32">
          <cell r="C32">
            <v>30454</v>
          </cell>
          <cell r="D32" t="str">
            <v>電子下游-電信服務</v>
          </cell>
          <cell r="E32">
            <v>2</v>
          </cell>
          <cell r="F32">
            <v>46807</v>
          </cell>
          <cell r="G32">
            <v>2.94</v>
          </cell>
          <cell r="H32">
            <v>6.96</v>
          </cell>
          <cell r="I32">
            <v>7.46</v>
          </cell>
          <cell r="J32">
            <v>2.2999999999999998</v>
          </cell>
        </row>
        <row r="33">
          <cell r="C33">
            <v>30455</v>
          </cell>
          <cell r="D33" t="str">
            <v>電子下游-電信服務</v>
          </cell>
          <cell r="E33">
            <v>2</v>
          </cell>
          <cell r="F33">
            <v>46808</v>
          </cell>
          <cell r="G33">
            <v>2.95</v>
          </cell>
          <cell r="H33">
            <v>6.99</v>
          </cell>
          <cell r="I33">
            <v>11.24</v>
          </cell>
          <cell r="J33">
            <v>2.2999999999999998</v>
          </cell>
        </row>
        <row r="34">
          <cell r="C34">
            <v>30882</v>
          </cell>
          <cell r="D34" t="str">
            <v>電子下游-工業電腦</v>
          </cell>
          <cell r="E34">
            <v>5</v>
          </cell>
          <cell r="F34">
            <v>46262</v>
          </cell>
          <cell r="G34">
            <v>1.45</v>
          </cell>
          <cell r="H34">
            <v>4.55</v>
          </cell>
          <cell r="I34">
            <v>45.100000000000009</v>
          </cell>
          <cell r="J34">
            <v>3</v>
          </cell>
        </row>
        <row r="35">
          <cell r="C35">
            <v>33101</v>
          </cell>
          <cell r="D35" t="str">
            <v>電子上游-連接元件</v>
          </cell>
          <cell r="E35" t="str">
            <v>彰銀</v>
          </cell>
          <cell r="F35">
            <v>45918</v>
          </cell>
          <cell r="G35">
            <v>0.51</v>
          </cell>
          <cell r="H35">
            <v>0.56999999999999995</v>
          </cell>
          <cell r="I35">
            <v>266.57</v>
          </cell>
          <cell r="J35">
            <v>2.2000000000000002</v>
          </cell>
        </row>
        <row r="36">
          <cell r="C36">
            <v>33133</v>
          </cell>
          <cell r="D36" t="str">
            <v>傳產-營建</v>
          </cell>
          <cell r="E36" t="str">
            <v>元大</v>
          </cell>
          <cell r="F36">
            <v>46720</v>
          </cell>
          <cell r="G36">
            <v>2.7</v>
          </cell>
          <cell r="H36">
            <v>6.41</v>
          </cell>
          <cell r="I36">
            <v>16.610000000000003</v>
          </cell>
          <cell r="J36">
            <v>2.2999999999999998</v>
          </cell>
        </row>
        <row r="37">
          <cell r="C37">
            <v>33244</v>
          </cell>
          <cell r="D37" t="str">
            <v>電子中游-NB與手機零組件</v>
          </cell>
          <cell r="E37">
            <v>4</v>
          </cell>
          <cell r="F37">
            <v>45973</v>
          </cell>
          <cell r="G37">
            <v>0.66</v>
          </cell>
          <cell r="H37">
            <v>1.78</v>
          </cell>
          <cell r="I37">
            <v>216.78</v>
          </cell>
          <cell r="J37">
            <v>2.4</v>
          </cell>
        </row>
        <row r="38">
          <cell r="C38">
            <v>33245</v>
          </cell>
          <cell r="D38" t="str">
            <v>電子中游-NB與手機零組件</v>
          </cell>
          <cell r="E38">
            <v>4</v>
          </cell>
          <cell r="F38">
            <v>46599</v>
          </cell>
          <cell r="G38">
            <v>2.37</v>
          </cell>
          <cell r="H38">
            <v>4.62</v>
          </cell>
          <cell r="I38">
            <v>23.12</v>
          </cell>
          <cell r="J38">
            <v>2.5</v>
          </cell>
        </row>
        <row r="39">
          <cell r="C39">
            <v>33621</v>
          </cell>
          <cell r="D39" t="str">
            <v>電子中游-光學鏡片</v>
          </cell>
          <cell r="E39" t="str">
            <v>土銀</v>
          </cell>
          <cell r="F39">
            <v>46584</v>
          </cell>
          <cell r="G39">
            <v>2.33</v>
          </cell>
          <cell r="H39">
            <v>4.8099999999999996</v>
          </cell>
          <cell r="I39">
            <v>11.809999999999999</v>
          </cell>
          <cell r="J39">
            <v>2.2999999999999998</v>
          </cell>
        </row>
        <row r="40">
          <cell r="C40">
            <v>33763</v>
          </cell>
          <cell r="D40" t="str">
            <v>電子中游-NB與手機零組件</v>
          </cell>
          <cell r="E40">
            <v>4</v>
          </cell>
          <cell r="F40">
            <v>46622</v>
          </cell>
          <cell r="G40">
            <v>2.44</v>
          </cell>
          <cell r="H40">
            <v>4.79</v>
          </cell>
          <cell r="I40">
            <v>38.29</v>
          </cell>
          <cell r="J40">
            <v>2.5</v>
          </cell>
        </row>
        <row r="41">
          <cell r="C41">
            <v>33881</v>
          </cell>
          <cell r="D41" t="str">
            <v>電子上游-PCB-製造</v>
          </cell>
          <cell r="E41">
            <v>4</v>
          </cell>
          <cell r="F41">
            <v>45970</v>
          </cell>
          <cell r="G41">
            <v>0.65</v>
          </cell>
          <cell r="H41">
            <v>2.02</v>
          </cell>
          <cell r="I41">
            <v>9.4700000000000024</v>
          </cell>
          <cell r="J41">
            <v>2.8</v>
          </cell>
        </row>
        <row r="42">
          <cell r="C42">
            <v>34132</v>
          </cell>
          <cell r="D42" t="str">
            <v>電子中游-儀器設備工程</v>
          </cell>
          <cell r="E42">
            <v>4</v>
          </cell>
          <cell r="F42">
            <v>45977</v>
          </cell>
          <cell r="G42">
            <v>0.67</v>
          </cell>
          <cell r="H42">
            <v>2.04</v>
          </cell>
          <cell r="I42">
            <v>87.04</v>
          </cell>
          <cell r="J42">
            <v>2.75</v>
          </cell>
        </row>
        <row r="43">
          <cell r="C43">
            <v>34793</v>
          </cell>
          <cell r="D43" t="str">
            <v>電子下游-工業電腦</v>
          </cell>
          <cell r="E43">
            <v>5</v>
          </cell>
          <cell r="F43">
            <v>46409</v>
          </cell>
          <cell r="G43">
            <v>1.85</v>
          </cell>
          <cell r="H43">
            <v>5.75</v>
          </cell>
          <cell r="I43">
            <v>16.549999999999997</v>
          </cell>
          <cell r="J43">
            <v>3</v>
          </cell>
        </row>
        <row r="44">
          <cell r="C44">
            <v>34843</v>
          </cell>
          <cell r="D44" t="str">
            <v>電子上游-連接元件</v>
          </cell>
          <cell r="E44">
            <v>5</v>
          </cell>
          <cell r="F44">
            <v>46136</v>
          </cell>
          <cell r="G44">
            <v>1.1000000000000001</v>
          </cell>
          <cell r="H44">
            <v>3.03</v>
          </cell>
          <cell r="I44">
            <v>49.03</v>
          </cell>
          <cell r="J44">
            <v>3.25</v>
          </cell>
        </row>
        <row r="45">
          <cell r="C45">
            <v>34912</v>
          </cell>
          <cell r="D45" t="str">
            <v>電子中游-通訊設備</v>
          </cell>
          <cell r="E45">
            <v>5</v>
          </cell>
          <cell r="F45">
            <v>46627</v>
          </cell>
          <cell r="G45">
            <v>2.4500000000000002</v>
          </cell>
          <cell r="H45">
            <v>7.06</v>
          </cell>
          <cell r="I45">
            <v>53.06</v>
          </cell>
          <cell r="J45">
            <v>2.8</v>
          </cell>
        </row>
        <row r="46">
          <cell r="C46">
            <v>35181</v>
          </cell>
          <cell r="D46" t="str">
            <v>電子中游-NB與手機零組件</v>
          </cell>
          <cell r="E46" t="str">
            <v>台新</v>
          </cell>
          <cell r="F46">
            <v>46614</v>
          </cell>
          <cell r="G46">
            <v>2.41</v>
          </cell>
          <cell r="H46">
            <v>5.74</v>
          </cell>
          <cell r="I46">
            <v>8.99</v>
          </cell>
          <cell r="J46">
            <v>2.2999999999999998</v>
          </cell>
        </row>
        <row r="47">
          <cell r="C47">
            <v>35221</v>
          </cell>
          <cell r="D47" t="str">
            <v>傳產-觀光</v>
          </cell>
          <cell r="E47" t="str">
            <v>兆豐</v>
          </cell>
          <cell r="F47">
            <v>46009</v>
          </cell>
          <cell r="G47">
            <v>0.76</v>
          </cell>
          <cell r="H47">
            <v>0.87</v>
          </cell>
          <cell r="I47">
            <v>14.020000000000005</v>
          </cell>
          <cell r="J47">
            <v>2.2000000000000002</v>
          </cell>
        </row>
        <row r="48">
          <cell r="C48">
            <v>35265</v>
          </cell>
          <cell r="D48" t="str">
            <v>電子上游-連接元件</v>
          </cell>
          <cell r="E48">
            <v>5</v>
          </cell>
          <cell r="F48">
            <v>46067</v>
          </cell>
          <cell r="G48">
            <v>0.92</v>
          </cell>
          <cell r="H48">
            <v>2.78</v>
          </cell>
          <cell r="I48">
            <v>72.78</v>
          </cell>
          <cell r="J48">
            <v>2.8</v>
          </cell>
        </row>
        <row r="49">
          <cell r="C49">
            <v>35266</v>
          </cell>
          <cell r="D49" t="str">
            <v>電子上游-連接元件</v>
          </cell>
          <cell r="E49">
            <v>5</v>
          </cell>
          <cell r="F49">
            <v>46416</v>
          </cell>
          <cell r="G49">
            <v>1.87</v>
          </cell>
          <cell r="H49">
            <v>5.44</v>
          </cell>
          <cell r="I49">
            <v>37.44</v>
          </cell>
          <cell r="J49">
            <v>2.8</v>
          </cell>
        </row>
        <row r="50">
          <cell r="C50">
            <v>35482</v>
          </cell>
          <cell r="D50" t="str">
            <v>電子上游-連接元件</v>
          </cell>
          <cell r="E50">
            <v>4</v>
          </cell>
          <cell r="F50">
            <v>46395</v>
          </cell>
          <cell r="G50">
            <v>1.81</v>
          </cell>
          <cell r="H50">
            <v>5.09</v>
          </cell>
          <cell r="I50">
            <v>17.040000000000003</v>
          </cell>
          <cell r="J50">
            <v>2.7</v>
          </cell>
        </row>
        <row r="51">
          <cell r="C51">
            <v>35483</v>
          </cell>
          <cell r="D51" t="str">
            <v>電子上游-連接元件</v>
          </cell>
          <cell r="E51">
            <v>4</v>
          </cell>
          <cell r="F51">
            <v>46808</v>
          </cell>
          <cell r="G51">
            <v>2.95</v>
          </cell>
          <cell r="H51">
            <v>8.17</v>
          </cell>
          <cell r="I51">
            <v>21.019999999999996</v>
          </cell>
          <cell r="J51">
            <v>2.7</v>
          </cell>
        </row>
        <row r="52">
          <cell r="C52">
            <v>35831</v>
          </cell>
          <cell r="D52" t="str">
            <v>電子中游-儀器設備工程</v>
          </cell>
          <cell r="E52">
            <v>5</v>
          </cell>
          <cell r="F52">
            <v>46180</v>
          </cell>
          <cell r="G52">
            <v>1.22</v>
          </cell>
          <cell r="H52">
            <v>3.86</v>
          </cell>
          <cell r="I52">
            <v>16.709999999999994</v>
          </cell>
          <cell r="J52">
            <v>3</v>
          </cell>
        </row>
        <row r="53">
          <cell r="C53">
            <v>35871</v>
          </cell>
          <cell r="D53" t="str">
            <v>電子中游-其他</v>
          </cell>
          <cell r="E53">
            <v>4</v>
          </cell>
          <cell r="F53">
            <v>46193</v>
          </cell>
          <cell r="G53">
            <v>1.26</v>
          </cell>
          <cell r="H53">
            <v>3.6</v>
          </cell>
          <cell r="I53">
            <v>17.600000000000001</v>
          </cell>
          <cell r="J53">
            <v>2.7</v>
          </cell>
        </row>
        <row r="54">
          <cell r="C54">
            <v>36804</v>
          </cell>
          <cell r="D54" t="str">
            <v>電子中游-儀器設備工程</v>
          </cell>
          <cell r="E54">
            <v>5</v>
          </cell>
          <cell r="F54">
            <v>45948</v>
          </cell>
          <cell r="G54">
            <v>0.59</v>
          </cell>
          <cell r="H54">
            <v>1.97</v>
          </cell>
          <cell r="I54">
            <v>26.97</v>
          </cell>
          <cell r="J54">
            <v>3</v>
          </cell>
        </row>
        <row r="55">
          <cell r="C55">
            <v>36871</v>
          </cell>
          <cell r="D55" t="str">
            <v>軟體-其他</v>
          </cell>
          <cell r="E55" t="str">
            <v>一銀</v>
          </cell>
          <cell r="F55">
            <v>45783</v>
          </cell>
          <cell r="G55">
            <v>0.14000000000000001</v>
          </cell>
          <cell r="H55">
            <v>0.51</v>
          </cell>
          <cell r="I55">
            <v>1.0000000000000009E-2</v>
          </cell>
          <cell r="J55">
            <v>2.2000000000000002</v>
          </cell>
        </row>
        <row r="56">
          <cell r="C56">
            <v>36913</v>
          </cell>
          <cell r="D56" t="str">
            <v>電子下游-太陽能</v>
          </cell>
          <cell r="E56" t="str">
            <v>上海/合庫等3家聯擔</v>
          </cell>
          <cell r="F56">
            <v>46629</v>
          </cell>
          <cell r="G56">
            <v>2.4500000000000002</v>
          </cell>
          <cell r="H56">
            <v>5.84</v>
          </cell>
          <cell r="I56">
            <v>6.2400000000000055</v>
          </cell>
          <cell r="J56">
            <v>2.2999999999999998</v>
          </cell>
        </row>
        <row r="57">
          <cell r="C57">
            <v>37083</v>
          </cell>
          <cell r="D57" t="str">
            <v>傳產-化學工業</v>
          </cell>
          <cell r="E57" t="str">
            <v>一銀</v>
          </cell>
          <cell r="F57">
            <v>46292</v>
          </cell>
          <cell r="G57">
            <v>1.53</v>
          </cell>
          <cell r="H57">
            <v>3.64</v>
          </cell>
          <cell r="I57">
            <v>12.14</v>
          </cell>
          <cell r="J57">
            <v>2.25</v>
          </cell>
        </row>
        <row r="58">
          <cell r="C58">
            <v>37131</v>
          </cell>
          <cell r="D58" t="str">
            <v>電子下游-太陽能</v>
          </cell>
          <cell r="E58" t="str">
            <v>永豐</v>
          </cell>
          <cell r="F58">
            <v>46091</v>
          </cell>
          <cell r="G58">
            <v>0.98</v>
          </cell>
          <cell r="H58">
            <v>2.4500000000000002</v>
          </cell>
          <cell r="I58">
            <v>0.01</v>
          </cell>
          <cell r="J58">
            <v>2.2999999999999998</v>
          </cell>
        </row>
        <row r="59">
          <cell r="C59">
            <v>41234</v>
          </cell>
          <cell r="D59" t="str">
            <v>傳產-生技</v>
          </cell>
          <cell r="E59" t="str">
            <v>上海</v>
          </cell>
          <cell r="F59">
            <v>45907</v>
          </cell>
          <cell r="G59">
            <v>0.48</v>
          </cell>
          <cell r="H59">
            <v>1.26</v>
          </cell>
          <cell r="I59">
            <v>1.9600000000000029</v>
          </cell>
          <cell r="J59">
            <v>2.2000000000000002</v>
          </cell>
        </row>
        <row r="60">
          <cell r="C60">
            <v>41235</v>
          </cell>
          <cell r="D60" t="str">
            <v>傳產-生技</v>
          </cell>
          <cell r="E60" t="str">
            <v>合庫/彰銀等5家聯擔</v>
          </cell>
          <cell r="F60">
            <v>45908</v>
          </cell>
          <cell r="G60">
            <v>0.48</v>
          </cell>
          <cell r="H60">
            <v>1.26</v>
          </cell>
          <cell r="I60">
            <v>1.3599999999999943</v>
          </cell>
          <cell r="J60">
            <v>2.2000000000000002</v>
          </cell>
        </row>
        <row r="61">
          <cell r="C61">
            <v>41236</v>
          </cell>
          <cell r="D61" t="str">
            <v>傳產-生技</v>
          </cell>
          <cell r="E61" t="str">
            <v>永豐</v>
          </cell>
          <cell r="F61">
            <v>46869</v>
          </cell>
          <cell r="G61">
            <v>3.11</v>
          </cell>
          <cell r="H61">
            <v>7.98</v>
          </cell>
          <cell r="I61">
            <v>20.579999999999995</v>
          </cell>
          <cell r="J61">
            <v>2.5</v>
          </cell>
        </row>
        <row r="62">
          <cell r="C62">
            <v>41644</v>
          </cell>
          <cell r="D62" t="str">
            <v>傳產-生技</v>
          </cell>
          <cell r="E62" t="str">
            <v>一銀/中信銀等3家聯擔</v>
          </cell>
          <cell r="F62">
            <v>45873</v>
          </cell>
          <cell r="G62">
            <v>0.38</v>
          </cell>
          <cell r="H62">
            <v>-1.49</v>
          </cell>
          <cell r="I62">
            <v>9.7100000000000026</v>
          </cell>
          <cell r="J62">
            <v>2.2000000000000002</v>
          </cell>
        </row>
        <row r="63">
          <cell r="C63">
            <v>41683</v>
          </cell>
          <cell r="D63" t="str">
            <v>傳產-生技</v>
          </cell>
          <cell r="E63" t="str">
            <v>台新</v>
          </cell>
          <cell r="F63">
            <v>45835</v>
          </cell>
          <cell r="G63">
            <v>0.28000000000000003</v>
          </cell>
          <cell r="H63">
            <v>0.82</v>
          </cell>
          <cell r="I63">
            <v>3.119999999999997</v>
          </cell>
          <cell r="J63">
            <v>2.2000000000000002</v>
          </cell>
        </row>
        <row r="64">
          <cell r="C64">
            <v>44163</v>
          </cell>
          <cell r="D64" t="str">
            <v>傳產-營建</v>
          </cell>
          <cell r="E64" t="str">
            <v>一銀</v>
          </cell>
          <cell r="F64">
            <v>45930</v>
          </cell>
          <cell r="G64">
            <v>0.54</v>
          </cell>
          <cell r="H64">
            <v>-0.12</v>
          </cell>
          <cell r="I64">
            <v>13.830000000000004</v>
          </cell>
          <cell r="J64">
            <v>2.2000000000000002</v>
          </cell>
        </row>
        <row r="65">
          <cell r="C65">
            <v>44382</v>
          </cell>
          <cell r="D65" t="str">
            <v>傳產-紡織纖維</v>
          </cell>
          <cell r="E65">
            <v>4</v>
          </cell>
          <cell r="F65">
            <v>45933</v>
          </cell>
          <cell r="G65">
            <v>0.55000000000000004</v>
          </cell>
          <cell r="H65">
            <v>1.77</v>
          </cell>
          <cell r="I65">
            <v>5.77</v>
          </cell>
          <cell r="J65">
            <v>2.85</v>
          </cell>
        </row>
        <row r="66">
          <cell r="C66">
            <v>45401</v>
          </cell>
          <cell r="D66" t="str">
            <v>傳產-電機</v>
          </cell>
          <cell r="E66" t="str">
            <v>一銀</v>
          </cell>
          <cell r="F66">
            <v>45954</v>
          </cell>
          <cell r="G66">
            <v>0.61</v>
          </cell>
          <cell r="H66">
            <v>1.54</v>
          </cell>
          <cell r="I66">
            <v>34.79</v>
          </cell>
          <cell r="J66">
            <v>2.2000000000000002</v>
          </cell>
        </row>
        <row r="67">
          <cell r="C67">
            <v>45553</v>
          </cell>
          <cell r="D67" t="str">
            <v>傳產-電機</v>
          </cell>
          <cell r="E67" t="str">
            <v>彰銀</v>
          </cell>
          <cell r="F67">
            <v>45905</v>
          </cell>
          <cell r="G67">
            <v>0.47</v>
          </cell>
          <cell r="H67">
            <v>1.23</v>
          </cell>
          <cell r="I67">
            <v>4.2300000000000004</v>
          </cell>
          <cell r="J67">
            <v>2.2000000000000002</v>
          </cell>
        </row>
        <row r="68">
          <cell r="C68">
            <v>45663</v>
          </cell>
          <cell r="D68" t="str">
            <v>傳產-汽車零組件</v>
          </cell>
          <cell r="E68">
            <v>5</v>
          </cell>
          <cell r="F68">
            <v>46353</v>
          </cell>
          <cell r="G68">
            <v>1.7</v>
          </cell>
          <cell r="H68">
            <v>5.3</v>
          </cell>
          <cell r="I68">
            <v>63.3</v>
          </cell>
          <cell r="J68">
            <v>3</v>
          </cell>
        </row>
        <row r="69">
          <cell r="C69">
            <v>45721</v>
          </cell>
          <cell r="D69" t="str">
            <v>傳產-電機</v>
          </cell>
          <cell r="E69">
            <v>6</v>
          </cell>
          <cell r="F69">
            <v>46219</v>
          </cell>
          <cell r="G69">
            <v>1.33</v>
          </cell>
          <cell r="H69">
            <v>4.8600000000000003</v>
          </cell>
          <cell r="I69">
            <v>18.959999999999994</v>
          </cell>
          <cell r="J69">
            <v>3.5</v>
          </cell>
        </row>
        <row r="70">
          <cell r="C70">
            <v>45801</v>
          </cell>
          <cell r="D70" t="str">
            <v>傳產-電機</v>
          </cell>
          <cell r="E70">
            <v>4</v>
          </cell>
          <cell r="F70">
            <v>45773</v>
          </cell>
          <cell r="G70">
            <v>0.11</v>
          </cell>
          <cell r="H70">
            <v>0.51</v>
          </cell>
          <cell r="I70">
            <v>12.51</v>
          </cell>
          <cell r="J70">
            <v>2.8</v>
          </cell>
        </row>
        <row r="71">
          <cell r="C71">
            <v>47393</v>
          </cell>
          <cell r="D71" t="str">
            <v>傳產-化學工業</v>
          </cell>
          <cell r="E71" t="str">
            <v>彰銀</v>
          </cell>
          <cell r="F71">
            <v>46323</v>
          </cell>
          <cell r="G71">
            <v>1.62</v>
          </cell>
          <cell r="H71">
            <v>3.85</v>
          </cell>
          <cell r="I71">
            <v>7.1499999999999968</v>
          </cell>
          <cell r="J71">
            <v>2.25</v>
          </cell>
        </row>
        <row r="72">
          <cell r="C72">
            <v>47442</v>
          </cell>
          <cell r="D72" t="str">
            <v>傳產-生技</v>
          </cell>
          <cell r="E72" t="str">
            <v>土銀</v>
          </cell>
          <cell r="F72">
            <v>45998</v>
          </cell>
          <cell r="G72">
            <v>0.73</v>
          </cell>
          <cell r="H72">
            <v>1.81</v>
          </cell>
          <cell r="I72">
            <v>5.8100000000000005</v>
          </cell>
          <cell r="J72">
            <v>2.2000000000000002</v>
          </cell>
        </row>
        <row r="73">
          <cell r="C73">
            <v>52251</v>
          </cell>
          <cell r="D73" t="str">
            <v>電子下游-消費電子</v>
          </cell>
          <cell r="E73" t="str">
            <v>中信銀</v>
          </cell>
          <cell r="F73">
            <v>45989</v>
          </cell>
          <cell r="G73">
            <v>0.7</v>
          </cell>
          <cell r="H73">
            <v>1.74</v>
          </cell>
          <cell r="I73">
            <v>310.74</v>
          </cell>
          <cell r="J73">
            <v>2.2000000000000002</v>
          </cell>
        </row>
        <row r="74">
          <cell r="C74">
            <v>52303</v>
          </cell>
          <cell r="D74" t="str">
            <v>電子上游-LED及光元件</v>
          </cell>
          <cell r="E74" t="str">
            <v>北富銀</v>
          </cell>
          <cell r="F74">
            <v>46227</v>
          </cell>
          <cell r="G74">
            <v>1.35</v>
          </cell>
          <cell r="H74">
            <v>3.31</v>
          </cell>
          <cell r="I74">
            <v>15.31</v>
          </cell>
          <cell r="J74">
            <v>2.2999999999999998</v>
          </cell>
        </row>
        <row r="75">
          <cell r="C75">
            <v>52451</v>
          </cell>
          <cell r="D75" t="str">
            <v>電子中游-LCD-TFT面板</v>
          </cell>
          <cell r="E75" t="str">
            <v>合庫</v>
          </cell>
          <cell r="F75">
            <v>45894</v>
          </cell>
          <cell r="G75">
            <v>0.44</v>
          </cell>
          <cell r="H75">
            <v>1.17</v>
          </cell>
          <cell r="I75">
            <v>0.66999999999999993</v>
          </cell>
          <cell r="J75">
            <v>2.2000000000000002</v>
          </cell>
        </row>
        <row r="76">
          <cell r="C76">
            <v>53064</v>
          </cell>
          <cell r="D76" t="str">
            <v>傳產-自行車</v>
          </cell>
          <cell r="E76" t="str">
            <v>瑞穗銀</v>
          </cell>
          <cell r="F76">
            <v>46334</v>
          </cell>
          <cell r="G76">
            <v>1.65</v>
          </cell>
          <cell r="H76">
            <v>4</v>
          </cell>
          <cell r="I76">
            <v>13.049999999999997</v>
          </cell>
          <cell r="J76">
            <v>2.2999999999999998</v>
          </cell>
        </row>
        <row r="77">
          <cell r="C77">
            <v>54501</v>
          </cell>
          <cell r="D77" t="str">
            <v>傳產-其他</v>
          </cell>
          <cell r="E77" t="str">
            <v>土銀</v>
          </cell>
          <cell r="F77">
            <v>46102</v>
          </cell>
          <cell r="G77">
            <v>1.01</v>
          </cell>
          <cell r="H77">
            <v>1.77</v>
          </cell>
          <cell r="I77">
            <v>15.220000000000002</v>
          </cell>
          <cell r="J77">
            <v>2.2999999999999998</v>
          </cell>
        </row>
        <row r="78">
          <cell r="C78">
            <v>54342</v>
          </cell>
          <cell r="D78" t="str">
            <v>電子上游-IC-通路</v>
          </cell>
          <cell r="E78">
            <v>4</v>
          </cell>
          <cell r="F78">
            <v>46202</v>
          </cell>
          <cell r="G78">
            <v>1.28</v>
          </cell>
          <cell r="H78">
            <v>3.66</v>
          </cell>
          <cell r="I78">
            <v>51.66</v>
          </cell>
          <cell r="J78">
            <v>2.7</v>
          </cell>
        </row>
        <row r="79">
          <cell r="C79">
            <v>56086</v>
          </cell>
          <cell r="D79" t="str">
            <v>傳產-航運</v>
          </cell>
          <cell r="E79" t="str">
            <v>陽信</v>
          </cell>
          <cell r="F79">
            <v>46194</v>
          </cell>
          <cell r="G79">
            <v>1.26</v>
          </cell>
          <cell r="H79">
            <v>3.48</v>
          </cell>
          <cell r="I79">
            <v>15.48</v>
          </cell>
          <cell r="J79">
            <v>2.6</v>
          </cell>
        </row>
        <row r="80">
          <cell r="C80">
            <v>56087</v>
          </cell>
          <cell r="D80" t="str">
            <v>傳產-航運</v>
          </cell>
          <cell r="E80" t="str">
            <v>一銀</v>
          </cell>
          <cell r="F80">
            <v>46738</v>
          </cell>
          <cell r="G80">
            <v>2.75</v>
          </cell>
          <cell r="H80">
            <v>6.53</v>
          </cell>
          <cell r="I80">
            <v>24.03</v>
          </cell>
          <cell r="J80">
            <v>2.2999999999999998</v>
          </cell>
        </row>
        <row r="81">
          <cell r="C81">
            <v>59055</v>
          </cell>
          <cell r="D81" t="str">
            <v>傳產-百貨</v>
          </cell>
          <cell r="E81" t="str">
            <v>土銀</v>
          </cell>
          <cell r="F81">
            <v>45795</v>
          </cell>
          <cell r="G81">
            <v>0.17</v>
          </cell>
          <cell r="H81">
            <v>-1.44</v>
          </cell>
          <cell r="I81">
            <v>11.109999999999998</v>
          </cell>
          <cell r="J81">
            <v>2.2000000000000002</v>
          </cell>
        </row>
        <row r="82">
          <cell r="C82">
            <v>61342</v>
          </cell>
          <cell r="D82" t="str">
            <v>電子上游-連接元件</v>
          </cell>
          <cell r="E82" t="str">
            <v>中信銀</v>
          </cell>
          <cell r="F82">
            <v>45822</v>
          </cell>
          <cell r="G82">
            <v>0.24</v>
          </cell>
          <cell r="H82">
            <v>0.73</v>
          </cell>
          <cell r="I82">
            <v>27.180000000000003</v>
          </cell>
          <cell r="J82">
            <v>2.2000000000000002</v>
          </cell>
        </row>
        <row r="83">
          <cell r="C83">
            <v>61394</v>
          </cell>
          <cell r="D83" t="str">
            <v>電子中游-儀器設備工程</v>
          </cell>
          <cell r="E83">
            <v>4</v>
          </cell>
          <cell r="F83">
            <v>46047</v>
          </cell>
          <cell r="G83">
            <v>0.86</v>
          </cell>
          <cell r="H83">
            <v>1.52</v>
          </cell>
          <cell r="I83">
            <v>57.52</v>
          </cell>
          <cell r="J83">
            <v>2.7</v>
          </cell>
        </row>
        <row r="84">
          <cell r="C84">
            <v>61875</v>
          </cell>
          <cell r="D84" t="str">
            <v>電子上游-IC-其他</v>
          </cell>
          <cell r="E84">
            <v>5</v>
          </cell>
          <cell r="F84">
            <v>46578</v>
          </cell>
          <cell r="G84">
            <v>2.3199999999999998</v>
          </cell>
          <cell r="H84">
            <v>6.7</v>
          </cell>
          <cell r="I84">
            <v>41.2</v>
          </cell>
          <cell r="J84">
            <v>2.8</v>
          </cell>
        </row>
        <row r="85">
          <cell r="C85">
            <v>62744</v>
          </cell>
          <cell r="D85" t="str">
            <v>電子上游-PCB-材料設備</v>
          </cell>
          <cell r="E85">
            <v>4</v>
          </cell>
          <cell r="F85">
            <v>46513</v>
          </cell>
          <cell r="G85">
            <v>2.14</v>
          </cell>
          <cell r="H85">
            <v>5.66</v>
          </cell>
          <cell r="I85">
            <v>21.16</v>
          </cell>
          <cell r="J85">
            <v>2.5499999999999998</v>
          </cell>
        </row>
        <row r="86">
          <cell r="C86">
            <v>62756</v>
          </cell>
          <cell r="D86" t="str">
            <v>電子下游-其他</v>
          </cell>
          <cell r="E86" t="str">
            <v>一銀</v>
          </cell>
          <cell r="F86">
            <v>46295</v>
          </cell>
          <cell r="G86">
            <v>1.54</v>
          </cell>
          <cell r="H86">
            <v>2.41</v>
          </cell>
          <cell r="I86">
            <v>89.41</v>
          </cell>
          <cell r="J86">
            <v>2.25</v>
          </cell>
        </row>
        <row r="87">
          <cell r="C87">
            <v>64692</v>
          </cell>
          <cell r="D87" t="str">
            <v>傳產-生技</v>
          </cell>
          <cell r="E87">
            <v>4</v>
          </cell>
          <cell r="F87">
            <v>45912</v>
          </cell>
          <cell r="G87">
            <v>0.49</v>
          </cell>
          <cell r="H87">
            <v>1.67</v>
          </cell>
          <cell r="I87">
            <v>6.67</v>
          </cell>
          <cell r="J87">
            <v>3</v>
          </cell>
        </row>
        <row r="88">
          <cell r="C88">
            <v>65841</v>
          </cell>
          <cell r="D88" t="str">
            <v>傳產-鋼鐵</v>
          </cell>
          <cell r="E88" t="str">
            <v>彰銀</v>
          </cell>
          <cell r="F88">
            <v>46324</v>
          </cell>
          <cell r="G88">
            <v>1.62</v>
          </cell>
          <cell r="H88">
            <v>2.92</v>
          </cell>
          <cell r="I88">
            <v>11.92</v>
          </cell>
          <cell r="J88">
            <v>2.2999999999999998</v>
          </cell>
        </row>
        <row r="89">
          <cell r="C89">
            <v>65851</v>
          </cell>
          <cell r="D89" t="str">
            <v>傳產-塑膠</v>
          </cell>
          <cell r="E89" t="str">
            <v>一銀</v>
          </cell>
          <cell r="F89">
            <v>46321</v>
          </cell>
          <cell r="G89">
            <v>1.61</v>
          </cell>
          <cell r="H89">
            <v>3.9</v>
          </cell>
          <cell r="I89">
            <v>41.9</v>
          </cell>
          <cell r="J89">
            <v>2.2999999999999998</v>
          </cell>
        </row>
        <row r="90">
          <cell r="C90">
            <v>65931</v>
          </cell>
          <cell r="D90" t="str">
            <v>軟體-系統整合</v>
          </cell>
          <cell r="E90" t="str">
            <v>台新</v>
          </cell>
          <cell r="F90">
            <v>46005</v>
          </cell>
          <cell r="G90">
            <v>0.75</v>
          </cell>
          <cell r="H90">
            <v>1.85</v>
          </cell>
          <cell r="I90">
            <v>199.85</v>
          </cell>
          <cell r="J90">
            <v>2.2000000000000002</v>
          </cell>
        </row>
        <row r="91">
          <cell r="C91">
            <v>66241</v>
          </cell>
          <cell r="D91" t="str">
            <v>傳產-其他</v>
          </cell>
          <cell r="E91" t="str">
            <v>土銀</v>
          </cell>
          <cell r="F91">
            <v>46573</v>
          </cell>
          <cell r="G91">
            <v>2.2999999999999998</v>
          </cell>
          <cell r="H91">
            <v>4.74</v>
          </cell>
          <cell r="I91">
            <v>11.339999999999995</v>
          </cell>
          <cell r="J91">
            <v>2.2999999999999998</v>
          </cell>
        </row>
        <row r="92">
          <cell r="C92">
            <v>66451</v>
          </cell>
          <cell r="D92" t="e">
            <v>#N/A</v>
          </cell>
          <cell r="E92" t="str">
            <v>華南</v>
          </cell>
          <cell r="F92">
            <v>46360</v>
          </cell>
          <cell r="G92">
            <v>1.72</v>
          </cell>
          <cell r="H92">
            <v>2.16</v>
          </cell>
          <cell r="I92">
            <v>9.0600000000000058</v>
          </cell>
          <cell r="J92">
            <v>2.2999999999999998</v>
          </cell>
        </row>
        <row r="93">
          <cell r="C93">
            <v>66701</v>
          </cell>
          <cell r="D93" t="str">
            <v>傳產-高爾夫球</v>
          </cell>
          <cell r="E93">
            <v>3</v>
          </cell>
          <cell r="F93">
            <v>45758</v>
          </cell>
          <cell r="G93">
            <v>7.0000000000000007E-2</v>
          </cell>
          <cell r="H93">
            <v>0.38</v>
          </cell>
          <cell r="I93">
            <v>94.38</v>
          </cell>
          <cell r="J93">
            <v>2.6</v>
          </cell>
        </row>
        <row r="94">
          <cell r="C94">
            <v>67531</v>
          </cell>
          <cell r="D94" t="str">
            <v>傳產-航運</v>
          </cell>
          <cell r="E94">
            <v>5</v>
          </cell>
          <cell r="F94">
            <v>46563</v>
          </cell>
          <cell r="G94">
            <v>2.27</v>
          </cell>
          <cell r="H94">
            <v>7.58</v>
          </cell>
          <cell r="I94">
            <v>14.230000000000006</v>
          </cell>
          <cell r="J94">
            <v>3.25</v>
          </cell>
        </row>
        <row r="95">
          <cell r="C95">
            <v>68061</v>
          </cell>
          <cell r="D95" t="str">
            <v>電子下游-太陽能</v>
          </cell>
          <cell r="E95" t="str">
            <v>台銀/台企銀等6家聯擔</v>
          </cell>
          <cell r="F95">
            <v>46348</v>
          </cell>
          <cell r="G95">
            <v>1.68</v>
          </cell>
          <cell r="H95">
            <v>3.98</v>
          </cell>
          <cell r="I95">
            <v>11.880000000000006</v>
          </cell>
          <cell r="J95">
            <v>2.25</v>
          </cell>
        </row>
        <row r="96">
          <cell r="C96">
            <v>68541</v>
          </cell>
          <cell r="D96" t="e">
            <v>#N/A</v>
          </cell>
          <cell r="E96" t="str">
            <v>中信銀</v>
          </cell>
          <cell r="F96">
            <v>46445</v>
          </cell>
          <cell r="G96">
            <v>1.95</v>
          </cell>
          <cell r="H96">
            <v>3.68</v>
          </cell>
          <cell r="I96">
            <v>14.18</v>
          </cell>
          <cell r="J96">
            <v>2.2999999999999998</v>
          </cell>
        </row>
        <row r="97">
          <cell r="C97">
            <v>68631</v>
          </cell>
          <cell r="D97" t="str">
            <v>電子下游-掃描器</v>
          </cell>
          <cell r="E97">
            <v>5</v>
          </cell>
          <cell r="F97">
            <v>46675</v>
          </cell>
          <cell r="G97">
            <v>2.58</v>
          </cell>
          <cell r="H97">
            <v>10.52</v>
          </cell>
          <cell r="I97">
            <v>15.970000000000002</v>
          </cell>
          <cell r="J97">
            <v>4</v>
          </cell>
        </row>
        <row r="98">
          <cell r="C98">
            <v>80506</v>
          </cell>
          <cell r="D98" t="str">
            <v>電子下游-工業電腦</v>
          </cell>
          <cell r="E98">
            <v>5</v>
          </cell>
          <cell r="F98">
            <v>45983</v>
          </cell>
          <cell r="G98">
            <v>0.68</v>
          </cell>
          <cell r="H98">
            <v>1.66</v>
          </cell>
          <cell r="I98">
            <v>15.66</v>
          </cell>
          <cell r="J98">
            <v>3.25</v>
          </cell>
        </row>
        <row r="99">
          <cell r="C99">
            <v>80914</v>
          </cell>
          <cell r="D99" t="str">
            <v>電子上游-IC-製造</v>
          </cell>
          <cell r="E99">
            <v>5</v>
          </cell>
          <cell r="F99">
            <v>46249</v>
          </cell>
          <cell r="G99">
            <v>1.41</v>
          </cell>
          <cell r="H99">
            <v>4.1100000000000003</v>
          </cell>
          <cell r="I99">
            <v>17.060000000000002</v>
          </cell>
          <cell r="J99">
            <v>2.95</v>
          </cell>
        </row>
        <row r="100">
          <cell r="C100">
            <v>81551</v>
          </cell>
          <cell r="D100" t="str">
            <v>電子上游-PCB-製造</v>
          </cell>
          <cell r="E100">
            <v>4</v>
          </cell>
          <cell r="F100">
            <v>46762</v>
          </cell>
          <cell r="G100">
            <v>2.82</v>
          </cell>
          <cell r="H100">
            <v>8.1</v>
          </cell>
          <cell r="I100">
            <v>23.15</v>
          </cell>
          <cell r="J100">
            <v>2.8</v>
          </cell>
        </row>
        <row r="101">
          <cell r="C101">
            <v>82101</v>
          </cell>
          <cell r="D101" t="str">
            <v>電子中游-機殼</v>
          </cell>
          <cell r="E101">
            <v>4</v>
          </cell>
          <cell r="F101">
            <v>46406</v>
          </cell>
          <cell r="G101">
            <v>1.84</v>
          </cell>
          <cell r="H101">
            <v>5.17</v>
          </cell>
          <cell r="I101">
            <v>22.120000000000005</v>
          </cell>
          <cell r="J101">
            <v>2.7</v>
          </cell>
        </row>
        <row r="102">
          <cell r="C102">
            <v>82551</v>
          </cell>
          <cell r="D102" t="str">
            <v>傳產-汽車零組件</v>
          </cell>
          <cell r="E102">
            <v>4</v>
          </cell>
          <cell r="F102">
            <v>46243</v>
          </cell>
          <cell r="G102">
            <v>1.4</v>
          </cell>
          <cell r="H102">
            <v>3.98</v>
          </cell>
          <cell r="I102">
            <v>11.430000000000003</v>
          </cell>
          <cell r="J102">
            <v>2.7</v>
          </cell>
        </row>
        <row r="103">
          <cell r="C103">
            <v>82992</v>
          </cell>
          <cell r="D103" t="str">
            <v>電子上游-IC-設計</v>
          </cell>
          <cell r="E103">
            <v>3</v>
          </cell>
          <cell r="F103">
            <v>46410</v>
          </cell>
          <cell r="G103">
            <v>1.85</v>
          </cell>
          <cell r="H103">
            <v>4.92</v>
          </cell>
          <cell r="I103">
            <v>22.72</v>
          </cell>
          <cell r="J103">
            <v>2.5499999999999998</v>
          </cell>
        </row>
        <row r="104">
          <cell r="C104">
            <v>84221</v>
          </cell>
          <cell r="D104" t="str">
            <v>傳產-其他</v>
          </cell>
          <cell r="E104">
            <v>4</v>
          </cell>
          <cell r="F104">
            <v>45983</v>
          </cell>
          <cell r="G104">
            <v>0.68</v>
          </cell>
          <cell r="H104">
            <v>1.35</v>
          </cell>
          <cell r="I104">
            <v>22.800000000000004</v>
          </cell>
          <cell r="J104">
            <v>2.8</v>
          </cell>
        </row>
        <row r="105">
          <cell r="C105">
            <v>84422</v>
          </cell>
          <cell r="D105" t="str">
            <v>傳產-其他</v>
          </cell>
          <cell r="E105" t="str">
            <v>北富銀</v>
          </cell>
          <cell r="F105">
            <v>46314</v>
          </cell>
          <cell r="G105">
            <v>1.59</v>
          </cell>
          <cell r="H105">
            <v>3.86</v>
          </cell>
          <cell r="I105">
            <v>43.36</v>
          </cell>
          <cell r="J105">
            <v>2.2999999999999998</v>
          </cell>
        </row>
        <row r="106">
          <cell r="C106">
            <v>84881</v>
          </cell>
          <cell r="D106" t="str">
            <v>傳產-其他</v>
          </cell>
          <cell r="E106" t="str">
            <v>玉山/臺工銀</v>
          </cell>
          <cell r="F106">
            <v>46375</v>
          </cell>
          <cell r="G106">
            <v>1.76</v>
          </cell>
          <cell r="H106">
            <v>4.25</v>
          </cell>
          <cell r="I106">
            <v>5.75</v>
          </cell>
          <cell r="J106">
            <v>2.2999999999999998</v>
          </cell>
        </row>
        <row r="107">
          <cell r="C107">
            <v>84891</v>
          </cell>
          <cell r="D107" t="str">
            <v>傳產-其他</v>
          </cell>
          <cell r="E107" t="str">
            <v>上海</v>
          </cell>
          <cell r="F107">
            <v>46365</v>
          </cell>
          <cell r="G107">
            <v>1.73</v>
          </cell>
          <cell r="H107">
            <v>3.98</v>
          </cell>
          <cell r="I107">
            <v>13.98</v>
          </cell>
          <cell r="J107">
            <v>2.2999999999999998</v>
          </cell>
        </row>
        <row r="108">
          <cell r="C108">
            <v>89277</v>
          </cell>
          <cell r="D108" t="str">
            <v>傳產-其他</v>
          </cell>
          <cell r="E108" t="str">
            <v>合庫</v>
          </cell>
          <cell r="F108">
            <v>46615</v>
          </cell>
          <cell r="G108">
            <v>2.42</v>
          </cell>
          <cell r="H108">
            <v>4.26</v>
          </cell>
          <cell r="I108">
            <v>21.259999999999998</v>
          </cell>
          <cell r="J108">
            <v>2.2999999999999998</v>
          </cell>
        </row>
        <row r="109">
          <cell r="C109">
            <v>99332</v>
          </cell>
          <cell r="D109" t="str">
            <v>傳產-其他</v>
          </cell>
          <cell r="E109">
            <v>3</v>
          </cell>
          <cell r="F109">
            <v>46591</v>
          </cell>
          <cell r="G109">
            <v>2.35</v>
          </cell>
          <cell r="H109">
            <v>5.84</v>
          </cell>
          <cell r="I109">
            <v>9.84</v>
          </cell>
          <cell r="J109">
            <v>2.4</v>
          </cell>
        </row>
        <row r="110">
          <cell r="C110"/>
          <cell r="D110"/>
          <cell r="E110"/>
          <cell r="F110"/>
          <cell r="G110"/>
          <cell r="H110"/>
          <cell r="I110"/>
          <cell r="J110"/>
        </row>
        <row r="111">
          <cell r="C111"/>
          <cell r="D111"/>
          <cell r="E111"/>
          <cell r="F111"/>
          <cell r="G111"/>
          <cell r="H111"/>
          <cell r="I111"/>
          <cell r="J111"/>
        </row>
        <row r="112">
          <cell r="C112"/>
          <cell r="D112"/>
          <cell r="E112"/>
          <cell r="F112"/>
          <cell r="G112"/>
          <cell r="H112"/>
          <cell r="I112"/>
          <cell r="J112"/>
        </row>
        <row r="113">
          <cell r="C113"/>
          <cell r="D113"/>
          <cell r="E113"/>
          <cell r="F113"/>
          <cell r="G113"/>
          <cell r="H113"/>
          <cell r="I113"/>
          <cell r="J113"/>
        </row>
        <row r="114">
          <cell r="C114"/>
          <cell r="D114"/>
          <cell r="E114"/>
          <cell r="F114"/>
          <cell r="G114"/>
          <cell r="H114"/>
          <cell r="I114"/>
          <cell r="J114"/>
        </row>
        <row r="115">
          <cell r="C115"/>
          <cell r="D115"/>
          <cell r="E115"/>
          <cell r="F115"/>
          <cell r="G115"/>
          <cell r="H115"/>
          <cell r="I115"/>
          <cell r="J115"/>
        </row>
        <row r="116">
          <cell r="C116"/>
          <cell r="D116"/>
          <cell r="E116"/>
          <cell r="F116"/>
          <cell r="G116"/>
          <cell r="H116"/>
          <cell r="I116"/>
          <cell r="J116"/>
        </row>
        <row r="117">
          <cell r="C117"/>
          <cell r="D117"/>
          <cell r="E117"/>
          <cell r="F117"/>
          <cell r="G117"/>
          <cell r="H117"/>
          <cell r="I117"/>
          <cell r="J117"/>
        </row>
        <row r="118">
          <cell r="C118"/>
          <cell r="D118"/>
          <cell r="E118"/>
          <cell r="F118"/>
          <cell r="G118"/>
          <cell r="H118"/>
          <cell r="I118"/>
          <cell r="J118"/>
        </row>
        <row r="119">
          <cell r="C119"/>
          <cell r="D119"/>
          <cell r="E119"/>
          <cell r="F119"/>
          <cell r="G119"/>
          <cell r="H119"/>
          <cell r="I119"/>
          <cell r="J119"/>
        </row>
        <row r="120">
          <cell r="C120"/>
          <cell r="D120"/>
          <cell r="E120"/>
          <cell r="F120"/>
          <cell r="G120"/>
          <cell r="H120"/>
          <cell r="I120"/>
          <cell r="J120"/>
        </row>
        <row r="121">
          <cell r="C121"/>
          <cell r="D121"/>
          <cell r="E121"/>
          <cell r="F121"/>
          <cell r="G121"/>
          <cell r="H121"/>
          <cell r="I121"/>
          <cell r="J121"/>
        </row>
        <row r="122">
          <cell r="C122"/>
          <cell r="D122"/>
          <cell r="E122"/>
          <cell r="F122"/>
          <cell r="G122"/>
          <cell r="H122"/>
          <cell r="I122"/>
          <cell r="J122"/>
        </row>
      </sheetData>
      <sheetData sheetId="3">
        <row r="1">
          <cell r="B1"/>
          <cell r="C1"/>
          <cell r="D1"/>
          <cell r="E1"/>
          <cell r="F1"/>
          <cell r="G1"/>
          <cell r="H1"/>
          <cell r="I1"/>
        </row>
        <row r="2">
          <cell r="B2">
            <v>45782</v>
          </cell>
          <cell r="C2"/>
          <cell r="I2"/>
        </row>
        <row r="3">
          <cell r="B3"/>
          <cell r="C3"/>
          <cell r="I3"/>
        </row>
        <row r="4">
          <cell r="B4" t="str">
            <v>可轉債代碼</v>
          </cell>
          <cell r="C4" t="str">
            <v>擔保銀行/信用評等(TCRI)</v>
          </cell>
          <cell r="D4" t="str">
            <v>權利金(佰元報價)</v>
          </cell>
          <cell r="E4" t="str">
            <v>選擇權到期日</v>
          </cell>
          <cell r="F4" t="str">
            <v>賣回價格(A)</v>
          </cell>
          <cell r="G4" t="str">
            <v>賣回日期(B)</v>
          </cell>
          <cell r="H4" t="str">
            <v>剩餘年期</v>
          </cell>
          <cell r="I4" t="str">
            <v>折現率(C)</v>
          </cell>
        </row>
        <row r="5">
          <cell r="B5"/>
          <cell r="C5"/>
          <cell r="D5"/>
          <cell r="E5"/>
          <cell r="F5"/>
          <cell r="G5"/>
          <cell r="H5"/>
          <cell r="I5"/>
        </row>
        <row r="6">
          <cell r="B6">
            <v>11011</v>
          </cell>
          <cell r="C6" t="str">
            <v>twA+</v>
          </cell>
          <cell r="D6">
            <v>7.84</v>
          </cell>
          <cell r="E6">
            <v>46717</v>
          </cell>
          <cell r="F6">
            <v>100</v>
          </cell>
          <cell r="G6">
            <v>46731</v>
          </cell>
          <cell r="H6">
            <v>2.6</v>
          </cell>
          <cell r="I6">
            <v>2.9000000000000001E-2</v>
          </cell>
        </row>
        <row r="7">
          <cell r="B7">
            <v>13164</v>
          </cell>
          <cell r="C7" t="str">
            <v>富邦銀</v>
          </cell>
          <cell r="D7">
            <v>2</v>
          </cell>
          <cell r="E7">
            <v>46037</v>
          </cell>
          <cell r="F7">
            <v>100</v>
          </cell>
          <cell r="G7">
            <v>46051</v>
          </cell>
          <cell r="H7">
            <v>0.73698630136986298</v>
          </cell>
          <cell r="I7">
            <v>2.3E-2</v>
          </cell>
        </row>
        <row r="8">
          <cell r="B8">
            <v>13166</v>
          </cell>
          <cell r="C8" t="str">
            <v>板信銀</v>
          </cell>
          <cell r="D8">
            <v>3.76</v>
          </cell>
          <cell r="E8">
            <v>46369</v>
          </cell>
          <cell r="F8">
            <v>100.5</v>
          </cell>
          <cell r="G8">
            <v>46383</v>
          </cell>
          <cell r="H8">
            <v>1.6465753424657534</v>
          </cell>
          <cell r="I8">
            <v>2.4E-2</v>
          </cell>
        </row>
        <row r="9">
          <cell r="B9">
            <v>14362</v>
          </cell>
          <cell r="C9" t="str">
            <v>一銀</v>
          </cell>
          <cell r="D9">
            <v>1.6300000000000001</v>
          </cell>
          <cell r="E9">
            <v>45978</v>
          </cell>
          <cell r="F9">
            <v>100</v>
          </cell>
          <cell r="G9">
            <v>45992</v>
          </cell>
          <cell r="H9">
            <v>0.57534246575342463</v>
          </cell>
          <cell r="I9">
            <v>2.3E-2</v>
          </cell>
        </row>
        <row r="10">
          <cell r="B10">
            <v>14381</v>
          </cell>
          <cell r="C10" t="str">
            <v>台中商銀</v>
          </cell>
          <cell r="D10">
            <v>4.8299999999999992</v>
          </cell>
          <cell r="E10">
            <v>46726</v>
          </cell>
          <cell r="F10">
            <v>101.50749999999999</v>
          </cell>
          <cell r="G10">
            <v>46740</v>
          </cell>
          <cell r="H10">
            <v>2.6246575342465754</v>
          </cell>
          <cell r="I10">
            <v>2.3E-2</v>
          </cell>
        </row>
        <row r="11">
          <cell r="B11">
            <v>15142</v>
          </cell>
          <cell r="C11" t="str">
            <v>6</v>
          </cell>
          <cell r="D11">
            <v>8.31</v>
          </cell>
          <cell r="E11">
            <v>46751</v>
          </cell>
          <cell r="F11">
            <v>100.75190000000001</v>
          </cell>
          <cell r="G11">
            <v>46765</v>
          </cell>
          <cell r="H11">
            <v>2.6931506849315068</v>
          </cell>
          <cell r="I11">
            <v>3.2500000000000001E-2</v>
          </cell>
        </row>
        <row r="12">
          <cell r="B12">
            <v>15364</v>
          </cell>
          <cell r="C12" t="str">
            <v>6</v>
          </cell>
          <cell r="D12">
            <v>5.0699999999999994</v>
          </cell>
          <cell r="E12">
            <v>46232</v>
          </cell>
          <cell r="F12">
            <v>100</v>
          </cell>
          <cell r="G12">
            <v>46246</v>
          </cell>
          <cell r="H12">
            <v>1.2712328767123289</v>
          </cell>
          <cell r="I12">
            <v>3.7499999999999999E-2</v>
          </cell>
        </row>
        <row r="13">
          <cell r="B13">
            <v>15601</v>
          </cell>
          <cell r="C13" t="str">
            <v>4</v>
          </cell>
          <cell r="D13">
            <v>6.18</v>
          </cell>
          <cell r="E13">
            <v>46548</v>
          </cell>
          <cell r="F13">
            <v>100</v>
          </cell>
          <cell r="G13">
            <v>46562</v>
          </cell>
          <cell r="H13">
            <v>2.1369863013698631</v>
          </cell>
          <cell r="I13">
            <v>2.75E-2</v>
          </cell>
        </row>
        <row r="14">
          <cell r="B14">
            <v>15864</v>
          </cell>
          <cell r="C14" t="str">
            <v>合庫</v>
          </cell>
          <cell r="D14">
            <v>3.3399999999999994</v>
          </cell>
          <cell r="E14">
            <v>46250</v>
          </cell>
          <cell r="F14">
            <v>100</v>
          </cell>
          <cell r="G14">
            <v>46264</v>
          </cell>
          <cell r="H14">
            <v>1.3205479452054794</v>
          </cell>
          <cell r="I14">
            <v>2.3E-2</v>
          </cell>
        </row>
        <row r="15">
          <cell r="B15">
            <v>15991</v>
          </cell>
          <cell r="C15" t="str">
            <v>富邦銀</v>
          </cell>
          <cell r="D15">
            <v>1.55</v>
          </cell>
          <cell r="E15">
            <v>45965</v>
          </cell>
          <cell r="F15">
            <v>100</v>
          </cell>
          <cell r="G15">
            <v>45979</v>
          </cell>
          <cell r="H15">
            <v>0.53972602739726028</v>
          </cell>
          <cell r="I15">
            <v>2.3E-2</v>
          </cell>
        </row>
        <row r="16">
          <cell r="B16">
            <v>16095</v>
          </cell>
          <cell r="C16" t="str">
            <v>5</v>
          </cell>
          <cell r="D16">
            <v>7.97</v>
          </cell>
          <cell r="E16">
            <v>46646</v>
          </cell>
          <cell r="F16">
            <v>100.75</v>
          </cell>
          <cell r="G16">
            <v>46660</v>
          </cell>
          <cell r="H16">
            <v>2.4054794520547946</v>
          </cell>
          <cell r="I16">
            <v>3.5000000000000003E-2</v>
          </cell>
        </row>
        <row r="17">
          <cell r="B17">
            <v>17813</v>
          </cell>
          <cell r="C17" t="str">
            <v>華南銀</v>
          </cell>
          <cell r="D17">
            <v>5.8</v>
          </cell>
          <cell r="E17">
            <v>46640</v>
          </cell>
          <cell r="F17">
            <v>100</v>
          </cell>
          <cell r="G17">
            <v>46654</v>
          </cell>
          <cell r="H17">
            <v>2.3890410958904109</v>
          </cell>
          <cell r="I17">
            <v>2.3E-2</v>
          </cell>
        </row>
        <row r="18">
          <cell r="B18">
            <v>23682</v>
          </cell>
          <cell r="C18" t="str">
            <v>4</v>
          </cell>
          <cell r="D18">
            <v>4.67</v>
          </cell>
          <cell r="E18">
            <v>46347</v>
          </cell>
          <cell r="F18">
            <v>100</v>
          </cell>
          <cell r="G18">
            <v>46361</v>
          </cell>
          <cell r="H18">
            <v>1.5863013698630137</v>
          </cell>
          <cell r="I18">
            <v>2.75E-2</v>
          </cell>
        </row>
        <row r="19">
          <cell r="B19">
            <v>23836</v>
          </cell>
          <cell r="C19" t="str">
            <v>3</v>
          </cell>
          <cell r="D19">
            <v>6.2799999999999994</v>
          </cell>
          <cell r="E19">
            <v>46641</v>
          </cell>
          <cell r="F19">
            <v>100</v>
          </cell>
          <cell r="G19">
            <v>46655</v>
          </cell>
          <cell r="H19">
            <v>2.3917808219178083</v>
          </cell>
          <cell r="I19">
            <v>2.5000000000000001E-2</v>
          </cell>
        </row>
        <row r="20">
          <cell r="B20">
            <v>23837</v>
          </cell>
          <cell r="C20" t="str">
            <v>3</v>
          </cell>
          <cell r="D20">
            <v>13.6</v>
          </cell>
          <cell r="E20">
            <v>47386</v>
          </cell>
          <cell r="F20">
            <v>100</v>
          </cell>
          <cell r="G20">
            <v>47400</v>
          </cell>
          <cell r="H20">
            <v>4.4328767123287669</v>
          </cell>
          <cell r="I20">
            <v>0.03</v>
          </cell>
        </row>
        <row r="21">
          <cell r="B21">
            <v>24394</v>
          </cell>
          <cell r="C21" t="str">
            <v>3</v>
          </cell>
          <cell r="D21">
            <v>5.9799999999999995</v>
          </cell>
          <cell r="E21">
            <v>46564</v>
          </cell>
          <cell r="F21">
            <v>100</v>
          </cell>
          <cell r="G21">
            <v>46578</v>
          </cell>
          <cell r="H21">
            <v>2.1808219178082191</v>
          </cell>
          <cell r="I21">
            <v>2.5999999999999999E-2</v>
          </cell>
        </row>
        <row r="22">
          <cell r="B22">
            <v>24395</v>
          </cell>
          <cell r="C22" t="str">
            <v>3</v>
          </cell>
          <cell r="D22">
            <v>6.06</v>
          </cell>
          <cell r="E22">
            <v>46576</v>
          </cell>
          <cell r="F22">
            <v>100</v>
          </cell>
          <cell r="G22">
            <v>46590</v>
          </cell>
          <cell r="H22">
            <v>2.2136986301369861</v>
          </cell>
          <cell r="I22">
            <v>2.5999999999999999E-2</v>
          </cell>
        </row>
        <row r="23">
          <cell r="B23">
            <v>24616</v>
          </cell>
          <cell r="C23" t="str">
            <v>台中商銀</v>
          </cell>
          <cell r="D23">
            <v>2.3399999999999994</v>
          </cell>
          <cell r="E23">
            <v>46091</v>
          </cell>
          <cell r="F23">
            <v>100</v>
          </cell>
          <cell r="G23">
            <v>46105</v>
          </cell>
          <cell r="H23">
            <v>0.8849315068493151</v>
          </cell>
          <cell r="I23">
            <v>2.3E-2</v>
          </cell>
        </row>
        <row r="24">
          <cell r="B24">
            <v>24762</v>
          </cell>
          <cell r="C24" t="str">
            <v>4</v>
          </cell>
          <cell r="D24">
            <v>5.0599999999999996</v>
          </cell>
          <cell r="E24">
            <v>46399</v>
          </cell>
          <cell r="F24">
            <v>100</v>
          </cell>
          <cell r="G24">
            <v>46413</v>
          </cell>
          <cell r="H24">
            <v>1.7287671232876711</v>
          </cell>
          <cell r="I24">
            <v>2.75E-2</v>
          </cell>
        </row>
        <row r="25">
          <cell r="B25">
            <v>25283</v>
          </cell>
          <cell r="C25" t="str">
            <v>元大銀</v>
          </cell>
          <cell r="D25">
            <v>5.67</v>
          </cell>
          <cell r="E25">
            <v>46738</v>
          </cell>
          <cell r="F25">
            <v>100.752</v>
          </cell>
          <cell r="G25">
            <v>46752</v>
          </cell>
          <cell r="H25">
            <v>2.6575342465753424</v>
          </cell>
          <cell r="I25">
            <v>2.3E-2</v>
          </cell>
        </row>
        <row r="26">
          <cell r="B26">
            <v>26107</v>
          </cell>
          <cell r="C26" t="str">
            <v>twBBB+</v>
          </cell>
          <cell r="D26">
            <v>2.76</v>
          </cell>
          <cell r="E26">
            <v>46126</v>
          </cell>
          <cell r="F26">
            <v>100</v>
          </cell>
          <cell r="G26">
            <v>46140</v>
          </cell>
          <cell r="H26">
            <v>0.98082191780821915</v>
          </cell>
          <cell r="I26">
            <v>2.5000000000000001E-2</v>
          </cell>
        </row>
        <row r="27">
          <cell r="B27">
            <v>27271</v>
          </cell>
          <cell r="C27" t="str">
            <v>4</v>
          </cell>
          <cell r="D27">
            <v>2.25</v>
          </cell>
          <cell r="E27">
            <v>46096</v>
          </cell>
          <cell r="F27">
            <v>100.75190000000001</v>
          </cell>
          <cell r="G27">
            <v>46110</v>
          </cell>
          <cell r="H27">
            <v>0.89863013698630134</v>
          </cell>
          <cell r="I27">
            <v>0.03</v>
          </cell>
        </row>
        <row r="28">
          <cell r="B28">
            <v>30134</v>
          </cell>
          <cell r="C28" t="str">
            <v>中信銀/兆豐銀</v>
          </cell>
          <cell r="D28">
            <v>5.9499999999999993</v>
          </cell>
          <cell r="E28">
            <v>46664</v>
          </cell>
          <cell r="F28">
            <v>100</v>
          </cell>
          <cell r="G28">
            <v>46678</v>
          </cell>
          <cell r="H28">
            <v>2.4547945205479453</v>
          </cell>
          <cell r="I28">
            <v>2.3E-2</v>
          </cell>
        </row>
        <row r="29">
          <cell r="B29">
            <v>30238</v>
          </cell>
          <cell r="C29" t="str">
            <v>4</v>
          </cell>
          <cell r="D29">
            <v>1.82</v>
          </cell>
          <cell r="E29">
            <v>45989</v>
          </cell>
          <cell r="F29">
            <v>100</v>
          </cell>
          <cell r="G29">
            <v>46003</v>
          </cell>
          <cell r="H29">
            <v>0.60547945205479448</v>
          </cell>
          <cell r="I29">
            <v>2.5000000000000001E-2</v>
          </cell>
        </row>
        <row r="30">
          <cell r="B30">
            <v>30337</v>
          </cell>
          <cell r="C30" t="str">
            <v>6</v>
          </cell>
          <cell r="D30">
            <v>9.1300000000000008</v>
          </cell>
          <cell r="E30">
            <v>46627</v>
          </cell>
          <cell r="F30">
            <v>100</v>
          </cell>
          <cell r="G30">
            <v>46641</v>
          </cell>
          <cell r="H30">
            <v>2.3534246575342466</v>
          </cell>
          <cell r="I30">
            <v>3.7499999999999999E-2</v>
          </cell>
        </row>
        <row r="31">
          <cell r="B31">
            <v>30454</v>
          </cell>
          <cell r="C31" t="str">
            <v>2</v>
          </cell>
          <cell r="D31">
            <v>6.76</v>
          </cell>
          <cell r="E31">
            <v>46793</v>
          </cell>
          <cell r="F31">
            <v>100</v>
          </cell>
          <cell r="G31">
            <v>46807</v>
          </cell>
          <cell r="H31">
            <v>2.8082191780821919</v>
          </cell>
          <cell r="I31">
            <v>2.3E-2</v>
          </cell>
        </row>
        <row r="32">
          <cell r="B32">
            <v>30455</v>
          </cell>
          <cell r="C32" t="str">
            <v>2</v>
          </cell>
          <cell r="D32">
            <v>6.77</v>
          </cell>
          <cell r="E32">
            <v>46794</v>
          </cell>
          <cell r="F32">
            <v>100</v>
          </cell>
          <cell r="G32">
            <v>46808</v>
          </cell>
          <cell r="H32">
            <v>2.8109589041095893</v>
          </cell>
          <cell r="I32">
            <v>2.3E-2</v>
          </cell>
        </row>
        <row r="33">
          <cell r="B33">
            <v>30954</v>
          </cell>
          <cell r="C33" t="str">
            <v>陽信銀</v>
          </cell>
          <cell r="D33">
            <v>4.47</v>
          </cell>
          <cell r="E33">
            <v>46429</v>
          </cell>
          <cell r="F33">
            <v>100</v>
          </cell>
          <cell r="G33">
            <v>46443</v>
          </cell>
          <cell r="H33">
            <v>1.810958904109589</v>
          </cell>
          <cell r="I33">
            <v>2.3E-2</v>
          </cell>
        </row>
        <row r="34">
          <cell r="B34">
            <v>33101</v>
          </cell>
          <cell r="C34" t="str">
            <v>彰銀</v>
          </cell>
          <cell r="D34">
            <v>0.41</v>
          </cell>
          <cell r="E34">
            <v>45904</v>
          </cell>
          <cell r="F34">
            <v>100.75230000000001</v>
          </cell>
          <cell r="G34">
            <v>45918</v>
          </cell>
          <cell r="H34">
            <v>0.37260273972602742</v>
          </cell>
          <cell r="I34">
            <v>2.3E-2</v>
          </cell>
        </row>
        <row r="35">
          <cell r="B35">
            <v>33133</v>
          </cell>
          <cell r="C35" t="str">
            <v>元大銀</v>
          </cell>
          <cell r="D35">
            <v>6.22</v>
          </cell>
          <cell r="E35">
            <v>46706</v>
          </cell>
          <cell r="F35">
            <v>100</v>
          </cell>
          <cell r="G35">
            <v>46720</v>
          </cell>
          <cell r="H35">
            <v>2.56986301369863</v>
          </cell>
          <cell r="I35">
            <v>2.3E-2</v>
          </cell>
        </row>
        <row r="36">
          <cell r="B36">
            <v>33244</v>
          </cell>
          <cell r="C36" t="str">
            <v>4</v>
          </cell>
          <cell r="D36">
            <v>1.61</v>
          </cell>
          <cell r="E36">
            <v>45959</v>
          </cell>
          <cell r="F36">
            <v>100</v>
          </cell>
          <cell r="G36">
            <v>45973</v>
          </cell>
          <cell r="H36">
            <v>0.52328767123287667</v>
          </cell>
          <cell r="I36">
            <v>2.5000000000000001E-2</v>
          </cell>
        </row>
        <row r="37">
          <cell r="B37">
            <v>33245</v>
          </cell>
          <cell r="C37" t="str">
            <v>4</v>
          </cell>
          <cell r="D37">
            <v>4.9499999999999993</v>
          </cell>
          <cell r="E37">
            <v>46585</v>
          </cell>
          <cell r="F37">
            <v>101.50749999999999</v>
          </cell>
          <cell r="G37">
            <v>46599</v>
          </cell>
          <cell r="H37">
            <v>2.2383561643835614</v>
          </cell>
          <cell r="I37">
            <v>2.75E-2</v>
          </cell>
        </row>
        <row r="38">
          <cell r="B38">
            <v>33571</v>
          </cell>
          <cell r="C38" t="str">
            <v>4</v>
          </cell>
          <cell r="D38">
            <v>4.3999999999999995</v>
          </cell>
          <cell r="E38">
            <v>46312</v>
          </cell>
          <cell r="F38">
            <v>100</v>
          </cell>
          <cell r="G38">
            <v>46326</v>
          </cell>
          <cell r="H38">
            <v>1.4904109589041097</v>
          </cell>
          <cell r="I38">
            <v>2.75E-2</v>
          </cell>
        </row>
        <row r="39">
          <cell r="B39">
            <v>33621</v>
          </cell>
          <cell r="C39" t="str">
            <v>土銀</v>
          </cell>
          <cell r="D39">
            <v>4.6099999999999994</v>
          </cell>
          <cell r="E39">
            <v>46570</v>
          </cell>
          <cell r="F39">
            <v>100.75</v>
          </cell>
          <cell r="G39">
            <v>46584</v>
          </cell>
          <cell r="H39">
            <v>2.1972602739726028</v>
          </cell>
          <cell r="I39">
            <v>2.3E-2</v>
          </cell>
        </row>
        <row r="40">
          <cell r="B40">
            <v>33763</v>
          </cell>
          <cell r="C40" t="str">
            <v>4</v>
          </cell>
          <cell r="D40">
            <v>5.1199999999999992</v>
          </cell>
          <cell r="E40">
            <v>46608</v>
          </cell>
          <cell r="F40">
            <v>101.51</v>
          </cell>
          <cell r="G40">
            <v>46622</v>
          </cell>
          <cell r="H40">
            <v>2.3013698630136985</v>
          </cell>
          <cell r="I40">
            <v>2.75E-2</v>
          </cell>
        </row>
        <row r="41">
          <cell r="B41">
            <v>33881</v>
          </cell>
          <cell r="C41" t="str">
            <v>4</v>
          </cell>
          <cell r="D41">
            <v>1.75</v>
          </cell>
          <cell r="E41">
            <v>45956</v>
          </cell>
          <cell r="F41">
            <v>100</v>
          </cell>
          <cell r="G41">
            <v>45970</v>
          </cell>
          <cell r="H41">
            <v>0.51506849315068493</v>
          </cell>
          <cell r="I41">
            <v>2.8000000000000001E-2</v>
          </cell>
        </row>
        <row r="42">
          <cell r="B42">
            <v>33902</v>
          </cell>
          <cell r="C42" t="str">
            <v>中信銀</v>
          </cell>
          <cell r="D42">
            <v>6.74</v>
          </cell>
          <cell r="E42">
            <v>46790</v>
          </cell>
          <cell r="F42">
            <v>100</v>
          </cell>
          <cell r="G42">
            <v>46804</v>
          </cell>
          <cell r="H42">
            <v>2.8</v>
          </cell>
          <cell r="I42">
            <v>2.3E-2</v>
          </cell>
        </row>
        <row r="43">
          <cell r="B43">
            <v>34341</v>
          </cell>
          <cell r="C43" t="str">
            <v>華南銀</v>
          </cell>
          <cell r="D43">
            <v>4.4799999999999995</v>
          </cell>
          <cell r="E43">
            <v>46431</v>
          </cell>
          <cell r="F43">
            <v>100</v>
          </cell>
          <cell r="G43">
            <v>46445</v>
          </cell>
          <cell r="H43">
            <v>1.8164383561643835</v>
          </cell>
          <cell r="I43">
            <v>2.3E-2</v>
          </cell>
        </row>
        <row r="44">
          <cell r="B44">
            <v>35161</v>
          </cell>
          <cell r="C44" t="str">
            <v>永豐銀</v>
          </cell>
          <cell r="D44">
            <v>5.9499999999999993</v>
          </cell>
          <cell r="E44">
            <v>46664</v>
          </cell>
          <cell r="F44">
            <v>100</v>
          </cell>
          <cell r="G44">
            <v>46678</v>
          </cell>
          <cell r="H44">
            <v>2.4547945205479453</v>
          </cell>
          <cell r="I44">
            <v>2.3E-2</v>
          </cell>
        </row>
        <row r="45">
          <cell r="B45">
            <v>35181</v>
          </cell>
          <cell r="C45" t="str">
            <v>台新銀</v>
          </cell>
          <cell r="D45">
            <v>5.55</v>
          </cell>
          <cell r="E45">
            <v>46600</v>
          </cell>
          <cell r="F45">
            <v>100</v>
          </cell>
          <cell r="G45">
            <v>46614</v>
          </cell>
          <cell r="H45">
            <v>2.2794520547945205</v>
          </cell>
          <cell r="I45">
            <v>2.3E-2</v>
          </cell>
        </row>
        <row r="46">
          <cell r="B46">
            <v>35221</v>
          </cell>
          <cell r="C46" t="str">
            <v>兆豐銀</v>
          </cell>
          <cell r="D46">
            <v>0.73</v>
          </cell>
          <cell r="E46">
            <v>45995</v>
          </cell>
          <cell r="F46">
            <v>101.0025</v>
          </cell>
          <cell r="G46">
            <v>46009</v>
          </cell>
          <cell r="H46">
            <v>0.62191780821917808</v>
          </cell>
          <cell r="I46">
            <v>2.3E-2</v>
          </cell>
        </row>
        <row r="47">
          <cell r="B47">
            <v>35482</v>
          </cell>
          <cell r="C47" t="str">
            <v>4</v>
          </cell>
          <cell r="D47">
            <v>4.92</v>
          </cell>
          <cell r="E47">
            <v>46381</v>
          </cell>
          <cell r="F47">
            <v>100</v>
          </cell>
          <cell r="G47">
            <v>46395</v>
          </cell>
          <cell r="H47">
            <v>1.6794520547945206</v>
          </cell>
          <cell r="I47">
            <v>2.75E-2</v>
          </cell>
        </row>
        <row r="48">
          <cell r="B48">
            <v>35483</v>
          </cell>
          <cell r="C48" t="str">
            <v>4</v>
          </cell>
          <cell r="D48">
            <v>8.0400000000000009</v>
          </cell>
          <cell r="E48">
            <v>46794</v>
          </cell>
          <cell r="F48">
            <v>100</v>
          </cell>
          <cell r="G48">
            <v>46808</v>
          </cell>
          <cell r="H48">
            <v>2.8109589041095893</v>
          </cell>
          <cell r="I48">
            <v>2.75E-2</v>
          </cell>
        </row>
        <row r="49">
          <cell r="B49">
            <v>35832</v>
          </cell>
          <cell r="C49" t="str">
            <v>5</v>
          </cell>
          <cell r="D49">
            <v>4.8</v>
          </cell>
          <cell r="E49">
            <v>46178</v>
          </cell>
          <cell r="F49">
            <v>100</v>
          </cell>
          <cell r="G49">
            <v>46192</v>
          </cell>
          <cell r="H49">
            <v>1.1232876712328768</v>
          </cell>
          <cell r="I49">
            <v>0.04</v>
          </cell>
        </row>
        <row r="50">
          <cell r="B50">
            <v>35871</v>
          </cell>
          <cell r="C50" t="str">
            <v>4</v>
          </cell>
          <cell r="D50">
            <v>3.3999999999999995</v>
          </cell>
          <cell r="E50">
            <v>46179</v>
          </cell>
          <cell r="F50">
            <v>100</v>
          </cell>
          <cell r="G50">
            <v>46193</v>
          </cell>
          <cell r="H50">
            <v>1.1260273972602739</v>
          </cell>
          <cell r="I50">
            <v>2.75E-2</v>
          </cell>
        </row>
        <row r="51">
          <cell r="B51">
            <v>35914</v>
          </cell>
          <cell r="C51" t="str">
            <v>6</v>
          </cell>
          <cell r="D51">
            <v>11.15</v>
          </cell>
          <cell r="E51">
            <v>46699</v>
          </cell>
          <cell r="F51">
            <v>100</v>
          </cell>
          <cell r="G51">
            <v>46713</v>
          </cell>
          <cell r="H51">
            <v>2.5506849315068494</v>
          </cell>
          <cell r="I51">
            <v>4.2500000000000003E-2</v>
          </cell>
        </row>
        <row r="52">
          <cell r="B52">
            <v>36053</v>
          </cell>
          <cell r="C52" t="str">
            <v>5</v>
          </cell>
          <cell r="D52">
            <v>7.8199999999999994</v>
          </cell>
          <cell r="E52">
            <v>46591</v>
          </cell>
          <cell r="F52">
            <v>101.50749999999999</v>
          </cell>
          <cell r="G52">
            <v>46605</v>
          </cell>
          <cell r="H52">
            <v>2.2547945205479452</v>
          </cell>
          <cell r="I52">
            <v>0.04</v>
          </cell>
        </row>
        <row r="53">
          <cell r="B53">
            <v>36804</v>
          </cell>
          <cell r="C53" t="str">
            <v>5</v>
          </cell>
          <cell r="D53">
            <v>1.9000000000000001</v>
          </cell>
          <cell r="E53">
            <v>45934</v>
          </cell>
          <cell r="F53">
            <v>100</v>
          </cell>
          <cell r="G53">
            <v>45948</v>
          </cell>
          <cell r="H53">
            <v>0.45479452054794522</v>
          </cell>
          <cell r="I53">
            <v>3.5000000000000003E-2</v>
          </cell>
        </row>
        <row r="54">
          <cell r="B54">
            <v>36913</v>
          </cell>
          <cell r="C54" t="str">
            <v>上海銀等</v>
          </cell>
          <cell r="D54">
            <v>5.8699999999999992</v>
          </cell>
          <cell r="E54">
            <v>46615</v>
          </cell>
          <cell r="F54">
            <v>100</v>
          </cell>
          <cell r="G54">
            <v>46629</v>
          </cell>
          <cell r="H54">
            <v>2.3205479452054796</v>
          </cell>
          <cell r="I54">
            <v>2.4E-2</v>
          </cell>
        </row>
        <row r="55">
          <cell r="B55">
            <v>37083</v>
          </cell>
          <cell r="C55" t="str">
            <v>一銀</v>
          </cell>
          <cell r="D55">
            <v>3.5199999999999996</v>
          </cell>
          <cell r="E55">
            <v>46278</v>
          </cell>
          <cell r="F55">
            <v>100</v>
          </cell>
          <cell r="G55">
            <v>46292</v>
          </cell>
          <cell r="H55">
            <v>1.3972602739726028</v>
          </cell>
          <cell r="I55">
            <v>2.3E-2</v>
          </cell>
        </row>
        <row r="56">
          <cell r="B56">
            <v>41234</v>
          </cell>
          <cell r="C56" t="str">
            <v>上海銀</v>
          </cell>
          <cell r="D56">
            <v>1.0900000000000001</v>
          </cell>
          <cell r="E56">
            <v>45893</v>
          </cell>
          <cell r="F56">
            <v>100</v>
          </cell>
          <cell r="G56">
            <v>45907</v>
          </cell>
          <cell r="H56">
            <v>0.34246575342465752</v>
          </cell>
          <cell r="I56">
            <v>2.3E-2</v>
          </cell>
        </row>
        <row r="57">
          <cell r="B57">
            <v>41235</v>
          </cell>
          <cell r="C57" t="str">
            <v>合庫</v>
          </cell>
          <cell r="D57">
            <v>1.1000000000000001</v>
          </cell>
          <cell r="E57">
            <v>45894</v>
          </cell>
          <cell r="F57">
            <v>100</v>
          </cell>
          <cell r="G57">
            <v>45908</v>
          </cell>
          <cell r="H57">
            <v>0.34520547945205482</v>
          </cell>
          <cell r="I57">
            <v>2.3E-2</v>
          </cell>
        </row>
        <row r="58">
          <cell r="B58">
            <v>41236</v>
          </cell>
          <cell r="C58" t="str">
            <v>永豐銀</v>
          </cell>
          <cell r="D58">
            <v>7.1499999999999995</v>
          </cell>
          <cell r="E58">
            <v>46855</v>
          </cell>
          <cell r="F58">
            <v>100</v>
          </cell>
          <cell r="G58">
            <v>46869</v>
          </cell>
          <cell r="H58">
            <v>2.978082191780822</v>
          </cell>
          <cell r="I58">
            <v>2.3E-2</v>
          </cell>
        </row>
        <row r="59">
          <cell r="B59">
            <v>41644</v>
          </cell>
          <cell r="C59" t="str">
            <v>一銀等</v>
          </cell>
          <cell r="D59">
            <v>-1.66</v>
          </cell>
          <cell r="E59">
            <v>45859</v>
          </cell>
          <cell r="F59">
            <v>102.52500000000001</v>
          </cell>
          <cell r="G59">
            <v>45873</v>
          </cell>
          <cell r="H59">
            <v>0.24931506849315069</v>
          </cell>
          <cell r="I59">
            <v>2.3E-2</v>
          </cell>
        </row>
        <row r="60">
          <cell r="B60">
            <v>44163</v>
          </cell>
          <cell r="C60" t="str">
            <v>一銀</v>
          </cell>
          <cell r="D60">
            <v>-0.27999999999999997</v>
          </cell>
          <cell r="E60">
            <v>45916</v>
          </cell>
          <cell r="F60">
            <v>101.51</v>
          </cell>
          <cell r="G60">
            <v>45930</v>
          </cell>
          <cell r="H60">
            <v>0.40547945205479452</v>
          </cell>
          <cell r="I60">
            <v>2.3E-2</v>
          </cell>
        </row>
        <row r="61">
          <cell r="B61">
            <v>44382</v>
          </cell>
          <cell r="C61" t="str">
            <v>4</v>
          </cell>
          <cell r="D61">
            <v>1.46</v>
          </cell>
          <cell r="E61">
            <v>45919</v>
          </cell>
          <cell r="F61">
            <v>100</v>
          </cell>
          <cell r="G61">
            <v>45933</v>
          </cell>
          <cell r="H61">
            <v>0.41369863013698632</v>
          </cell>
          <cell r="I61">
            <v>2.8000000000000001E-2</v>
          </cell>
        </row>
        <row r="62">
          <cell r="B62">
            <v>45401</v>
          </cell>
          <cell r="C62" t="str">
            <v>一銀</v>
          </cell>
          <cell r="D62">
            <v>1.3900000000000001</v>
          </cell>
          <cell r="E62">
            <v>45940</v>
          </cell>
          <cell r="F62">
            <v>100</v>
          </cell>
          <cell r="G62">
            <v>45954</v>
          </cell>
          <cell r="H62">
            <v>0.47123287671232877</v>
          </cell>
          <cell r="I62">
            <v>2.3E-2</v>
          </cell>
        </row>
        <row r="63">
          <cell r="B63">
            <v>45553</v>
          </cell>
          <cell r="C63" t="str">
            <v>彰銀</v>
          </cell>
          <cell r="D63">
            <v>1.08</v>
          </cell>
          <cell r="E63">
            <v>45891</v>
          </cell>
          <cell r="F63">
            <v>100</v>
          </cell>
          <cell r="G63">
            <v>45905</v>
          </cell>
          <cell r="H63">
            <v>0.33698630136986302</v>
          </cell>
          <cell r="I63">
            <v>2.3E-2</v>
          </cell>
        </row>
        <row r="64">
          <cell r="B64">
            <v>45721</v>
          </cell>
          <cell r="C64" t="str">
            <v>6</v>
          </cell>
          <cell r="D64">
            <v>5.09</v>
          </cell>
          <cell r="E64">
            <v>46205</v>
          </cell>
          <cell r="F64">
            <v>100</v>
          </cell>
          <cell r="G64">
            <v>46219</v>
          </cell>
          <cell r="H64">
            <v>1.1972602739726028</v>
          </cell>
          <cell r="I64">
            <v>0.04</v>
          </cell>
        </row>
        <row r="65">
          <cell r="B65">
            <v>47393</v>
          </cell>
          <cell r="C65" t="str">
            <v>彰銀</v>
          </cell>
          <cell r="D65">
            <v>3.7099999999999995</v>
          </cell>
          <cell r="E65">
            <v>46309</v>
          </cell>
          <cell r="F65">
            <v>100</v>
          </cell>
          <cell r="G65">
            <v>46323</v>
          </cell>
          <cell r="H65">
            <v>1.4821917808219178</v>
          </cell>
          <cell r="I65">
            <v>2.3E-2</v>
          </cell>
        </row>
        <row r="66">
          <cell r="B66">
            <v>49066</v>
          </cell>
          <cell r="C66" t="str">
            <v>5</v>
          </cell>
          <cell r="D66">
            <v>4.6099999999999994</v>
          </cell>
          <cell r="E66">
            <v>46161</v>
          </cell>
          <cell r="F66">
            <v>100</v>
          </cell>
          <cell r="G66">
            <v>46175</v>
          </cell>
          <cell r="H66">
            <v>1.0767123287671232</v>
          </cell>
          <cell r="I66">
            <v>0.04</v>
          </cell>
        </row>
        <row r="67">
          <cell r="B67">
            <v>52303</v>
          </cell>
          <cell r="C67" t="str">
            <v>中信銀</v>
          </cell>
          <cell r="D67">
            <v>3.1099999999999994</v>
          </cell>
          <cell r="E67">
            <v>46213</v>
          </cell>
          <cell r="F67">
            <v>100</v>
          </cell>
          <cell r="G67">
            <v>46227</v>
          </cell>
          <cell r="H67">
            <v>1.2191780821917808</v>
          </cell>
          <cell r="I67">
            <v>2.3E-2</v>
          </cell>
        </row>
        <row r="68">
          <cell r="B68">
            <v>52451</v>
          </cell>
          <cell r="C68" t="str">
            <v>合庫</v>
          </cell>
          <cell r="D68">
            <v>1.01</v>
          </cell>
          <cell r="E68">
            <v>45880</v>
          </cell>
          <cell r="F68">
            <v>100</v>
          </cell>
          <cell r="G68">
            <v>45894</v>
          </cell>
          <cell r="H68">
            <v>0.30684931506849317</v>
          </cell>
          <cell r="I68">
            <v>2.3E-2</v>
          </cell>
        </row>
        <row r="69">
          <cell r="B69">
            <v>52635</v>
          </cell>
          <cell r="C69" t="str">
            <v>台中商銀</v>
          </cell>
          <cell r="D69">
            <v>2.0099999999999998</v>
          </cell>
          <cell r="E69">
            <v>46071</v>
          </cell>
          <cell r="F69">
            <v>100.20010000000001</v>
          </cell>
          <cell r="G69">
            <v>46085</v>
          </cell>
          <cell r="H69">
            <v>0.83013698630136989</v>
          </cell>
          <cell r="I69">
            <v>2.3E-2</v>
          </cell>
        </row>
        <row r="70">
          <cell r="B70">
            <v>53064</v>
          </cell>
          <cell r="C70" t="str">
            <v>日商瑞穗銀行</v>
          </cell>
          <cell r="D70">
            <v>3.78</v>
          </cell>
          <cell r="E70">
            <v>46320</v>
          </cell>
          <cell r="F70">
            <v>100</v>
          </cell>
          <cell r="G70">
            <v>46334</v>
          </cell>
          <cell r="H70">
            <v>1.5123287671232877</v>
          </cell>
          <cell r="I70">
            <v>2.3E-2</v>
          </cell>
        </row>
        <row r="71">
          <cell r="B71">
            <v>53887</v>
          </cell>
          <cell r="C71" t="str">
            <v>4</v>
          </cell>
          <cell r="D71">
            <v>4.67</v>
          </cell>
          <cell r="E71">
            <v>46348</v>
          </cell>
          <cell r="F71">
            <v>100</v>
          </cell>
          <cell r="G71">
            <v>46362</v>
          </cell>
          <cell r="H71">
            <v>1.5890410958904109</v>
          </cell>
          <cell r="I71">
            <v>2.75E-2</v>
          </cell>
        </row>
        <row r="72">
          <cell r="B72">
            <v>54342</v>
          </cell>
          <cell r="C72" t="str">
            <v>4</v>
          </cell>
          <cell r="D72">
            <v>3.4699999999999998</v>
          </cell>
          <cell r="E72">
            <v>46188</v>
          </cell>
          <cell r="F72">
            <v>100</v>
          </cell>
          <cell r="G72">
            <v>46202</v>
          </cell>
          <cell r="H72">
            <v>1.1506849315068493</v>
          </cell>
          <cell r="I72">
            <v>2.75E-2</v>
          </cell>
        </row>
        <row r="73">
          <cell r="B73">
            <v>54501</v>
          </cell>
          <cell r="C73" t="str">
            <v>土銀</v>
          </cell>
          <cell r="D73">
            <v>1.57</v>
          </cell>
          <cell r="E73">
            <v>46088</v>
          </cell>
          <cell r="F73">
            <v>100.75</v>
          </cell>
          <cell r="G73">
            <v>46102</v>
          </cell>
          <cell r="H73">
            <v>0.87671232876712324</v>
          </cell>
          <cell r="I73">
            <v>2.3E-2</v>
          </cell>
        </row>
        <row r="74">
          <cell r="B74">
            <v>56086</v>
          </cell>
          <cell r="C74" t="str">
            <v>陽信銀</v>
          </cell>
          <cell r="D74">
            <v>2.8999999999999995</v>
          </cell>
          <cell r="E74">
            <v>46180</v>
          </cell>
          <cell r="F74">
            <v>100</v>
          </cell>
          <cell r="G74">
            <v>46194</v>
          </cell>
          <cell r="H74">
            <v>1.1287671232876713</v>
          </cell>
          <cell r="I74">
            <v>2.3E-2</v>
          </cell>
        </row>
        <row r="75">
          <cell r="B75">
            <v>56087</v>
          </cell>
          <cell r="C75" t="str">
            <v>一銀</v>
          </cell>
          <cell r="D75">
            <v>6.3299999999999992</v>
          </cell>
          <cell r="E75">
            <v>46724</v>
          </cell>
          <cell r="F75">
            <v>100</v>
          </cell>
          <cell r="G75">
            <v>46738</v>
          </cell>
          <cell r="H75">
            <v>2.6191780821917807</v>
          </cell>
          <cell r="I75">
            <v>2.3E-2</v>
          </cell>
        </row>
        <row r="76">
          <cell r="B76">
            <v>59055</v>
          </cell>
          <cell r="C76" t="str">
            <v>土銀</v>
          </cell>
          <cell r="D76">
            <v>2.6899999999999995</v>
          </cell>
          <cell r="E76">
            <v>46146</v>
          </cell>
          <cell r="F76">
            <v>100</v>
          </cell>
          <cell r="G76">
            <v>46160</v>
          </cell>
          <cell r="H76">
            <v>1.0356164383561643</v>
          </cell>
          <cell r="I76">
            <v>2.3E-2</v>
          </cell>
        </row>
        <row r="77">
          <cell r="B77">
            <v>61263</v>
          </cell>
          <cell r="C77" t="str">
            <v>6</v>
          </cell>
          <cell r="D77">
            <v>1.0900000000000001</v>
          </cell>
          <cell r="E77">
            <v>45977</v>
          </cell>
          <cell r="F77">
            <v>101.5056</v>
          </cell>
          <cell r="G77">
            <v>45991</v>
          </cell>
          <cell r="H77">
            <v>0.57260273972602738</v>
          </cell>
          <cell r="I77">
            <v>0.04</v>
          </cell>
        </row>
        <row r="78">
          <cell r="B78">
            <v>61394</v>
          </cell>
          <cell r="C78" t="str">
            <v>4</v>
          </cell>
          <cell r="D78">
            <v>1.19</v>
          </cell>
          <cell r="E78">
            <v>46033</v>
          </cell>
          <cell r="F78">
            <v>101.0025</v>
          </cell>
          <cell r="G78">
            <v>46047</v>
          </cell>
          <cell r="H78">
            <v>0.72602739726027399</v>
          </cell>
          <cell r="I78">
            <v>2.5999999999999999E-2</v>
          </cell>
        </row>
        <row r="79">
          <cell r="B79">
            <v>61894</v>
          </cell>
          <cell r="C79" t="str">
            <v>4</v>
          </cell>
          <cell r="D79">
            <v>3.7299999999999995</v>
          </cell>
          <cell r="E79">
            <v>46322</v>
          </cell>
          <cell r="F79">
            <v>100.75190000000001</v>
          </cell>
          <cell r="G79">
            <v>46336</v>
          </cell>
          <cell r="H79">
            <v>1.5178082191780822</v>
          </cell>
          <cell r="I79">
            <v>2.75E-2</v>
          </cell>
        </row>
        <row r="80">
          <cell r="B80">
            <v>62744</v>
          </cell>
          <cell r="C80" t="str">
            <v>4</v>
          </cell>
          <cell r="D80">
            <v>5.81</v>
          </cell>
          <cell r="E80">
            <v>46499</v>
          </cell>
          <cell r="F80">
            <v>100</v>
          </cell>
          <cell r="G80">
            <v>46513</v>
          </cell>
          <cell r="H80">
            <v>2.0027397260273974</v>
          </cell>
          <cell r="I80">
            <v>2.75E-2</v>
          </cell>
        </row>
        <row r="81">
          <cell r="B81">
            <v>62843</v>
          </cell>
          <cell r="C81" t="str">
            <v>4</v>
          </cell>
          <cell r="D81">
            <v>1.8900000000000001</v>
          </cell>
          <cell r="E81">
            <v>45991</v>
          </cell>
          <cell r="F81">
            <v>100</v>
          </cell>
          <cell r="G81">
            <v>46005</v>
          </cell>
          <cell r="H81">
            <v>0.61095890410958908</v>
          </cell>
          <cell r="I81">
            <v>2.5999999999999999E-2</v>
          </cell>
        </row>
        <row r="82">
          <cell r="B82">
            <v>64145</v>
          </cell>
          <cell r="C82" t="str">
            <v>4</v>
          </cell>
          <cell r="D82">
            <v>3.8299999999999996</v>
          </cell>
          <cell r="E82">
            <v>46236</v>
          </cell>
          <cell r="F82">
            <v>100</v>
          </cell>
          <cell r="G82">
            <v>46250</v>
          </cell>
          <cell r="H82">
            <v>1.2821917808219179</v>
          </cell>
          <cell r="I82">
            <v>2.75E-2</v>
          </cell>
        </row>
        <row r="83">
          <cell r="B83">
            <v>64251</v>
          </cell>
          <cell r="C83" t="str">
            <v>上海銀</v>
          </cell>
          <cell r="D83">
            <v>5.93</v>
          </cell>
          <cell r="E83">
            <v>46661</v>
          </cell>
          <cell r="F83">
            <v>100</v>
          </cell>
          <cell r="G83">
            <v>46675</v>
          </cell>
          <cell r="H83">
            <v>2.4465753424657533</v>
          </cell>
          <cell r="I83">
            <v>2.3E-2</v>
          </cell>
        </row>
        <row r="84">
          <cell r="B84">
            <v>64421</v>
          </cell>
          <cell r="C84" t="str">
            <v>5</v>
          </cell>
          <cell r="D84">
            <v>6.01</v>
          </cell>
          <cell r="E84">
            <v>46323</v>
          </cell>
          <cell r="F84">
            <v>100</v>
          </cell>
          <cell r="G84">
            <v>46337</v>
          </cell>
          <cell r="H84">
            <v>1.5205479452054795</v>
          </cell>
          <cell r="I84">
            <v>3.7499999999999999E-2</v>
          </cell>
        </row>
        <row r="85">
          <cell r="B85">
            <v>64692</v>
          </cell>
          <cell r="C85" t="str">
            <v>4</v>
          </cell>
          <cell r="D85">
            <v>1.3</v>
          </cell>
          <cell r="E85">
            <v>45898</v>
          </cell>
          <cell r="F85">
            <v>100</v>
          </cell>
          <cell r="G85">
            <v>45912</v>
          </cell>
          <cell r="H85">
            <v>0.35616438356164382</v>
          </cell>
          <cell r="I85">
            <v>2.8000000000000001E-2</v>
          </cell>
        </row>
        <row r="86">
          <cell r="B86">
            <v>64723</v>
          </cell>
          <cell r="C86" t="str">
            <v>5</v>
          </cell>
          <cell r="D86">
            <v>5.18</v>
          </cell>
          <cell r="E86">
            <v>46224</v>
          </cell>
          <cell r="F86">
            <v>100.75190000000001</v>
          </cell>
          <cell r="G86">
            <v>46238</v>
          </cell>
          <cell r="H86">
            <v>1.2493150684931507</v>
          </cell>
          <cell r="I86">
            <v>4.4999999999999998E-2</v>
          </cell>
        </row>
        <row r="87">
          <cell r="B87">
            <v>65521</v>
          </cell>
          <cell r="C87" t="str">
            <v>台新銀</v>
          </cell>
          <cell r="D87">
            <v>3.6999999999999997</v>
          </cell>
          <cell r="E87">
            <v>46306</v>
          </cell>
          <cell r="F87">
            <v>100</v>
          </cell>
          <cell r="G87">
            <v>46320</v>
          </cell>
          <cell r="H87">
            <v>1.473972602739726</v>
          </cell>
          <cell r="I87">
            <v>2.3E-2</v>
          </cell>
        </row>
        <row r="88">
          <cell r="B88">
            <v>65841</v>
          </cell>
          <cell r="C88" t="str">
            <v>彰銀</v>
          </cell>
          <cell r="D88">
            <v>2.7199999999999998</v>
          </cell>
          <cell r="E88">
            <v>46310</v>
          </cell>
          <cell r="F88">
            <v>101.0025</v>
          </cell>
          <cell r="G88">
            <v>46324</v>
          </cell>
          <cell r="H88">
            <v>1.484931506849315</v>
          </cell>
          <cell r="I88">
            <v>2.3E-2</v>
          </cell>
        </row>
        <row r="89">
          <cell r="B89">
            <v>65851</v>
          </cell>
          <cell r="C89" t="str">
            <v>一銀</v>
          </cell>
          <cell r="D89">
            <v>3.6999999999999997</v>
          </cell>
          <cell r="E89">
            <v>46307</v>
          </cell>
          <cell r="F89">
            <v>100</v>
          </cell>
          <cell r="G89">
            <v>46321</v>
          </cell>
          <cell r="H89">
            <v>1.4767123287671233</v>
          </cell>
          <cell r="I89">
            <v>2.3E-2</v>
          </cell>
        </row>
        <row r="90">
          <cell r="B90">
            <v>65931</v>
          </cell>
          <cell r="C90" t="str">
            <v>台新銀</v>
          </cell>
          <cell r="D90">
            <v>1.71</v>
          </cell>
          <cell r="E90">
            <v>45991</v>
          </cell>
          <cell r="F90">
            <v>100</v>
          </cell>
          <cell r="G90">
            <v>46005</v>
          </cell>
          <cell r="H90">
            <v>0.61095890410958908</v>
          </cell>
          <cell r="I90">
            <v>2.3E-2</v>
          </cell>
        </row>
        <row r="91">
          <cell r="B91">
            <v>66241</v>
          </cell>
          <cell r="C91" t="str">
            <v>土銀</v>
          </cell>
          <cell r="D91">
            <v>4.54</v>
          </cell>
          <cell r="E91">
            <v>46559</v>
          </cell>
          <cell r="F91">
            <v>100.75</v>
          </cell>
          <cell r="G91">
            <v>46573</v>
          </cell>
          <cell r="H91">
            <v>2.1671232876712327</v>
          </cell>
          <cell r="I91">
            <v>2.3E-2</v>
          </cell>
        </row>
        <row r="92">
          <cell r="B92">
            <v>66451</v>
          </cell>
          <cell r="C92" t="str">
            <v>華南銀</v>
          </cell>
          <cell r="D92">
            <v>1.95</v>
          </cell>
          <cell r="E92">
            <v>46346</v>
          </cell>
          <cell r="F92">
            <v>102</v>
          </cell>
          <cell r="G92">
            <v>46360</v>
          </cell>
          <cell r="H92">
            <v>1.5835616438356164</v>
          </cell>
          <cell r="I92">
            <v>2.3E-2</v>
          </cell>
        </row>
        <row r="93">
          <cell r="B93">
            <v>67152</v>
          </cell>
          <cell r="C93" t="str">
            <v>5</v>
          </cell>
          <cell r="D93">
            <v>6.2799999999999994</v>
          </cell>
          <cell r="E93">
            <v>46391</v>
          </cell>
          <cell r="F93">
            <v>100</v>
          </cell>
          <cell r="G93">
            <v>46405</v>
          </cell>
          <cell r="H93">
            <v>1.7068493150684931</v>
          </cell>
          <cell r="I93">
            <v>3.5000000000000003E-2</v>
          </cell>
        </row>
        <row r="94">
          <cell r="B94">
            <v>68061</v>
          </cell>
          <cell r="C94" t="str">
            <v>臺銀等聯保</v>
          </cell>
          <cell r="D94">
            <v>3.8699999999999997</v>
          </cell>
          <cell r="E94">
            <v>46334</v>
          </cell>
          <cell r="F94">
            <v>100</v>
          </cell>
          <cell r="G94">
            <v>46348</v>
          </cell>
          <cell r="H94">
            <v>1.5506849315068494</v>
          </cell>
          <cell r="I94">
            <v>2.3E-2</v>
          </cell>
        </row>
        <row r="95">
          <cell r="B95">
            <v>68541</v>
          </cell>
          <cell r="C95" t="str">
            <v>中信銀</v>
          </cell>
          <cell r="D95">
            <v>3.4799999999999995</v>
          </cell>
          <cell r="E95">
            <v>46431</v>
          </cell>
          <cell r="F95">
            <v>101.0025</v>
          </cell>
          <cell r="G95">
            <v>46445</v>
          </cell>
          <cell r="H95">
            <v>1.8164383561643835</v>
          </cell>
          <cell r="I95">
            <v>2.3E-2</v>
          </cell>
        </row>
        <row r="96">
          <cell r="B96">
            <v>80914</v>
          </cell>
          <cell r="C96" t="str">
            <v>5</v>
          </cell>
          <cell r="D96">
            <v>4.5299999999999994</v>
          </cell>
          <cell r="E96">
            <v>46235</v>
          </cell>
          <cell r="F96">
            <v>100.25</v>
          </cell>
          <cell r="G96">
            <v>46249</v>
          </cell>
          <cell r="H96">
            <v>1.2794520547945205</v>
          </cell>
          <cell r="I96">
            <v>3.5000000000000003E-2</v>
          </cell>
        </row>
        <row r="97">
          <cell r="B97">
            <v>81551</v>
          </cell>
          <cell r="C97" t="str">
            <v>4</v>
          </cell>
          <cell r="D97">
            <v>7.6899999999999995</v>
          </cell>
          <cell r="E97">
            <v>46748</v>
          </cell>
          <cell r="F97">
            <v>100</v>
          </cell>
          <cell r="G97">
            <v>46762</v>
          </cell>
          <cell r="H97">
            <v>2.6849315068493151</v>
          </cell>
          <cell r="I97">
            <v>2.75E-2</v>
          </cell>
        </row>
        <row r="98">
          <cell r="B98">
            <v>81714</v>
          </cell>
          <cell r="C98" t="str">
            <v>板信銀/台中商銀</v>
          </cell>
          <cell r="D98">
            <v>6.3599999999999994</v>
          </cell>
          <cell r="E98">
            <v>46689</v>
          </cell>
          <cell r="F98">
            <v>100</v>
          </cell>
          <cell r="G98">
            <v>46703</v>
          </cell>
          <cell r="H98">
            <v>2.5232876712328767</v>
          </cell>
          <cell r="I98">
            <v>2.4E-2</v>
          </cell>
        </row>
        <row r="99">
          <cell r="B99">
            <v>82101</v>
          </cell>
          <cell r="C99" t="str">
            <v>4</v>
          </cell>
          <cell r="D99">
            <v>5.01</v>
          </cell>
          <cell r="E99">
            <v>46392</v>
          </cell>
          <cell r="F99">
            <v>100</v>
          </cell>
          <cell r="G99">
            <v>46406</v>
          </cell>
          <cell r="H99">
            <v>1.7095890410958905</v>
          </cell>
          <cell r="I99">
            <v>2.75E-2</v>
          </cell>
        </row>
        <row r="100">
          <cell r="B100">
            <v>82551</v>
          </cell>
          <cell r="C100" t="str">
            <v>4</v>
          </cell>
          <cell r="D100">
            <v>3.78</v>
          </cell>
          <cell r="E100">
            <v>46229</v>
          </cell>
          <cell r="F100">
            <v>100</v>
          </cell>
          <cell r="G100">
            <v>46243</v>
          </cell>
          <cell r="H100">
            <v>1.263013698630137</v>
          </cell>
          <cell r="I100">
            <v>2.75E-2</v>
          </cell>
        </row>
        <row r="101">
          <cell r="B101">
            <v>82992</v>
          </cell>
          <cell r="C101" t="str">
            <v>3</v>
          </cell>
          <cell r="D101">
            <v>4.7799999999999994</v>
          </cell>
          <cell r="E101">
            <v>46396</v>
          </cell>
          <cell r="F101">
            <v>100</v>
          </cell>
          <cell r="G101">
            <v>46410</v>
          </cell>
          <cell r="H101">
            <v>1.7205479452054795</v>
          </cell>
          <cell r="I101">
            <v>2.5999999999999999E-2</v>
          </cell>
        </row>
        <row r="102">
          <cell r="B102">
            <v>84222</v>
          </cell>
          <cell r="C102" t="str">
            <v>4</v>
          </cell>
          <cell r="D102">
            <v>9.81</v>
          </cell>
          <cell r="E102">
            <v>46836</v>
          </cell>
          <cell r="F102">
            <v>100</v>
          </cell>
          <cell r="G102">
            <v>46850</v>
          </cell>
          <cell r="H102">
            <v>2.9260273972602739</v>
          </cell>
          <cell r="I102">
            <v>3.2500000000000001E-2</v>
          </cell>
        </row>
        <row r="103">
          <cell r="B103">
            <v>84422</v>
          </cell>
          <cell r="C103" t="str">
            <v>富邦銀</v>
          </cell>
          <cell r="D103">
            <v>3.6599999999999997</v>
          </cell>
          <cell r="E103">
            <v>46300</v>
          </cell>
          <cell r="F103">
            <v>100</v>
          </cell>
          <cell r="G103">
            <v>46314</v>
          </cell>
          <cell r="H103">
            <v>1.4575342465753425</v>
          </cell>
          <cell r="I103">
            <v>2.3E-2</v>
          </cell>
        </row>
        <row r="104">
          <cell r="B104">
            <v>84672</v>
          </cell>
          <cell r="C104" t="str">
            <v>富邦銀等聯保</v>
          </cell>
          <cell r="D104">
            <v>5.0599999999999996</v>
          </cell>
          <cell r="E104">
            <v>46523</v>
          </cell>
          <cell r="F104">
            <v>100</v>
          </cell>
          <cell r="G104">
            <v>46537</v>
          </cell>
          <cell r="H104">
            <v>2.0684931506849313</v>
          </cell>
          <cell r="I104">
            <v>2.3E-2</v>
          </cell>
        </row>
        <row r="105">
          <cell r="B105">
            <v>84881</v>
          </cell>
          <cell r="C105" t="str">
            <v>玉山銀/王道銀</v>
          </cell>
          <cell r="D105">
            <v>4.04</v>
          </cell>
          <cell r="E105">
            <v>46361</v>
          </cell>
          <cell r="F105">
            <v>100</v>
          </cell>
          <cell r="G105">
            <v>46375</v>
          </cell>
          <cell r="H105">
            <v>1.6246575342465754</v>
          </cell>
          <cell r="I105">
            <v>2.3E-2</v>
          </cell>
        </row>
        <row r="106">
          <cell r="B106">
            <v>84891</v>
          </cell>
          <cell r="C106" t="str">
            <v>上海銀</v>
          </cell>
          <cell r="D106">
            <v>3.78</v>
          </cell>
          <cell r="E106">
            <v>46351</v>
          </cell>
          <cell r="F106">
            <v>100.20010000000001</v>
          </cell>
          <cell r="G106">
            <v>46365</v>
          </cell>
          <cell r="H106">
            <v>1.5972602739726027</v>
          </cell>
          <cell r="I106">
            <v>2.3E-2</v>
          </cell>
        </row>
        <row r="107">
          <cell r="B107">
            <v>89277</v>
          </cell>
          <cell r="C107" t="str">
            <v>合庫</v>
          </cell>
          <cell r="D107">
            <v>4.05</v>
          </cell>
          <cell r="E107">
            <v>46601</v>
          </cell>
          <cell r="F107">
            <v>101.50749999999999</v>
          </cell>
          <cell r="G107">
            <v>46615</v>
          </cell>
          <cell r="H107">
            <v>2.2821917808219179</v>
          </cell>
          <cell r="I107">
            <v>2.3E-2</v>
          </cell>
        </row>
        <row r="108">
          <cell r="B108">
            <v>99211</v>
          </cell>
          <cell r="C108" t="str">
            <v>3</v>
          </cell>
          <cell r="D108">
            <v>6.63</v>
          </cell>
          <cell r="E108">
            <v>46537</v>
          </cell>
          <cell r="F108">
            <v>100</v>
          </cell>
          <cell r="G108">
            <v>46551</v>
          </cell>
          <cell r="H108">
            <v>2.106849315068493</v>
          </cell>
          <cell r="I108">
            <v>0.03</v>
          </cell>
        </row>
        <row r="109">
          <cell r="B109">
            <v>99392</v>
          </cell>
          <cell r="C109" t="str">
            <v>4</v>
          </cell>
          <cell r="D109">
            <v>7.14</v>
          </cell>
          <cell r="E109">
            <v>46675</v>
          </cell>
          <cell r="F109">
            <v>100</v>
          </cell>
          <cell r="G109">
            <v>46689</v>
          </cell>
          <cell r="H109">
            <v>2.484931506849315</v>
          </cell>
          <cell r="I109">
            <v>2.75E-2</v>
          </cell>
        </row>
        <row r="112">
          <cell r="B112" t="str">
            <v>一、本報價表僅供交易前之參考使用，實際交易條件將依市場行情有所變動，並以雙方實際議價為主。實際權利金最少金額為0.01(10元)。</v>
          </cell>
          <cell r="C112"/>
          <cell r="D112"/>
          <cell r="E112"/>
          <cell r="F112"/>
          <cell r="G112"/>
          <cell r="H112"/>
          <cell r="I112"/>
        </row>
        <row r="113">
          <cell r="B113" t="str">
            <v>二、承作可轉換公司債資產交換選擇權交易前須先完成與債券部簽訂衍生性商品開戶文件。</v>
          </cell>
          <cell r="C113"/>
          <cell r="D113"/>
          <cell r="E113"/>
          <cell r="F113"/>
          <cell r="G113"/>
          <cell r="H113"/>
          <cell r="I113"/>
        </row>
        <row r="114">
          <cell r="B114" t="str">
            <v>三、若客戶承作後，三個月內執行履約，則本公司將收取名目本金之0.25%的罰金，實際收取罰金之金額及條件依實際成交時而定。</v>
          </cell>
          <cell r="C114"/>
          <cell r="D114"/>
          <cell r="E114"/>
          <cell r="F114"/>
          <cell r="G114"/>
          <cell r="H114"/>
          <cell r="I114"/>
        </row>
        <row r="115">
          <cell r="B115" t="str">
            <v>四、貴客戶不願再接受類似商品行銷，可撥打0800-037888免付費電話，專人為您服務處理。</v>
          </cell>
          <cell r="C115"/>
          <cell r="D115"/>
          <cell r="E115"/>
          <cell r="F115"/>
          <cell r="G115"/>
          <cell r="H115"/>
          <cell r="I115"/>
        </row>
        <row r="116">
          <cell r="B116" t="str">
            <v>五、本報價單僅供客戶參考使用，資訊內容將力求正確，惟進行投資決策時，請投資人依據個人專業判斷，本公司不作任何資訊及獲利保證。</v>
          </cell>
          <cell r="C116"/>
          <cell r="D116"/>
          <cell r="E116"/>
          <cell r="F116"/>
          <cell r="G116"/>
          <cell r="H116"/>
          <cell r="I116"/>
        </row>
        <row r="117">
          <cell r="B117" t="str">
            <v>六、為因應2017/6/19櫃買中心強化資產交換市場新措施，(1)轉換公司債應上市櫃滿五個交易日始得連結(2)客戶承作資產交換選擇權之總名目本金，不得</v>
          </cell>
          <cell r="C117"/>
          <cell r="D117"/>
          <cell r="E117"/>
          <cell r="F117"/>
          <cell r="G117"/>
          <cell r="H117"/>
          <cell r="I117"/>
        </row>
        <row r="118">
          <cell r="B118" t="str">
            <v>逾該轉換公司債發行面額之10%。故以上新掛牌標的如有報價，滿5個交易日才可承作。</v>
          </cell>
          <cell r="C118"/>
          <cell r="D118"/>
          <cell r="E118"/>
          <cell r="F118"/>
          <cell r="G118"/>
          <cell r="H118"/>
          <cell r="I118"/>
        </row>
        <row r="119">
          <cell r="B119" t="str">
            <v>七、CB資產交換選擇權最大風險:權利金到期歸零-虧損100%。</v>
          </cell>
          <cell r="C119"/>
          <cell r="D119"/>
          <cell r="E119"/>
          <cell r="F119"/>
          <cell r="G119"/>
          <cell r="H119"/>
          <cell r="I119"/>
        </row>
        <row r="120">
          <cell r="B120" t="str">
            <v>八、貴客戶如要至總公司開立衍生性商品帳戶(CBAS帳戶)，請先與債券部業務人員預約開戶時間，請勿冒然前往開戶，謝謝配合。</v>
          </cell>
          <cell r="C120"/>
          <cell r="D120"/>
          <cell r="E120"/>
          <cell r="F120"/>
          <cell r="G120"/>
          <cell r="H120"/>
          <cell r="I120"/>
        </row>
        <row r="121">
          <cell r="B121" t="str">
            <v>九、本報價表以可轉債100元為報價基準，實際權利金金額(一張CB)= ( 權利金佰元報價  + ( CB買進成交價 – 100 )   ) * 1000</v>
          </cell>
          <cell r="C121"/>
          <cell r="D121"/>
          <cell r="E121"/>
          <cell r="F121"/>
          <cell r="G121"/>
          <cell r="H121"/>
          <cell r="I121"/>
        </row>
        <row r="122">
          <cell r="B122"/>
          <cell r="C122"/>
          <cell r="D122"/>
          <cell r="E122"/>
          <cell r="F122"/>
          <cell r="G122"/>
          <cell r="H122"/>
          <cell r="I122"/>
        </row>
        <row r="123">
          <cell r="B123"/>
          <cell r="C123"/>
          <cell r="D123"/>
          <cell r="E123"/>
          <cell r="F123"/>
          <cell r="G123"/>
          <cell r="H123"/>
          <cell r="I123"/>
        </row>
        <row r="124">
          <cell r="B124"/>
          <cell r="C124"/>
          <cell r="D124">
            <v>45783</v>
          </cell>
          <cell r="E124"/>
          <cell r="F124"/>
          <cell r="G124"/>
          <cell r="H124"/>
          <cell r="I124"/>
        </row>
        <row r="125">
          <cell r="B125" t="str">
            <v>賣回價格(A)</v>
          </cell>
          <cell r="C125" t="str">
            <v>履約交割日</v>
          </cell>
          <cell r="D125" t="str">
            <v>CB賣回日(B)</v>
          </cell>
          <cell r="E125" t="str">
            <v>剩餘天數</v>
          </cell>
          <cell r="F125" t="str">
            <v>折現率(C)</v>
          </cell>
          <cell r="G125" t="str">
            <v>提前call回違約金(%)</v>
          </cell>
          <cell r="H125" t="str">
            <v>履約張數</v>
          </cell>
          <cell r="I125" t="str">
            <v>履約價</v>
          </cell>
        </row>
        <row r="126">
          <cell r="B126">
            <v>100</v>
          </cell>
          <cell r="C126">
            <v>45785</v>
          </cell>
          <cell r="D126">
            <v>46738</v>
          </cell>
          <cell r="E126">
            <v>954</v>
          </cell>
          <cell r="F126">
            <v>2.3E-2</v>
          </cell>
          <cell r="G126">
            <v>0</v>
          </cell>
          <cell r="H126">
            <v>10</v>
          </cell>
          <cell r="I126">
            <v>93.988493150684931</v>
          </cell>
        </row>
        <row r="127">
          <cell r="B127"/>
          <cell r="C127"/>
          <cell r="D127"/>
          <cell r="E127"/>
          <cell r="F127"/>
          <cell r="G127"/>
          <cell r="H127"/>
          <cell r="I127"/>
        </row>
        <row r="128">
          <cell r="B128"/>
          <cell r="C128"/>
          <cell r="D128"/>
          <cell r="E128"/>
          <cell r="F128"/>
          <cell r="G128"/>
          <cell r="H128"/>
          <cell r="I128"/>
        </row>
        <row r="129">
          <cell r="B129"/>
          <cell r="C129"/>
          <cell r="D129"/>
          <cell r="E129"/>
          <cell r="F129"/>
          <cell r="G129"/>
          <cell r="H129"/>
          <cell r="I129"/>
        </row>
        <row r="130">
          <cell r="B130"/>
          <cell r="C130"/>
          <cell r="D130"/>
          <cell r="E130"/>
          <cell r="F130"/>
          <cell r="G130"/>
          <cell r="H130"/>
          <cell r="I130"/>
        </row>
        <row r="131">
          <cell r="B131"/>
          <cell r="C131"/>
          <cell r="D131"/>
          <cell r="E131"/>
          <cell r="F131"/>
          <cell r="G131"/>
          <cell r="H131"/>
          <cell r="I131"/>
        </row>
        <row r="132">
          <cell r="B132"/>
          <cell r="C132"/>
          <cell r="D132"/>
          <cell r="E132"/>
          <cell r="F132"/>
          <cell r="G132"/>
          <cell r="H132"/>
          <cell r="I132"/>
        </row>
        <row r="133">
          <cell r="B133"/>
          <cell r="C133"/>
          <cell r="D133"/>
          <cell r="E133"/>
          <cell r="F133"/>
          <cell r="G133"/>
          <cell r="H133"/>
          <cell r="I133"/>
        </row>
        <row r="134">
          <cell r="B134"/>
          <cell r="C134"/>
          <cell r="D134"/>
          <cell r="E134"/>
          <cell r="F134"/>
          <cell r="G134"/>
          <cell r="H134"/>
          <cell r="I134"/>
        </row>
        <row r="135">
          <cell r="B135"/>
          <cell r="C135"/>
          <cell r="D135"/>
          <cell r="E135"/>
          <cell r="F135"/>
          <cell r="G135"/>
          <cell r="H135"/>
          <cell r="I135"/>
        </row>
        <row r="136">
          <cell r="B136"/>
          <cell r="C136"/>
          <cell r="D136"/>
          <cell r="E136"/>
          <cell r="F136"/>
          <cell r="G136"/>
          <cell r="H136"/>
          <cell r="I136"/>
        </row>
        <row r="137">
          <cell r="B137"/>
          <cell r="C137"/>
          <cell r="D137"/>
          <cell r="E137"/>
          <cell r="F137"/>
          <cell r="G137"/>
          <cell r="H137"/>
          <cell r="I137"/>
        </row>
        <row r="138">
          <cell r="B138"/>
          <cell r="C138"/>
          <cell r="D138"/>
          <cell r="E138"/>
          <cell r="F138"/>
          <cell r="G138"/>
          <cell r="H138"/>
          <cell r="I138"/>
        </row>
        <row r="139">
          <cell r="B139"/>
          <cell r="C139"/>
          <cell r="D139"/>
          <cell r="E139"/>
          <cell r="F139"/>
          <cell r="G139"/>
          <cell r="H139"/>
          <cell r="I139"/>
        </row>
        <row r="140">
          <cell r="B140"/>
          <cell r="C140"/>
          <cell r="D140"/>
          <cell r="E140"/>
          <cell r="F140"/>
          <cell r="G140"/>
          <cell r="H140"/>
          <cell r="I140"/>
        </row>
        <row r="141">
          <cell r="B141"/>
          <cell r="C141"/>
          <cell r="D141"/>
          <cell r="E141"/>
          <cell r="F141"/>
          <cell r="G141"/>
          <cell r="H141"/>
          <cell r="I141"/>
        </row>
        <row r="142">
          <cell r="D142"/>
          <cell r="E142"/>
          <cell r="F142"/>
          <cell r="G142"/>
          <cell r="H142"/>
          <cell r="I142"/>
        </row>
      </sheetData>
      <sheetData sheetId="4">
        <row r="1">
          <cell r="B1"/>
          <cell r="C1"/>
          <cell r="D1"/>
          <cell r="E1"/>
          <cell r="F1"/>
          <cell r="G1"/>
          <cell r="H1"/>
          <cell r="I1"/>
          <cell r="J1"/>
          <cell r="K1"/>
          <cell r="L1"/>
          <cell r="M1"/>
          <cell r="N1"/>
        </row>
        <row r="2">
          <cell r="B2"/>
          <cell r="C2"/>
          <cell r="D2"/>
          <cell r="E2"/>
          <cell r="F2"/>
          <cell r="G2"/>
          <cell r="H2"/>
          <cell r="I2"/>
          <cell r="J2"/>
          <cell r="K2"/>
          <cell r="L2"/>
          <cell r="M2"/>
          <cell r="N2"/>
        </row>
        <row r="3">
          <cell r="D3" t="str">
            <v xml:space="preserve">                                                                                                                           </v>
          </cell>
          <cell r="K3"/>
        </row>
        <row r="4">
          <cell r="B4">
            <v>45782</v>
          </cell>
          <cell r="C4"/>
          <cell r="D4" t="str">
            <v>選擇權生效日:2025/5/7</v>
          </cell>
          <cell r="E4"/>
          <cell r="F4"/>
          <cell r="G4"/>
          <cell r="N4" t="str">
            <v>＊三個月內履約無罰金</v>
          </cell>
        </row>
        <row r="5">
          <cell r="B5" t="str">
            <v>可轉債
代號</v>
          </cell>
          <cell r="C5" t="str">
            <v>權利金
百元報價</v>
          </cell>
          <cell r="D5" t="str">
            <v>選擇權
到期日</v>
          </cell>
          <cell r="E5" t="str">
            <v>剩餘
年限</v>
          </cell>
          <cell r="F5" t="str">
            <v>put day</v>
          </cell>
          <cell r="G5" t="str">
            <v>評等/
擔保銀行</v>
          </cell>
          <cell r="H5" t="str">
            <v>賣回價格</v>
          </cell>
          <cell r="I5" t="str">
            <v>履約
折現率</v>
          </cell>
          <cell r="J5" t="str">
            <v>參考
履約價</v>
          </cell>
          <cell r="K5" t="str">
            <v>轉換
價格</v>
          </cell>
          <cell r="L5" t="str">
            <v>現股
價格</v>
          </cell>
          <cell r="M5" t="str">
            <v>可轉債
價格</v>
          </cell>
          <cell r="N5" t="str">
            <v>parity</v>
          </cell>
        </row>
        <row r="6">
          <cell r="B6">
            <v>13164</v>
          </cell>
          <cell r="C6">
            <v>1.6883561643835616</v>
          </cell>
          <cell r="D6">
            <v>46036</v>
          </cell>
          <cell r="E6">
            <v>0.68493150684931503</v>
          </cell>
          <cell r="F6">
            <v>46051</v>
          </cell>
          <cell r="G6" t="str">
            <v>富邦銀</v>
          </cell>
          <cell r="H6">
            <v>100</v>
          </cell>
          <cell r="I6">
            <v>2.1558174603174582</v>
          </cell>
          <cell r="J6">
            <v>98.511600000000001</v>
          </cell>
          <cell r="K6">
            <v>15</v>
          </cell>
          <cell r="L6">
            <v>16.05</v>
          </cell>
          <cell r="M6">
            <v>123.8</v>
          </cell>
          <cell r="N6">
            <v>1.07</v>
          </cell>
        </row>
        <row r="7">
          <cell r="B7">
            <v>13166</v>
          </cell>
          <cell r="C7">
            <v>3.7574828767123289</v>
          </cell>
          <cell r="D7">
            <v>46368</v>
          </cell>
          <cell r="E7">
            <v>1.5945205479452054</v>
          </cell>
          <cell r="F7">
            <v>46383</v>
          </cell>
          <cell r="G7" t="str">
            <v>板信</v>
          </cell>
          <cell r="H7">
            <v>100.5</v>
          </cell>
          <cell r="I7">
            <v>2.5233208955223909</v>
          </cell>
          <cell r="J7">
            <v>96.442499999999981</v>
          </cell>
          <cell r="K7">
            <v>17.8</v>
          </cell>
          <cell r="L7">
            <v>16.05</v>
          </cell>
          <cell r="M7">
            <v>111.5</v>
          </cell>
          <cell r="N7">
            <v>0.901685393258427</v>
          </cell>
        </row>
        <row r="8">
          <cell r="B8">
            <v>15142</v>
          </cell>
          <cell r="C8">
            <v>8.1480811938356101</v>
          </cell>
          <cell r="D8">
            <v>46750</v>
          </cell>
          <cell r="E8">
            <v>2.6410958904109587</v>
          </cell>
          <cell r="F8">
            <v>46765</v>
          </cell>
          <cell r="G8" t="str">
            <v>TCRI6</v>
          </cell>
          <cell r="H8">
            <v>100.75190000000001</v>
          </cell>
          <cell r="I8">
            <v>3.262734579442514</v>
          </cell>
          <cell r="J8">
            <v>92.051900000000003</v>
          </cell>
          <cell r="K8">
            <v>113.2</v>
          </cell>
          <cell r="L8">
            <v>101</v>
          </cell>
          <cell r="M8">
            <v>108.85</v>
          </cell>
          <cell r="N8">
            <v>0.892226148409894</v>
          </cell>
        </row>
        <row r="9">
          <cell r="B9">
            <v>15364</v>
          </cell>
          <cell r="C9">
            <v>4.8219178082191778</v>
          </cell>
          <cell r="D9">
            <v>46231</v>
          </cell>
          <cell r="E9">
            <v>1.2191780821917808</v>
          </cell>
          <cell r="F9">
            <v>46246</v>
          </cell>
          <cell r="G9" t="str">
            <v>TCRI6</v>
          </cell>
          <cell r="H9">
            <v>100</v>
          </cell>
          <cell r="I9">
            <v>3.7740346756152094</v>
          </cell>
          <cell r="J9">
            <v>95.378099999999989</v>
          </cell>
          <cell r="K9">
            <v>72.260000000000005</v>
          </cell>
          <cell r="L9">
            <v>66</v>
          </cell>
          <cell r="M9">
            <v>108.7</v>
          </cell>
          <cell r="N9">
            <v>0.91336839191807351</v>
          </cell>
        </row>
        <row r="10">
          <cell r="B10">
            <v>15601</v>
          </cell>
          <cell r="C10">
            <v>5.2538356164383559</v>
          </cell>
          <cell r="D10">
            <v>46547</v>
          </cell>
          <cell r="E10">
            <v>2.0849315068493151</v>
          </cell>
          <cell r="F10">
            <v>46562</v>
          </cell>
          <cell r="G10" t="str">
            <v>TCRI4</v>
          </cell>
          <cell r="H10">
            <v>100</v>
          </cell>
          <cell r="I10">
            <v>2.4176107470511119</v>
          </cell>
          <cell r="J10">
            <v>94.946200000000005</v>
          </cell>
          <cell r="K10">
            <v>292.10000000000002</v>
          </cell>
          <cell r="L10">
            <v>253</v>
          </cell>
          <cell r="M10">
            <v>111</v>
          </cell>
          <cell r="N10">
            <v>0.86614173228346447</v>
          </cell>
        </row>
        <row r="11">
          <cell r="B11">
            <v>15864</v>
          </cell>
          <cell r="C11">
            <v>3.1041095890410957</v>
          </cell>
          <cell r="D11">
            <v>46249</v>
          </cell>
          <cell r="E11">
            <v>1.2684931506849315</v>
          </cell>
          <cell r="F11">
            <v>46264</v>
          </cell>
          <cell r="G11" t="str">
            <v>合庫銀</v>
          </cell>
          <cell r="H11">
            <v>100</v>
          </cell>
          <cell r="I11">
            <v>2.2795623655913979</v>
          </cell>
          <cell r="J11">
            <v>97.0959</v>
          </cell>
          <cell r="K11">
            <v>32.82</v>
          </cell>
          <cell r="L11">
            <v>28.1</v>
          </cell>
          <cell r="M11">
            <v>107.8</v>
          </cell>
          <cell r="N11">
            <v>0.85618525289457648</v>
          </cell>
        </row>
        <row r="12">
          <cell r="B12">
            <v>17813</v>
          </cell>
          <cell r="C12">
            <v>5.6250684931506836</v>
          </cell>
          <cell r="D12">
            <v>46639</v>
          </cell>
          <cell r="E12">
            <v>2.3369863013698629</v>
          </cell>
          <cell r="F12">
            <v>46654</v>
          </cell>
          <cell r="G12" t="str">
            <v>華南銀</v>
          </cell>
          <cell r="H12">
            <v>100</v>
          </cell>
          <cell r="I12">
            <v>2.3159783625730994</v>
          </cell>
          <cell r="J12">
            <v>94.5749</v>
          </cell>
          <cell r="K12">
            <v>18</v>
          </cell>
          <cell r="L12">
            <v>14</v>
          </cell>
          <cell r="M12">
            <v>104.5</v>
          </cell>
          <cell r="N12">
            <v>0.77777777777777779</v>
          </cell>
        </row>
        <row r="13">
          <cell r="B13">
            <v>20343</v>
          </cell>
          <cell r="C13">
            <v>1.7102739726027396</v>
          </cell>
          <cell r="D13">
            <v>45991</v>
          </cell>
          <cell r="E13">
            <v>0.56164383561643838</v>
          </cell>
          <cell r="F13">
            <v>46006</v>
          </cell>
          <cell r="G13" t="str">
            <v>TCRI4</v>
          </cell>
          <cell r="H13">
            <v>100</v>
          </cell>
          <cell r="I13">
            <v>2.6630893719806781</v>
          </cell>
          <cell r="J13">
            <v>98.489699999999999</v>
          </cell>
          <cell r="K13">
            <v>22.4</v>
          </cell>
          <cell r="L13">
            <v>22.4</v>
          </cell>
          <cell r="M13">
            <v>110.95</v>
          </cell>
          <cell r="N13">
            <v>1</v>
          </cell>
        </row>
        <row r="14">
          <cell r="B14">
            <v>22283</v>
          </cell>
          <cell r="C14">
            <v>6.5941095890410955</v>
          </cell>
          <cell r="D14">
            <v>46613</v>
          </cell>
          <cell r="E14">
            <v>2.2657534246575342</v>
          </cell>
          <cell r="F14">
            <v>46628</v>
          </cell>
          <cell r="G14" t="str">
            <v>TCRI5</v>
          </cell>
          <cell r="H14">
            <v>100</v>
          </cell>
          <cell r="I14">
            <v>2.8152551266586223</v>
          </cell>
          <cell r="J14">
            <v>93.605900000000005</v>
          </cell>
          <cell r="K14">
            <v>94.5</v>
          </cell>
          <cell r="L14">
            <v>96.8</v>
          </cell>
          <cell r="M14">
            <v>115.85</v>
          </cell>
          <cell r="N14">
            <v>1.0243386243386243</v>
          </cell>
        </row>
        <row r="15">
          <cell r="B15">
            <v>23682</v>
          </cell>
          <cell r="C15">
            <v>4.4691780821917808</v>
          </cell>
          <cell r="D15">
            <v>46346</v>
          </cell>
          <cell r="E15">
            <v>1.5342465753424657</v>
          </cell>
          <cell r="F15">
            <v>46361</v>
          </cell>
          <cell r="G15" t="str">
            <v>TCRI4</v>
          </cell>
          <cell r="H15">
            <v>100</v>
          </cell>
          <cell r="I15">
            <v>2.7727010676156567</v>
          </cell>
          <cell r="J15">
            <v>95.730800000000002</v>
          </cell>
          <cell r="K15">
            <v>218.9</v>
          </cell>
          <cell r="L15">
            <v>209.5</v>
          </cell>
          <cell r="M15">
            <v>113.6</v>
          </cell>
          <cell r="N15">
            <v>0.95705801735952489</v>
          </cell>
        </row>
        <row r="16">
          <cell r="B16">
            <v>23836</v>
          </cell>
          <cell r="C16">
            <v>5.8653424657534252</v>
          </cell>
          <cell r="D16">
            <v>46640</v>
          </cell>
          <cell r="E16">
            <v>2.3397260273972602</v>
          </cell>
          <cell r="F16">
            <v>46655</v>
          </cell>
          <cell r="G16" t="str">
            <v>TCRI3</v>
          </cell>
          <cell r="H16">
            <v>100</v>
          </cell>
          <cell r="I16">
            <v>2.4156945093457955</v>
          </cell>
          <cell r="J16">
            <v>94.334699999999998</v>
          </cell>
          <cell r="K16">
            <v>607.5</v>
          </cell>
          <cell r="L16">
            <v>611</v>
          </cell>
          <cell r="M16">
            <v>115.3</v>
          </cell>
          <cell r="N16">
            <v>1.005761316872428</v>
          </cell>
        </row>
        <row r="17">
          <cell r="B17">
            <v>24394</v>
          </cell>
          <cell r="C17">
            <v>5.3590410958904098</v>
          </cell>
          <cell r="D17">
            <v>46563</v>
          </cell>
          <cell r="E17">
            <v>2.128767123287671</v>
          </cell>
          <cell r="F17">
            <v>46578</v>
          </cell>
          <cell r="G17" t="str">
            <v>TCRI3</v>
          </cell>
          <cell r="H17">
            <v>100</v>
          </cell>
          <cell r="I17">
            <v>2.4172464698331222</v>
          </cell>
          <cell r="J17">
            <v>94.84099999999998</v>
          </cell>
          <cell r="K17">
            <v>137.5</v>
          </cell>
          <cell r="L17">
            <v>114</v>
          </cell>
          <cell r="M17">
            <v>105.45</v>
          </cell>
          <cell r="N17">
            <v>0.8290909090909091</v>
          </cell>
        </row>
        <row r="18">
          <cell r="B18">
            <v>24395</v>
          </cell>
          <cell r="C18">
            <v>5.4379452054794521</v>
          </cell>
          <cell r="D18">
            <v>46575</v>
          </cell>
          <cell r="E18">
            <v>2.1616438356164385</v>
          </cell>
          <cell r="F18">
            <v>46590</v>
          </cell>
          <cell r="G18" t="str">
            <v>TCRI3</v>
          </cell>
          <cell r="H18">
            <v>100</v>
          </cell>
          <cell r="I18">
            <v>2.4169829329962056</v>
          </cell>
          <cell r="J18">
            <v>94.762100000000004</v>
          </cell>
          <cell r="K18">
            <v>133.5</v>
          </cell>
          <cell r="L18">
            <v>114</v>
          </cell>
          <cell r="M18">
            <v>106.7</v>
          </cell>
          <cell r="N18">
            <v>0.8539325842696629</v>
          </cell>
        </row>
        <row r="19">
          <cell r="B19">
            <v>24616</v>
          </cell>
          <cell r="C19">
            <v>1.9990410958904108</v>
          </cell>
          <cell r="D19">
            <v>46090</v>
          </cell>
          <cell r="E19">
            <v>0.83287671232876714</v>
          </cell>
          <cell r="F19">
            <v>46105</v>
          </cell>
          <cell r="G19" t="str">
            <v>台中銀</v>
          </cell>
          <cell r="H19">
            <v>100</v>
          </cell>
          <cell r="I19">
            <v>2.1458660130719034</v>
          </cell>
          <cell r="J19">
            <v>98.200999999999979</v>
          </cell>
          <cell r="K19">
            <v>15.8</v>
          </cell>
          <cell r="L19">
            <v>17.100000000000001</v>
          </cell>
          <cell r="M19">
            <v>140</v>
          </cell>
          <cell r="N19">
            <v>1.0822784810126582</v>
          </cell>
        </row>
        <row r="20">
          <cell r="B20">
            <v>24762</v>
          </cell>
          <cell r="C20">
            <v>4.6094520547945201</v>
          </cell>
          <cell r="D20">
            <v>46398</v>
          </cell>
          <cell r="E20">
            <v>1.6767123287671233</v>
          </cell>
          <cell r="F20">
            <v>46413</v>
          </cell>
          <cell r="G20" t="str">
            <v>TCRI4</v>
          </cell>
          <cell r="H20">
            <v>100</v>
          </cell>
          <cell r="I20">
            <v>2.621282573289899</v>
          </cell>
          <cell r="J20">
            <v>95.590500000000006</v>
          </cell>
          <cell r="K20">
            <v>69.599999999999994</v>
          </cell>
          <cell r="L20">
            <v>73.8</v>
          </cell>
          <cell r="M20">
            <v>117.6</v>
          </cell>
          <cell r="N20">
            <v>1.0603448275862069</v>
          </cell>
        </row>
        <row r="21">
          <cell r="B21">
            <v>24866</v>
          </cell>
          <cell r="C21">
            <v>3.1531302568493178</v>
          </cell>
          <cell r="D21">
            <v>46189</v>
          </cell>
          <cell r="E21">
            <v>1.1041095890410959</v>
          </cell>
          <cell r="F21">
            <v>46204</v>
          </cell>
          <cell r="G21" t="str">
            <v>TCRI6</v>
          </cell>
          <cell r="H21">
            <v>101.0025</v>
          </cell>
          <cell r="I21">
            <v>3.5295398200936883</v>
          </cell>
          <cell r="J21">
            <v>97.046899999999994</v>
          </cell>
          <cell r="K21">
            <v>126</v>
          </cell>
          <cell r="L21">
            <v>78.599999999999994</v>
          </cell>
          <cell r="M21">
            <v>101</v>
          </cell>
          <cell r="N21">
            <v>0.62380952380952381</v>
          </cell>
        </row>
        <row r="22">
          <cell r="B22">
            <v>25283</v>
          </cell>
          <cell r="C22">
            <v>5.5375471123287712</v>
          </cell>
          <cell r="D22">
            <v>46737</v>
          </cell>
          <cell r="E22">
            <v>2.6054794520547944</v>
          </cell>
          <cell r="F22">
            <v>46752</v>
          </cell>
          <cell r="G22" t="str">
            <v>元大銀</v>
          </cell>
          <cell r="H22">
            <v>100.752</v>
          </cell>
          <cell r="I22">
            <v>2.3148770146712883</v>
          </cell>
          <cell r="J22">
            <v>94.662499999999994</v>
          </cell>
          <cell r="K22">
            <v>46.4</v>
          </cell>
          <cell r="L22">
            <v>37.200000000000003</v>
          </cell>
          <cell r="M22">
            <v>115.5</v>
          </cell>
          <cell r="N22">
            <v>0.80172413793103459</v>
          </cell>
        </row>
        <row r="23">
          <cell r="B23">
            <v>25283</v>
          </cell>
          <cell r="C23">
            <v>5.5375471123287712</v>
          </cell>
          <cell r="D23">
            <v>46737</v>
          </cell>
          <cell r="E23">
            <v>2.6054794520547944</v>
          </cell>
          <cell r="F23">
            <v>46752</v>
          </cell>
          <cell r="G23" t="str">
            <v>元大銀</v>
          </cell>
          <cell r="H23">
            <v>100.752</v>
          </cell>
          <cell r="I23">
            <v>2.3148770146712883</v>
          </cell>
          <cell r="J23">
            <v>94.662499999999994</v>
          </cell>
          <cell r="K23">
            <v>46.4</v>
          </cell>
          <cell r="L23">
            <v>37.200000000000003</v>
          </cell>
          <cell r="M23">
            <v>115.5</v>
          </cell>
          <cell r="N23">
            <v>0.80172413793103459</v>
          </cell>
        </row>
        <row r="24">
          <cell r="B24">
            <v>25484</v>
          </cell>
          <cell r="C24">
            <v>6.8575342465753435</v>
          </cell>
          <cell r="D24">
            <v>46663</v>
          </cell>
          <cell r="E24">
            <v>2.4027397260273973</v>
          </cell>
          <cell r="F24">
            <v>46678</v>
          </cell>
          <cell r="G24" t="str">
            <v>TCRI4</v>
          </cell>
          <cell r="H24">
            <v>100</v>
          </cell>
          <cell r="I24">
            <v>2.7644908987485777</v>
          </cell>
          <cell r="J24">
            <v>93.342500000000001</v>
          </cell>
          <cell r="K24">
            <v>136.30000000000001</v>
          </cell>
          <cell r="L24">
            <v>107.5</v>
          </cell>
          <cell r="M24">
            <v>101</v>
          </cell>
          <cell r="N24">
            <v>0.78870139398385908</v>
          </cell>
        </row>
        <row r="25">
          <cell r="B25">
            <v>26107</v>
          </cell>
          <cell r="C25">
            <v>2.5719178082191778</v>
          </cell>
          <cell r="D25">
            <v>46125</v>
          </cell>
          <cell r="E25">
            <v>0.92876712328767119</v>
          </cell>
          <cell r="F25">
            <v>46140</v>
          </cell>
          <cell r="G25" t="str">
            <v>TCRI4</v>
          </cell>
          <cell r="H25">
            <v>100</v>
          </cell>
          <cell r="I25">
            <v>2.5388372434017561</v>
          </cell>
          <cell r="J25">
            <v>97.628099999999989</v>
          </cell>
          <cell r="K25">
            <v>18</v>
          </cell>
          <cell r="L25">
            <v>21.3</v>
          </cell>
          <cell r="M25">
            <v>130.5</v>
          </cell>
          <cell r="N25">
            <v>1.1833333333333333</v>
          </cell>
        </row>
        <row r="26">
          <cell r="B26">
            <v>27551</v>
          </cell>
          <cell r="C26">
            <v>9.5130136986301377</v>
          </cell>
          <cell r="D26">
            <v>46752</v>
          </cell>
          <cell r="E26">
            <v>2.6465753424657534</v>
          </cell>
          <cell r="F26">
            <v>46767</v>
          </cell>
          <cell r="G26" t="str">
            <v>TCRI5</v>
          </cell>
          <cell r="H26">
            <v>100</v>
          </cell>
          <cell r="I26">
            <v>3.5116167355371908</v>
          </cell>
          <cell r="J26">
            <v>90.686999999999983</v>
          </cell>
          <cell r="K26">
            <v>106</v>
          </cell>
          <cell r="L26">
            <v>124.5</v>
          </cell>
          <cell r="M26">
            <v>119</v>
          </cell>
          <cell r="N26">
            <v>1.1745283018867925</v>
          </cell>
        </row>
        <row r="27">
          <cell r="B27">
            <v>30134</v>
          </cell>
          <cell r="C27">
            <v>5.5360273972602734</v>
          </cell>
          <cell r="D27">
            <v>46663</v>
          </cell>
          <cell r="E27">
            <v>2.4027397260273973</v>
          </cell>
          <cell r="F27">
            <v>46678</v>
          </cell>
          <cell r="G27" t="str">
            <v>中信、兆豐</v>
          </cell>
          <cell r="H27">
            <v>100</v>
          </cell>
          <cell r="I27">
            <v>2.2157451649601811</v>
          </cell>
          <cell r="J27">
            <v>94.664000000000001</v>
          </cell>
          <cell r="K27">
            <v>144.5</v>
          </cell>
          <cell r="L27">
            <v>90.8</v>
          </cell>
          <cell r="M27">
            <v>104.8</v>
          </cell>
          <cell r="N27">
            <v>0.6283737024221453</v>
          </cell>
        </row>
        <row r="28">
          <cell r="B28">
            <v>30238</v>
          </cell>
          <cell r="C28">
            <v>1.6889041095890405</v>
          </cell>
          <cell r="D28">
            <v>45988</v>
          </cell>
          <cell r="E28">
            <v>0.55342465753424652</v>
          </cell>
          <cell r="F28">
            <v>46003</v>
          </cell>
          <cell r="G28" t="str">
            <v>TCRI4</v>
          </cell>
          <cell r="H28">
            <v>100</v>
          </cell>
          <cell r="I28">
            <v>2.6639632352941196</v>
          </cell>
          <cell r="J28">
            <v>98.511099999999999</v>
          </cell>
          <cell r="K28">
            <v>270.89999999999998</v>
          </cell>
          <cell r="L28">
            <v>224.5</v>
          </cell>
          <cell r="M28">
            <v>103.8</v>
          </cell>
          <cell r="N28">
            <v>0.82871908453303811</v>
          </cell>
        </row>
        <row r="29">
          <cell r="B29">
            <v>30337</v>
          </cell>
          <cell r="C29">
            <v>8.3047945205479454</v>
          </cell>
          <cell r="D29">
            <v>46626</v>
          </cell>
          <cell r="E29">
            <v>2.3013698630136985</v>
          </cell>
          <cell r="F29">
            <v>46641</v>
          </cell>
          <cell r="G29" t="str">
            <v>TCRI6</v>
          </cell>
          <cell r="H29">
            <v>100</v>
          </cell>
          <cell r="I29">
            <v>3.5133634204275523</v>
          </cell>
          <cell r="J29">
            <v>91.895200000000003</v>
          </cell>
          <cell r="K29">
            <v>36.67</v>
          </cell>
          <cell r="L29">
            <v>33.200000000000003</v>
          </cell>
          <cell r="M29">
            <v>104.8</v>
          </cell>
          <cell r="N29">
            <v>0.90537223888737395</v>
          </cell>
        </row>
        <row r="30">
          <cell r="B30">
            <v>30455</v>
          </cell>
          <cell r="C30">
            <v>6.5954794520547946</v>
          </cell>
          <cell r="D30">
            <v>46793</v>
          </cell>
          <cell r="E30">
            <v>2.7589041095890412</v>
          </cell>
          <cell r="F30">
            <v>46808</v>
          </cell>
          <cell r="G30" t="str">
            <v>TCRI2</v>
          </cell>
          <cell r="H30">
            <v>100</v>
          </cell>
          <cell r="I30">
            <v>2.3135356788899899</v>
          </cell>
          <cell r="J30">
            <v>93.604500000000002</v>
          </cell>
          <cell r="K30">
            <v>115.8</v>
          </cell>
          <cell r="L30">
            <v>113.5</v>
          </cell>
          <cell r="M30">
            <v>103</v>
          </cell>
          <cell r="N30">
            <v>0.98013816925734032</v>
          </cell>
        </row>
        <row r="31">
          <cell r="B31">
            <v>30954</v>
          </cell>
          <cell r="C31">
            <v>4.647260273972603</v>
          </cell>
          <cell r="D31">
            <v>46428</v>
          </cell>
          <cell r="E31">
            <v>1.7589041095890412</v>
          </cell>
          <cell r="F31">
            <v>46443</v>
          </cell>
          <cell r="G31" t="str">
            <v>陽信</v>
          </cell>
          <cell r="H31">
            <v>100</v>
          </cell>
          <cell r="I31">
            <v>2.5205970496894401</v>
          </cell>
          <cell r="J31">
            <v>95.552700000000002</v>
          </cell>
          <cell r="K31">
            <v>41.1</v>
          </cell>
          <cell r="L31">
            <v>35.049999999999997</v>
          </cell>
          <cell r="M31">
            <v>115</v>
          </cell>
          <cell r="N31">
            <v>0.85279805352798044</v>
          </cell>
        </row>
        <row r="32">
          <cell r="B32">
            <v>32071</v>
          </cell>
          <cell r="C32">
            <v>1.2284681506849267</v>
          </cell>
          <cell r="D32">
            <v>46091</v>
          </cell>
          <cell r="E32">
            <v>0.83561643835616439</v>
          </cell>
          <cell r="F32">
            <v>46106</v>
          </cell>
          <cell r="G32" t="str">
            <v>TCRI6</v>
          </cell>
          <cell r="H32">
            <v>102.01</v>
          </cell>
          <cell r="I32">
            <v>3.5413673756836119</v>
          </cell>
          <cell r="J32">
            <v>98.971499999999992</v>
          </cell>
          <cell r="K32">
            <v>100.99</v>
          </cell>
          <cell r="L32">
            <v>80</v>
          </cell>
          <cell r="M32">
            <v>101.05</v>
          </cell>
          <cell r="N32">
            <v>0.79215763937023476</v>
          </cell>
        </row>
        <row r="33">
          <cell r="B33">
            <v>33133</v>
          </cell>
          <cell r="C33">
            <v>6.0409589041095897</v>
          </cell>
          <cell r="D33">
            <v>46705</v>
          </cell>
          <cell r="E33">
            <v>2.5178082191780824</v>
          </cell>
          <cell r="F33">
            <v>46720</v>
          </cell>
          <cell r="G33" t="str">
            <v>元大銀</v>
          </cell>
          <cell r="H33">
            <v>100</v>
          </cell>
          <cell r="I33">
            <v>2.3148371335504865</v>
          </cell>
          <cell r="J33">
            <v>94.15900000000002</v>
          </cell>
          <cell r="K33">
            <v>16.5</v>
          </cell>
          <cell r="L33">
            <v>13.95</v>
          </cell>
          <cell r="M33">
            <v>107.8</v>
          </cell>
          <cell r="N33">
            <v>0.84545454545454546</v>
          </cell>
        </row>
        <row r="34">
          <cell r="B34">
            <v>33245</v>
          </cell>
          <cell r="C34">
            <v>4.0724924212328837</v>
          </cell>
          <cell r="D34">
            <v>46584</v>
          </cell>
          <cell r="E34">
            <v>2.1863013698630138</v>
          </cell>
          <cell r="F34">
            <v>46599</v>
          </cell>
          <cell r="G34" t="str">
            <v>TCRI4</v>
          </cell>
          <cell r="H34">
            <v>101.50749999999999</v>
          </cell>
          <cell r="I34">
            <v>2.4181710711031186</v>
          </cell>
          <cell r="J34">
            <v>96.127499999999998</v>
          </cell>
          <cell r="K34">
            <v>747.7</v>
          </cell>
          <cell r="L34">
            <v>512</v>
          </cell>
          <cell r="M34">
            <v>111.25</v>
          </cell>
          <cell r="N34">
            <v>0.68476661762739066</v>
          </cell>
        </row>
        <row r="35">
          <cell r="B35">
            <v>33571</v>
          </cell>
          <cell r="C35">
            <v>3.845890410958904</v>
          </cell>
          <cell r="D35">
            <v>46311</v>
          </cell>
          <cell r="E35">
            <v>1.4383561643835616</v>
          </cell>
          <cell r="F35">
            <v>46326</v>
          </cell>
          <cell r="G35" t="str">
            <v>TCRI4</v>
          </cell>
          <cell r="H35">
            <v>100</v>
          </cell>
          <cell r="I35">
            <v>2.5251489563567344</v>
          </cell>
          <cell r="J35">
            <v>96.354100000000003</v>
          </cell>
          <cell r="K35">
            <v>113.5</v>
          </cell>
          <cell r="L35">
            <v>97.5</v>
          </cell>
          <cell r="M35">
            <v>107</v>
          </cell>
          <cell r="N35">
            <v>0.8590308370044053</v>
          </cell>
        </row>
        <row r="36">
          <cell r="B36">
            <v>33621</v>
          </cell>
          <cell r="C36">
            <v>4.2567229452054791</v>
          </cell>
          <cell r="D36">
            <v>46569</v>
          </cell>
          <cell r="E36">
            <v>2.1452054794520548</v>
          </cell>
          <cell r="F36">
            <v>46584</v>
          </cell>
          <cell r="G36" t="str">
            <v>土銀</v>
          </cell>
          <cell r="H36">
            <v>100.75</v>
          </cell>
          <cell r="I36">
            <v>2.2183249830095964</v>
          </cell>
          <cell r="J36">
            <v>95.943299999999994</v>
          </cell>
          <cell r="K36">
            <v>254</v>
          </cell>
          <cell r="L36">
            <v>133.5</v>
          </cell>
          <cell r="M36">
            <v>101</v>
          </cell>
          <cell r="N36">
            <v>0.52559055118110232</v>
          </cell>
        </row>
        <row r="37">
          <cell r="B37">
            <v>33763</v>
          </cell>
          <cell r="C37">
            <v>4.2236463424657487</v>
          </cell>
          <cell r="D37">
            <v>46607</v>
          </cell>
          <cell r="E37">
            <v>2.2493150684931509</v>
          </cell>
          <cell r="F37">
            <v>46622</v>
          </cell>
          <cell r="G37" t="str">
            <v>TCRI5</v>
          </cell>
          <cell r="H37">
            <v>101.51</v>
          </cell>
          <cell r="I37">
            <v>2.4176418462743587</v>
          </cell>
          <cell r="J37">
            <v>95.976399999999998</v>
          </cell>
          <cell r="K37">
            <v>200.3</v>
          </cell>
          <cell r="L37">
            <v>193.5</v>
          </cell>
          <cell r="M37">
            <v>119</v>
          </cell>
          <cell r="N37">
            <v>0.96605092361457812</v>
          </cell>
        </row>
        <row r="38">
          <cell r="B38">
            <v>33881</v>
          </cell>
          <cell r="C38">
            <v>1.7547945205479452</v>
          </cell>
          <cell r="D38">
            <v>45955</v>
          </cell>
          <cell r="E38">
            <v>0.46301369863013697</v>
          </cell>
          <cell r="F38">
            <v>45970</v>
          </cell>
          <cell r="G38" t="str">
            <v>TCRI4</v>
          </cell>
          <cell r="H38">
            <v>100</v>
          </cell>
          <cell r="I38">
            <v>3.318725146198831</v>
          </cell>
          <cell r="J38">
            <v>98.4452</v>
          </cell>
          <cell r="K38">
            <v>66.400000000000006</v>
          </cell>
          <cell r="L38">
            <v>65</v>
          </cell>
          <cell r="M38">
            <v>104.5</v>
          </cell>
          <cell r="N38">
            <v>0.97891566265060237</v>
          </cell>
        </row>
        <row r="39">
          <cell r="B39">
            <v>34163</v>
          </cell>
          <cell r="C39">
            <v>1.6139417808219179</v>
          </cell>
          <cell r="D39">
            <v>46032</v>
          </cell>
          <cell r="E39">
            <v>0.67397260273972603</v>
          </cell>
          <cell r="F39">
            <v>46047</v>
          </cell>
          <cell r="G39" t="str">
            <v>TCRI5</v>
          </cell>
          <cell r="H39">
            <v>100.5</v>
          </cell>
          <cell r="I39">
            <v>2.8028145562510005</v>
          </cell>
          <cell r="J39">
            <v>98.586100000000002</v>
          </cell>
          <cell r="K39">
            <v>132.30000000000001</v>
          </cell>
          <cell r="L39">
            <v>139</v>
          </cell>
          <cell r="M39">
            <v>118</v>
          </cell>
          <cell r="N39">
            <v>1.0506424792139077</v>
          </cell>
        </row>
        <row r="40">
          <cell r="B40">
            <v>34793</v>
          </cell>
          <cell r="C40">
            <v>4.9141095890410966</v>
          </cell>
          <cell r="D40">
            <v>46394</v>
          </cell>
          <cell r="E40">
            <v>1.6657534246575343</v>
          </cell>
          <cell r="F40">
            <v>46409</v>
          </cell>
          <cell r="G40" t="str">
            <v>TCRI5</v>
          </cell>
          <cell r="H40">
            <v>100</v>
          </cell>
          <cell r="I40">
            <v>2.8207319672131161</v>
          </cell>
          <cell r="J40">
            <v>95.285899999999998</v>
          </cell>
          <cell r="K40">
            <v>115.3</v>
          </cell>
          <cell r="L40">
            <v>99.3</v>
          </cell>
          <cell r="M40">
            <v>107.75</v>
          </cell>
          <cell r="N40">
            <v>0.86123156981786642</v>
          </cell>
        </row>
        <row r="41">
          <cell r="B41">
            <v>34834</v>
          </cell>
          <cell r="C41">
            <v>7.729452054794522</v>
          </cell>
          <cell r="D41">
            <v>46514</v>
          </cell>
          <cell r="E41">
            <v>1.9945205479452055</v>
          </cell>
          <cell r="F41">
            <v>46529</v>
          </cell>
          <cell r="G41" t="str">
            <v>TCRI6</v>
          </cell>
          <cell r="H41">
            <v>100</v>
          </cell>
          <cell r="I41">
            <v>3.7647499999999994</v>
          </cell>
          <cell r="J41">
            <v>92.470499999999987</v>
          </cell>
          <cell r="K41">
            <v>161</v>
          </cell>
          <cell r="L41">
            <v>113</v>
          </cell>
          <cell r="M41">
            <v>103</v>
          </cell>
          <cell r="N41">
            <v>0.70186335403726707</v>
          </cell>
        </row>
        <row r="42">
          <cell r="B42">
            <v>34912</v>
          </cell>
          <cell r="C42">
            <v>7.0390410958904113</v>
          </cell>
          <cell r="D42">
            <v>46612</v>
          </cell>
          <cell r="E42">
            <v>2.2630136986301368</v>
          </cell>
          <cell r="F42">
            <v>46627</v>
          </cell>
          <cell r="G42" t="str">
            <v>TCRI5</v>
          </cell>
          <cell r="H42">
            <v>100</v>
          </cell>
          <cell r="I42">
            <v>3.0147765700483089</v>
          </cell>
          <cell r="J42">
            <v>93.161000000000001</v>
          </cell>
          <cell r="K42">
            <v>305.3</v>
          </cell>
          <cell r="L42">
            <v>379</v>
          </cell>
          <cell r="M42">
            <v>127.65</v>
          </cell>
          <cell r="N42">
            <v>1.2414018997707172</v>
          </cell>
        </row>
        <row r="43">
          <cell r="B43">
            <v>35161</v>
          </cell>
          <cell r="C43">
            <v>5.5360273972602734</v>
          </cell>
          <cell r="D43">
            <v>46663</v>
          </cell>
          <cell r="E43">
            <v>2.4027397260273973</v>
          </cell>
          <cell r="F43">
            <v>46678</v>
          </cell>
          <cell r="G43" t="str">
            <v>永豐銀</v>
          </cell>
          <cell r="H43">
            <v>100</v>
          </cell>
          <cell r="I43">
            <v>2.2157451649601811</v>
          </cell>
          <cell r="J43">
            <v>94.664000000000001</v>
          </cell>
          <cell r="K43">
            <v>26.9</v>
          </cell>
          <cell r="L43">
            <v>22</v>
          </cell>
          <cell r="M43">
            <v>107</v>
          </cell>
          <cell r="N43">
            <v>0.8178438661710038</v>
          </cell>
        </row>
        <row r="44">
          <cell r="B44">
            <v>35181</v>
          </cell>
          <cell r="C44">
            <v>5.3730136986301362</v>
          </cell>
          <cell r="D44">
            <v>46599</v>
          </cell>
          <cell r="E44">
            <v>2.2273972602739724</v>
          </cell>
          <cell r="F44">
            <v>46614</v>
          </cell>
          <cell r="G44" t="str">
            <v>台新銀</v>
          </cell>
          <cell r="H44">
            <v>100</v>
          </cell>
          <cell r="I44">
            <v>2.3167423312883444</v>
          </cell>
          <cell r="J44">
            <v>94.827000000000012</v>
          </cell>
          <cell r="K44">
            <v>35</v>
          </cell>
          <cell r="L44">
            <v>17.899999999999999</v>
          </cell>
          <cell r="M44">
            <v>102.95</v>
          </cell>
          <cell r="N44">
            <v>0.51142857142857134</v>
          </cell>
        </row>
        <row r="45">
          <cell r="B45">
            <v>35221</v>
          </cell>
          <cell r="C45">
            <v>0.45871561986301623</v>
          </cell>
          <cell r="D45">
            <v>45994</v>
          </cell>
          <cell r="E45">
            <v>0.56986301369863013</v>
          </cell>
          <cell r="F45">
            <v>46009</v>
          </cell>
          <cell r="G45" t="str">
            <v>兆豐銀</v>
          </cell>
          <cell r="H45">
            <v>101.0025</v>
          </cell>
          <cell r="I45">
            <v>2.1703281743379805</v>
          </cell>
          <cell r="J45">
            <v>99.74130000000001</v>
          </cell>
          <cell r="K45">
            <v>18.600000000000001</v>
          </cell>
          <cell r="L45">
            <v>17.149999999999999</v>
          </cell>
          <cell r="M45">
            <v>110</v>
          </cell>
          <cell r="N45">
            <v>0.92204301075268802</v>
          </cell>
        </row>
        <row r="46">
          <cell r="B46">
            <v>35266</v>
          </cell>
          <cell r="C46">
            <v>4.9678082191780826</v>
          </cell>
          <cell r="D46">
            <v>46401</v>
          </cell>
          <cell r="E46">
            <v>1.6849315068493151</v>
          </cell>
          <cell r="F46">
            <v>46416</v>
          </cell>
          <cell r="G46" t="str">
            <v>TCRI5</v>
          </cell>
          <cell r="H46">
            <v>100</v>
          </cell>
          <cell r="I46">
            <v>2.8204975688816818</v>
          </cell>
          <cell r="J46">
            <v>95.232200000000006</v>
          </cell>
          <cell r="K46">
            <v>212.8</v>
          </cell>
          <cell r="L46">
            <v>248.5</v>
          </cell>
          <cell r="M46">
            <v>130</v>
          </cell>
          <cell r="N46">
            <v>1.1677631578947367</v>
          </cell>
        </row>
        <row r="47">
          <cell r="B47">
            <v>35482</v>
          </cell>
          <cell r="C47">
            <v>5.132191780821918</v>
          </cell>
          <cell r="D47">
            <v>46380</v>
          </cell>
          <cell r="E47">
            <v>1.6273972602739726</v>
          </cell>
          <cell r="F47">
            <v>46395</v>
          </cell>
          <cell r="G47" t="str">
            <v>TCRI5</v>
          </cell>
          <cell r="H47">
            <v>100</v>
          </cell>
          <cell r="I47">
            <v>3.0205587248322114</v>
          </cell>
          <cell r="J47">
            <v>95.067800000000005</v>
          </cell>
          <cell r="K47">
            <v>194.2</v>
          </cell>
          <cell r="L47">
            <v>125</v>
          </cell>
          <cell r="M47">
            <v>102.5</v>
          </cell>
          <cell r="N47">
            <v>0.64366632337796093</v>
          </cell>
        </row>
        <row r="48">
          <cell r="B48">
            <v>35831</v>
          </cell>
          <cell r="C48">
            <v>3.3650684931506851</v>
          </cell>
          <cell r="D48">
            <v>46165</v>
          </cell>
          <cell r="E48">
            <v>1.0383561643835617</v>
          </cell>
          <cell r="F48">
            <v>46180</v>
          </cell>
          <cell r="G48" t="str">
            <v>TCRI5</v>
          </cell>
          <cell r="H48">
            <v>100</v>
          </cell>
          <cell r="I48">
            <v>3.0321824146981582</v>
          </cell>
          <cell r="J48">
            <v>96.834900000000005</v>
          </cell>
          <cell r="K48">
            <v>354.5</v>
          </cell>
          <cell r="L48">
            <v>275</v>
          </cell>
          <cell r="M48">
            <v>106.8</v>
          </cell>
          <cell r="N48">
            <v>0.7757404795486601</v>
          </cell>
        </row>
        <row r="49">
          <cell r="B49">
            <v>35832</v>
          </cell>
          <cell r="C49">
            <v>3.2494520547945198</v>
          </cell>
          <cell r="D49">
            <v>46177</v>
          </cell>
          <cell r="E49">
            <v>1.0712328767123287</v>
          </cell>
          <cell r="F49">
            <v>46192</v>
          </cell>
          <cell r="G49" t="str">
            <v>TCRI5</v>
          </cell>
          <cell r="H49">
            <v>100</v>
          </cell>
          <cell r="I49">
            <v>2.8322328244274759</v>
          </cell>
          <cell r="J49">
            <v>96.950500000000005</v>
          </cell>
          <cell r="K49">
            <v>342.5</v>
          </cell>
          <cell r="L49">
            <v>275</v>
          </cell>
          <cell r="M49">
            <v>108</v>
          </cell>
          <cell r="N49">
            <v>0.8029197080291971</v>
          </cell>
        </row>
        <row r="50">
          <cell r="B50">
            <v>36894</v>
          </cell>
          <cell r="C50">
            <v>2.7876712328767121</v>
          </cell>
          <cell r="D50">
            <v>46071</v>
          </cell>
          <cell r="E50">
            <v>0.78082191780821919</v>
          </cell>
          <cell r="F50">
            <v>46086</v>
          </cell>
          <cell r="G50" t="str">
            <v>TCRI6</v>
          </cell>
          <cell r="H50">
            <v>100</v>
          </cell>
          <cell r="I50">
            <v>3.2909773519163736</v>
          </cell>
          <cell r="J50">
            <v>97.412300000000002</v>
          </cell>
          <cell r="K50">
            <v>65.7</v>
          </cell>
          <cell r="L50">
            <v>84.7</v>
          </cell>
          <cell r="M50">
            <v>132.9</v>
          </cell>
          <cell r="N50">
            <v>1.2891933028919331</v>
          </cell>
        </row>
        <row r="51">
          <cell r="B51">
            <v>37083</v>
          </cell>
          <cell r="C51">
            <v>3.3439726027397261</v>
          </cell>
          <cell r="D51">
            <v>46277</v>
          </cell>
          <cell r="E51">
            <v>1.3452054794520547</v>
          </cell>
          <cell r="F51">
            <v>46292</v>
          </cell>
          <cell r="G51" t="str">
            <v>一銀</v>
          </cell>
          <cell r="H51">
            <v>100</v>
          </cell>
          <cell r="I51">
            <v>2.3277079107505112</v>
          </cell>
          <cell r="J51">
            <v>96.85599999999998</v>
          </cell>
          <cell r="K51">
            <v>89.1</v>
          </cell>
          <cell r="L51">
            <v>76.7</v>
          </cell>
          <cell r="M51">
            <v>108</v>
          </cell>
          <cell r="N51">
            <v>0.86083052749719424</v>
          </cell>
        </row>
        <row r="52">
          <cell r="B52">
            <v>41644</v>
          </cell>
          <cell r="C52">
            <v>-1.8237570890411017</v>
          </cell>
          <cell r="D52">
            <v>45858</v>
          </cell>
          <cell r="E52">
            <v>0.19726027397260273</v>
          </cell>
          <cell r="F52">
            <v>45873</v>
          </cell>
          <cell r="G52" t="str">
            <v>中信、第一</v>
          </cell>
          <cell r="H52">
            <v>102.52500000000001</v>
          </cell>
          <cell r="I52">
            <v>2.4112510462181822</v>
          </cell>
          <cell r="J52">
            <v>102.02379999999999</v>
          </cell>
          <cell r="K52">
            <v>45.2</v>
          </cell>
          <cell r="L52">
            <v>42.85</v>
          </cell>
          <cell r="M52">
            <v>107</v>
          </cell>
          <cell r="N52">
            <v>0.94800884955752207</v>
          </cell>
        </row>
        <row r="53">
          <cell r="B53">
            <v>41683</v>
          </cell>
          <cell r="C53">
            <v>0.45493150684931505</v>
          </cell>
          <cell r="D53">
            <v>45820</v>
          </cell>
          <cell r="E53">
            <v>9.3150684931506855E-2</v>
          </cell>
          <cell r="F53">
            <v>45835</v>
          </cell>
          <cell r="G53" t="str">
            <v>台新銀</v>
          </cell>
          <cell r="H53">
            <v>100</v>
          </cell>
          <cell r="I53">
            <v>2.584402777777842</v>
          </cell>
          <cell r="J53">
            <v>99.745100000000008</v>
          </cell>
          <cell r="K53">
            <v>27.3</v>
          </cell>
          <cell r="L53">
            <v>18.5</v>
          </cell>
          <cell r="M53">
            <v>100.2</v>
          </cell>
          <cell r="N53">
            <v>0.67765567765567769</v>
          </cell>
        </row>
        <row r="54">
          <cell r="B54">
            <v>44163</v>
          </cell>
          <cell r="C54">
            <v>-0.46694998630137508</v>
          </cell>
          <cell r="D54">
            <v>45915</v>
          </cell>
          <cell r="E54">
            <v>0.35342465753424657</v>
          </cell>
          <cell r="F54">
            <v>45930</v>
          </cell>
          <cell r="G54" t="str">
            <v>一銀</v>
          </cell>
          <cell r="H54">
            <v>101.51</v>
          </cell>
          <cell r="I54">
            <v>2.3141517287433229</v>
          </cell>
          <cell r="J54">
            <v>100.6669</v>
          </cell>
          <cell r="K54">
            <v>66.8</v>
          </cell>
          <cell r="L54">
            <v>65.8</v>
          </cell>
          <cell r="M54">
            <v>107.9</v>
          </cell>
          <cell r="N54">
            <v>0.98502994011976053</v>
          </cell>
        </row>
        <row r="55">
          <cell r="B55">
            <v>45401</v>
          </cell>
          <cell r="C55">
            <v>1.1721917808219178</v>
          </cell>
          <cell r="D55">
            <v>45939</v>
          </cell>
          <cell r="E55">
            <v>0.41917808219178082</v>
          </cell>
          <cell r="F55">
            <v>45954</v>
          </cell>
          <cell r="G55" t="str">
            <v>第一銀</v>
          </cell>
          <cell r="H55">
            <v>100</v>
          </cell>
          <cell r="I55">
            <v>2.2893741935483889</v>
          </cell>
          <cell r="J55">
            <v>99.027800000000013</v>
          </cell>
          <cell r="K55">
            <v>40.5</v>
          </cell>
          <cell r="L55">
            <v>41.35</v>
          </cell>
          <cell r="M55">
            <v>112</v>
          </cell>
          <cell r="N55">
            <v>1.0209876543209877</v>
          </cell>
        </row>
        <row r="56">
          <cell r="B56">
            <v>45491</v>
          </cell>
          <cell r="C56">
            <v>8.2369863013698623</v>
          </cell>
          <cell r="D56">
            <v>46683</v>
          </cell>
          <cell r="E56">
            <v>2.4575342465753423</v>
          </cell>
          <cell r="F56">
            <v>46698</v>
          </cell>
          <cell r="G56" t="str">
            <v>TCRI5</v>
          </cell>
          <cell r="H56">
            <v>100</v>
          </cell>
          <cell r="I56">
            <v>3.2630756395995579</v>
          </cell>
          <cell r="J56">
            <v>91.962999999999994</v>
          </cell>
          <cell r="K56">
            <v>166</v>
          </cell>
          <cell r="L56">
            <v>122</v>
          </cell>
          <cell r="M56">
            <v>104.95</v>
          </cell>
          <cell r="N56">
            <v>0.73493975903614461</v>
          </cell>
        </row>
        <row r="57">
          <cell r="B57">
            <v>45663</v>
          </cell>
          <cell r="C57">
            <v>4.786986301369863</v>
          </cell>
          <cell r="D57">
            <v>46338</v>
          </cell>
          <cell r="E57">
            <v>1.5123287671232877</v>
          </cell>
          <cell r="F57">
            <v>46353</v>
          </cell>
          <cell r="G57" t="str">
            <v>TCRI5</v>
          </cell>
          <cell r="H57">
            <v>100</v>
          </cell>
          <cell r="I57">
            <v>3.0221209386281611</v>
          </cell>
          <cell r="J57">
            <v>95.412999999999997</v>
          </cell>
          <cell r="K57">
            <v>50.6</v>
          </cell>
          <cell r="L57">
            <v>61.7</v>
          </cell>
          <cell r="M57">
            <v>124.3</v>
          </cell>
          <cell r="N57">
            <v>1.2193675889328064</v>
          </cell>
        </row>
        <row r="58">
          <cell r="B58">
            <v>45721</v>
          </cell>
          <cell r="C58">
            <v>4.2582191780821921</v>
          </cell>
          <cell r="D58">
            <v>46204</v>
          </cell>
          <cell r="E58">
            <v>1.1452054794520548</v>
          </cell>
          <cell r="F58">
            <v>46219</v>
          </cell>
          <cell r="G58" t="str">
            <v>TCRI6</v>
          </cell>
          <cell r="H58">
            <v>100</v>
          </cell>
          <cell r="I58">
            <v>3.5267690476190467</v>
          </cell>
          <cell r="J58">
            <v>95.941800000000001</v>
          </cell>
          <cell r="K58">
            <v>169.6</v>
          </cell>
          <cell r="L58">
            <v>174.5</v>
          </cell>
          <cell r="M58">
            <v>116.5</v>
          </cell>
          <cell r="N58">
            <v>1.0288915094339623</v>
          </cell>
        </row>
        <row r="59">
          <cell r="B59">
            <v>47393</v>
          </cell>
          <cell r="C59">
            <v>3.5393150684931505</v>
          </cell>
          <cell r="D59">
            <v>46308</v>
          </cell>
          <cell r="E59">
            <v>1.4301369863013698</v>
          </cell>
          <cell r="F59">
            <v>46323</v>
          </cell>
          <cell r="G59" t="str">
            <v>彰銀</v>
          </cell>
          <cell r="H59">
            <v>100</v>
          </cell>
          <cell r="I59">
            <v>2.3260391221374004</v>
          </cell>
          <cell r="J59">
            <v>96.660699999999991</v>
          </cell>
          <cell r="K59">
            <v>100.5</v>
          </cell>
          <cell r="L59">
            <v>45.4</v>
          </cell>
          <cell r="M59">
            <v>100.15</v>
          </cell>
          <cell r="N59">
            <v>0.45174129353233827</v>
          </cell>
        </row>
        <row r="60">
          <cell r="B60">
            <v>49793</v>
          </cell>
          <cell r="C60">
            <v>5.8829649486301401</v>
          </cell>
          <cell r="D60">
            <v>46350</v>
          </cell>
          <cell r="E60">
            <v>1.5452054794520549</v>
          </cell>
          <cell r="F60">
            <v>46365</v>
          </cell>
          <cell r="G60" t="str">
            <v>TCRI6</v>
          </cell>
          <cell r="H60">
            <v>101.0025</v>
          </cell>
          <cell r="I60">
            <v>4.2685286714468313</v>
          </cell>
          <cell r="J60">
            <v>94.317000000000007</v>
          </cell>
          <cell r="K60">
            <v>178</v>
          </cell>
          <cell r="L60">
            <v>154</v>
          </cell>
          <cell r="M60">
            <v>109.5</v>
          </cell>
          <cell r="N60">
            <v>0.8651685393258427</v>
          </cell>
        </row>
        <row r="61">
          <cell r="B61">
            <v>49794</v>
          </cell>
          <cell r="C61">
            <v>7.0034246575342465</v>
          </cell>
          <cell r="D61">
            <v>46366</v>
          </cell>
          <cell r="E61">
            <v>1.5890410958904109</v>
          </cell>
          <cell r="F61">
            <v>46381</v>
          </cell>
          <cell r="G61" t="str">
            <v>TCRI6</v>
          </cell>
          <cell r="H61">
            <v>100</v>
          </cell>
          <cell r="I61">
            <v>4.2667371134020593</v>
          </cell>
          <cell r="J61">
            <v>93.196600000000004</v>
          </cell>
          <cell r="K61">
            <v>206</v>
          </cell>
          <cell r="L61">
            <v>154</v>
          </cell>
          <cell r="M61">
            <v>104</v>
          </cell>
          <cell r="N61">
            <v>0.74757281553398058</v>
          </cell>
        </row>
        <row r="62">
          <cell r="B62">
            <v>52121</v>
          </cell>
          <cell r="C62">
            <v>7.8610860445205546</v>
          </cell>
          <cell r="D62">
            <v>46660</v>
          </cell>
          <cell r="E62">
            <v>2.3945205479452056</v>
          </cell>
          <cell r="F62">
            <v>46675</v>
          </cell>
          <cell r="G62" t="str">
            <v>TCRI6</v>
          </cell>
          <cell r="H62">
            <v>101.50749999999999</v>
          </cell>
          <cell r="I62">
            <v>3.763515011206068</v>
          </cell>
          <cell r="J62">
            <v>92.338899999999995</v>
          </cell>
          <cell r="K62">
            <v>66.5</v>
          </cell>
          <cell r="L62">
            <v>52.4</v>
          </cell>
          <cell r="M62">
            <v>103</v>
          </cell>
          <cell r="N62">
            <v>0.7879699248120301</v>
          </cell>
        </row>
        <row r="63">
          <cell r="B63">
            <v>52303</v>
          </cell>
          <cell r="C63">
            <v>2.7009589041095889</v>
          </cell>
          <cell r="D63">
            <v>46212</v>
          </cell>
          <cell r="E63">
            <v>1.167123287671233</v>
          </cell>
          <cell r="F63">
            <v>46227</v>
          </cell>
          <cell r="G63" t="str">
            <v>富邦銀</v>
          </cell>
          <cell r="H63">
            <v>100</v>
          </cell>
          <cell r="I63">
            <v>2.1328621495327145</v>
          </cell>
          <cell r="J63">
            <v>97.498999999999995</v>
          </cell>
          <cell r="K63">
            <v>22.5</v>
          </cell>
          <cell r="L63">
            <v>21.7</v>
          </cell>
          <cell r="M63">
            <v>109</v>
          </cell>
          <cell r="N63">
            <v>0.96444444444444444</v>
          </cell>
        </row>
        <row r="64">
          <cell r="B64">
            <v>52635</v>
          </cell>
          <cell r="C64">
            <v>1.6876424319178021</v>
          </cell>
          <cell r="D64">
            <v>46070</v>
          </cell>
          <cell r="E64">
            <v>0.77808219178082194</v>
          </cell>
          <cell r="F64">
            <v>46085</v>
          </cell>
          <cell r="G64" t="str">
            <v>台中銀</v>
          </cell>
          <cell r="H64">
            <v>100.20010000000001</v>
          </cell>
          <cell r="I64">
            <v>2.1495815544424359</v>
          </cell>
          <cell r="J64">
            <v>98.5124</v>
          </cell>
          <cell r="K64">
            <v>111.7</v>
          </cell>
          <cell r="L64">
            <v>101.5</v>
          </cell>
          <cell r="M64">
            <v>111</v>
          </cell>
          <cell r="N64">
            <v>0.9086839749328558</v>
          </cell>
        </row>
        <row r="65">
          <cell r="B65">
            <v>53064</v>
          </cell>
          <cell r="C65">
            <v>3.4626027397260275</v>
          </cell>
          <cell r="D65">
            <v>46319</v>
          </cell>
          <cell r="E65">
            <v>1.4602739726027398</v>
          </cell>
          <cell r="F65">
            <v>46334</v>
          </cell>
          <cell r="G65" t="str">
            <v>日商瑞穗</v>
          </cell>
          <cell r="H65">
            <v>100</v>
          </cell>
          <cell r="I65">
            <v>2.2258859813084153</v>
          </cell>
          <cell r="J65">
            <v>96.737399999999994</v>
          </cell>
          <cell r="K65">
            <v>128.30000000000001</v>
          </cell>
          <cell r="L65">
            <v>96.3</v>
          </cell>
          <cell r="M65">
            <v>102.65</v>
          </cell>
          <cell r="N65">
            <v>0.75058456742010904</v>
          </cell>
        </row>
        <row r="66">
          <cell r="B66">
            <v>53887</v>
          </cell>
          <cell r="C66">
            <v>4.5535616438356161</v>
          </cell>
          <cell r="D66">
            <v>46347</v>
          </cell>
          <cell r="E66">
            <v>1.536986301369863</v>
          </cell>
          <cell r="F66">
            <v>46362</v>
          </cell>
          <cell r="G66" t="str">
            <v>TCRI4</v>
          </cell>
          <cell r="H66">
            <v>100</v>
          </cell>
          <cell r="I66">
            <v>2.82249378330373</v>
          </cell>
          <cell r="J66">
            <v>95.6464</v>
          </cell>
          <cell r="K66">
            <v>139.6</v>
          </cell>
          <cell r="L66">
            <v>100</v>
          </cell>
          <cell r="M66">
            <v>106.95</v>
          </cell>
          <cell r="N66">
            <v>0.71633237822349571</v>
          </cell>
        </row>
        <row r="67">
          <cell r="B67">
            <v>54342</v>
          </cell>
          <cell r="C67">
            <v>3.1064383561643831</v>
          </cell>
          <cell r="D67">
            <v>46187</v>
          </cell>
          <cell r="E67">
            <v>1.0986301369863014</v>
          </cell>
          <cell r="F67">
            <v>46202</v>
          </cell>
          <cell r="G67" t="str">
            <v>TCRI4</v>
          </cell>
          <cell r="H67">
            <v>100</v>
          </cell>
          <cell r="I67">
            <v>2.6323473945409477</v>
          </cell>
          <cell r="J67">
            <v>97.093599999999981</v>
          </cell>
          <cell r="K67">
            <v>192.5</v>
          </cell>
          <cell r="L67">
            <v>249.5</v>
          </cell>
          <cell r="M67">
            <v>135</v>
          </cell>
          <cell r="N67">
            <v>1.2961038961038962</v>
          </cell>
        </row>
        <row r="68">
          <cell r="B68">
            <v>54501</v>
          </cell>
          <cell r="C68">
            <v>1.3297284246575338</v>
          </cell>
          <cell r="D68">
            <v>46087</v>
          </cell>
          <cell r="E68">
            <v>0.8246575342465754</v>
          </cell>
          <cell r="F68">
            <v>46102</v>
          </cell>
          <cell r="G68" t="str">
            <v>土銀</v>
          </cell>
          <cell r="H68">
            <v>100.75</v>
          </cell>
          <cell r="I68">
            <v>2.247469064524318</v>
          </cell>
          <cell r="J68">
            <v>98.8703</v>
          </cell>
          <cell r="K68">
            <v>18</v>
          </cell>
          <cell r="L68">
            <v>16.05</v>
          </cell>
          <cell r="M68">
            <v>105.1</v>
          </cell>
          <cell r="N68">
            <v>0.89166666666666672</v>
          </cell>
        </row>
        <row r="69">
          <cell r="B69">
            <v>56086</v>
          </cell>
          <cell r="C69">
            <v>2.6187671232876708</v>
          </cell>
          <cell r="D69">
            <v>46179</v>
          </cell>
          <cell r="E69">
            <v>1.0767123287671232</v>
          </cell>
          <cell r="F69">
            <v>46194</v>
          </cell>
          <cell r="G69" t="str">
            <v>陽信銀</v>
          </cell>
          <cell r="H69">
            <v>100</v>
          </cell>
          <cell r="I69">
            <v>2.23509367088608</v>
          </cell>
          <cell r="J69">
            <v>97.581199999999995</v>
          </cell>
          <cell r="K69">
            <v>22.1</v>
          </cell>
          <cell r="L69">
            <v>17.05</v>
          </cell>
          <cell r="M69">
            <v>105.05</v>
          </cell>
          <cell r="N69">
            <v>0.77149321266968329</v>
          </cell>
        </row>
        <row r="70">
          <cell r="B70">
            <v>56087</v>
          </cell>
          <cell r="C70">
            <v>6.1543835616438347</v>
          </cell>
          <cell r="D70">
            <v>46723</v>
          </cell>
          <cell r="E70">
            <v>2.5671232876712327</v>
          </cell>
          <cell r="F70">
            <v>46738</v>
          </cell>
          <cell r="G70" t="str">
            <v>一銀</v>
          </cell>
          <cell r="H70">
            <v>100</v>
          </cell>
          <cell r="I70">
            <v>2.3145431309904128</v>
          </cell>
          <cell r="J70">
            <v>94.045600000000007</v>
          </cell>
          <cell r="K70">
            <v>19.3</v>
          </cell>
          <cell r="L70">
            <v>17.05</v>
          </cell>
          <cell r="M70">
            <v>109.3</v>
          </cell>
          <cell r="N70">
            <v>0.88341968911917101</v>
          </cell>
        </row>
        <row r="71">
          <cell r="B71">
            <v>59055</v>
          </cell>
          <cell r="C71">
            <v>2.3154794520547943</v>
          </cell>
          <cell r="D71">
            <v>46145</v>
          </cell>
          <cell r="E71">
            <v>0.98356164383561639</v>
          </cell>
          <cell r="F71">
            <v>46160</v>
          </cell>
          <cell r="G71" t="str">
            <v>土銀</v>
          </cell>
          <cell r="H71">
            <v>100</v>
          </cell>
          <cell r="I71">
            <v>2.1389404432132935</v>
          </cell>
          <cell r="J71">
            <v>97.884500000000003</v>
          </cell>
          <cell r="K71">
            <v>13.02</v>
          </cell>
          <cell r="L71">
            <v>11.85</v>
          </cell>
          <cell r="M71">
            <v>105</v>
          </cell>
          <cell r="N71">
            <v>0.91013824884792627</v>
          </cell>
        </row>
        <row r="72">
          <cell r="B72">
            <v>61263</v>
          </cell>
          <cell r="C72">
            <v>0.86170526027397143</v>
          </cell>
          <cell r="D72">
            <v>45976</v>
          </cell>
          <cell r="E72">
            <v>0.52054794520547942</v>
          </cell>
          <cell r="F72">
            <v>45991</v>
          </cell>
          <cell r="G72" t="str">
            <v>TCRI6</v>
          </cell>
          <cell r="H72">
            <v>101.5056</v>
          </cell>
          <cell r="I72">
            <v>4.0590150732241987</v>
          </cell>
          <cell r="J72">
            <v>99.338300000000004</v>
          </cell>
          <cell r="K72">
            <v>28.5</v>
          </cell>
          <cell r="L72">
            <v>24.05</v>
          </cell>
          <cell r="M72">
            <v>108.5</v>
          </cell>
          <cell r="N72">
            <v>0.84385964912280709</v>
          </cell>
        </row>
        <row r="73">
          <cell r="B73">
            <v>61394</v>
          </cell>
          <cell r="C73">
            <v>1.1220114897260296</v>
          </cell>
          <cell r="D73">
            <v>46032</v>
          </cell>
          <cell r="E73">
            <v>0.67397260273972603</v>
          </cell>
          <cell r="F73">
            <v>46047</v>
          </cell>
          <cell r="G73" t="str">
            <v>TCRI4</v>
          </cell>
          <cell r="H73">
            <v>101.0025</v>
          </cell>
          <cell r="I73">
            <v>2.8043161659205103</v>
          </cell>
          <cell r="J73">
            <v>99.078000000000017</v>
          </cell>
          <cell r="K73">
            <v>164.6</v>
          </cell>
          <cell r="L73">
            <v>244</v>
          </cell>
          <cell r="M73">
            <v>148.5</v>
          </cell>
          <cell r="N73">
            <v>1.4823815309842041</v>
          </cell>
        </row>
        <row r="74">
          <cell r="B74">
            <v>61843</v>
          </cell>
          <cell r="C74">
            <v>5.5354518835616489</v>
          </cell>
          <cell r="D74">
            <v>46437</v>
          </cell>
          <cell r="E74">
            <v>1.7835616438356163</v>
          </cell>
          <cell r="F74">
            <v>46452</v>
          </cell>
          <cell r="G74" t="str">
            <v>TCRI6</v>
          </cell>
          <cell r="H74">
            <v>101.50749999999999</v>
          </cell>
          <cell r="I74">
            <v>3.7681492088692456</v>
          </cell>
          <cell r="J74">
            <v>94.664500000000004</v>
          </cell>
          <cell r="K74">
            <v>52.5</v>
          </cell>
          <cell r="L74">
            <v>53.6</v>
          </cell>
          <cell r="M74">
            <v>101.5</v>
          </cell>
          <cell r="N74">
            <v>1.0209523809523811</v>
          </cell>
        </row>
        <row r="75">
          <cell r="B75">
            <v>61875</v>
          </cell>
          <cell r="C75">
            <v>6.2105479452054793</v>
          </cell>
          <cell r="D75">
            <v>46563</v>
          </cell>
          <cell r="E75">
            <v>2.128767123287671</v>
          </cell>
          <cell r="F75">
            <v>46578</v>
          </cell>
          <cell r="G75" t="str">
            <v>TCRI5</v>
          </cell>
          <cell r="H75">
            <v>100</v>
          </cell>
          <cell r="I75">
            <v>2.8162163029525003</v>
          </cell>
          <cell r="J75">
            <v>93.989500000000007</v>
          </cell>
          <cell r="K75">
            <v>284</v>
          </cell>
          <cell r="L75">
            <v>269</v>
          </cell>
          <cell r="M75">
            <v>126</v>
          </cell>
          <cell r="N75">
            <v>0.94718309859154926</v>
          </cell>
        </row>
        <row r="76">
          <cell r="B76">
            <v>61894</v>
          </cell>
          <cell r="C76">
            <v>3.3395932541095839</v>
          </cell>
          <cell r="D76">
            <v>46321</v>
          </cell>
          <cell r="E76">
            <v>1.4657534246575343</v>
          </cell>
          <cell r="F76">
            <v>46336</v>
          </cell>
          <cell r="G76" t="str">
            <v>TCRI4</v>
          </cell>
          <cell r="H76">
            <v>100.75190000000001</v>
          </cell>
          <cell r="I76">
            <v>2.6253207348102365</v>
          </cell>
          <cell r="J76">
            <v>96.860399999999984</v>
          </cell>
          <cell r="K76">
            <v>54.56</v>
          </cell>
          <cell r="L76">
            <v>71.599999999999994</v>
          </cell>
          <cell r="M76">
            <v>130</v>
          </cell>
          <cell r="N76">
            <v>1.3123167155425219</v>
          </cell>
        </row>
        <row r="77">
          <cell r="B77">
            <v>61965</v>
          </cell>
          <cell r="C77">
            <v>2.9828767123287672</v>
          </cell>
          <cell r="D77">
            <v>46185</v>
          </cell>
          <cell r="E77">
            <v>1.0931506849315069</v>
          </cell>
          <cell r="F77">
            <v>46200</v>
          </cell>
          <cell r="G77" t="str">
            <v>TCRI4</v>
          </cell>
          <cell r="H77">
            <v>100</v>
          </cell>
          <cell r="I77">
            <v>2.5330635910224419</v>
          </cell>
          <cell r="J77">
            <v>97.217100000000016</v>
          </cell>
          <cell r="K77">
            <v>135.19999999999999</v>
          </cell>
          <cell r="L77">
            <v>163</v>
          </cell>
          <cell r="M77">
            <v>121.8</v>
          </cell>
          <cell r="N77">
            <v>1.205621301775148</v>
          </cell>
        </row>
        <row r="78">
          <cell r="B78">
            <v>62235</v>
          </cell>
          <cell r="C78">
            <v>7.0812328767123294</v>
          </cell>
          <cell r="D78">
            <v>46745</v>
          </cell>
          <cell r="E78">
            <v>2.6273972602739728</v>
          </cell>
          <cell r="F78">
            <v>46760</v>
          </cell>
          <cell r="G78" t="str">
            <v>TCRI4</v>
          </cell>
          <cell r="H78">
            <v>100</v>
          </cell>
          <cell r="I78">
            <v>2.613567117585851</v>
          </cell>
          <cell r="J78">
            <v>93.118799999999993</v>
          </cell>
          <cell r="K78">
            <v>930</v>
          </cell>
          <cell r="L78">
            <v>676</v>
          </cell>
          <cell r="M78">
            <v>104.25</v>
          </cell>
          <cell r="N78">
            <v>0.72688172043010757</v>
          </cell>
        </row>
        <row r="79">
          <cell r="B79">
            <v>62744</v>
          </cell>
          <cell r="C79">
            <v>5.1267123287671241</v>
          </cell>
          <cell r="D79">
            <v>46498</v>
          </cell>
          <cell r="E79">
            <v>1.9506849315068493</v>
          </cell>
          <cell r="F79">
            <v>46513</v>
          </cell>
          <cell r="G79" t="str">
            <v>TCRI4</v>
          </cell>
          <cell r="H79">
            <v>100</v>
          </cell>
          <cell r="I79">
            <v>2.5185511204481776</v>
          </cell>
          <cell r="J79">
            <v>95.073300000000003</v>
          </cell>
          <cell r="K79">
            <v>170</v>
          </cell>
          <cell r="L79">
            <v>142.5</v>
          </cell>
          <cell r="M79">
            <v>110.4</v>
          </cell>
          <cell r="N79">
            <v>0.83823529411764708</v>
          </cell>
        </row>
        <row r="80">
          <cell r="B80">
            <v>62843</v>
          </cell>
          <cell r="C80">
            <v>1.7031506849315068</v>
          </cell>
          <cell r="D80">
            <v>45990</v>
          </cell>
          <cell r="E80">
            <v>0.55890410958904113</v>
          </cell>
          <cell r="F80">
            <v>46005</v>
          </cell>
          <cell r="G80" t="str">
            <v>TCRI4</v>
          </cell>
          <cell r="H80">
            <v>100</v>
          </cell>
          <cell r="I80">
            <v>2.6634368932038957</v>
          </cell>
          <cell r="J80">
            <v>98.496799999999979</v>
          </cell>
          <cell r="K80">
            <v>90</v>
          </cell>
          <cell r="L80">
            <v>69.400000000000006</v>
          </cell>
          <cell r="M80">
            <v>107.45</v>
          </cell>
          <cell r="N80">
            <v>0.77111111111111119</v>
          </cell>
        </row>
        <row r="81">
          <cell r="B81">
            <v>64144</v>
          </cell>
          <cell r="C81">
            <v>5.0671232876712331</v>
          </cell>
          <cell r="D81">
            <v>46327</v>
          </cell>
          <cell r="E81">
            <v>1.4821917808219178</v>
          </cell>
          <cell r="F81">
            <v>46342</v>
          </cell>
          <cell r="G81" t="str">
            <v>TCRI4</v>
          </cell>
          <cell r="H81">
            <v>100</v>
          </cell>
          <cell r="I81">
            <v>3.2716233885819475</v>
          </cell>
          <cell r="J81">
            <v>95.132900000000006</v>
          </cell>
          <cell r="K81">
            <v>195.7</v>
          </cell>
          <cell r="L81">
            <v>272</v>
          </cell>
          <cell r="M81">
            <v>136</v>
          </cell>
          <cell r="N81">
            <v>1.3898824731732244</v>
          </cell>
        </row>
        <row r="82">
          <cell r="B82">
            <v>64251</v>
          </cell>
          <cell r="C82">
            <v>5.7573972602739731</v>
          </cell>
          <cell r="D82">
            <v>46660</v>
          </cell>
          <cell r="E82">
            <v>2.3945205479452056</v>
          </cell>
          <cell r="F82">
            <v>46675</v>
          </cell>
          <cell r="G82" t="str">
            <v>上海</v>
          </cell>
          <cell r="H82">
            <v>100</v>
          </cell>
          <cell r="I82">
            <v>2.315583333333334</v>
          </cell>
          <cell r="J82">
            <v>94.442599999999999</v>
          </cell>
          <cell r="K82">
            <v>60</v>
          </cell>
          <cell r="L82">
            <v>51.5</v>
          </cell>
          <cell r="M82">
            <v>114.15</v>
          </cell>
          <cell r="N82">
            <v>0.85833333333333328</v>
          </cell>
        </row>
        <row r="83">
          <cell r="B83">
            <v>64692</v>
          </cell>
          <cell r="C83">
            <v>1.1623287671232878</v>
          </cell>
          <cell r="D83">
            <v>45897</v>
          </cell>
          <cell r="E83">
            <v>0.30410958904109592</v>
          </cell>
          <cell r="F83">
            <v>45912</v>
          </cell>
          <cell r="G83" t="str">
            <v>TCRI4</v>
          </cell>
          <cell r="H83">
            <v>100</v>
          </cell>
          <cell r="I83">
            <v>3.1083141592920325</v>
          </cell>
          <cell r="J83">
            <v>99.037700000000001</v>
          </cell>
          <cell r="K83">
            <v>206.58</v>
          </cell>
          <cell r="L83">
            <v>164</v>
          </cell>
          <cell r="M83">
            <v>102.45</v>
          </cell>
          <cell r="N83">
            <v>0.79388130506341359</v>
          </cell>
        </row>
        <row r="84">
          <cell r="B84">
            <v>65096</v>
          </cell>
          <cell r="C84">
            <v>3.3568493150684935</v>
          </cell>
          <cell r="D84">
            <v>46191</v>
          </cell>
          <cell r="E84">
            <v>1.1095890410958904</v>
          </cell>
          <cell r="F84">
            <v>46206</v>
          </cell>
          <cell r="G84" t="str">
            <v>TCRI5</v>
          </cell>
          <cell r="H84">
            <v>100</v>
          </cell>
          <cell r="I84">
            <v>2.8310368550368588</v>
          </cell>
          <cell r="J84">
            <v>96.843199999999996</v>
          </cell>
          <cell r="K84">
            <v>39.200000000000003</v>
          </cell>
          <cell r="L84">
            <v>32.4</v>
          </cell>
          <cell r="M84">
            <v>102.75</v>
          </cell>
          <cell r="N84">
            <v>0.82653061224489788</v>
          </cell>
        </row>
        <row r="85">
          <cell r="B85">
            <v>65841</v>
          </cell>
          <cell r="C85">
            <v>2.5786612431506875</v>
          </cell>
          <cell r="D85">
            <v>46309</v>
          </cell>
          <cell r="E85">
            <v>1.4328767123287671</v>
          </cell>
          <cell r="F85">
            <v>46324</v>
          </cell>
          <cell r="G85" t="str">
            <v>彰化</v>
          </cell>
          <cell r="H85">
            <v>101.0025</v>
          </cell>
          <cell r="I85">
            <v>2.3274067945041388</v>
          </cell>
          <cell r="J85">
            <v>97.621300000000005</v>
          </cell>
          <cell r="K85">
            <v>178.8</v>
          </cell>
          <cell r="L85">
            <v>127.5</v>
          </cell>
          <cell r="M85">
            <v>104</v>
          </cell>
          <cell r="N85">
            <v>0.71308724832214765</v>
          </cell>
        </row>
        <row r="86">
          <cell r="B86">
            <v>65851</v>
          </cell>
          <cell r="C86">
            <v>3.2417808219178084</v>
          </cell>
          <cell r="D86">
            <v>46306</v>
          </cell>
          <cell r="E86">
            <v>1.4246575342465753</v>
          </cell>
          <cell r="F86">
            <v>46321</v>
          </cell>
          <cell r="G86" t="str">
            <v>第一金證</v>
          </cell>
          <cell r="H86">
            <v>100</v>
          </cell>
          <cell r="I86">
            <v>2.1269291187739432</v>
          </cell>
          <cell r="J86">
            <v>96.958199999999991</v>
          </cell>
          <cell r="K86">
            <v>118.5</v>
          </cell>
          <cell r="L86">
            <v>130</v>
          </cell>
          <cell r="M86">
            <v>120.5</v>
          </cell>
          <cell r="N86">
            <v>1.0970464135021096</v>
          </cell>
        </row>
        <row r="87">
          <cell r="B87">
            <v>65852</v>
          </cell>
          <cell r="C87">
            <v>7.1015068493150686</v>
          </cell>
          <cell r="D87">
            <v>46307</v>
          </cell>
          <cell r="E87">
            <v>1.4273972602739726</v>
          </cell>
          <cell r="F87">
            <v>46322</v>
          </cell>
          <cell r="G87" t="str">
            <v>TCRI5</v>
          </cell>
          <cell r="H87">
            <v>100</v>
          </cell>
          <cell r="I87">
            <v>4.8165344168260029</v>
          </cell>
          <cell r="J87">
            <v>93.098500000000001</v>
          </cell>
          <cell r="K87">
            <v>118.2</v>
          </cell>
          <cell r="L87">
            <v>130</v>
          </cell>
          <cell r="M87">
            <v>117</v>
          </cell>
          <cell r="N87">
            <v>1.0998307952622672</v>
          </cell>
        </row>
        <row r="88">
          <cell r="B88">
            <v>66241</v>
          </cell>
          <cell r="C88">
            <v>4.1899243150684935</v>
          </cell>
          <cell r="D88">
            <v>46558</v>
          </cell>
          <cell r="E88">
            <v>2.1150684931506851</v>
          </cell>
          <cell r="F88">
            <v>46573</v>
          </cell>
          <cell r="G88" t="str">
            <v>土銀</v>
          </cell>
          <cell r="H88">
            <v>100.75</v>
          </cell>
          <cell r="I88">
            <v>2.2185847743987304</v>
          </cell>
          <cell r="J88">
            <v>96.01009999999998</v>
          </cell>
          <cell r="K88">
            <v>42.2</v>
          </cell>
          <cell r="L88">
            <v>34.200000000000003</v>
          </cell>
          <cell r="M88">
            <v>103.7</v>
          </cell>
          <cell r="N88">
            <v>0.81042654028436023</v>
          </cell>
        </row>
        <row r="89">
          <cell r="B89">
            <v>67152</v>
          </cell>
          <cell r="C89">
            <v>4.8834246575342473</v>
          </cell>
          <cell r="D89">
            <v>46390</v>
          </cell>
          <cell r="E89">
            <v>1.6547945205479453</v>
          </cell>
          <cell r="F89">
            <v>46405</v>
          </cell>
          <cell r="G89" t="str">
            <v>TCRI5</v>
          </cell>
          <cell r="H89">
            <v>100</v>
          </cell>
          <cell r="I89">
            <v>2.8208597359736007</v>
          </cell>
          <cell r="J89">
            <v>95.316599999999994</v>
          </cell>
          <cell r="K89">
            <v>162.9</v>
          </cell>
          <cell r="L89">
            <v>121</v>
          </cell>
          <cell r="M89">
            <v>103.7</v>
          </cell>
          <cell r="N89">
            <v>0.74278698588090852</v>
          </cell>
        </row>
        <row r="90">
          <cell r="B90">
            <v>67531</v>
          </cell>
          <cell r="C90">
            <v>5.9910958904109597</v>
          </cell>
          <cell r="D90">
            <v>46548</v>
          </cell>
          <cell r="E90">
            <v>2.0876712328767124</v>
          </cell>
          <cell r="F90">
            <v>46563</v>
          </cell>
          <cell r="G90" t="str">
            <v>TCRI5</v>
          </cell>
          <cell r="H90">
            <v>100</v>
          </cell>
          <cell r="I90">
            <v>2.7666904450261778</v>
          </cell>
          <cell r="J90">
            <v>94.2089</v>
          </cell>
          <cell r="K90">
            <v>117.9</v>
          </cell>
          <cell r="L90">
            <v>102</v>
          </cell>
          <cell r="M90">
            <v>106.95</v>
          </cell>
          <cell r="N90">
            <v>0.86513994910941472</v>
          </cell>
        </row>
        <row r="91">
          <cell r="B91">
            <v>67681</v>
          </cell>
          <cell r="C91">
            <v>8.1746575342465757</v>
          </cell>
          <cell r="D91">
            <v>46676</v>
          </cell>
          <cell r="E91">
            <v>2.4383561643835616</v>
          </cell>
          <cell r="F91">
            <v>46691</v>
          </cell>
          <cell r="G91" t="str">
            <v>TCRI4</v>
          </cell>
          <cell r="H91">
            <v>100</v>
          </cell>
          <cell r="I91">
            <v>3.263190022421524</v>
          </cell>
          <cell r="J91">
            <v>92.025300000000001</v>
          </cell>
          <cell r="K91">
            <v>101</v>
          </cell>
          <cell r="L91">
            <v>112</v>
          </cell>
          <cell r="M91">
            <v>121.4</v>
          </cell>
          <cell r="N91">
            <v>1.108910891089109</v>
          </cell>
        </row>
        <row r="92">
          <cell r="B92">
            <v>68061</v>
          </cell>
          <cell r="C92">
            <v>3.3971232876712332</v>
          </cell>
          <cell r="D92">
            <v>46333</v>
          </cell>
          <cell r="E92">
            <v>1.4986301369863013</v>
          </cell>
          <cell r="F92">
            <v>46348</v>
          </cell>
          <cell r="G92" t="str">
            <v>臺銀聯合</v>
          </cell>
          <cell r="H92">
            <v>100</v>
          </cell>
          <cell r="I92">
            <v>2.1255765027322444</v>
          </cell>
          <cell r="J92">
            <v>96.802899999999994</v>
          </cell>
          <cell r="K92">
            <v>113</v>
          </cell>
          <cell r="L92">
            <v>88.6</v>
          </cell>
          <cell r="M92">
            <v>106</v>
          </cell>
          <cell r="N92">
            <v>0.78407079646017697</v>
          </cell>
        </row>
        <row r="93">
          <cell r="B93">
            <v>68741</v>
          </cell>
          <cell r="C93">
            <v>5.6849315068493134</v>
          </cell>
          <cell r="D93">
            <v>46315</v>
          </cell>
          <cell r="E93">
            <v>1.4493150684931506</v>
          </cell>
          <cell r="F93">
            <v>46330</v>
          </cell>
          <cell r="G93" t="str">
            <v>TCRI6</v>
          </cell>
          <cell r="H93">
            <v>100</v>
          </cell>
          <cell r="I93">
            <v>3.7702231638418051</v>
          </cell>
          <cell r="J93">
            <v>94.515100000000004</v>
          </cell>
          <cell r="K93">
            <v>108</v>
          </cell>
          <cell r="L93">
            <v>84.2</v>
          </cell>
          <cell r="M93">
            <v>100.5</v>
          </cell>
          <cell r="N93">
            <v>0.77962962962962967</v>
          </cell>
        </row>
        <row r="94">
          <cell r="B94">
            <v>80282</v>
          </cell>
          <cell r="C94">
            <v>21.258219178082197</v>
          </cell>
          <cell r="D94">
            <v>47490</v>
          </cell>
          <cell r="E94">
            <v>4.6684931506849319</v>
          </cell>
          <cell r="F94">
            <v>47505</v>
          </cell>
          <cell r="G94" t="str">
            <v>TCRI3</v>
          </cell>
          <cell r="H94">
            <v>100</v>
          </cell>
          <cell r="I94">
            <v>4.5054179366940206</v>
          </cell>
          <cell r="J94">
            <v>78.941800000000001</v>
          </cell>
          <cell r="K94">
            <v>140.30000000000001</v>
          </cell>
          <cell r="L94">
            <v>133</v>
          </cell>
          <cell r="M94">
            <v>110.4</v>
          </cell>
          <cell r="N94">
            <v>0.94796863863150382</v>
          </cell>
        </row>
        <row r="95">
          <cell r="B95">
            <v>80506</v>
          </cell>
          <cell r="C95">
            <v>1.1345770547945204</v>
          </cell>
          <cell r="D95">
            <v>45968</v>
          </cell>
          <cell r="E95">
            <v>0.49863013698630138</v>
          </cell>
          <cell r="F95">
            <v>45983</v>
          </cell>
          <cell r="G95" t="str">
            <v>TCRI5</v>
          </cell>
          <cell r="H95">
            <v>100.75</v>
          </cell>
          <cell r="I95">
            <v>3.3168572661560098</v>
          </cell>
          <cell r="J95">
            <v>99.065399999999997</v>
          </cell>
          <cell r="K95">
            <v>66.900000000000006</v>
          </cell>
          <cell r="L95">
            <v>61.9</v>
          </cell>
          <cell r="M95">
            <v>108</v>
          </cell>
          <cell r="N95">
            <v>0.92526158445440942</v>
          </cell>
        </row>
        <row r="96">
          <cell r="B96">
            <v>80914</v>
          </cell>
          <cell r="C96">
            <v>3.4459291095890414</v>
          </cell>
          <cell r="D96">
            <v>46234</v>
          </cell>
          <cell r="E96">
            <v>1.2273972602739727</v>
          </cell>
          <cell r="F96">
            <v>46249</v>
          </cell>
          <cell r="G96" t="str">
            <v>TCRI5</v>
          </cell>
          <cell r="H96">
            <v>100.25</v>
          </cell>
          <cell r="I96">
            <v>2.8284921030756487</v>
          </cell>
          <cell r="J96">
            <v>96.754099999999994</v>
          </cell>
          <cell r="K96">
            <v>136</v>
          </cell>
          <cell r="L96">
            <v>108.5</v>
          </cell>
          <cell r="M96">
            <v>108.05</v>
          </cell>
          <cell r="N96">
            <v>0.79779411764705888</v>
          </cell>
        </row>
        <row r="97">
          <cell r="B97">
            <v>81551</v>
          </cell>
          <cell r="C97">
            <v>6.8321917808219181</v>
          </cell>
          <cell r="D97">
            <v>46747</v>
          </cell>
          <cell r="E97">
            <v>2.6328767123287671</v>
          </cell>
          <cell r="F97">
            <v>46762</v>
          </cell>
          <cell r="G97" t="str">
            <v>TCRI4</v>
          </cell>
          <cell r="H97">
            <v>100</v>
          </cell>
          <cell r="I97">
            <v>2.5137622014537895</v>
          </cell>
          <cell r="J97">
            <v>93.367800000000003</v>
          </cell>
          <cell r="K97">
            <v>126.8</v>
          </cell>
          <cell r="L97">
            <v>119.5</v>
          </cell>
          <cell r="M97">
            <v>112.65</v>
          </cell>
          <cell r="N97">
            <v>0.94242902208201895</v>
          </cell>
        </row>
        <row r="98">
          <cell r="B98">
            <v>82101</v>
          </cell>
          <cell r="C98">
            <v>4.5595890410958901</v>
          </cell>
          <cell r="D98">
            <v>46391</v>
          </cell>
          <cell r="E98">
            <v>1.6575342465753424</v>
          </cell>
          <cell r="F98">
            <v>46406</v>
          </cell>
          <cell r="G98" t="str">
            <v>TCRI4</v>
          </cell>
          <cell r="H98">
            <v>100</v>
          </cell>
          <cell r="I98">
            <v>2.6215057660626031</v>
          </cell>
          <cell r="J98">
            <v>95.640400000000014</v>
          </cell>
          <cell r="K98">
            <v>266.60000000000002</v>
          </cell>
          <cell r="L98">
            <v>259.5</v>
          </cell>
          <cell r="M98">
            <v>112.55</v>
          </cell>
          <cell r="N98">
            <v>0.97336834208552125</v>
          </cell>
        </row>
        <row r="99">
          <cell r="B99">
            <v>82551</v>
          </cell>
          <cell r="C99">
            <v>3.3984931506849314</v>
          </cell>
          <cell r="D99">
            <v>46228</v>
          </cell>
          <cell r="E99">
            <v>1.210958904109589</v>
          </cell>
          <cell r="F99">
            <v>46243</v>
          </cell>
          <cell r="G99" t="str">
            <v>TCRI4</v>
          </cell>
          <cell r="H99">
            <v>100</v>
          </cell>
          <cell r="I99">
            <v>2.629397522522519</v>
          </cell>
          <cell r="J99">
            <v>96.80149999999999</v>
          </cell>
          <cell r="K99">
            <v>203.4</v>
          </cell>
          <cell r="L99">
            <v>130</v>
          </cell>
          <cell r="M99">
            <v>102</v>
          </cell>
          <cell r="N99">
            <v>0.63913470993117005</v>
          </cell>
        </row>
        <row r="100">
          <cell r="B100">
            <v>82992</v>
          </cell>
          <cell r="C100">
            <v>4.4212328767123292</v>
          </cell>
          <cell r="D100">
            <v>46395</v>
          </cell>
          <cell r="E100">
            <v>1.6684931506849314</v>
          </cell>
          <cell r="F100">
            <v>46410</v>
          </cell>
          <cell r="G100" t="str">
            <v>TCRI3</v>
          </cell>
          <cell r="H100">
            <v>100</v>
          </cell>
          <cell r="I100">
            <v>2.521666121112927</v>
          </cell>
          <cell r="J100">
            <v>95.778800000000004</v>
          </cell>
          <cell r="K100">
            <v>563.29999999999995</v>
          </cell>
          <cell r="L100">
            <v>454.5</v>
          </cell>
          <cell r="M100">
            <v>107</v>
          </cell>
          <cell r="N100">
            <v>0.80685247647789815</v>
          </cell>
        </row>
        <row r="101">
          <cell r="B101">
            <v>84221</v>
          </cell>
          <cell r="C101">
            <v>0.80616602616437749</v>
          </cell>
          <cell r="D101">
            <v>45968</v>
          </cell>
          <cell r="E101">
            <v>0.49863013698630138</v>
          </cell>
          <cell r="F101">
            <v>45983</v>
          </cell>
          <cell r="G101" t="str">
            <v>TCRI4</v>
          </cell>
          <cell r="H101">
            <v>100.75190000000001</v>
          </cell>
          <cell r="I101">
            <v>2.6739516229643372</v>
          </cell>
          <cell r="J101">
            <v>99.393799999999999</v>
          </cell>
          <cell r="K101">
            <v>153.4</v>
          </cell>
          <cell r="L101">
            <v>183</v>
          </cell>
          <cell r="M101">
            <v>118.85</v>
          </cell>
          <cell r="N101">
            <v>1.1929595827900912</v>
          </cell>
        </row>
        <row r="102">
          <cell r="B102">
            <v>84222</v>
          </cell>
          <cell r="C102">
            <v>9.5904109589041102</v>
          </cell>
          <cell r="D102">
            <v>46835</v>
          </cell>
          <cell r="E102">
            <v>2.8739726027397259</v>
          </cell>
          <cell r="F102">
            <v>46850</v>
          </cell>
          <cell r="G102" t="str">
            <v>TCRI4</v>
          </cell>
          <cell r="H102">
            <v>100</v>
          </cell>
          <cell r="I102">
            <v>3.2611760228353948</v>
          </cell>
          <cell r="J102">
            <v>90.609599999999986</v>
          </cell>
          <cell r="K102">
            <v>200</v>
          </cell>
          <cell r="L102">
            <v>183</v>
          </cell>
          <cell r="M102">
            <v>103.6</v>
          </cell>
          <cell r="N102">
            <v>0.91500000000000004</v>
          </cell>
        </row>
        <row r="103">
          <cell r="B103">
            <v>84421</v>
          </cell>
          <cell r="C103">
            <v>0.77438356164383559</v>
          </cell>
          <cell r="D103">
            <v>45873</v>
          </cell>
          <cell r="E103">
            <v>0.23835616438356164</v>
          </cell>
          <cell r="F103">
            <v>45888</v>
          </cell>
          <cell r="G103" t="str">
            <v>玉山銀</v>
          </cell>
          <cell r="H103">
            <v>100</v>
          </cell>
          <cell r="I103">
            <v>2.3556853932584154</v>
          </cell>
          <cell r="J103">
            <v>99.425599999999989</v>
          </cell>
          <cell r="K103">
            <v>57.3</v>
          </cell>
          <cell r="L103">
            <v>84.5</v>
          </cell>
          <cell r="M103">
            <v>145.5</v>
          </cell>
          <cell r="N103">
            <v>1.4746945898778361</v>
          </cell>
        </row>
        <row r="104">
          <cell r="B104">
            <v>84422</v>
          </cell>
          <cell r="C104">
            <v>3.4826027397260275</v>
          </cell>
          <cell r="D104">
            <v>46299</v>
          </cell>
          <cell r="E104">
            <v>1.4054794520547946</v>
          </cell>
          <cell r="F104">
            <v>46314</v>
          </cell>
          <cell r="G104" t="str">
            <v>富邦銀</v>
          </cell>
          <cell r="H104">
            <v>100</v>
          </cell>
          <cell r="I104">
            <v>2.3265029126213608</v>
          </cell>
          <cell r="J104">
            <v>96.717399999999998</v>
          </cell>
          <cell r="K104">
            <v>79.900000000000006</v>
          </cell>
          <cell r="L104">
            <v>84.5</v>
          </cell>
          <cell r="M104">
            <v>115.3</v>
          </cell>
          <cell r="N104">
            <v>1.0575719649561952</v>
          </cell>
        </row>
        <row r="105">
          <cell r="B105">
            <v>84623</v>
          </cell>
          <cell r="C105">
            <v>3.5890410958904111</v>
          </cell>
          <cell r="D105">
            <v>46111</v>
          </cell>
          <cell r="E105">
            <v>0.8904109589041096</v>
          </cell>
          <cell r="F105">
            <v>46126</v>
          </cell>
          <cell r="G105" t="str">
            <v>TCRI6</v>
          </cell>
          <cell r="H105">
            <v>100</v>
          </cell>
          <cell r="I105">
            <v>3.7828287461773655</v>
          </cell>
          <cell r="J105">
            <v>96.611000000000004</v>
          </cell>
          <cell r="K105">
            <v>145.9</v>
          </cell>
          <cell r="L105">
            <v>138.5</v>
          </cell>
          <cell r="M105">
            <v>107</v>
          </cell>
          <cell r="N105">
            <v>0.94928032899246051</v>
          </cell>
        </row>
        <row r="106">
          <cell r="B106">
            <v>84672</v>
          </cell>
          <cell r="C106">
            <v>4.786986301369863</v>
          </cell>
          <cell r="D106">
            <v>46522</v>
          </cell>
          <cell r="E106">
            <v>2.0164383561643837</v>
          </cell>
          <cell r="F106">
            <v>46537</v>
          </cell>
          <cell r="G106" t="str">
            <v>富邦.凱基</v>
          </cell>
          <cell r="H106">
            <v>100</v>
          </cell>
          <cell r="I106">
            <v>2.2686382113821155</v>
          </cell>
          <cell r="J106">
            <v>95.412999999999997</v>
          </cell>
          <cell r="K106">
            <v>193.6</v>
          </cell>
          <cell r="L106">
            <v>167</v>
          </cell>
          <cell r="M106">
            <v>110.8</v>
          </cell>
          <cell r="N106">
            <v>0.86260330578512401</v>
          </cell>
        </row>
        <row r="107">
          <cell r="B107">
            <v>84881</v>
          </cell>
          <cell r="C107">
            <v>3.8669863013698631</v>
          </cell>
          <cell r="D107">
            <v>46360</v>
          </cell>
          <cell r="E107">
            <v>1.5726027397260274</v>
          </cell>
          <cell r="F107">
            <v>46375</v>
          </cell>
          <cell r="G107" t="str">
            <v>玉山王道</v>
          </cell>
          <cell r="H107">
            <v>100</v>
          </cell>
          <cell r="I107">
            <v>2.3237065972222233</v>
          </cell>
          <cell r="J107">
            <v>96.332999999999998</v>
          </cell>
          <cell r="K107">
            <v>18.399999999999999</v>
          </cell>
          <cell r="L107">
            <v>11.7</v>
          </cell>
          <cell r="M107">
            <v>100.45</v>
          </cell>
          <cell r="N107">
            <v>0.63586956521739135</v>
          </cell>
        </row>
        <row r="108">
          <cell r="B108">
            <v>84891</v>
          </cell>
          <cell r="C108">
            <v>3.6114843519178019</v>
          </cell>
          <cell r="D108">
            <v>46350</v>
          </cell>
          <cell r="E108">
            <v>1.5452054794520549</v>
          </cell>
          <cell r="F108">
            <v>46365</v>
          </cell>
          <cell r="G108" t="str">
            <v>上海</v>
          </cell>
          <cell r="H108">
            <v>100.20010000000001</v>
          </cell>
          <cell r="I108">
            <v>2.3243842428191708</v>
          </cell>
          <cell r="J108">
            <v>96.58850000000001</v>
          </cell>
          <cell r="K108">
            <v>28.8</v>
          </cell>
          <cell r="L108">
            <v>36.200000000000003</v>
          </cell>
          <cell r="M108">
            <v>123.8</v>
          </cell>
          <cell r="N108">
            <v>1.2569444444444444</v>
          </cell>
        </row>
        <row r="109">
          <cell r="B109">
            <v>89277</v>
          </cell>
          <cell r="C109">
            <v>3.9529082431506914</v>
          </cell>
          <cell r="D109">
            <v>46600</v>
          </cell>
          <cell r="E109">
            <v>2.2301369863013698</v>
          </cell>
          <cell r="F109">
            <v>46615</v>
          </cell>
          <cell r="G109" t="str">
            <v>合庫銀</v>
          </cell>
          <cell r="H109">
            <v>101.50749999999999</v>
          </cell>
          <cell r="I109">
            <v>2.318052901529053</v>
          </cell>
          <cell r="J109">
            <v>96.247100000000003</v>
          </cell>
          <cell r="K109">
            <v>59.79</v>
          </cell>
          <cell r="L109">
            <v>45.95</v>
          </cell>
          <cell r="M109">
            <v>111.5</v>
          </cell>
          <cell r="N109">
            <v>0.76852316440876411</v>
          </cell>
        </row>
        <row r="110">
          <cell r="B110">
            <v>89964</v>
          </cell>
          <cell r="C110">
            <v>4.145608454109583</v>
          </cell>
          <cell r="D110">
            <v>46347</v>
          </cell>
          <cell r="E110">
            <v>1.536986301369863</v>
          </cell>
          <cell r="F110">
            <v>46362</v>
          </cell>
          <cell r="G110" t="str">
            <v>TCRI5</v>
          </cell>
          <cell r="H110">
            <v>100.75190000000001</v>
          </cell>
          <cell r="I110">
            <v>3.0227206536362186</v>
          </cell>
          <cell r="J110">
            <v>96.054400000000001</v>
          </cell>
          <cell r="K110">
            <v>237.5</v>
          </cell>
          <cell r="L110">
            <v>219.5</v>
          </cell>
          <cell r="M110">
            <v>114.5</v>
          </cell>
          <cell r="N110">
            <v>0.92421052631578948</v>
          </cell>
        </row>
        <row r="111">
          <cell r="B111">
            <v>99392</v>
          </cell>
          <cell r="C111">
            <v>6.332191780821919</v>
          </cell>
          <cell r="D111">
            <v>46674</v>
          </cell>
          <cell r="E111">
            <v>2.4328767123287673</v>
          </cell>
          <cell r="F111">
            <v>46689</v>
          </cell>
          <cell r="G111" t="str">
            <v>TCRI4</v>
          </cell>
          <cell r="H111">
            <v>100</v>
          </cell>
          <cell r="I111">
            <v>2.5148910112359544</v>
          </cell>
          <cell r="J111">
            <v>93.867800000000003</v>
          </cell>
          <cell r="K111">
            <v>167.7</v>
          </cell>
          <cell r="L111">
            <v>155.5</v>
          </cell>
          <cell r="M111">
            <v>107.35</v>
          </cell>
          <cell r="N111">
            <v>0.92725104353011334</v>
          </cell>
        </row>
        <row r="112">
          <cell r="B112">
            <v>140201</v>
          </cell>
          <cell r="C112">
            <v>5.5497260273972611</v>
          </cell>
          <cell r="D112">
            <v>46592</v>
          </cell>
          <cell r="E112">
            <v>2.2082191780821918</v>
          </cell>
          <cell r="F112">
            <v>46607</v>
          </cell>
          <cell r="G112" t="str">
            <v>TCRI3</v>
          </cell>
          <cell r="H112">
            <v>100</v>
          </cell>
          <cell r="I112">
            <v>2.4166342821782174</v>
          </cell>
          <cell r="J112">
            <v>94.650300000000001</v>
          </cell>
          <cell r="K112">
            <v>45.4</v>
          </cell>
          <cell r="L112">
            <v>44.85</v>
          </cell>
          <cell r="M112">
            <v>107</v>
          </cell>
          <cell r="N112">
            <v>0.98788546255506615</v>
          </cell>
        </row>
        <row r="113">
          <cell r="B113"/>
          <cell r="C113"/>
          <cell r="D113"/>
          <cell r="E113"/>
          <cell r="F113"/>
          <cell r="G113"/>
          <cell r="H113"/>
          <cell r="I113"/>
          <cell r="J113"/>
          <cell r="K113"/>
          <cell r="L113"/>
          <cell r="M113"/>
          <cell r="N113"/>
        </row>
        <row r="114">
          <cell r="B114"/>
          <cell r="E114"/>
          <cell r="F114"/>
          <cell r="G114"/>
          <cell r="H114"/>
          <cell r="I114"/>
          <cell r="J114"/>
          <cell r="K114"/>
          <cell r="L114"/>
          <cell r="M114"/>
        </row>
        <row r="115">
          <cell r="B115" t="str">
            <v>連絡電話：(02) 8789-8888    張郁卿 #5030     葉才鳳#5017     魏梅芳#5025   師韻晴#5014  曾鈺展#5035  彭冠樺#5016   吳泰緯#5013</v>
          </cell>
          <cell r="E115"/>
          <cell r="F115"/>
          <cell r="G115"/>
          <cell r="H115"/>
          <cell r="I115"/>
          <cell r="J115"/>
          <cell r="K115"/>
          <cell r="L115"/>
          <cell r="M115"/>
        </row>
        <row r="116">
          <cell r="B116"/>
          <cell r="C116"/>
          <cell r="D116"/>
          <cell r="E116"/>
          <cell r="F116"/>
          <cell r="G116"/>
          <cell r="H116"/>
          <cell r="I116"/>
          <cell r="J116"/>
          <cell r="K116"/>
          <cell r="L116"/>
          <cell r="M116"/>
          <cell r="N116" t="str">
            <v xml:space="preserve"> </v>
          </cell>
        </row>
        <row r="117">
          <cell r="B117"/>
          <cell r="C117"/>
          <cell r="D117"/>
          <cell r="E117"/>
          <cell r="F117"/>
          <cell r="G117"/>
          <cell r="H117"/>
          <cell r="I117"/>
          <cell r="J117"/>
          <cell r="K117"/>
          <cell r="L117"/>
          <cell r="M117"/>
          <cell r="N117"/>
        </row>
        <row r="118">
          <cell r="B118"/>
          <cell r="C118"/>
          <cell r="D118"/>
          <cell r="E118"/>
          <cell r="F118"/>
          <cell r="G118"/>
          <cell r="H118"/>
          <cell r="I118"/>
          <cell r="J118"/>
          <cell r="K118"/>
          <cell r="L118"/>
          <cell r="M118"/>
          <cell r="N118"/>
        </row>
        <row r="119">
          <cell r="B119"/>
          <cell r="C119"/>
          <cell r="D119"/>
          <cell r="E119"/>
          <cell r="F119"/>
          <cell r="G119"/>
          <cell r="H119"/>
          <cell r="I119"/>
          <cell r="J119"/>
          <cell r="K119"/>
          <cell r="L119"/>
          <cell r="M119"/>
          <cell r="N119"/>
        </row>
        <row r="120">
          <cell r="B120"/>
          <cell r="C120"/>
          <cell r="D120"/>
          <cell r="E120"/>
          <cell r="F120"/>
          <cell r="G120"/>
          <cell r="H120"/>
          <cell r="I120"/>
          <cell r="J120"/>
          <cell r="K120"/>
          <cell r="L120"/>
          <cell r="M120"/>
          <cell r="N120"/>
        </row>
        <row r="121">
          <cell r="B121"/>
          <cell r="C121"/>
          <cell r="D121"/>
          <cell r="E121"/>
          <cell r="F121"/>
          <cell r="G121"/>
          <cell r="H121"/>
          <cell r="I121"/>
          <cell r="J121"/>
          <cell r="K121"/>
          <cell r="L121"/>
          <cell r="M121"/>
          <cell r="N121"/>
        </row>
        <row r="122">
          <cell r="B122"/>
          <cell r="C122"/>
          <cell r="D122"/>
          <cell r="E122"/>
          <cell r="F122"/>
          <cell r="G122"/>
          <cell r="H122"/>
          <cell r="I122"/>
          <cell r="J122"/>
          <cell r="K122"/>
          <cell r="L122"/>
          <cell r="M122"/>
          <cell r="N122"/>
        </row>
        <row r="123">
          <cell r="B123"/>
          <cell r="C123"/>
          <cell r="D123"/>
          <cell r="E123"/>
          <cell r="F123"/>
          <cell r="G123"/>
          <cell r="H123"/>
          <cell r="I123"/>
          <cell r="J123"/>
          <cell r="K123"/>
          <cell r="L123"/>
          <cell r="M123"/>
          <cell r="N123"/>
        </row>
        <row r="124">
          <cell r="B124"/>
          <cell r="C124"/>
          <cell r="D124"/>
          <cell r="E124"/>
          <cell r="F124"/>
          <cell r="G124"/>
          <cell r="H124"/>
          <cell r="I124"/>
          <cell r="J124"/>
          <cell r="K124"/>
          <cell r="L124"/>
          <cell r="M124"/>
          <cell r="N124"/>
        </row>
        <row r="125">
          <cell r="B125"/>
          <cell r="C125"/>
          <cell r="D125"/>
          <cell r="E125"/>
          <cell r="F125"/>
          <cell r="G125"/>
          <cell r="H125"/>
          <cell r="I125"/>
          <cell r="J125"/>
          <cell r="K125"/>
          <cell r="L125"/>
          <cell r="M125"/>
          <cell r="N125"/>
        </row>
        <row r="126">
          <cell r="B126"/>
          <cell r="C126"/>
          <cell r="D126"/>
          <cell r="E126"/>
          <cell r="F126"/>
          <cell r="G126"/>
          <cell r="H126"/>
          <cell r="I126"/>
          <cell r="J126"/>
          <cell r="K126"/>
          <cell r="L126"/>
          <cell r="M126"/>
          <cell r="N126"/>
        </row>
      </sheetData>
      <sheetData sheetId="5">
        <row r="1">
          <cell r="A1" t="str">
            <v>國票綜合證券  CBAS選擇權報價表</v>
          </cell>
          <cell r="B1"/>
          <cell r="C1"/>
          <cell r="D1"/>
          <cell r="E1"/>
          <cell r="F1"/>
          <cell r="G1"/>
        </row>
        <row r="2">
          <cell r="A2"/>
          <cell r="B2"/>
          <cell r="C2"/>
          <cell r="D2"/>
          <cell r="E2"/>
          <cell r="F2"/>
          <cell r="G2"/>
        </row>
        <row r="3">
          <cell r="A3"/>
          <cell r="B3"/>
          <cell r="C3"/>
          <cell r="D3"/>
          <cell r="E3"/>
          <cell r="F3"/>
          <cell r="G3"/>
        </row>
        <row r="4">
          <cell r="A4" t="str">
            <v>報價日期：</v>
          </cell>
          <cell r="B4">
            <v>45782</v>
          </cell>
          <cell r="C4"/>
          <cell r="D4"/>
          <cell r="E4"/>
          <cell r="F4"/>
          <cell r="G4"/>
        </row>
        <row r="5">
          <cell r="A5" t="str">
            <v>債券代碼</v>
          </cell>
          <cell r="B5" t="str">
            <v>債券名稱</v>
          </cell>
          <cell r="C5" t="str">
            <v>百元
報價</v>
          </cell>
          <cell r="D5" t="str">
            <v>剩餘
年限</v>
          </cell>
          <cell r="E5" t="str">
            <v>選擇權
到期日</v>
          </cell>
          <cell r="F5" t="str">
            <v>擔保
/TCRI</v>
          </cell>
          <cell r="G5" t="str">
            <v>履約
折現率</v>
          </cell>
        </row>
        <row r="6">
          <cell r="A6">
            <v>11011</v>
          </cell>
          <cell r="B6" t="str">
            <v>台泥一永</v>
          </cell>
          <cell r="C6">
            <v>6.7190000000000003</v>
          </cell>
          <cell r="D6">
            <v>2.5499999999999998</v>
          </cell>
          <cell r="E6">
            <v>46713</v>
          </cell>
          <cell r="F6" t="str">
            <v>4</v>
          </cell>
          <cell r="G6">
            <v>2.7E-2</v>
          </cell>
        </row>
        <row r="7">
          <cell r="A7">
            <v>13164</v>
          </cell>
          <cell r="B7" t="str">
            <v>上曜四</v>
          </cell>
          <cell r="C7">
            <v>1.6559999999999999</v>
          </cell>
          <cell r="D7">
            <v>0.68</v>
          </cell>
          <cell r="E7">
            <v>46031</v>
          </cell>
          <cell r="F7" t="str">
            <v>有擔</v>
          </cell>
          <cell r="G7">
            <v>2.2499999999999999E-2</v>
          </cell>
        </row>
        <row r="8">
          <cell r="A8">
            <v>140201</v>
          </cell>
          <cell r="B8" t="str">
            <v>遠東新E1永</v>
          </cell>
          <cell r="C8">
            <v>5.45</v>
          </cell>
          <cell r="D8">
            <v>2.21</v>
          </cell>
          <cell r="E8">
            <v>46587</v>
          </cell>
          <cell r="F8">
            <v>3</v>
          </cell>
          <cell r="G8">
            <v>2.5000000000000001E-2</v>
          </cell>
        </row>
        <row r="9">
          <cell r="A9">
            <v>140202</v>
          </cell>
          <cell r="B9" t="str">
            <v>遠東新E2永</v>
          </cell>
          <cell r="C9">
            <v>5.6529999999999996</v>
          </cell>
          <cell r="D9">
            <v>2.21</v>
          </cell>
          <cell r="E9">
            <v>46587</v>
          </cell>
          <cell r="F9">
            <v>3</v>
          </cell>
          <cell r="G9">
            <v>2.5999999999999999E-2</v>
          </cell>
        </row>
        <row r="10">
          <cell r="A10">
            <v>14362</v>
          </cell>
          <cell r="B10" t="str">
            <v>華友聯二</v>
          </cell>
          <cell r="C10">
            <v>1.3009999999999999</v>
          </cell>
          <cell r="D10">
            <v>0.52</v>
          </cell>
          <cell r="E10">
            <v>45972</v>
          </cell>
          <cell r="F10" t="str">
            <v>有擔</v>
          </cell>
          <cell r="G10">
            <v>2.2499999999999999E-2</v>
          </cell>
        </row>
        <row r="11">
          <cell r="A11">
            <v>15601</v>
          </cell>
          <cell r="B11" t="str">
            <v>中砂一</v>
          </cell>
          <cell r="C11">
            <v>5.3540000000000001</v>
          </cell>
          <cell r="D11">
            <v>2.08</v>
          </cell>
          <cell r="E11">
            <v>46542</v>
          </cell>
          <cell r="F11" t="str">
            <v>4</v>
          </cell>
          <cell r="G11">
            <v>2.5999999999999999E-2</v>
          </cell>
        </row>
        <row r="12">
          <cell r="A12">
            <v>15864</v>
          </cell>
          <cell r="B12" t="str">
            <v>和勤四</v>
          </cell>
          <cell r="C12">
            <v>2.927</v>
          </cell>
          <cell r="D12">
            <v>1.27</v>
          </cell>
          <cell r="E12">
            <v>46244</v>
          </cell>
          <cell r="F12" t="str">
            <v>有擔</v>
          </cell>
          <cell r="G12">
            <v>2.2499999999999999E-2</v>
          </cell>
        </row>
        <row r="13">
          <cell r="A13">
            <v>15991</v>
          </cell>
          <cell r="B13" t="str">
            <v>宏佳騰一</v>
          </cell>
          <cell r="C13">
            <v>1.246</v>
          </cell>
          <cell r="D13">
            <v>0.48</v>
          </cell>
          <cell r="E13">
            <v>45959</v>
          </cell>
          <cell r="F13" t="str">
            <v>有擔</v>
          </cell>
          <cell r="G13">
            <v>2.3E-2</v>
          </cell>
        </row>
        <row r="14">
          <cell r="A14">
            <v>17813</v>
          </cell>
          <cell r="B14" t="str">
            <v>合世三</v>
          </cell>
          <cell r="C14">
            <v>5.3310000000000004</v>
          </cell>
          <cell r="D14">
            <v>2.34</v>
          </cell>
          <cell r="E14">
            <v>46636</v>
          </cell>
          <cell r="F14" t="str">
            <v>有擔</v>
          </cell>
          <cell r="G14">
            <v>2.3E-2</v>
          </cell>
        </row>
        <row r="15">
          <cell r="A15">
            <v>20343</v>
          </cell>
          <cell r="B15" t="str">
            <v>允強三</v>
          </cell>
          <cell r="C15">
            <v>1.5740000000000001</v>
          </cell>
          <cell r="D15">
            <v>0.56000000000000005</v>
          </cell>
          <cell r="E15">
            <v>45986</v>
          </cell>
          <cell r="F15" t="str">
            <v>4</v>
          </cell>
          <cell r="G15">
            <v>2.5999999999999999E-2</v>
          </cell>
        </row>
        <row r="16">
          <cell r="A16">
            <v>22283</v>
          </cell>
          <cell r="B16" t="str">
            <v>劍麟三</v>
          </cell>
          <cell r="C16">
            <v>6.1040000000000001</v>
          </cell>
          <cell r="D16">
            <v>2.2599999999999998</v>
          </cell>
          <cell r="E16">
            <v>46608</v>
          </cell>
          <cell r="F16" t="str">
            <v>5</v>
          </cell>
          <cell r="G16">
            <v>2.75E-2</v>
          </cell>
        </row>
        <row r="17">
          <cell r="A17">
            <v>23682</v>
          </cell>
          <cell r="B17" t="str">
            <v>金像電二</v>
          </cell>
          <cell r="C17">
            <v>4.0110000000000001</v>
          </cell>
          <cell r="D17">
            <v>1.53</v>
          </cell>
          <cell r="E17">
            <v>46342</v>
          </cell>
          <cell r="F17" t="str">
            <v>4</v>
          </cell>
          <cell r="G17">
            <v>2.5999999999999999E-2</v>
          </cell>
        </row>
        <row r="18">
          <cell r="A18">
            <v>23835</v>
          </cell>
          <cell r="B18" t="str">
            <v>台光電五</v>
          </cell>
          <cell r="C18">
            <v>4.9530000000000003</v>
          </cell>
          <cell r="D18">
            <v>1.92</v>
          </cell>
          <cell r="E18">
            <v>46482</v>
          </cell>
          <cell r="F18" t="str">
            <v>3</v>
          </cell>
          <cell r="G18">
            <v>2.5999999999999999E-2</v>
          </cell>
        </row>
        <row r="19">
          <cell r="A19">
            <v>23836</v>
          </cell>
          <cell r="B19" t="str">
            <v>台光電六</v>
          </cell>
          <cell r="C19">
            <v>5.5469999999999997</v>
          </cell>
          <cell r="D19">
            <v>2.34</v>
          </cell>
          <cell r="E19">
            <v>46636</v>
          </cell>
          <cell r="F19" t="str">
            <v>3</v>
          </cell>
          <cell r="G19">
            <v>2.4E-2</v>
          </cell>
        </row>
        <row r="20">
          <cell r="A20">
            <v>23837</v>
          </cell>
          <cell r="B20" t="str">
            <v>台光電七</v>
          </cell>
          <cell r="C20">
            <v>11.537000000000001</v>
          </cell>
          <cell r="D20">
            <v>4.38</v>
          </cell>
          <cell r="E20">
            <v>47380</v>
          </cell>
          <cell r="F20" t="str">
            <v>3</v>
          </cell>
          <cell r="G20">
            <v>2.8000000000000001E-2</v>
          </cell>
        </row>
        <row r="21">
          <cell r="A21">
            <v>24361</v>
          </cell>
          <cell r="B21" t="str">
            <v>偉詮電一</v>
          </cell>
          <cell r="C21">
            <v>0.63600000000000001</v>
          </cell>
          <cell r="D21">
            <v>0.3</v>
          </cell>
          <cell r="E21">
            <v>45891</v>
          </cell>
          <cell r="F21" t="str">
            <v>5</v>
          </cell>
          <cell r="G21">
            <v>3.5000000000000003E-2</v>
          </cell>
        </row>
        <row r="22">
          <cell r="A22">
            <v>24394</v>
          </cell>
          <cell r="B22" t="str">
            <v>美律四</v>
          </cell>
          <cell r="C22">
            <v>5.0730000000000004</v>
          </cell>
          <cell r="D22">
            <v>2.13</v>
          </cell>
          <cell r="E22">
            <v>46559</v>
          </cell>
          <cell r="F22" t="str">
            <v>3</v>
          </cell>
          <cell r="G22">
            <v>2.4E-2</v>
          </cell>
        </row>
        <row r="23">
          <cell r="A23">
            <v>24395</v>
          </cell>
          <cell r="B23" t="str">
            <v>美律五</v>
          </cell>
          <cell r="C23">
            <v>5.141</v>
          </cell>
          <cell r="D23">
            <v>2.16</v>
          </cell>
          <cell r="E23">
            <v>46570</v>
          </cell>
          <cell r="F23" t="str">
            <v>3</v>
          </cell>
          <cell r="G23">
            <v>2.4E-2</v>
          </cell>
        </row>
        <row r="24">
          <cell r="A24">
            <v>24616</v>
          </cell>
          <cell r="B24" t="str">
            <v>光群雷六</v>
          </cell>
          <cell r="C24">
            <v>1.98</v>
          </cell>
          <cell r="D24">
            <v>0.83</v>
          </cell>
          <cell r="E24">
            <v>46085</v>
          </cell>
          <cell r="F24" t="str">
            <v>有擔</v>
          </cell>
          <cell r="G24">
            <v>2.2499999999999999E-2</v>
          </cell>
        </row>
        <row r="25">
          <cell r="A25">
            <v>24762</v>
          </cell>
          <cell r="B25" t="str">
            <v>鉅祥二</v>
          </cell>
          <cell r="C25">
            <v>4.3550000000000004</v>
          </cell>
          <cell r="D25">
            <v>1.67</v>
          </cell>
          <cell r="E25">
            <v>46393</v>
          </cell>
          <cell r="F25" t="str">
            <v>4</v>
          </cell>
          <cell r="G25">
            <v>2.5999999999999999E-2</v>
          </cell>
        </row>
        <row r="26">
          <cell r="A26">
            <v>24972</v>
          </cell>
          <cell r="B26" t="str">
            <v>怡利電二</v>
          </cell>
          <cell r="C26">
            <v>0.377</v>
          </cell>
          <cell r="D26">
            <v>0.12</v>
          </cell>
          <cell r="E26">
            <v>45825</v>
          </cell>
          <cell r="F26" t="str">
            <v>有擔</v>
          </cell>
          <cell r="G26">
            <v>2.3E-2</v>
          </cell>
        </row>
        <row r="27">
          <cell r="A27">
            <v>25283</v>
          </cell>
          <cell r="B27" t="str">
            <v>皇普三</v>
          </cell>
          <cell r="C27">
            <v>5.1989999999999998</v>
          </cell>
          <cell r="D27">
            <v>2.61</v>
          </cell>
          <cell r="E27">
            <v>46734</v>
          </cell>
          <cell r="F27" t="str">
            <v>有擔</v>
          </cell>
          <cell r="G27">
            <v>2.3E-2</v>
          </cell>
        </row>
        <row r="28">
          <cell r="A28">
            <v>26107</v>
          </cell>
          <cell r="B28" t="str">
            <v>華航七</v>
          </cell>
          <cell r="C28">
            <v>2.41</v>
          </cell>
          <cell r="D28">
            <v>0.93</v>
          </cell>
          <cell r="E28">
            <v>46120</v>
          </cell>
          <cell r="F28" t="str">
            <v>4</v>
          </cell>
          <cell r="G28">
            <v>2.5000000000000001E-2</v>
          </cell>
        </row>
        <row r="29">
          <cell r="A29">
            <v>27271</v>
          </cell>
          <cell r="B29" t="str">
            <v>王品一</v>
          </cell>
          <cell r="C29">
            <v>1.718</v>
          </cell>
          <cell r="D29">
            <v>0.84</v>
          </cell>
          <cell r="E29">
            <v>46090</v>
          </cell>
          <cell r="F29" t="str">
            <v>4</v>
          </cell>
          <cell r="G29">
            <v>2.8000000000000001E-2</v>
          </cell>
        </row>
        <row r="30">
          <cell r="A30">
            <v>27323</v>
          </cell>
          <cell r="B30" t="str">
            <v>六角三</v>
          </cell>
          <cell r="C30">
            <v>1.012</v>
          </cell>
          <cell r="D30">
            <v>0.67</v>
          </cell>
          <cell r="E30">
            <v>46028</v>
          </cell>
          <cell r="F30" t="str">
            <v>5</v>
          </cell>
          <cell r="G30">
            <v>2.8000000000000001E-2</v>
          </cell>
        </row>
        <row r="31">
          <cell r="A31">
            <v>29051</v>
          </cell>
          <cell r="B31" t="str">
            <v>三商一</v>
          </cell>
          <cell r="C31">
            <v>2.274</v>
          </cell>
          <cell r="D31">
            <v>0.67</v>
          </cell>
          <cell r="E31">
            <v>46027</v>
          </cell>
          <cell r="F31" t="str">
            <v>5</v>
          </cell>
          <cell r="G31">
            <v>3.2500000000000001E-2</v>
          </cell>
        </row>
        <row r="32">
          <cell r="A32">
            <v>30134</v>
          </cell>
          <cell r="B32" t="str">
            <v>晟銘電四</v>
          </cell>
          <cell r="C32">
            <v>5.4610000000000003</v>
          </cell>
          <cell r="D32">
            <v>2.4</v>
          </cell>
          <cell r="E32">
            <v>46658</v>
          </cell>
          <cell r="F32" t="str">
            <v>有擔</v>
          </cell>
          <cell r="G32">
            <v>2.3E-2</v>
          </cell>
        </row>
        <row r="33">
          <cell r="A33">
            <v>30238</v>
          </cell>
          <cell r="B33" t="str">
            <v>信邦八</v>
          </cell>
          <cell r="C33">
            <v>1.5669999999999999</v>
          </cell>
          <cell r="D33">
            <v>0.56000000000000005</v>
          </cell>
          <cell r="E33">
            <v>45985</v>
          </cell>
          <cell r="F33" t="str">
            <v>4</v>
          </cell>
          <cell r="G33">
            <v>2.5999999999999999E-2</v>
          </cell>
        </row>
        <row r="34">
          <cell r="A34">
            <v>30454</v>
          </cell>
          <cell r="B34" t="str">
            <v>台灣大四</v>
          </cell>
          <cell r="C34">
            <v>6.4710000000000001</v>
          </cell>
          <cell r="D34">
            <v>2.75</v>
          </cell>
          <cell r="E34">
            <v>46787</v>
          </cell>
          <cell r="F34" t="str">
            <v>2</v>
          </cell>
          <cell r="G34">
            <v>2.4E-2</v>
          </cell>
        </row>
        <row r="35">
          <cell r="A35">
            <v>30455</v>
          </cell>
          <cell r="B35" t="str">
            <v>台灣大五</v>
          </cell>
          <cell r="C35">
            <v>6.4889999999999999</v>
          </cell>
          <cell r="D35">
            <v>2.76</v>
          </cell>
          <cell r="E35">
            <v>46790</v>
          </cell>
          <cell r="F35" t="str">
            <v>2</v>
          </cell>
          <cell r="G35">
            <v>2.4E-2</v>
          </cell>
        </row>
        <row r="36">
          <cell r="A36">
            <v>30882</v>
          </cell>
          <cell r="B36" t="str">
            <v>艾訊二</v>
          </cell>
          <cell r="C36">
            <v>3.8220000000000001</v>
          </cell>
          <cell r="D36">
            <v>1.27</v>
          </cell>
          <cell r="E36">
            <v>46244</v>
          </cell>
          <cell r="F36" t="str">
            <v>5</v>
          </cell>
          <cell r="G36">
            <v>0.03</v>
          </cell>
        </row>
        <row r="37">
          <cell r="A37">
            <v>33244</v>
          </cell>
          <cell r="B37" t="str">
            <v>雙鴻四</v>
          </cell>
          <cell r="C37">
            <v>1.345</v>
          </cell>
          <cell r="D37">
            <v>0.47</v>
          </cell>
          <cell r="E37">
            <v>45953</v>
          </cell>
          <cell r="F37" t="str">
            <v>4</v>
          </cell>
          <cell r="G37">
            <v>2.5999999999999999E-2</v>
          </cell>
        </row>
        <row r="38">
          <cell r="A38">
            <v>33245</v>
          </cell>
          <cell r="B38" t="str">
            <v>雙鴻五</v>
          </cell>
          <cell r="C38">
            <v>4.1820000000000004</v>
          </cell>
          <cell r="D38">
            <v>2.19</v>
          </cell>
          <cell r="E38">
            <v>46580</v>
          </cell>
          <cell r="F38" t="str">
            <v>4</v>
          </cell>
          <cell r="G38">
            <v>2.5999999999999999E-2</v>
          </cell>
        </row>
        <row r="39">
          <cell r="A39">
            <v>33571</v>
          </cell>
          <cell r="B39" t="str">
            <v>臺慶科一</v>
          </cell>
          <cell r="C39">
            <v>3.774</v>
          </cell>
          <cell r="D39">
            <v>1.44</v>
          </cell>
          <cell r="E39">
            <v>46307</v>
          </cell>
          <cell r="F39" t="str">
            <v>4</v>
          </cell>
          <cell r="G39">
            <v>2.5999999999999999E-2</v>
          </cell>
        </row>
        <row r="40">
          <cell r="A40">
            <v>33621</v>
          </cell>
          <cell r="B40" t="str">
            <v>先進光一</v>
          </cell>
          <cell r="C40">
            <v>4.202</v>
          </cell>
          <cell r="D40">
            <v>2.15</v>
          </cell>
          <cell r="E40">
            <v>46566</v>
          </cell>
          <cell r="F40" t="str">
            <v>有擔</v>
          </cell>
          <cell r="G40">
            <v>2.3E-2</v>
          </cell>
        </row>
        <row r="41">
          <cell r="A41">
            <v>33763</v>
          </cell>
          <cell r="B41" t="str">
            <v>新日興三</v>
          </cell>
          <cell r="C41">
            <v>4.3280000000000003</v>
          </cell>
          <cell r="D41">
            <v>2.25</v>
          </cell>
          <cell r="E41">
            <v>46602</v>
          </cell>
          <cell r="F41" t="str">
            <v>4</v>
          </cell>
          <cell r="G41">
            <v>2.5999999999999999E-2</v>
          </cell>
        </row>
        <row r="42">
          <cell r="A42">
            <v>33881</v>
          </cell>
          <cell r="B42" t="str">
            <v>崇越電一</v>
          </cell>
          <cell r="C42">
            <v>1.39</v>
          </cell>
          <cell r="D42">
            <v>0.46</v>
          </cell>
          <cell r="E42">
            <v>45950</v>
          </cell>
          <cell r="F42" t="str">
            <v>4</v>
          </cell>
          <cell r="G42">
            <v>2.75E-2</v>
          </cell>
        </row>
        <row r="43">
          <cell r="A43">
            <v>33902</v>
          </cell>
          <cell r="B43" t="str">
            <v>旭軟二</v>
          </cell>
          <cell r="C43">
            <v>6.2009999999999996</v>
          </cell>
          <cell r="D43">
            <v>2.75</v>
          </cell>
          <cell r="E43">
            <v>46784</v>
          </cell>
          <cell r="F43" t="str">
            <v>有擔</v>
          </cell>
          <cell r="G43">
            <v>2.3E-2</v>
          </cell>
        </row>
        <row r="44">
          <cell r="A44">
            <v>34132</v>
          </cell>
          <cell r="B44" t="str">
            <v>京鼎二</v>
          </cell>
          <cell r="C44">
            <v>1.373</v>
          </cell>
          <cell r="D44">
            <v>0.48</v>
          </cell>
          <cell r="E44">
            <v>45957</v>
          </cell>
          <cell r="F44" t="str">
            <v>4</v>
          </cell>
          <cell r="G44">
            <v>2.5999999999999999E-2</v>
          </cell>
        </row>
        <row r="45">
          <cell r="A45">
            <v>34163</v>
          </cell>
          <cell r="B45" t="str">
            <v>融程電三</v>
          </cell>
          <cell r="C45">
            <v>1.6240000000000001</v>
          </cell>
          <cell r="D45">
            <v>0.67</v>
          </cell>
          <cell r="E45">
            <v>46027</v>
          </cell>
          <cell r="F45" t="str">
            <v>5</v>
          </cell>
          <cell r="G45">
            <v>0.03</v>
          </cell>
        </row>
        <row r="46">
          <cell r="A46">
            <v>34793</v>
          </cell>
          <cell r="B46" t="str">
            <v>安勤三</v>
          </cell>
          <cell r="C46">
            <v>4.9619999999999997</v>
          </cell>
          <cell r="D46">
            <v>1.67</v>
          </cell>
          <cell r="E46">
            <v>46391</v>
          </cell>
          <cell r="F46" t="str">
            <v>5</v>
          </cell>
          <cell r="G46">
            <v>0.03</v>
          </cell>
        </row>
        <row r="47">
          <cell r="A47">
            <v>34843</v>
          </cell>
          <cell r="B47" t="str">
            <v>崧騰三</v>
          </cell>
          <cell r="C47">
            <v>2.1120000000000001</v>
          </cell>
          <cell r="D47">
            <v>0.92</v>
          </cell>
          <cell r="E47">
            <v>46119</v>
          </cell>
          <cell r="F47" t="str">
            <v>5</v>
          </cell>
          <cell r="G47">
            <v>0.03</v>
          </cell>
        </row>
        <row r="48">
          <cell r="A48">
            <v>35181</v>
          </cell>
          <cell r="B48" t="str">
            <v>柏騰一</v>
          </cell>
          <cell r="C48">
            <v>5.0830000000000002</v>
          </cell>
          <cell r="D48">
            <v>2.2200000000000002</v>
          </cell>
          <cell r="E48">
            <v>46594</v>
          </cell>
          <cell r="F48" t="str">
            <v>有擔</v>
          </cell>
          <cell r="G48">
            <v>2.3E-2</v>
          </cell>
        </row>
        <row r="49">
          <cell r="A49">
            <v>35265</v>
          </cell>
          <cell r="B49" t="str">
            <v>凡甲五</v>
          </cell>
          <cell r="C49">
            <v>2.2810000000000001</v>
          </cell>
          <cell r="D49">
            <v>0.73</v>
          </cell>
          <cell r="E49">
            <v>46048</v>
          </cell>
          <cell r="F49" t="str">
            <v>5</v>
          </cell>
          <cell r="G49">
            <v>0.03</v>
          </cell>
        </row>
        <row r="50">
          <cell r="A50">
            <v>35266</v>
          </cell>
          <cell r="B50" t="str">
            <v>凡甲六</v>
          </cell>
          <cell r="C50">
            <v>5.016</v>
          </cell>
          <cell r="D50">
            <v>1.69</v>
          </cell>
          <cell r="E50">
            <v>46398</v>
          </cell>
          <cell r="F50" t="str">
            <v>5</v>
          </cell>
          <cell r="G50">
            <v>0.03</v>
          </cell>
        </row>
        <row r="51">
          <cell r="A51">
            <v>35482</v>
          </cell>
          <cell r="B51" t="str">
            <v>兆利二</v>
          </cell>
          <cell r="C51">
            <v>4.5510000000000002</v>
          </cell>
          <cell r="D51">
            <v>1.63</v>
          </cell>
          <cell r="E51">
            <v>46377</v>
          </cell>
          <cell r="F51" t="str">
            <v>4</v>
          </cell>
          <cell r="G51">
            <v>2.8000000000000001E-2</v>
          </cell>
        </row>
        <row r="52">
          <cell r="A52">
            <v>35483</v>
          </cell>
          <cell r="B52" t="str">
            <v>兆利三</v>
          </cell>
          <cell r="C52">
            <v>6.9930000000000003</v>
          </cell>
          <cell r="D52">
            <v>2.76</v>
          </cell>
          <cell r="E52">
            <v>46790</v>
          </cell>
          <cell r="F52" t="str">
            <v>4</v>
          </cell>
          <cell r="G52">
            <v>2.5999999999999999E-2</v>
          </cell>
        </row>
        <row r="53">
          <cell r="A53">
            <v>35831</v>
          </cell>
          <cell r="B53" t="str">
            <v>辛耘一</v>
          </cell>
          <cell r="C53">
            <v>3.1640000000000001</v>
          </cell>
          <cell r="D53">
            <v>1.04</v>
          </cell>
          <cell r="E53">
            <v>46160</v>
          </cell>
          <cell r="F53" t="str">
            <v>5</v>
          </cell>
          <cell r="G53">
            <v>0.03</v>
          </cell>
        </row>
        <row r="54">
          <cell r="A54">
            <v>35832</v>
          </cell>
          <cell r="B54" t="str">
            <v>辛耘二</v>
          </cell>
          <cell r="C54">
            <v>3.274</v>
          </cell>
          <cell r="D54">
            <v>1.07</v>
          </cell>
          <cell r="E54">
            <v>46174</v>
          </cell>
          <cell r="F54" t="str">
            <v>5</v>
          </cell>
          <cell r="G54">
            <v>0.03</v>
          </cell>
        </row>
        <row r="55">
          <cell r="A55">
            <v>35871</v>
          </cell>
          <cell r="B55" t="str">
            <v>閎康一</v>
          </cell>
          <cell r="C55">
            <v>2.8679999999999999</v>
          </cell>
          <cell r="D55">
            <v>1.07</v>
          </cell>
          <cell r="E55">
            <v>46174</v>
          </cell>
          <cell r="F55" t="str">
            <v>4</v>
          </cell>
          <cell r="G55">
            <v>2.5999999999999999E-2</v>
          </cell>
        </row>
        <row r="56">
          <cell r="A56">
            <v>36804</v>
          </cell>
          <cell r="B56" t="str">
            <v>家登四</v>
          </cell>
          <cell r="C56">
            <v>4.2030000000000003</v>
          </cell>
          <cell r="D56">
            <v>1.4</v>
          </cell>
          <cell r="E56">
            <v>46293</v>
          </cell>
          <cell r="F56" t="str">
            <v>5</v>
          </cell>
          <cell r="G56">
            <v>0.03</v>
          </cell>
        </row>
        <row r="57">
          <cell r="A57">
            <v>36913</v>
          </cell>
          <cell r="B57" t="str">
            <v>碩禾三</v>
          </cell>
          <cell r="C57">
            <v>5.1710000000000003</v>
          </cell>
          <cell r="D57">
            <v>2.27</v>
          </cell>
          <cell r="E57">
            <v>46609</v>
          </cell>
          <cell r="F57" t="str">
            <v>有擔</v>
          </cell>
          <cell r="G57">
            <v>2.3E-2</v>
          </cell>
        </row>
        <row r="58">
          <cell r="A58">
            <v>37083</v>
          </cell>
          <cell r="B58" t="str">
            <v>上緯投控三</v>
          </cell>
          <cell r="C58">
            <v>3.0920000000000001</v>
          </cell>
          <cell r="D58">
            <v>1.34</v>
          </cell>
          <cell r="E58">
            <v>46272</v>
          </cell>
          <cell r="F58" t="str">
            <v>有擔</v>
          </cell>
          <cell r="G58">
            <v>2.2499999999999999E-2</v>
          </cell>
        </row>
        <row r="59">
          <cell r="A59">
            <v>41234</v>
          </cell>
          <cell r="B59" t="str">
            <v>晟德四</v>
          </cell>
          <cell r="C59">
            <v>0.748</v>
          </cell>
          <cell r="D59">
            <v>0.28999999999999998</v>
          </cell>
          <cell r="E59">
            <v>45887</v>
          </cell>
          <cell r="F59" t="str">
            <v>有擔</v>
          </cell>
          <cell r="G59">
            <v>2.2499999999999999E-2</v>
          </cell>
        </row>
        <row r="60">
          <cell r="A60">
            <v>41235</v>
          </cell>
          <cell r="B60" t="str">
            <v>晟德五</v>
          </cell>
          <cell r="C60">
            <v>0.754</v>
          </cell>
          <cell r="D60">
            <v>0.28999999999999998</v>
          </cell>
          <cell r="E60">
            <v>45888</v>
          </cell>
          <cell r="F60" t="str">
            <v>有擔</v>
          </cell>
          <cell r="G60">
            <v>2.2499999999999999E-2</v>
          </cell>
        </row>
        <row r="61">
          <cell r="A61">
            <v>41236</v>
          </cell>
          <cell r="B61" t="str">
            <v>晟德六</v>
          </cell>
          <cell r="C61">
            <v>6.5810000000000004</v>
          </cell>
          <cell r="D61">
            <v>2.92</v>
          </cell>
          <cell r="E61">
            <v>46849</v>
          </cell>
          <cell r="F61" t="str">
            <v>有擔</v>
          </cell>
          <cell r="G61">
            <v>2.3E-2</v>
          </cell>
        </row>
        <row r="62">
          <cell r="A62">
            <v>41644</v>
          </cell>
          <cell r="B62" t="str">
            <v>承業醫四</v>
          </cell>
          <cell r="C62">
            <v>-1.972</v>
          </cell>
          <cell r="D62">
            <v>0.19</v>
          </cell>
          <cell r="E62">
            <v>45853</v>
          </cell>
          <cell r="F62" t="str">
            <v>有擔</v>
          </cell>
          <cell r="G62">
            <v>2.2499999999999999E-2</v>
          </cell>
        </row>
        <row r="63">
          <cell r="A63">
            <v>44163</v>
          </cell>
          <cell r="B63" t="str">
            <v>三圓三</v>
          </cell>
          <cell r="C63">
            <v>-0.55300000000000005</v>
          </cell>
          <cell r="D63">
            <v>0.35</v>
          </cell>
          <cell r="E63">
            <v>45910</v>
          </cell>
          <cell r="F63" t="str">
            <v>有擔</v>
          </cell>
          <cell r="G63">
            <v>2.3E-2</v>
          </cell>
        </row>
        <row r="64">
          <cell r="A64">
            <v>45401</v>
          </cell>
          <cell r="B64" t="str">
            <v>全球傳動一</v>
          </cell>
          <cell r="C64">
            <v>1.0900000000000001</v>
          </cell>
          <cell r="D64">
            <v>0.42</v>
          </cell>
          <cell r="E64">
            <v>45937</v>
          </cell>
          <cell r="F64" t="str">
            <v>有擔</v>
          </cell>
          <cell r="G64">
            <v>2.2499999999999999E-2</v>
          </cell>
        </row>
        <row r="65">
          <cell r="A65">
            <v>45553</v>
          </cell>
          <cell r="B65" t="str">
            <v>氣立三</v>
          </cell>
          <cell r="C65">
            <v>0.748</v>
          </cell>
          <cell r="D65">
            <v>0.28999999999999998</v>
          </cell>
          <cell r="E65">
            <v>45887</v>
          </cell>
          <cell r="F65" t="str">
            <v>有擔</v>
          </cell>
          <cell r="G65">
            <v>2.2499999999999999E-2</v>
          </cell>
        </row>
        <row r="66">
          <cell r="A66">
            <v>47393</v>
          </cell>
          <cell r="B66" t="str">
            <v>康普三</v>
          </cell>
          <cell r="C66">
            <v>3.343</v>
          </cell>
          <cell r="D66">
            <v>1.43</v>
          </cell>
          <cell r="E66">
            <v>46303</v>
          </cell>
          <cell r="F66" t="str">
            <v>有擔</v>
          </cell>
          <cell r="G66">
            <v>2.3E-2</v>
          </cell>
        </row>
        <row r="67">
          <cell r="A67">
            <v>50097</v>
          </cell>
          <cell r="B67" t="str">
            <v>榮剛七</v>
          </cell>
          <cell r="C67">
            <v>3.2650000000000001</v>
          </cell>
          <cell r="D67">
            <v>1.19</v>
          </cell>
          <cell r="E67">
            <v>46216</v>
          </cell>
          <cell r="F67" t="str">
            <v>4</v>
          </cell>
          <cell r="G67">
            <v>0.04</v>
          </cell>
        </row>
        <row r="68">
          <cell r="A68">
            <v>52251</v>
          </cell>
          <cell r="B68" t="str">
            <v>東科一KY</v>
          </cell>
          <cell r="C68">
            <v>1.2949999999999999</v>
          </cell>
          <cell r="D68">
            <v>0.52</v>
          </cell>
          <cell r="E68">
            <v>45971</v>
          </cell>
          <cell r="F68" t="str">
            <v>有擔</v>
          </cell>
          <cell r="G68">
            <v>2.2499999999999999E-2</v>
          </cell>
        </row>
        <row r="69">
          <cell r="A69">
            <v>52303</v>
          </cell>
          <cell r="B69" t="str">
            <v>雷笛克光學三</v>
          </cell>
          <cell r="C69">
            <v>2.7749999999999999</v>
          </cell>
          <cell r="D69">
            <v>1.17</v>
          </cell>
          <cell r="E69">
            <v>46209</v>
          </cell>
          <cell r="F69" t="str">
            <v>有擔</v>
          </cell>
          <cell r="G69">
            <v>2.3E-2</v>
          </cell>
        </row>
        <row r="70">
          <cell r="A70">
            <v>52451</v>
          </cell>
          <cell r="B70" t="str">
            <v>智晶一</v>
          </cell>
          <cell r="C70">
            <v>0.66900000000000004</v>
          </cell>
          <cell r="D70">
            <v>0.25</v>
          </cell>
          <cell r="E70">
            <v>45874</v>
          </cell>
          <cell r="F70" t="str">
            <v>有擔</v>
          </cell>
          <cell r="G70">
            <v>2.2499999999999999E-2</v>
          </cell>
        </row>
        <row r="71">
          <cell r="A71">
            <v>52635</v>
          </cell>
          <cell r="B71" t="str">
            <v>智崴五</v>
          </cell>
          <cell r="C71">
            <v>1.663</v>
          </cell>
          <cell r="D71">
            <v>0.78</v>
          </cell>
          <cell r="E71">
            <v>46065</v>
          </cell>
          <cell r="F71" t="str">
            <v>有擔</v>
          </cell>
          <cell r="G71">
            <v>2.2499999999999999E-2</v>
          </cell>
        </row>
        <row r="72">
          <cell r="A72">
            <v>52881</v>
          </cell>
          <cell r="B72" t="str">
            <v>豐祥一KY</v>
          </cell>
          <cell r="C72">
            <v>0.41</v>
          </cell>
          <cell r="D72">
            <v>0.08</v>
          </cell>
          <cell r="E72">
            <v>45810</v>
          </cell>
          <cell r="F72" t="str">
            <v>4</v>
          </cell>
          <cell r="G72">
            <v>0.04</v>
          </cell>
        </row>
        <row r="73">
          <cell r="A73">
            <v>53064</v>
          </cell>
          <cell r="B73" t="str">
            <v>桂盟四</v>
          </cell>
          <cell r="C73">
            <v>3.41</v>
          </cell>
          <cell r="D73">
            <v>1.46</v>
          </cell>
          <cell r="E73">
            <v>46314</v>
          </cell>
          <cell r="F73" t="str">
            <v>有擔</v>
          </cell>
          <cell r="G73">
            <v>2.3E-2</v>
          </cell>
        </row>
        <row r="74">
          <cell r="A74">
            <v>53887</v>
          </cell>
          <cell r="B74" t="str">
            <v>中磊七</v>
          </cell>
          <cell r="C74">
            <v>4.0110000000000001</v>
          </cell>
          <cell r="D74">
            <v>1.53</v>
          </cell>
          <cell r="E74">
            <v>46342</v>
          </cell>
          <cell r="F74" t="str">
            <v>4</v>
          </cell>
          <cell r="G74">
            <v>2.5999999999999999E-2</v>
          </cell>
        </row>
        <row r="75">
          <cell r="A75">
            <v>54342</v>
          </cell>
          <cell r="B75" t="str">
            <v>崇越二</v>
          </cell>
          <cell r="C75">
            <v>2.923</v>
          </cell>
          <cell r="D75">
            <v>1.1000000000000001</v>
          </cell>
          <cell r="E75">
            <v>46182</v>
          </cell>
          <cell r="F75" t="str">
            <v>4</v>
          </cell>
          <cell r="G75">
            <v>2.5999999999999999E-2</v>
          </cell>
        </row>
        <row r="76">
          <cell r="A76">
            <v>54501</v>
          </cell>
          <cell r="B76" t="str">
            <v>南良一</v>
          </cell>
          <cell r="C76">
            <v>1.2709999999999999</v>
          </cell>
          <cell r="D76">
            <v>0.82</v>
          </cell>
          <cell r="E76">
            <v>46083</v>
          </cell>
          <cell r="F76" t="str">
            <v>有擔</v>
          </cell>
          <cell r="G76">
            <v>2.3E-2</v>
          </cell>
        </row>
        <row r="77">
          <cell r="A77">
            <v>56086</v>
          </cell>
          <cell r="B77" t="str">
            <v>四維航六</v>
          </cell>
          <cell r="C77">
            <v>2.5619999999999998</v>
          </cell>
          <cell r="D77">
            <v>1.07</v>
          </cell>
          <cell r="E77">
            <v>46174</v>
          </cell>
          <cell r="F77" t="str">
            <v>有擔</v>
          </cell>
          <cell r="G77">
            <v>2.3E-2</v>
          </cell>
        </row>
        <row r="78">
          <cell r="A78">
            <v>56087</v>
          </cell>
          <cell r="B78" t="str">
            <v>四維航七</v>
          </cell>
          <cell r="C78">
            <v>5.8259999999999996</v>
          </cell>
          <cell r="D78">
            <v>2.57</v>
          </cell>
          <cell r="E78">
            <v>46720</v>
          </cell>
          <cell r="F78" t="str">
            <v>有擔</v>
          </cell>
          <cell r="G78">
            <v>2.3E-2</v>
          </cell>
        </row>
        <row r="79">
          <cell r="A79">
            <v>59055</v>
          </cell>
          <cell r="B79" t="str">
            <v>南仁湖四</v>
          </cell>
          <cell r="C79">
            <v>2.355</v>
          </cell>
          <cell r="D79">
            <v>0.98</v>
          </cell>
          <cell r="E79">
            <v>46140</v>
          </cell>
          <cell r="F79" t="str">
            <v>有擔</v>
          </cell>
          <cell r="G79">
            <v>2.3E-2</v>
          </cell>
        </row>
        <row r="80">
          <cell r="A80">
            <v>61041</v>
          </cell>
          <cell r="B80" t="str">
            <v>創惟一</v>
          </cell>
          <cell r="C80">
            <v>0.3</v>
          </cell>
          <cell r="D80">
            <v>0.25</v>
          </cell>
          <cell r="E80">
            <v>45875</v>
          </cell>
          <cell r="F80" t="str">
            <v>5</v>
          </cell>
          <cell r="G80">
            <v>3.7499999999999999E-2</v>
          </cell>
        </row>
        <row r="81">
          <cell r="A81">
            <v>61394</v>
          </cell>
          <cell r="B81" t="str">
            <v>亞翔四</v>
          </cell>
          <cell r="C81">
            <v>0.872</v>
          </cell>
          <cell r="D81">
            <v>0.67</v>
          </cell>
          <cell r="E81">
            <v>46027</v>
          </cell>
          <cell r="F81" t="str">
            <v>4</v>
          </cell>
          <cell r="G81">
            <v>2.5999999999999999E-2</v>
          </cell>
        </row>
        <row r="82">
          <cell r="A82">
            <v>61894</v>
          </cell>
          <cell r="B82" t="str">
            <v>豐藝四</v>
          </cell>
          <cell r="C82">
            <v>3.1110000000000002</v>
          </cell>
          <cell r="D82">
            <v>1.46</v>
          </cell>
          <cell r="E82">
            <v>46316</v>
          </cell>
          <cell r="F82" t="str">
            <v>4</v>
          </cell>
          <cell r="G82">
            <v>2.5999999999999999E-2</v>
          </cell>
        </row>
        <row r="83">
          <cell r="A83">
            <v>61965</v>
          </cell>
          <cell r="B83" t="str">
            <v>帆宣五</v>
          </cell>
          <cell r="C83">
            <v>2.9159999999999999</v>
          </cell>
          <cell r="D83">
            <v>1.0900000000000001</v>
          </cell>
          <cell r="E83">
            <v>46181</v>
          </cell>
          <cell r="F83" t="str">
            <v>4</v>
          </cell>
          <cell r="G83">
            <v>2.5999999999999999E-2</v>
          </cell>
        </row>
        <row r="84">
          <cell r="A84">
            <v>62235</v>
          </cell>
          <cell r="B84" t="str">
            <v>旺矽五</v>
          </cell>
          <cell r="C84">
            <v>6.6710000000000003</v>
          </cell>
          <cell r="D84">
            <v>2.63</v>
          </cell>
          <cell r="E84">
            <v>46741</v>
          </cell>
          <cell r="F84" t="str">
            <v>4</v>
          </cell>
          <cell r="G84">
            <v>2.5999999999999999E-2</v>
          </cell>
        </row>
        <row r="85">
          <cell r="A85">
            <v>62695</v>
          </cell>
          <cell r="B85" t="str">
            <v>台郡五</v>
          </cell>
          <cell r="C85">
            <v>5.6130000000000004</v>
          </cell>
          <cell r="D85">
            <v>2.19</v>
          </cell>
          <cell r="E85">
            <v>46581</v>
          </cell>
          <cell r="F85" t="str">
            <v>4</v>
          </cell>
          <cell r="G85">
            <v>2.5999999999999999E-2</v>
          </cell>
        </row>
        <row r="86">
          <cell r="A86">
            <v>62696</v>
          </cell>
          <cell r="B86" t="str">
            <v>台郡六</v>
          </cell>
          <cell r="C86">
            <v>5.6130000000000004</v>
          </cell>
          <cell r="D86">
            <v>2.19</v>
          </cell>
          <cell r="E86">
            <v>46581</v>
          </cell>
          <cell r="F86" t="str">
            <v>4</v>
          </cell>
          <cell r="G86">
            <v>2.5999999999999999E-2</v>
          </cell>
        </row>
        <row r="87">
          <cell r="A87">
            <v>62744</v>
          </cell>
          <cell r="B87" t="str">
            <v>台燿四</v>
          </cell>
          <cell r="C87">
            <v>5.0270000000000001</v>
          </cell>
          <cell r="D87">
            <v>1.95</v>
          </cell>
          <cell r="E87">
            <v>46493</v>
          </cell>
          <cell r="F87" t="str">
            <v>4</v>
          </cell>
          <cell r="G87">
            <v>2.5999999999999999E-2</v>
          </cell>
        </row>
        <row r="88">
          <cell r="A88">
            <v>62756</v>
          </cell>
          <cell r="B88" t="str">
            <v>元山六</v>
          </cell>
          <cell r="C88">
            <v>1.891</v>
          </cell>
          <cell r="D88">
            <v>1.35</v>
          </cell>
          <cell r="E88">
            <v>46275</v>
          </cell>
          <cell r="F88" t="str">
            <v>有擔</v>
          </cell>
          <cell r="G88">
            <v>2.2499999999999999E-2</v>
          </cell>
        </row>
        <row r="89">
          <cell r="A89">
            <v>62822</v>
          </cell>
          <cell r="B89" t="str">
            <v>康舒二</v>
          </cell>
          <cell r="C89">
            <v>3.2189999999999999</v>
          </cell>
          <cell r="D89">
            <v>1.05</v>
          </cell>
          <cell r="E89">
            <v>46167</v>
          </cell>
          <cell r="F89" t="str">
            <v>5</v>
          </cell>
          <cell r="G89">
            <v>0.03</v>
          </cell>
        </row>
        <row r="90">
          <cell r="A90">
            <v>62843</v>
          </cell>
          <cell r="B90" t="str">
            <v>佳邦三</v>
          </cell>
          <cell r="C90">
            <v>1.5669999999999999</v>
          </cell>
          <cell r="D90">
            <v>0.56000000000000005</v>
          </cell>
          <cell r="E90">
            <v>45985</v>
          </cell>
          <cell r="F90" t="str">
            <v>4</v>
          </cell>
          <cell r="G90">
            <v>2.5999999999999999E-2</v>
          </cell>
        </row>
        <row r="91">
          <cell r="A91">
            <v>64145</v>
          </cell>
          <cell r="B91" t="str">
            <v>樺漢五</v>
          </cell>
          <cell r="C91">
            <v>3.2509999999999999</v>
          </cell>
          <cell r="D91">
            <v>1.23</v>
          </cell>
          <cell r="E91">
            <v>46230</v>
          </cell>
          <cell r="F91" t="str">
            <v>4</v>
          </cell>
          <cell r="G91">
            <v>2.5999999999999999E-2</v>
          </cell>
        </row>
        <row r="92">
          <cell r="A92">
            <v>64251</v>
          </cell>
          <cell r="B92" t="str">
            <v>易發一</v>
          </cell>
          <cell r="C92">
            <v>5.4550000000000001</v>
          </cell>
          <cell r="D92">
            <v>2.4</v>
          </cell>
          <cell r="E92">
            <v>46657</v>
          </cell>
          <cell r="F92" t="str">
            <v>有擔</v>
          </cell>
          <cell r="G92">
            <v>2.3E-2</v>
          </cell>
        </row>
        <row r="93">
          <cell r="A93">
            <v>64692</v>
          </cell>
          <cell r="B93" t="str">
            <v>大樹二</v>
          </cell>
          <cell r="C93">
            <v>0.99299999999999999</v>
          </cell>
          <cell r="D93">
            <v>0.31</v>
          </cell>
          <cell r="E93">
            <v>45894</v>
          </cell>
          <cell r="F93" t="str">
            <v>4</v>
          </cell>
          <cell r="G93">
            <v>2.8000000000000001E-2</v>
          </cell>
        </row>
        <row r="94">
          <cell r="A94">
            <v>64723</v>
          </cell>
          <cell r="B94" t="str">
            <v>保瑞三</v>
          </cell>
          <cell r="C94">
            <v>4.2839999999999998</v>
          </cell>
          <cell r="D94">
            <v>1.19</v>
          </cell>
          <cell r="E94">
            <v>46218</v>
          </cell>
          <cell r="F94" t="str">
            <v>5</v>
          </cell>
          <cell r="G94">
            <v>4.2500000000000003E-2</v>
          </cell>
        </row>
        <row r="95">
          <cell r="A95">
            <v>65096</v>
          </cell>
          <cell r="B95" t="str">
            <v>聚和六</v>
          </cell>
          <cell r="C95">
            <v>3.1749999999999998</v>
          </cell>
          <cell r="D95">
            <v>1.1100000000000001</v>
          </cell>
          <cell r="E95">
            <v>46188</v>
          </cell>
          <cell r="F95" t="str">
            <v>5</v>
          </cell>
          <cell r="G95">
            <v>2.8000000000000001E-2</v>
          </cell>
        </row>
        <row r="96">
          <cell r="A96">
            <v>65521</v>
          </cell>
          <cell r="B96" t="str">
            <v>易華電一</v>
          </cell>
          <cell r="C96">
            <v>3.3250000000000002</v>
          </cell>
          <cell r="D96">
            <v>1.42</v>
          </cell>
          <cell r="E96">
            <v>46300</v>
          </cell>
          <cell r="F96" t="str">
            <v>有擔</v>
          </cell>
          <cell r="G96">
            <v>2.3E-2</v>
          </cell>
        </row>
        <row r="97">
          <cell r="A97">
            <v>65841</v>
          </cell>
          <cell r="B97" t="str">
            <v>南俊國際一</v>
          </cell>
          <cell r="C97">
            <v>2.3969999999999998</v>
          </cell>
          <cell r="D97">
            <v>1.44</v>
          </cell>
          <cell r="E97">
            <v>46307</v>
          </cell>
          <cell r="F97" t="str">
            <v>有擔</v>
          </cell>
          <cell r="G97">
            <v>2.3E-2</v>
          </cell>
        </row>
        <row r="98">
          <cell r="A98">
            <v>65851</v>
          </cell>
          <cell r="B98" t="str">
            <v>鼎基一</v>
          </cell>
          <cell r="C98">
            <v>3.331</v>
          </cell>
          <cell r="D98">
            <v>1.42</v>
          </cell>
          <cell r="E98">
            <v>46301</v>
          </cell>
          <cell r="F98" t="str">
            <v>有擔</v>
          </cell>
          <cell r="G98">
            <v>2.3E-2</v>
          </cell>
        </row>
        <row r="99">
          <cell r="A99">
            <v>65852</v>
          </cell>
          <cell r="B99" t="str">
            <v>鼎基二</v>
          </cell>
          <cell r="C99">
            <v>4.9320000000000004</v>
          </cell>
          <cell r="D99">
            <v>1.42</v>
          </cell>
          <cell r="E99">
            <v>46302</v>
          </cell>
          <cell r="F99" t="str">
            <v>5</v>
          </cell>
          <cell r="G99">
            <v>3.5000000000000003E-2</v>
          </cell>
        </row>
        <row r="100">
          <cell r="A100">
            <v>65931</v>
          </cell>
          <cell r="B100" t="str">
            <v>台灣銘板一</v>
          </cell>
          <cell r="C100">
            <v>1.353</v>
          </cell>
          <cell r="D100">
            <v>0.56000000000000005</v>
          </cell>
          <cell r="E100">
            <v>45985</v>
          </cell>
          <cell r="F100" t="str">
            <v>有擔</v>
          </cell>
          <cell r="G100">
            <v>2.1999999999999999E-2</v>
          </cell>
        </row>
        <row r="101">
          <cell r="A101">
            <v>66241</v>
          </cell>
          <cell r="B101" t="str">
            <v>萬年清一</v>
          </cell>
          <cell r="C101">
            <v>4.1239999999999997</v>
          </cell>
          <cell r="D101">
            <v>2.11</v>
          </cell>
          <cell r="E101">
            <v>46553</v>
          </cell>
          <cell r="F101" t="str">
            <v>有擔</v>
          </cell>
          <cell r="G101">
            <v>2.3E-2</v>
          </cell>
        </row>
        <row r="102">
          <cell r="A102">
            <v>67152</v>
          </cell>
          <cell r="B102" t="str">
            <v>嘉基二</v>
          </cell>
          <cell r="C102">
            <v>4.609</v>
          </cell>
          <cell r="D102">
            <v>1.65</v>
          </cell>
          <cell r="E102">
            <v>46385</v>
          </cell>
          <cell r="F102" t="str">
            <v>5</v>
          </cell>
          <cell r="G102">
            <v>2.8000000000000001E-2</v>
          </cell>
        </row>
        <row r="103">
          <cell r="A103">
            <v>68301</v>
          </cell>
          <cell r="B103" t="str">
            <v>汎銓一</v>
          </cell>
          <cell r="C103">
            <v>3.7130000000000001</v>
          </cell>
          <cell r="D103">
            <v>1.23</v>
          </cell>
          <cell r="E103">
            <v>46230</v>
          </cell>
          <cell r="F103" t="str">
            <v>5</v>
          </cell>
          <cell r="G103">
            <v>0.03</v>
          </cell>
        </row>
        <row r="104">
          <cell r="A104">
            <v>80506</v>
          </cell>
          <cell r="B104" t="str">
            <v>廣積六</v>
          </cell>
          <cell r="C104">
            <v>1.113</v>
          </cell>
          <cell r="D104">
            <v>0.5</v>
          </cell>
          <cell r="E104">
            <v>45964</v>
          </cell>
          <cell r="F104" t="str">
            <v>5</v>
          </cell>
          <cell r="G104">
            <v>3.5000000000000003E-2</v>
          </cell>
        </row>
        <row r="105">
          <cell r="A105">
            <v>80914</v>
          </cell>
          <cell r="B105" t="str">
            <v>翔名四</v>
          </cell>
          <cell r="C105">
            <v>3.2410000000000001</v>
          </cell>
          <cell r="D105">
            <v>1.23</v>
          </cell>
          <cell r="E105">
            <v>46230</v>
          </cell>
          <cell r="F105" t="str">
            <v>5</v>
          </cell>
          <cell r="G105">
            <v>2.8000000000000001E-2</v>
          </cell>
        </row>
        <row r="106">
          <cell r="A106">
            <v>81551</v>
          </cell>
          <cell r="B106" t="str">
            <v>博智一</v>
          </cell>
          <cell r="C106">
            <v>6.6779999999999999</v>
          </cell>
          <cell r="D106">
            <v>2.63</v>
          </cell>
          <cell r="E106">
            <v>46742</v>
          </cell>
          <cell r="F106" t="str">
            <v>4</v>
          </cell>
          <cell r="G106">
            <v>2.5999999999999999E-2</v>
          </cell>
        </row>
        <row r="107">
          <cell r="A107">
            <v>82101</v>
          </cell>
          <cell r="B107" t="str">
            <v>勤誠一</v>
          </cell>
          <cell r="C107">
            <v>4.3079999999999998</v>
          </cell>
          <cell r="D107">
            <v>1.65</v>
          </cell>
          <cell r="E107">
            <v>46386</v>
          </cell>
          <cell r="F107" t="str">
            <v>4</v>
          </cell>
          <cell r="G107">
            <v>2.5999999999999999E-2</v>
          </cell>
        </row>
        <row r="108">
          <cell r="A108">
            <v>82551</v>
          </cell>
          <cell r="B108" t="str">
            <v>朋程一</v>
          </cell>
          <cell r="C108">
            <v>3.2029999999999998</v>
          </cell>
          <cell r="D108">
            <v>1.21</v>
          </cell>
          <cell r="E108">
            <v>46223</v>
          </cell>
          <cell r="F108" t="str">
            <v>4</v>
          </cell>
          <cell r="G108">
            <v>2.5999999999999999E-2</v>
          </cell>
        </row>
        <row r="109">
          <cell r="A109">
            <v>82992</v>
          </cell>
          <cell r="B109" t="str">
            <v>群聯二</v>
          </cell>
          <cell r="C109">
            <v>4.1859999999999999</v>
          </cell>
          <cell r="D109">
            <v>1.67</v>
          </cell>
          <cell r="E109">
            <v>46391</v>
          </cell>
          <cell r="F109" t="str">
            <v>3</v>
          </cell>
          <cell r="G109">
            <v>2.5000000000000001E-2</v>
          </cell>
        </row>
        <row r="110">
          <cell r="A110">
            <v>84221</v>
          </cell>
          <cell r="B110" t="str">
            <v>可寧衛一</v>
          </cell>
          <cell r="C110">
            <v>0.67900000000000005</v>
          </cell>
          <cell r="D110">
            <v>0.5</v>
          </cell>
          <cell r="E110">
            <v>45964</v>
          </cell>
          <cell r="F110" t="str">
            <v>4</v>
          </cell>
          <cell r="G110">
            <v>2.5999999999999999E-2</v>
          </cell>
        </row>
        <row r="111">
          <cell r="A111">
            <v>84421</v>
          </cell>
          <cell r="B111" t="str">
            <v>威宏一KY</v>
          </cell>
          <cell r="C111">
            <v>0.621</v>
          </cell>
          <cell r="D111">
            <v>0.24</v>
          </cell>
          <cell r="E111">
            <v>45868</v>
          </cell>
          <cell r="F111" t="str">
            <v>有擔</v>
          </cell>
          <cell r="G111">
            <v>2.1999999999999999E-2</v>
          </cell>
        </row>
        <row r="112">
          <cell r="A112">
            <v>84422</v>
          </cell>
          <cell r="B112" t="str">
            <v>威宏二KY</v>
          </cell>
          <cell r="C112">
            <v>3.2890000000000001</v>
          </cell>
          <cell r="D112">
            <v>1.4</v>
          </cell>
          <cell r="E112">
            <v>46294</v>
          </cell>
          <cell r="F112" t="str">
            <v>有擔</v>
          </cell>
          <cell r="G112">
            <v>2.3E-2</v>
          </cell>
        </row>
        <row r="113">
          <cell r="A113">
            <v>84672</v>
          </cell>
          <cell r="B113" t="str">
            <v>波力二KY</v>
          </cell>
          <cell r="C113">
            <v>4.625</v>
          </cell>
          <cell r="D113">
            <v>2.0099999999999998</v>
          </cell>
          <cell r="E113">
            <v>46517</v>
          </cell>
          <cell r="F113" t="str">
            <v>有擔</v>
          </cell>
          <cell r="G113">
            <v>2.3E-2</v>
          </cell>
        </row>
        <row r="114">
          <cell r="A114">
            <v>84891</v>
          </cell>
          <cell r="B114" t="str">
            <v>三貝德一</v>
          </cell>
          <cell r="C114">
            <v>3.403</v>
          </cell>
          <cell r="D114">
            <v>1.54</v>
          </cell>
          <cell r="E114">
            <v>46345</v>
          </cell>
          <cell r="F114" t="str">
            <v>有擔</v>
          </cell>
          <cell r="G114">
            <v>2.3E-2</v>
          </cell>
        </row>
        <row r="115">
          <cell r="A115">
            <v>89277</v>
          </cell>
          <cell r="B115" t="str">
            <v>北基七</v>
          </cell>
          <cell r="C115">
            <v>3.6549999999999998</v>
          </cell>
          <cell r="D115">
            <v>2.23</v>
          </cell>
          <cell r="E115">
            <v>46595</v>
          </cell>
          <cell r="F115" t="str">
            <v>有擔</v>
          </cell>
          <cell r="G115">
            <v>2.3E-2</v>
          </cell>
        </row>
        <row r="116">
          <cell r="A116">
            <v>89964</v>
          </cell>
          <cell r="B116" t="str">
            <v>高力四</v>
          </cell>
          <cell r="C116">
            <v>3.8650000000000002</v>
          </cell>
          <cell r="D116">
            <v>1.53</v>
          </cell>
          <cell r="E116">
            <v>46342</v>
          </cell>
          <cell r="F116" t="str">
            <v>5</v>
          </cell>
          <cell r="G116">
            <v>0.03</v>
          </cell>
        </row>
        <row r="117">
          <cell r="A117">
            <v>98026</v>
          </cell>
          <cell r="B117" t="str">
            <v>鈺齊六KY</v>
          </cell>
          <cell r="C117">
            <v>3.4609999999999999</v>
          </cell>
          <cell r="D117">
            <v>1.48</v>
          </cell>
          <cell r="E117">
            <v>46321</v>
          </cell>
          <cell r="F117" t="str">
            <v>4</v>
          </cell>
          <cell r="G117">
            <v>0.03</v>
          </cell>
        </row>
        <row r="118">
          <cell r="A118">
            <v>99392</v>
          </cell>
          <cell r="B118" t="str">
            <v>宏全二</v>
          </cell>
          <cell r="C118">
            <v>6.21</v>
          </cell>
          <cell r="D118">
            <v>2.44</v>
          </cell>
          <cell r="E118">
            <v>46671</v>
          </cell>
          <cell r="F118" t="str">
            <v>4</v>
          </cell>
          <cell r="G118">
            <v>2.5999999999999999E-2</v>
          </cell>
        </row>
        <row r="119">
          <cell r="A119"/>
          <cell r="B119"/>
          <cell r="C119"/>
          <cell r="D119"/>
          <cell r="E119"/>
          <cell r="F119"/>
          <cell r="G119"/>
        </row>
        <row r="120">
          <cell r="A120" t="str">
            <v>下單專線： (02)2175-7698 / (02)2175-7700</v>
          </cell>
          <cell r="B120"/>
          <cell r="C120"/>
          <cell r="D120"/>
          <cell r="E120"/>
          <cell r="F120"/>
          <cell r="G120"/>
        </row>
        <row r="121">
          <cell r="A121" t="str">
            <v>一、本報價表僅供達本公司最低交易限額參考使用，未達交易最低限額則另行議定報價。</v>
          </cell>
          <cell r="B121"/>
          <cell r="C121"/>
          <cell r="D121"/>
          <cell r="E121"/>
          <cell r="F121"/>
          <cell r="G121"/>
        </row>
        <row r="122">
          <cell r="A122" t="str">
            <v>二、交易前須與固定收益商品部簽訂可資產交換開戶文件</v>
          </cell>
          <cell r="B122"/>
          <cell r="C122"/>
          <cell r="D122"/>
          <cell r="E122"/>
          <cell r="F122"/>
          <cell r="G122"/>
        </row>
        <row r="123">
          <cell r="A123" t="str">
            <v>三、選擇權買進權利金=[(可轉債買進價格-100)+百元報價]*張數*1000。權利金之金額低於0.25本部門不予承作。</v>
          </cell>
          <cell r="B123"/>
          <cell r="C123"/>
          <cell r="D123"/>
          <cell r="E123"/>
          <cell r="F123"/>
          <cell r="G123"/>
        </row>
        <row r="124">
          <cell r="A124" t="str">
            <v>四、選擇權履約價格=A/(1+B)^(D/365)，A=賣回價格，B=折現率，D=自選擇權履約之交割結算日(含)至選擇權到期日(不含)間之實際日曆天數。</v>
          </cell>
          <cell r="B124"/>
          <cell r="C124"/>
          <cell r="D124"/>
          <cell r="E124"/>
          <cell r="F124"/>
          <cell r="G124"/>
        </row>
        <row r="125">
          <cell r="A125" t="str">
            <v>五、選擇權每單位債券面額10萬元，可轉換公司債資產交換選擇權交易最低單一價格下單買進金額為新台幣50萬元(5張)(未達交易最低限額則依上表百元報價增加最高不超過0.6)。</v>
          </cell>
          <cell r="B125"/>
          <cell r="C125"/>
          <cell r="D125"/>
          <cell r="E125"/>
          <cell r="F125"/>
          <cell r="G125"/>
        </row>
        <row r="126">
          <cell r="A126" t="str">
            <v>六、選擇權執行方式：</v>
          </cell>
          <cell r="B126"/>
          <cell r="C126"/>
          <cell r="D126"/>
          <cell r="E126"/>
          <cell r="F126"/>
          <cell r="G126"/>
        </row>
        <row r="127">
          <cell r="A127" t="str">
            <v>(1.) 實物交割：在交割日，買方(客戶)將選擇權執行價格款項匯入賣方(國票證券)之銀行帳戶，賣方將標的債券撥入客戶所約定之集保帳戶。</v>
          </cell>
          <cell r="B127"/>
          <cell r="C127"/>
          <cell r="D127"/>
          <cell r="E127"/>
          <cell r="F127"/>
          <cell r="G127"/>
        </row>
        <row r="128">
          <cell r="A128" t="str">
            <v>(2.) 提前解約：買方(客戶)得於選擇權到期前解約，惟提前解約之數量與金額係以提前解約執行通知當日市場實際成交或與國票證券議定為準；</v>
          </cell>
          <cell r="B128"/>
          <cell r="C128"/>
          <cell r="D128"/>
          <cell r="E128"/>
          <cell r="F128"/>
          <cell r="G128"/>
        </row>
        <row r="129">
          <cell r="A129" t="str">
            <v>(3.)本公司依據公平代客原則，優先履約折現率較高之契約(若折現率相同，則依承作日期最早之契約依序沖銷)</v>
          </cell>
          <cell r="B129"/>
          <cell r="C129"/>
          <cell r="D129"/>
          <cell r="E129"/>
          <cell r="F129"/>
          <cell r="G129"/>
        </row>
        <row r="130">
          <cell r="A130" t="str">
            <v>七、本報價表僅供客戶參考，資訊內容將力求正確，惟進行投資決策時，請投資人依據個人專業判斷，本公司不作任何資訊及獲利保證。</v>
          </cell>
          <cell r="B130"/>
          <cell r="C130"/>
          <cell r="D130"/>
          <cell r="E130"/>
          <cell r="F130"/>
          <cell r="G130"/>
        </row>
      </sheetData>
      <sheetData sheetId="6">
        <row r="2">
          <cell r="B2"/>
          <cell r="C2"/>
          <cell r="D2"/>
          <cell r="F2"/>
          <cell r="G2" t="str">
            <v>資產交換選擇權報價表</v>
          </cell>
          <cell r="H2"/>
          <cell r="I2"/>
        </row>
        <row r="3">
          <cell r="B3">
            <v>45782</v>
          </cell>
          <cell r="C3"/>
          <cell r="D3"/>
          <cell r="E3">
            <v>45812</v>
          </cell>
          <cell r="H3"/>
        </row>
        <row r="4">
          <cell r="B4" t="str">
            <v>債券代碼</v>
          </cell>
          <cell r="C4" t="str">
            <v>權利金
百元報價(%)</v>
          </cell>
          <cell r="D4" t="str">
            <v>剩餘
年限</v>
          </cell>
          <cell r="E4" t="str">
            <v>賣回價格</v>
          </cell>
          <cell r="F4" t="str">
            <v>選擇權
到期日</v>
          </cell>
          <cell r="G4" t="str">
            <v>擔保/TCRI</v>
          </cell>
          <cell r="H4" t="str">
            <v>賣回日</v>
          </cell>
          <cell r="I4" t="str">
            <v>利率</v>
          </cell>
        </row>
        <row r="5">
          <cell r="B5">
            <v>11011</v>
          </cell>
          <cell r="C5">
            <v>6.74</v>
          </cell>
          <cell r="D5">
            <v>2.558904109589041</v>
          </cell>
          <cell r="E5">
            <v>100</v>
          </cell>
          <cell r="F5">
            <v>46716</v>
          </cell>
          <cell r="G5" t="str">
            <v>twA+</v>
          </cell>
          <cell r="H5">
            <v>46731</v>
          </cell>
          <cell r="I5">
            <v>2.7E-2</v>
          </cell>
        </row>
        <row r="6">
          <cell r="B6">
            <v>13164</v>
          </cell>
          <cell r="C6">
            <v>1.65</v>
          </cell>
          <cell r="D6">
            <v>0.69589041095890414</v>
          </cell>
          <cell r="E6">
            <v>100</v>
          </cell>
          <cell r="F6">
            <v>46036</v>
          </cell>
          <cell r="G6" t="str">
            <v>日盛銀</v>
          </cell>
          <cell r="H6">
            <v>46051</v>
          </cell>
          <cell r="I6">
            <v>2.1999999999999999E-2</v>
          </cell>
        </row>
        <row r="7">
          <cell r="B7">
            <v>13166</v>
          </cell>
          <cell r="C7">
            <v>3.4</v>
          </cell>
          <cell r="D7">
            <v>1.6054794520547946</v>
          </cell>
          <cell r="E7">
            <v>100.5</v>
          </cell>
          <cell r="F7">
            <v>46368</v>
          </cell>
          <cell r="G7" t="str">
            <v>板信銀</v>
          </cell>
          <cell r="H7">
            <v>46383</v>
          </cell>
          <cell r="I7">
            <v>2.4E-2</v>
          </cell>
        </row>
        <row r="8">
          <cell r="B8">
            <v>140201</v>
          </cell>
          <cell r="C8">
            <v>5.48</v>
          </cell>
          <cell r="D8">
            <v>2.2191780821917808</v>
          </cell>
          <cell r="E8">
            <v>100</v>
          </cell>
          <cell r="F8">
            <v>46592</v>
          </cell>
          <cell r="G8" t="str">
            <v>twA</v>
          </cell>
          <cell r="H8">
            <v>46607</v>
          </cell>
          <cell r="I8">
            <v>2.5000000000000001E-2</v>
          </cell>
        </row>
        <row r="9">
          <cell r="B9">
            <v>140202</v>
          </cell>
          <cell r="C9">
            <v>5.48</v>
          </cell>
          <cell r="D9">
            <v>2.2191780821917808</v>
          </cell>
          <cell r="E9">
            <v>100</v>
          </cell>
          <cell r="F9">
            <v>46592</v>
          </cell>
          <cell r="G9" t="str">
            <v>twA</v>
          </cell>
          <cell r="H9">
            <v>46607</v>
          </cell>
          <cell r="I9">
            <v>2.5000000000000001E-2</v>
          </cell>
        </row>
        <row r="10">
          <cell r="B10">
            <v>14362</v>
          </cell>
          <cell r="C10">
            <v>1.28</v>
          </cell>
          <cell r="D10">
            <v>0.53424657534246578</v>
          </cell>
          <cell r="E10">
            <v>100</v>
          </cell>
          <cell r="F10">
            <v>45977</v>
          </cell>
          <cell r="G10" t="str">
            <v>第一銀行</v>
          </cell>
          <cell r="H10">
            <v>45992</v>
          </cell>
          <cell r="I10">
            <v>2.1499999999999998E-2</v>
          </cell>
        </row>
        <row r="11">
          <cell r="B11">
            <v>15601</v>
          </cell>
          <cell r="C11">
            <v>5.39</v>
          </cell>
          <cell r="D11">
            <v>2.095890410958904</v>
          </cell>
          <cell r="E11">
            <v>100</v>
          </cell>
          <cell r="F11">
            <v>46547</v>
          </cell>
          <cell r="G11">
            <v>4</v>
          </cell>
          <cell r="H11">
            <v>46562</v>
          </cell>
          <cell r="I11">
            <v>2.5999999999999999E-2</v>
          </cell>
        </row>
        <row r="12">
          <cell r="B12">
            <v>15864</v>
          </cell>
          <cell r="C12">
            <v>2.96</v>
          </cell>
          <cell r="D12">
            <v>1.2794520547945205</v>
          </cell>
          <cell r="E12">
            <v>100</v>
          </cell>
          <cell r="F12">
            <v>46249</v>
          </cell>
          <cell r="G12" t="str">
            <v>合庫銀</v>
          </cell>
          <cell r="H12">
            <v>46264</v>
          </cell>
          <cell r="I12">
            <v>2.2499999999999999E-2</v>
          </cell>
        </row>
        <row r="13">
          <cell r="B13">
            <v>15991</v>
          </cell>
          <cell r="C13">
            <v>1.23</v>
          </cell>
          <cell r="D13">
            <v>0.49863013698630138</v>
          </cell>
          <cell r="E13">
            <v>100</v>
          </cell>
          <cell r="F13">
            <v>45964</v>
          </cell>
          <cell r="G13" t="str">
            <v>富邦銀</v>
          </cell>
          <cell r="H13">
            <v>45979</v>
          </cell>
          <cell r="I13">
            <v>2.1999999999999999E-2</v>
          </cell>
        </row>
        <row r="14">
          <cell r="B14">
            <v>17813</v>
          </cell>
          <cell r="C14">
            <v>5.35</v>
          </cell>
          <cell r="D14">
            <v>2.3479452054794518</v>
          </cell>
          <cell r="E14">
            <v>100</v>
          </cell>
          <cell r="F14">
            <v>46639</v>
          </cell>
          <cell r="G14" t="str">
            <v>華南銀行</v>
          </cell>
          <cell r="H14">
            <v>46654</v>
          </cell>
          <cell r="I14">
            <v>2.3E-2</v>
          </cell>
        </row>
        <row r="15">
          <cell r="B15">
            <v>22013</v>
          </cell>
          <cell r="C15">
            <v>2.37</v>
          </cell>
          <cell r="D15">
            <v>1.0136986301369864</v>
          </cell>
          <cell r="E15">
            <v>100.75190000000001</v>
          </cell>
          <cell r="F15">
            <v>46152</v>
          </cell>
          <cell r="G15" t="str">
            <v>twA-</v>
          </cell>
          <cell r="H15">
            <v>46167</v>
          </cell>
          <cell r="I15">
            <v>0.03</v>
          </cell>
        </row>
        <row r="16">
          <cell r="B16">
            <v>23682</v>
          </cell>
          <cell r="C16">
            <v>4.04</v>
          </cell>
          <cell r="D16">
            <v>1.5452054794520549</v>
          </cell>
          <cell r="E16">
            <v>100</v>
          </cell>
          <cell r="F16">
            <v>46346</v>
          </cell>
          <cell r="G16">
            <v>4</v>
          </cell>
          <cell r="H16">
            <v>46361</v>
          </cell>
          <cell r="I16">
            <v>2.5999999999999999E-2</v>
          </cell>
        </row>
        <row r="17">
          <cell r="B17">
            <v>23836</v>
          </cell>
          <cell r="C17">
            <v>5.79</v>
          </cell>
          <cell r="D17">
            <v>2.3506849315068492</v>
          </cell>
          <cell r="E17">
            <v>100</v>
          </cell>
          <cell r="F17">
            <v>46640</v>
          </cell>
          <cell r="G17">
            <v>3</v>
          </cell>
          <cell r="H17">
            <v>46655</v>
          </cell>
          <cell r="I17">
            <v>2.5000000000000001E-2</v>
          </cell>
        </row>
        <row r="18">
          <cell r="B18">
            <v>23837</v>
          </cell>
          <cell r="C18">
            <v>11.57</v>
          </cell>
          <cell r="D18">
            <v>4.3917808219178083</v>
          </cell>
          <cell r="E18">
            <v>100</v>
          </cell>
          <cell r="F18">
            <v>47385</v>
          </cell>
          <cell r="G18">
            <v>3</v>
          </cell>
          <cell r="H18">
            <v>47400</v>
          </cell>
          <cell r="I18">
            <v>2.8000000000000001E-2</v>
          </cell>
        </row>
        <row r="19">
          <cell r="B19">
            <v>24394</v>
          </cell>
          <cell r="C19">
            <v>5.3</v>
          </cell>
          <cell r="D19">
            <v>2.1397260273972605</v>
          </cell>
          <cell r="E19">
            <v>100</v>
          </cell>
          <cell r="F19">
            <v>46563</v>
          </cell>
          <cell r="G19">
            <v>3</v>
          </cell>
          <cell r="H19">
            <v>46578</v>
          </cell>
          <cell r="I19">
            <v>2.5000000000000001E-2</v>
          </cell>
        </row>
        <row r="20">
          <cell r="B20">
            <v>24395</v>
          </cell>
          <cell r="C20">
            <v>5.37</v>
          </cell>
          <cell r="D20">
            <v>2.1726027397260275</v>
          </cell>
          <cell r="E20">
            <v>100</v>
          </cell>
          <cell r="F20">
            <v>46575</v>
          </cell>
          <cell r="G20">
            <v>3</v>
          </cell>
          <cell r="H20">
            <v>46590</v>
          </cell>
          <cell r="I20">
            <v>2.5000000000000001E-2</v>
          </cell>
        </row>
        <row r="21">
          <cell r="B21">
            <v>24762</v>
          </cell>
          <cell r="C21">
            <v>4.3899999999999997</v>
          </cell>
          <cell r="D21">
            <v>1.6876712328767123</v>
          </cell>
          <cell r="E21">
            <v>100</v>
          </cell>
          <cell r="F21">
            <v>46398</v>
          </cell>
          <cell r="G21">
            <v>4</v>
          </cell>
          <cell r="H21">
            <v>46413</v>
          </cell>
          <cell r="I21">
            <v>2.5999999999999999E-2</v>
          </cell>
        </row>
        <row r="22">
          <cell r="B22">
            <v>24972</v>
          </cell>
          <cell r="C22">
            <v>0.42</v>
          </cell>
          <cell r="D22">
            <v>0.13150684931506848</v>
          </cell>
          <cell r="E22">
            <v>100</v>
          </cell>
          <cell r="F22">
            <v>45830</v>
          </cell>
          <cell r="G22" t="str">
            <v>兆豐銀</v>
          </cell>
          <cell r="H22">
            <v>45845</v>
          </cell>
          <cell r="I22">
            <v>2.1000000000000001E-2</v>
          </cell>
        </row>
        <row r="23">
          <cell r="B23">
            <v>25283</v>
          </cell>
          <cell r="C23">
            <v>5.22</v>
          </cell>
          <cell r="D23">
            <v>2.6164383561643834</v>
          </cell>
          <cell r="E23">
            <v>100.752</v>
          </cell>
          <cell r="F23">
            <v>46737</v>
          </cell>
          <cell r="G23" t="str">
            <v>元大銀</v>
          </cell>
          <cell r="H23">
            <v>46752</v>
          </cell>
          <cell r="I23">
            <v>2.3E-2</v>
          </cell>
        </row>
        <row r="24">
          <cell r="B24">
            <v>26107</v>
          </cell>
          <cell r="C24">
            <v>2.44</v>
          </cell>
          <cell r="D24">
            <v>0.9397260273972603</v>
          </cell>
          <cell r="E24">
            <v>100</v>
          </cell>
          <cell r="F24">
            <v>46125</v>
          </cell>
          <cell r="G24" t="str">
            <v>twA-</v>
          </cell>
          <cell r="H24">
            <v>46140</v>
          </cell>
          <cell r="I24">
            <v>2.5000000000000001E-2</v>
          </cell>
        </row>
        <row r="25">
          <cell r="B25">
            <v>27271</v>
          </cell>
          <cell r="C25">
            <v>1.76</v>
          </cell>
          <cell r="D25">
            <v>0.8575342465753425</v>
          </cell>
          <cell r="E25">
            <v>100.75190000000001</v>
          </cell>
          <cell r="F25">
            <v>46095</v>
          </cell>
          <cell r="G25">
            <v>4</v>
          </cell>
          <cell r="H25">
            <v>46110</v>
          </cell>
          <cell r="I25">
            <v>2.8000000000000001E-2</v>
          </cell>
        </row>
        <row r="26">
          <cell r="B26">
            <v>30134</v>
          </cell>
          <cell r="C26">
            <v>5.49</v>
          </cell>
          <cell r="D26">
            <v>2.4136986301369863</v>
          </cell>
          <cell r="E26">
            <v>100</v>
          </cell>
          <cell r="F26">
            <v>46663</v>
          </cell>
          <cell r="G26" t="str">
            <v>兆豐銀/中信銀</v>
          </cell>
          <cell r="H26">
            <v>46678</v>
          </cell>
          <cell r="I26">
            <v>2.3E-2</v>
          </cell>
        </row>
        <row r="27">
          <cell r="B27">
            <v>30238</v>
          </cell>
          <cell r="C27">
            <v>1.59</v>
          </cell>
          <cell r="D27">
            <v>0.56438356164383563</v>
          </cell>
          <cell r="E27">
            <v>100</v>
          </cell>
          <cell r="F27">
            <v>45988</v>
          </cell>
          <cell r="G27">
            <v>4</v>
          </cell>
          <cell r="H27">
            <v>46003</v>
          </cell>
          <cell r="I27">
            <v>2.5999999999999999E-2</v>
          </cell>
        </row>
        <row r="28">
          <cell r="B28">
            <v>30454</v>
          </cell>
          <cell r="C28">
            <v>6.25</v>
          </cell>
          <cell r="D28">
            <v>2.7671232876712328</v>
          </cell>
          <cell r="E28">
            <v>100</v>
          </cell>
          <cell r="F28">
            <v>46792</v>
          </cell>
          <cell r="G28" t="str">
            <v>Fitch AA-</v>
          </cell>
          <cell r="H28">
            <v>46807</v>
          </cell>
          <cell r="I28">
            <v>2.3E-2</v>
          </cell>
        </row>
        <row r="29">
          <cell r="B29">
            <v>30455</v>
          </cell>
          <cell r="C29">
            <v>6.25</v>
          </cell>
          <cell r="D29">
            <v>2.7698630136986302</v>
          </cell>
          <cell r="E29">
            <v>100</v>
          </cell>
          <cell r="F29">
            <v>46793</v>
          </cell>
          <cell r="G29" t="str">
            <v>Fitch AA-</v>
          </cell>
          <cell r="H29">
            <v>46808</v>
          </cell>
          <cell r="I29">
            <v>2.3E-2</v>
          </cell>
        </row>
        <row r="30">
          <cell r="B30">
            <v>33101</v>
          </cell>
          <cell r="C30">
            <v>0.09</v>
          </cell>
          <cell r="D30">
            <v>0.33150684931506852</v>
          </cell>
          <cell r="E30">
            <v>100.75230000000001</v>
          </cell>
          <cell r="F30">
            <v>45903</v>
          </cell>
          <cell r="G30" t="str">
            <v>彰銀</v>
          </cell>
          <cell r="H30">
            <v>45918</v>
          </cell>
          <cell r="I30">
            <v>2.1000000000000001E-2</v>
          </cell>
        </row>
        <row r="31">
          <cell r="B31">
            <v>33571</v>
          </cell>
          <cell r="C31">
            <v>3.8</v>
          </cell>
          <cell r="D31">
            <v>1.4493150684931506</v>
          </cell>
          <cell r="E31">
            <v>100</v>
          </cell>
          <cell r="F31">
            <v>46311</v>
          </cell>
          <cell r="G31">
            <v>4</v>
          </cell>
          <cell r="H31">
            <v>46326</v>
          </cell>
          <cell r="I31">
            <v>2.5999999999999999E-2</v>
          </cell>
        </row>
        <row r="32">
          <cell r="B32">
            <v>33621</v>
          </cell>
          <cell r="C32">
            <v>4.22</v>
          </cell>
          <cell r="D32">
            <v>2.1561643835616437</v>
          </cell>
          <cell r="E32">
            <v>100.75</v>
          </cell>
          <cell r="F32">
            <v>46569</v>
          </cell>
          <cell r="G32" t="str">
            <v>土銀</v>
          </cell>
          <cell r="H32">
            <v>46584</v>
          </cell>
          <cell r="I32">
            <v>2.3E-2</v>
          </cell>
        </row>
        <row r="33">
          <cell r="B33">
            <v>33763</v>
          </cell>
          <cell r="C33">
            <v>4.3600000000000003</v>
          </cell>
          <cell r="D33">
            <v>2.2602739726027399</v>
          </cell>
          <cell r="E33">
            <v>101.51</v>
          </cell>
          <cell r="F33">
            <v>46607</v>
          </cell>
          <cell r="G33">
            <v>4</v>
          </cell>
          <cell r="H33">
            <v>46622</v>
          </cell>
          <cell r="I33">
            <v>2.5999999999999999E-2</v>
          </cell>
        </row>
        <row r="34">
          <cell r="B34">
            <v>33881</v>
          </cell>
          <cell r="C34">
            <v>1.45</v>
          </cell>
          <cell r="D34">
            <v>0.47397260273972602</v>
          </cell>
          <cell r="E34">
            <v>100</v>
          </cell>
          <cell r="F34">
            <v>45955</v>
          </cell>
          <cell r="G34">
            <v>4</v>
          </cell>
          <cell r="H34">
            <v>45970</v>
          </cell>
          <cell r="I34">
            <v>2.8000000000000001E-2</v>
          </cell>
        </row>
        <row r="35">
          <cell r="B35">
            <v>33902</v>
          </cell>
          <cell r="C35">
            <v>6.23</v>
          </cell>
          <cell r="D35">
            <v>2.7589041095890412</v>
          </cell>
          <cell r="E35">
            <v>100</v>
          </cell>
          <cell r="F35">
            <v>46789</v>
          </cell>
          <cell r="G35" t="str">
            <v>中信銀</v>
          </cell>
          <cell r="H35">
            <v>46804</v>
          </cell>
          <cell r="I35">
            <v>2.3E-2</v>
          </cell>
        </row>
        <row r="36">
          <cell r="B36">
            <v>34132</v>
          </cell>
          <cell r="C36">
            <v>1.41</v>
          </cell>
          <cell r="D36">
            <v>0.49315068493150682</v>
          </cell>
          <cell r="E36">
            <v>100</v>
          </cell>
          <cell r="F36">
            <v>45962</v>
          </cell>
          <cell r="G36">
            <v>4</v>
          </cell>
          <cell r="H36">
            <v>45977</v>
          </cell>
          <cell r="I36">
            <v>2.5999999999999999E-2</v>
          </cell>
        </row>
        <row r="37">
          <cell r="B37">
            <v>34341</v>
          </cell>
          <cell r="C37">
            <v>4.1100000000000003</v>
          </cell>
          <cell r="D37">
            <v>1.7753424657534247</v>
          </cell>
          <cell r="E37">
            <v>100</v>
          </cell>
          <cell r="F37">
            <v>46430</v>
          </cell>
          <cell r="G37" t="str">
            <v>華南銀</v>
          </cell>
          <cell r="H37">
            <v>46445</v>
          </cell>
          <cell r="I37">
            <v>2.3E-2</v>
          </cell>
        </row>
        <row r="38">
          <cell r="B38">
            <v>35161</v>
          </cell>
          <cell r="C38">
            <v>5.49</v>
          </cell>
          <cell r="D38">
            <v>2.4136986301369863</v>
          </cell>
          <cell r="E38">
            <v>100</v>
          </cell>
          <cell r="F38">
            <v>46663</v>
          </cell>
          <cell r="G38" t="str">
            <v>永豐銀</v>
          </cell>
          <cell r="H38">
            <v>46678</v>
          </cell>
          <cell r="I38">
            <v>2.3E-2</v>
          </cell>
        </row>
        <row r="39">
          <cell r="B39">
            <v>35483</v>
          </cell>
          <cell r="C39">
            <v>7.01</v>
          </cell>
          <cell r="D39">
            <v>2.7698630136986302</v>
          </cell>
          <cell r="E39">
            <v>100</v>
          </cell>
          <cell r="F39">
            <v>46793</v>
          </cell>
          <cell r="G39">
            <v>4</v>
          </cell>
          <cell r="H39">
            <v>46808</v>
          </cell>
          <cell r="I39">
            <v>2.5999999999999999E-2</v>
          </cell>
        </row>
        <row r="40">
          <cell r="B40">
            <v>35871</v>
          </cell>
          <cell r="C40">
            <v>2.9</v>
          </cell>
          <cell r="D40">
            <v>1.0849315068493151</v>
          </cell>
          <cell r="E40">
            <v>100</v>
          </cell>
          <cell r="F40">
            <v>46178</v>
          </cell>
          <cell r="G40">
            <v>4</v>
          </cell>
          <cell r="H40">
            <v>46193</v>
          </cell>
          <cell r="I40">
            <v>2.5999999999999999E-2</v>
          </cell>
        </row>
        <row r="41">
          <cell r="B41">
            <v>37022</v>
          </cell>
          <cell r="C41">
            <v>6.54</v>
          </cell>
          <cell r="D41">
            <v>2.4794520547945207</v>
          </cell>
          <cell r="E41">
            <v>100</v>
          </cell>
          <cell r="F41">
            <v>46687</v>
          </cell>
          <cell r="G41">
            <v>4</v>
          </cell>
          <cell r="H41">
            <v>46702</v>
          </cell>
          <cell r="I41">
            <v>2.7E-2</v>
          </cell>
        </row>
        <row r="42">
          <cell r="B42">
            <v>37023</v>
          </cell>
          <cell r="C42">
            <v>6.61</v>
          </cell>
          <cell r="D42">
            <v>2.506849315068493</v>
          </cell>
          <cell r="E42">
            <v>100</v>
          </cell>
          <cell r="F42">
            <v>46697</v>
          </cell>
          <cell r="G42">
            <v>4</v>
          </cell>
          <cell r="H42">
            <v>46712</v>
          </cell>
          <cell r="I42">
            <v>2.7E-2</v>
          </cell>
        </row>
        <row r="43">
          <cell r="B43">
            <v>37083</v>
          </cell>
          <cell r="C43">
            <v>3.12</v>
          </cell>
          <cell r="D43">
            <v>1.3561643835616439</v>
          </cell>
          <cell r="E43">
            <v>100</v>
          </cell>
          <cell r="F43">
            <v>46277</v>
          </cell>
          <cell r="G43" t="str">
            <v>第一銀行</v>
          </cell>
          <cell r="H43">
            <v>46292</v>
          </cell>
          <cell r="I43">
            <v>2.2499999999999999E-2</v>
          </cell>
        </row>
        <row r="44">
          <cell r="B44">
            <v>41234</v>
          </cell>
          <cell r="C44">
            <v>0.77</v>
          </cell>
          <cell r="D44">
            <v>0.30136986301369861</v>
          </cell>
          <cell r="E44">
            <v>100</v>
          </cell>
          <cell r="F44">
            <v>45892</v>
          </cell>
          <cell r="G44" t="str">
            <v>上海銀</v>
          </cell>
          <cell r="H44">
            <v>45907</v>
          </cell>
          <cell r="I44">
            <v>2.1000000000000001E-2</v>
          </cell>
        </row>
        <row r="45">
          <cell r="B45">
            <v>41235</v>
          </cell>
          <cell r="C45">
            <v>0.78</v>
          </cell>
          <cell r="D45">
            <v>0.30410958904109592</v>
          </cell>
          <cell r="E45">
            <v>100</v>
          </cell>
          <cell r="F45">
            <v>45893</v>
          </cell>
          <cell r="G45" t="str">
            <v>合庫銀</v>
          </cell>
          <cell r="H45">
            <v>45908</v>
          </cell>
          <cell r="I45">
            <v>2.1000000000000001E-2</v>
          </cell>
        </row>
        <row r="46">
          <cell r="B46">
            <v>41236</v>
          </cell>
          <cell r="C46">
            <v>6.88</v>
          </cell>
          <cell r="D46">
            <v>2.9369863013698629</v>
          </cell>
          <cell r="E46">
            <v>100</v>
          </cell>
          <cell r="F46">
            <v>46854</v>
          </cell>
          <cell r="G46" t="str">
            <v>永豐銀</v>
          </cell>
          <cell r="H46">
            <v>46869</v>
          </cell>
          <cell r="I46">
            <v>2.4E-2</v>
          </cell>
        </row>
        <row r="47">
          <cell r="B47">
            <v>41644</v>
          </cell>
          <cell r="C47">
            <v>-1.93</v>
          </cell>
          <cell r="D47">
            <v>0.20821917808219179</v>
          </cell>
          <cell r="E47">
            <v>102.52500000000001</v>
          </cell>
          <cell r="F47">
            <v>45858</v>
          </cell>
          <cell r="G47" t="str">
            <v>一銀/中信/富邦銀</v>
          </cell>
          <cell r="H47">
            <v>45873</v>
          </cell>
          <cell r="I47">
            <v>2.1000000000000001E-2</v>
          </cell>
        </row>
        <row r="48">
          <cell r="B48">
            <v>41683</v>
          </cell>
          <cell r="C48">
            <v>0.37</v>
          </cell>
          <cell r="D48">
            <v>0.10410958904109589</v>
          </cell>
          <cell r="E48">
            <v>100</v>
          </cell>
          <cell r="F48">
            <v>45820</v>
          </cell>
          <cell r="G48" t="str">
            <v>台新銀</v>
          </cell>
          <cell r="H48">
            <v>45835</v>
          </cell>
          <cell r="I48">
            <v>2.1000000000000001E-2</v>
          </cell>
        </row>
        <row r="49">
          <cell r="B49">
            <v>44163</v>
          </cell>
          <cell r="C49">
            <v>-0.59</v>
          </cell>
          <cell r="D49">
            <v>0.36438356164383562</v>
          </cell>
          <cell r="E49">
            <v>101.51</v>
          </cell>
          <cell r="F49">
            <v>45915</v>
          </cell>
          <cell r="G49" t="str">
            <v>第一銀行</v>
          </cell>
          <cell r="H49">
            <v>45930</v>
          </cell>
          <cell r="I49">
            <v>2.1000000000000001E-2</v>
          </cell>
        </row>
        <row r="50">
          <cell r="B50">
            <v>44382</v>
          </cell>
          <cell r="C50">
            <v>1.17</v>
          </cell>
          <cell r="D50">
            <v>0.37260273972602742</v>
          </cell>
          <cell r="E50">
            <v>100</v>
          </cell>
          <cell r="F50">
            <v>45918</v>
          </cell>
          <cell r="G50">
            <v>4</v>
          </cell>
          <cell r="H50">
            <v>45933</v>
          </cell>
          <cell r="I50">
            <v>2.8000000000000001E-2</v>
          </cell>
        </row>
        <row r="51">
          <cell r="B51">
            <v>45401</v>
          </cell>
          <cell r="C51">
            <v>1.04</v>
          </cell>
          <cell r="D51">
            <v>0.43013698630136987</v>
          </cell>
          <cell r="E51">
            <v>100</v>
          </cell>
          <cell r="F51">
            <v>45939</v>
          </cell>
          <cell r="G51" t="str">
            <v>第一銀行</v>
          </cell>
          <cell r="H51">
            <v>45954</v>
          </cell>
          <cell r="I51">
            <v>2.1000000000000001E-2</v>
          </cell>
        </row>
        <row r="52">
          <cell r="B52">
            <v>45553</v>
          </cell>
          <cell r="C52">
            <v>0.76</v>
          </cell>
          <cell r="D52">
            <v>0.29589041095890412</v>
          </cell>
          <cell r="E52">
            <v>100</v>
          </cell>
          <cell r="F52">
            <v>45890</v>
          </cell>
          <cell r="G52" t="str">
            <v>彰銀</v>
          </cell>
          <cell r="H52">
            <v>45905</v>
          </cell>
          <cell r="I52">
            <v>2.1000000000000001E-2</v>
          </cell>
        </row>
        <row r="53">
          <cell r="B53">
            <v>47393</v>
          </cell>
          <cell r="C53">
            <v>3.31</v>
          </cell>
          <cell r="D53">
            <v>1.441095890410959</v>
          </cell>
          <cell r="E53">
            <v>100</v>
          </cell>
          <cell r="F53">
            <v>46308</v>
          </cell>
          <cell r="G53" t="str">
            <v>彰銀</v>
          </cell>
          <cell r="H53">
            <v>46323</v>
          </cell>
          <cell r="I53">
            <v>2.2499999999999999E-2</v>
          </cell>
        </row>
        <row r="54">
          <cell r="B54">
            <v>50097</v>
          </cell>
          <cell r="C54">
            <v>3.3</v>
          </cell>
          <cell r="D54">
            <v>1.1972602739726028</v>
          </cell>
          <cell r="E54">
            <v>101.51</v>
          </cell>
          <cell r="F54">
            <v>46219</v>
          </cell>
          <cell r="G54">
            <v>4</v>
          </cell>
          <cell r="H54">
            <v>46234</v>
          </cell>
          <cell r="I54">
            <v>0.04</v>
          </cell>
        </row>
        <row r="55">
          <cell r="B55">
            <v>52303</v>
          </cell>
          <cell r="C55">
            <v>2.74</v>
          </cell>
          <cell r="D55">
            <v>1.178082191780822</v>
          </cell>
          <cell r="E55">
            <v>100</v>
          </cell>
          <cell r="F55">
            <v>46212</v>
          </cell>
          <cell r="G55" t="str">
            <v>台北富邦銀</v>
          </cell>
          <cell r="H55">
            <v>46227</v>
          </cell>
          <cell r="I55">
            <v>2.2499999999999999E-2</v>
          </cell>
        </row>
        <row r="56">
          <cell r="B56">
            <v>52451</v>
          </cell>
          <cell r="C56">
            <v>0.73</v>
          </cell>
          <cell r="D56">
            <v>0.26575342465753427</v>
          </cell>
          <cell r="E56">
            <v>100</v>
          </cell>
          <cell r="F56">
            <v>45879</v>
          </cell>
          <cell r="G56" t="str">
            <v>合庫銀</v>
          </cell>
          <cell r="H56">
            <v>45894</v>
          </cell>
          <cell r="I56">
            <v>2.1999999999999999E-2</v>
          </cell>
        </row>
        <row r="57">
          <cell r="B57">
            <v>53064</v>
          </cell>
          <cell r="C57">
            <v>3.37</v>
          </cell>
          <cell r="D57">
            <v>1.4712328767123288</v>
          </cell>
          <cell r="E57">
            <v>100</v>
          </cell>
          <cell r="F57">
            <v>46319</v>
          </cell>
          <cell r="G57" t="str">
            <v>日商瑞穗銀行</v>
          </cell>
          <cell r="H57">
            <v>46334</v>
          </cell>
          <cell r="I57">
            <v>2.2499999999999999E-2</v>
          </cell>
        </row>
        <row r="58">
          <cell r="B58">
            <v>54342</v>
          </cell>
          <cell r="C58">
            <v>2.96</v>
          </cell>
          <cell r="D58">
            <v>1.1095890410958904</v>
          </cell>
          <cell r="E58">
            <v>100</v>
          </cell>
          <cell r="F58">
            <v>46187</v>
          </cell>
          <cell r="G58">
            <v>4</v>
          </cell>
          <cell r="H58">
            <v>46202</v>
          </cell>
          <cell r="I58">
            <v>2.5999999999999999E-2</v>
          </cell>
        </row>
        <row r="59">
          <cell r="B59">
            <v>54501</v>
          </cell>
          <cell r="C59">
            <v>1.22</v>
          </cell>
          <cell r="D59">
            <v>0.83561643835616439</v>
          </cell>
          <cell r="E59">
            <v>100.75</v>
          </cell>
          <cell r="F59">
            <v>46087</v>
          </cell>
          <cell r="G59" t="str">
            <v>土銀</v>
          </cell>
          <cell r="H59">
            <v>46102</v>
          </cell>
          <cell r="I59">
            <v>2.1999999999999999E-2</v>
          </cell>
        </row>
        <row r="60">
          <cell r="B60">
            <v>56086</v>
          </cell>
          <cell r="C60">
            <v>2.4900000000000002</v>
          </cell>
          <cell r="D60">
            <v>1.0876712328767124</v>
          </cell>
          <cell r="E60">
            <v>100</v>
          </cell>
          <cell r="F60">
            <v>46179</v>
          </cell>
          <cell r="G60" t="str">
            <v>陽信銀</v>
          </cell>
          <cell r="H60">
            <v>46194</v>
          </cell>
          <cell r="I60">
            <v>2.1999999999999999E-2</v>
          </cell>
        </row>
        <row r="61">
          <cell r="B61">
            <v>56087</v>
          </cell>
          <cell r="C61">
            <v>5.84</v>
          </cell>
          <cell r="D61">
            <v>2.5780821917808221</v>
          </cell>
          <cell r="E61">
            <v>100</v>
          </cell>
          <cell r="F61">
            <v>46723</v>
          </cell>
          <cell r="G61" t="str">
            <v>第一銀行</v>
          </cell>
          <cell r="H61">
            <v>46738</v>
          </cell>
          <cell r="I61">
            <v>2.3E-2</v>
          </cell>
        </row>
        <row r="62">
          <cell r="B62">
            <v>61394</v>
          </cell>
          <cell r="C62">
            <v>1.01</v>
          </cell>
          <cell r="D62">
            <v>0.68493150684931503</v>
          </cell>
          <cell r="E62">
            <v>101.0025</v>
          </cell>
          <cell r="F62">
            <v>46032</v>
          </cell>
          <cell r="G62">
            <v>4</v>
          </cell>
          <cell r="H62">
            <v>46047</v>
          </cell>
          <cell r="I62">
            <v>2.75E-2</v>
          </cell>
        </row>
        <row r="63">
          <cell r="B63">
            <v>61894</v>
          </cell>
          <cell r="C63">
            <v>3.15</v>
          </cell>
          <cell r="D63">
            <v>1.4767123287671233</v>
          </cell>
          <cell r="E63">
            <v>100.75190000000001</v>
          </cell>
          <cell r="F63">
            <v>46321</v>
          </cell>
          <cell r="G63">
            <v>4</v>
          </cell>
          <cell r="H63">
            <v>46336</v>
          </cell>
          <cell r="I63">
            <v>2.5999999999999999E-2</v>
          </cell>
        </row>
        <row r="64">
          <cell r="B64">
            <v>61965</v>
          </cell>
          <cell r="C64">
            <v>2.94</v>
          </cell>
          <cell r="D64">
            <v>1.1041095890410959</v>
          </cell>
          <cell r="E64">
            <v>100</v>
          </cell>
          <cell r="F64">
            <v>46185</v>
          </cell>
          <cell r="G64">
            <v>4</v>
          </cell>
          <cell r="H64">
            <v>46200</v>
          </cell>
          <cell r="I64">
            <v>2.5999999999999999E-2</v>
          </cell>
        </row>
        <row r="65">
          <cell r="B65">
            <v>62235</v>
          </cell>
          <cell r="C65">
            <v>6.7</v>
          </cell>
          <cell r="D65">
            <v>2.6383561643835618</v>
          </cell>
          <cell r="E65">
            <v>100</v>
          </cell>
          <cell r="F65">
            <v>46745</v>
          </cell>
          <cell r="G65">
            <v>4</v>
          </cell>
          <cell r="H65">
            <v>46760</v>
          </cell>
          <cell r="I65">
            <v>2.5999999999999999E-2</v>
          </cell>
        </row>
        <row r="66">
          <cell r="B66">
            <v>62744</v>
          </cell>
          <cell r="C66">
            <v>5.0599999999999996</v>
          </cell>
          <cell r="D66">
            <v>1.9616438356164383</v>
          </cell>
          <cell r="E66">
            <v>100</v>
          </cell>
          <cell r="F66">
            <v>46498</v>
          </cell>
          <cell r="G66">
            <v>4</v>
          </cell>
          <cell r="H66">
            <v>46513</v>
          </cell>
          <cell r="I66">
            <v>2.5999999999999999E-2</v>
          </cell>
        </row>
        <row r="67">
          <cell r="B67">
            <v>62843</v>
          </cell>
          <cell r="C67">
            <v>1.6</v>
          </cell>
          <cell r="D67">
            <v>0.56986301369863013</v>
          </cell>
          <cell r="E67">
            <v>100</v>
          </cell>
          <cell r="F67">
            <v>45990</v>
          </cell>
          <cell r="G67">
            <v>4</v>
          </cell>
          <cell r="H67">
            <v>46005</v>
          </cell>
          <cell r="I67">
            <v>2.5999999999999999E-2</v>
          </cell>
        </row>
        <row r="68">
          <cell r="B68">
            <v>64145</v>
          </cell>
          <cell r="C68">
            <v>3.29</v>
          </cell>
          <cell r="D68">
            <v>1.2410958904109588</v>
          </cell>
          <cell r="E68">
            <v>100</v>
          </cell>
          <cell r="F68">
            <v>46235</v>
          </cell>
          <cell r="G68">
            <v>4</v>
          </cell>
          <cell r="H68">
            <v>46250</v>
          </cell>
          <cell r="I68">
            <v>2.5999999999999999E-2</v>
          </cell>
        </row>
        <row r="69">
          <cell r="B69">
            <v>64251</v>
          </cell>
          <cell r="C69">
            <v>5.47</v>
          </cell>
          <cell r="D69">
            <v>2.4054794520547946</v>
          </cell>
          <cell r="E69">
            <v>100</v>
          </cell>
          <cell r="F69">
            <v>46660</v>
          </cell>
          <cell r="G69" t="str">
            <v>上海商銀</v>
          </cell>
          <cell r="H69">
            <v>46675</v>
          </cell>
          <cell r="I69">
            <v>2.3E-2</v>
          </cell>
        </row>
        <row r="70">
          <cell r="B70">
            <v>64692</v>
          </cell>
          <cell r="C70">
            <v>1.02</v>
          </cell>
          <cell r="D70">
            <v>0.31506849315068491</v>
          </cell>
          <cell r="E70">
            <v>100</v>
          </cell>
          <cell r="F70">
            <v>45897</v>
          </cell>
          <cell r="G70">
            <v>4</v>
          </cell>
          <cell r="H70">
            <v>45912</v>
          </cell>
          <cell r="I70">
            <v>2.8000000000000001E-2</v>
          </cell>
        </row>
        <row r="71">
          <cell r="B71">
            <v>65521</v>
          </cell>
          <cell r="C71">
            <v>3.22</v>
          </cell>
          <cell r="D71">
            <v>1.4328767123287671</v>
          </cell>
          <cell r="E71">
            <v>100</v>
          </cell>
          <cell r="F71">
            <v>46305</v>
          </cell>
          <cell r="G71" t="str">
            <v>台新銀</v>
          </cell>
          <cell r="H71">
            <v>46320</v>
          </cell>
          <cell r="I71">
            <v>2.1999999999999999E-2</v>
          </cell>
        </row>
        <row r="72">
          <cell r="B72">
            <v>65841</v>
          </cell>
          <cell r="C72">
            <v>2.41</v>
          </cell>
          <cell r="D72">
            <v>1.4438356164383561</v>
          </cell>
          <cell r="E72">
            <v>101.0025</v>
          </cell>
          <cell r="F72">
            <v>46309</v>
          </cell>
          <cell r="G72" t="str">
            <v>彰銀</v>
          </cell>
          <cell r="H72">
            <v>46324</v>
          </cell>
          <cell r="I72">
            <v>2.3E-2</v>
          </cell>
        </row>
        <row r="73">
          <cell r="B73">
            <v>65851</v>
          </cell>
          <cell r="C73">
            <v>3.23</v>
          </cell>
          <cell r="D73">
            <v>1.4356164383561645</v>
          </cell>
          <cell r="E73">
            <v>100</v>
          </cell>
          <cell r="F73">
            <v>46306</v>
          </cell>
          <cell r="G73" t="str">
            <v>第一銀</v>
          </cell>
          <cell r="H73">
            <v>46321</v>
          </cell>
          <cell r="I73">
            <v>2.1999999999999999E-2</v>
          </cell>
        </row>
        <row r="74">
          <cell r="B74">
            <v>65931</v>
          </cell>
          <cell r="C74">
            <v>1.38</v>
          </cell>
          <cell r="D74">
            <v>0.56986301369863013</v>
          </cell>
          <cell r="E74">
            <v>100</v>
          </cell>
          <cell r="F74">
            <v>45990</v>
          </cell>
          <cell r="G74" t="str">
            <v>台新銀</v>
          </cell>
          <cell r="H74">
            <v>46005</v>
          </cell>
          <cell r="I74">
            <v>2.1999999999999999E-2</v>
          </cell>
        </row>
        <row r="75">
          <cell r="B75">
            <v>66241</v>
          </cell>
          <cell r="C75">
            <v>4.1500000000000004</v>
          </cell>
          <cell r="D75">
            <v>2.1260273972602741</v>
          </cell>
          <cell r="E75">
            <v>100.75</v>
          </cell>
          <cell r="F75">
            <v>46558</v>
          </cell>
          <cell r="G75" t="str">
            <v>土銀</v>
          </cell>
          <cell r="H75">
            <v>46573</v>
          </cell>
          <cell r="I75">
            <v>2.3E-2</v>
          </cell>
        </row>
        <row r="76">
          <cell r="B76">
            <v>68061</v>
          </cell>
          <cell r="C76">
            <v>3.45</v>
          </cell>
          <cell r="D76">
            <v>1.5095890410958903</v>
          </cell>
          <cell r="E76">
            <v>100</v>
          </cell>
          <cell r="F76">
            <v>46333</v>
          </cell>
          <cell r="G76" t="str">
            <v>台銀/台企銀/
台中銀/台新銀/
新光銀/高雄銀</v>
          </cell>
          <cell r="H76">
            <v>46348</v>
          </cell>
          <cell r="I76">
            <v>2.2499999999999999E-2</v>
          </cell>
        </row>
        <row r="77">
          <cell r="B77">
            <v>68541</v>
          </cell>
          <cell r="C77">
            <v>3.14</v>
          </cell>
          <cell r="D77">
            <v>1.7753424657534247</v>
          </cell>
          <cell r="E77">
            <v>101.0025</v>
          </cell>
          <cell r="F77">
            <v>46430</v>
          </cell>
          <cell r="G77" t="str">
            <v>中信銀</v>
          </cell>
          <cell r="H77">
            <v>46445</v>
          </cell>
          <cell r="I77">
            <v>2.3E-2</v>
          </cell>
        </row>
        <row r="78">
          <cell r="B78">
            <v>81551</v>
          </cell>
          <cell r="C78">
            <v>6.71</v>
          </cell>
          <cell r="D78">
            <v>2.6438356164383561</v>
          </cell>
          <cell r="E78">
            <v>100</v>
          </cell>
          <cell r="F78">
            <v>46747</v>
          </cell>
          <cell r="G78">
            <v>4</v>
          </cell>
          <cell r="H78">
            <v>46762</v>
          </cell>
          <cell r="I78">
            <v>2.5999999999999999E-2</v>
          </cell>
        </row>
        <row r="79">
          <cell r="B79">
            <v>82101</v>
          </cell>
          <cell r="C79">
            <v>4.34</v>
          </cell>
          <cell r="D79">
            <v>1.6684931506849314</v>
          </cell>
          <cell r="E79">
            <v>100</v>
          </cell>
          <cell r="F79">
            <v>46391</v>
          </cell>
          <cell r="G79">
            <v>4</v>
          </cell>
          <cell r="H79">
            <v>46406</v>
          </cell>
          <cell r="I79">
            <v>2.5999999999999999E-2</v>
          </cell>
        </row>
        <row r="80">
          <cell r="B80">
            <v>82551</v>
          </cell>
          <cell r="C80">
            <v>3.24</v>
          </cell>
          <cell r="D80">
            <v>1.2219178082191782</v>
          </cell>
          <cell r="E80">
            <v>100</v>
          </cell>
          <cell r="F80">
            <v>46228</v>
          </cell>
          <cell r="G80">
            <v>4</v>
          </cell>
          <cell r="H80">
            <v>46243</v>
          </cell>
          <cell r="I80">
            <v>2.5999999999999999E-2</v>
          </cell>
        </row>
        <row r="81">
          <cell r="B81">
            <v>82992</v>
          </cell>
          <cell r="C81">
            <v>4.37</v>
          </cell>
          <cell r="D81">
            <v>1.6794520547945206</v>
          </cell>
          <cell r="E81">
            <v>100</v>
          </cell>
          <cell r="F81">
            <v>46395</v>
          </cell>
          <cell r="G81">
            <v>3</v>
          </cell>
          <cell r="H81">
            <v>46410</v>
          </cell>
          <cell r="I81">
            <v>2.5999999999999999E-2</v>
          </cell>
        </row>
        <row r="82">
          <cell r="B82">
            <v>84421</v>
          </cell>
          <cell r="C82">
            <v>0.67</v>
          </cell>
          <cell r="D82">
            <v>0.24931506849315069</v>
          </cell>
          <cell r="E82">
            <v>100</v>
          </cell>
          <cell r="F82">
            <v>45873</v>
          </cell>
          <cell r="G82" t="str">
            <v>玉山銀</v>
          </cell>
          <cell r="H82">
            <v>45888</v>
          </cell>
          <cell r="I82">
            <v>2.1000000000000001E-2</v>
          </cell>
        </row>
        <row r="83">
          <cell r="B83">
            <v>84422</v>
          </cell>
          <cell r="C83">
            <v>3.25</v>
          </cell>
          <cell r="D83">
            <v>1.4164383561643836</v>
          </cell>
          <cell r="E83">
            <v>100</v>
          </cell>
          <cell r="F83">
            <v>46299</v>
          </cell>
          <cell r="G83" t="str">
            <v>台北富邦銀</v>
          </cell>
          <cell r="H83">
            <v>46314</v>
          </cell>
          <cell r="I83">
            <v>2.2499999999999999E-2</v>
          </cell>
        </row>
        <row r="84">
          <cell r="B84">
            <v>84672</v>
          </cell>
          <cell r="C84">
            <v>4.66</v>
          </cell>
          <cell r="D84">
            <v>2.0273972602739727</v>
          </cell>
          <cell r="E84">
            <v>100</v>
          </cell>
          <cell r="F84">
            <v>46522</v>
          </cell>
          <cell r="G84" t="str">
            <v>台北富邦銀/凱基銀/玉山銀/上海銀/兆豐銀/國泰世華銀</v>
          </cell>
          <cell r="H84">
            <v>46537</v>
          </cell>
          <cell r="I84">
            <v>2.3E-2</v>
          </cell>
        </row>
        <row r="85">
          <cell r="B85">
            <v>84881</v>
          </cell>
          <cell r="C85">
            <v>3.61</v>
          </cell>
          <cell r="D85">
            <v>1.5835616438356164</v>
          </cell>
          <cell r="E85">
            <v>100</v>
          </cell>
          <cell r="F85">
            <v>46360</v>
          </cell>
          <cell r="G85" t="str">
            <v>玉山銀/王道銀</v>
          </cell>
          <cell r="H85">
            <v>46375</v>
          </cell>
          <cell r="I85">
            <v>2.2499999999999999E-2</v>
          </cell>
        </row>
        <row r="86">
          <cell r="B86">
            <v>84891</v>
          </cell>
          <cell r="C86">
            <v>3.43</v>
          </cell>
          <cell r="D86">
            <v>1.5561643835616439</v>
          </cell>
          <cell r="E86">
            <v>100.20010000000001</v>
          </cell>
          <cell r="F86">
            <v>46350</v>
          </cell>
          <cell r="G86" t="str">
            <v>上海商銀</v>
          </cell>
          <cell r="H86">
            <v>46365</v>
          </cell>
          <cell r="I86">
            <v>2.3E-2</v>
          </cell>
        </row>
        <row r="87">
          <cell r="B87">
            <v>89277</v>
          </cell>
          <cell r="C87">
            <v>3.69</v>
          </cell>
          <cell r="D87">
            <v>2.2410958904109588</v>
          </cell>
          <cell r="E87">
            <v>101.50749999999999</v>
          </cell>
          <cell r="F87">
            <v>46600</v>
          </cell>
          <cell r="G87" t="str">
            <v>合庫銀</v>
          </cell>
          <cell r="H87">
            <v>46615</v>
          </cell>
          <cell r="I87">
            <v>2.3E-2</v>
          </cell>
        </row>
        <row r="88">
          <cell r="B88">
            <v>99211</v>
          </cell>
          <cell r="C88">
            <v>5.69</v>
          </cell>
          <cell r="D88">
            <v>2.0657534246575344</v>
          </cell>
          <cell r="E88">
            <v>100</v>
          </cell>
          <cell r="F88">
            <v>46536</v>
          </cell>
          <cell r="G88">
            <v>3</v>
          </cell>
          <cell r="H88">
            <v>46551</v>
          </cell>
          <cell r="I88">
            <v>2.8000000000000001E-2</v>
          </cell>
        </row>
        <row r="89">
          <cell r="B89">
            <v>99392</v>
          </cell>
          <cell r="C89">
            <v>6.23</v>
          </cell>
          <cell r="D89">
            <v>2.4438356164383563</v>
          </cell>
          <cell r="E89">
            <v>100</v>
          </cell>
          <cell r="F89">
            <v>46674</v>
          </cell>
          <cell r="G89" t="str">
            <v>twA</v>
          </cell>
          <cell r="H89">
            <v>46689</v>
          </cell>
          <cell r="I89">
            <v>2.5999999999999999E-2</v>
          </cell>
        </row>
        <row r="90">
          <cell r="B90"/>
          <cell r="C90"/>
          <cell r="D90"/>
          <cell r="E90"/>
          <cell r="F90"/>
          <cell r="G90"/>
          <cell r="H90"/>
        </row>
        <row r="91">
          <cell r="C91"/>
          <cell r="D91"/>
          <cell r="E91"/>
          <cell r="F91"/>
          <cell r="G91"/>
          <cell r="H91"/>
          <cell r="I91"/>
        </row>
        <row r="92">
          <cell r="B92"/>
          <cell r="C92"/>
          <cell r="D92"/>
          <cell r="E92"/>
          <cell r="F92"/>
          <cell r="G92"/>
          <cell r="H92"/>
        </row>
        <row r="93">
          <cell r="B93"/>
          <cell r="C93"/>
          <cell r="D93"/>
          <cell r="E93"/>
          <cell r="F93"/>
          <cell r="G93"/>
          <cell r="H93"/>
        </row>
        <row r="94">
          <cell r="B94"/>
          <cell r="C94"/>
          <cell r="D94"/>
          <cell r="E94"/>
          <cell r="F94"/>
          <cell r="G94"/>
          <cell r="H94"/>
        </row>
        <row r="95">
          <cell r="B95"/>
          <cell r="C95"/>
          <cell r="D95"/>
          <cell r="E95"/>
          <cell r="F95"/>
          <cell r="G95"/>
          <cell r="H95"/>
        </row>
        <row r="96">
          <cell r="B96"/>
          <cell r="C96"/>
          <cell r="D96"/>
          <cell r="E96"/>
          <cell r="F96"/>
          <cell r="G96"/>
          <cell r="H96"/>
          <cell r="I96"/>
        </row>
        <row r="97">
          <cell r="B97"/>
          <cell r="C97"/>
          <cell r="D97"/>
          <cell r="E97"/>
          <cell r="F97"/>
          <cell r="G97"/>
          <cell r="H97"/>
          <cell r="I97"/>
        </row>
        <row r="98">
          <cell r="B98"/>
          <cell r="C98"/>
          <cell r="D98"/>
          <cell r="E98"/>
          <cell r="F98"/>
          <cell r="G98"/>
          <cell r="H98"/>
          <cell r="I98"/>
        </row>
        <row r="99">
          <cell r="B99"/>
          <cell r="C99"/>
          <cell r="D99"/>
          <cell r="E99"/>
          <cell r="F99"/>
          <cell r="G99"/>
          <cell r="H99"/>
        </row>
        <row r="100">
          <cell r="B100"/>
          <cell r="C100"/>
          <cell r="D100"/>
          <cell r="E100"/>
          <cell r="F100"/>
          <cell r="G100"/>
          <cell r="H100"/>
          <cell r="I100"/>
        </row>
        <row r="101">
          <cell r="B101"/>
          <cell r="C101"/>
          <cell r="D101"/>
          <cell r="E101"/>
          <cell r="F101"/>
          <cell r="G101"/>
          <cell r="H101"/>
          <cell r="I101"/>
        </row>
        <row r="102">
          <cell r="B102"/>
          <cell r="C102"/>
          <cell r="D102"/>
          <cell r="E102"/>
          <cell r="F102"/>
          <cell r="G102"/>
          <cell r="H102"/>
        </row>
        <row r="103">
          <cell r="B103"/>
          <cell r="C103"/>
          <cell r="D103"/>
          <cell r="E103"/>
          <cell r="F103"/>
          <cell r="G103"/>
          <cell r="H103"/>
        </row>
        <row r="104">
          <cell r="F104"/>
        </row>
        <row r="119">
          <cell r="G119"/>
          <cell r="H119"/>
          <cell r="I119"/>
        </row>
        <row r="120">
          <cell r="B120"/>
          <cell r="F120"/>
          <cell r="H120"/>
        </row>
        <row r="121">
          <cell r="B121"/>
          <cell r="H121"/>
        </row>
        <row r="122">
          <cell r="F122"/>
        </row>
      </sheetData>
      <sheetData sheetId="7">
        <row r="1">
          <cell r="B1"/>
          <cell r="C1"/>
          <cell r="D1"/>
          <cell r="E1"/>
          <cell r="F1"/>
          <cell r="G1"/>
          <cell r="H1"/>
          <cell r="I1"/>
          <cell r="J1"/>
        </row>
        <row r="2">
          <cell r="B2"/>
          <cell r="C2"/>
          <cell r="D2"/>
          <cell r="E2"/>
          <cell r="F2"/>
          <cell r="G2"/>
          <cell r="H2"/>
          <cell r="I2"/>
          <cell r="J2"/>
        </row>
        <row r="3">
          <cell r="B3"/>
          <cell r="C3"/>
          <cell r="D3"/>
          <cell r="E3"/>
          <cell r="F3"/>
          <cell r="G3"/>
          <cell r="H3"/>
          <cell r="I3"/>
          <cell r="J3"/>
        </row>
        <row r="4">
          <cell r="B4">
            <v>45782</v>
          </cell>
          <cell r="C4"/>
          <cell r="D4"/>
          <cell r="E4" t="str">
            <v>選擇權生效日：</v>
          </cell>
          <cell r="F4">
            <v>45784</v>
          </cell>
          <cell r="G4"/>
          <cell r="H4"/>
          <cell r="I4"/>
          <cell r="J4"/>
        </row>
        <row r="5">
          <cell r="B5" t="str">
            <v>CB代號</v>
          </cell>
          <cell r="C5" t="str">
            <v>權利金
百元價</v>
          </cell>
          <cell r="D5" t="str">
            <v>剩餘
年限</v>
          </cell>
          <cell r="E5" t="str">
            <v>選擇權
到期日</v>
          </cell>
          <cell r="F5" t="str">
            <v>put day</v>
          </cell>
          <cell r="G5" t="str">
            <v>選擇權
參考價</v>
          </cell>
          <cell r="H5" t="str">
            <v>評等
(擔保行)</v>
          </cell>
          <cell r="I5" t="str">
            <v>賣回價格</v>
          </cell>
          <cell r="J5" t="str">
            <v>履約
折現率</v>
          </cell>
        </row>
        <row r="6">
          <cell r="B6">
            <v>11011</v>
          </cell>
          <cell r="C6">
            <v>8.0149315068493099</v>
          </cell>
          <cell r="D6">
            <v>2.5616438356164384</v>
          </cell>
          <cell r="E6">
            <v>46717</v>
          </cell>
          <cell r="F6">
            <v>46731</v>
          </cell>
          <cell r="G6">
            <v>9.3149315068493053</v>
          </cell>
          <cell r="H6" t="str">
            <v>twA+</v>
          </cell>
          <cell r="I6">
            <v>100</v>
          </cell>
          <cell r="J6">
            <v>3</v>
          </cell>
        </row>
        <row r="7">
          <cell r="B7">
            <v>13164</v>
          </cell>
          <cell r="C7">
            <v>2.006712328767124</v>
          </cell>
          <cell r="D7">
            <v>0.69863013698630139</v>
          </cell>
          <cell r="E7">
            <v>46037</v>
          </cell>
          <cell r="F7">
            <v>46051</v>
          </cell>
          <cell r="G7">
            <v>25.806712328767119</v>
          </cell>
          <cell r="H7" t="str">
            <v>富邦</v>
          </cell>
          <cell r="I7">
            <v>100</v>
          </cell>
          <cell r="J7">
            <v>2.4</v>
          </cell>
        </row>
        <row r="8">
          <cell r="B8">
            <v>15142</v>
          </cell>
          <cell r="C8">
            <v>8.8698808219178051</v>
          </cell>
          <cell r="D8">
            <v>2.6547945205479451</v>
          </cell>
          <cell r="E8">
            <v>46751</v>
          </cell>
          <cell r="F8">
            <v>46765</v>
          </cell>
          <cell r="G8">
            <v>17.719880821917798</v>
          </cell>
          <cell r="H8" t="str">
            <v>TCRI 6</v>
          </cell>
          <cell r="I8">
            <v>100.75190000000001</v>
          </cell>
          <cell r="J8">
            <v>3.5</v>
          </cell>
        </row>
        <row r="9">
          <cell r="B9">
            <v>15601</v>
          </cell>
          <cell r="C9">
            <v>6.1012328767123325</v>
          </cell>
          <cell r="D9">
            <v>2.0986301369863014</v>
          </cell>
          <cell r="E9">
            <v>46548</v>
          </cell>
          <cell r="F9">
            <v>46562</v>
          </cell>
          <cell r="G9">
            <v>17.101232876712331</v>
          </cell>
          <cell r="H9" t="str">
            <v>TCRI 4</v>
          </cell>
          <cell r="I9">
            <v>100</v>
          </cell>
          <cell r="J9">
            <v>2.75</v>
          </cell>
        </row>
        <row r="10">
          <cell r="B10">
            <v>15864</v>
          </cell>
          <cell r="C10">
            <v>3.285342465753418</v>
          </cell>
          <cell r="D10">
            <v>1.284931506849315</v>
          </cell>
          <cell r="E10">
            <v>46251</v>
          </cell>
          <cell r="F10">
            <v>46264</v>
          </cell>
          <cell r="G10">
            <v>11.085342465753413</v>
          </cell>
          <cell r="H10" t="str">
            <v>合庫</v>
          </cell>
          <cell r="I10">
            <v>100</v>
          </cell>
          <cell r="J10">
            <v>2.2999999999999998</v>
          </cell>
        </row>
        <row r="11">
          <cell r="B11">
            <v>15991</v>
          </cell>
          <cell r="C11">
            <v>1.4831506849315037</v>
          </cell>
          <cell r="D11">
            <v>0.50136986301369868</v>
          </cell>
          <cell r="E11">
            <v>45965</v>
          </cell>
          <cell r="F11">
            <v>45979</v>
          </cell>
          <cell r="G11">
            <v>0.98315068493150193</v>
          </cell>
          <cell r="H11" t="str">
            <v>富邦</v>
          </cell>
          <cell r="I11">
            <v>100</v>
          </cell>
          <cell r="J11">
            <v>2.2999999999999998</v>
          </cell>
        </row>
        <row r="12">
          <cell r="B12">
            <v>16095</v>
          </cell>
          <cell r="C12">
            <v>7.8649315068493184</v>
          </cell>
          <cell r="D12">
            <v>2.3671232876712329</v>
          </cell>
          <cell r="E12">
            <v>46646</v>
          </cell>
          <cell r="F12">
            <v>46660</v>
          </cell>
          <cell r="G12">
            <v>9.2649315068493223</v>
          </cell>
          <cell r="H12" t="str">
            <v>TCRI 5</v>
          </cell>
          <cell r="I12">
            <v>100.75</v>
          </cell>
          <cell r="J12">
            <v>3.5</v>
          </cell>
        </row>
        <row r="13">
          <cell r="B13">
            <v>17813</v>
          </cell>
          <cell r="C13">
            <v>6.2067123287671269</v>
          </cell>
          <cell r="D13">
            <v>2.3506849315068492</v>
          </cell>
          <cell r="E13">
            <v>46640</v>
          </cell>
          <cell r="F13">
            <v>46654</v>
          </cell>
          <cell r="G13">
            <v>10.706712328767125</v>
          </cell>
          <cell r="H13" t="str">
            <v>華銀</v>
          </cell>
          <cell r="I13">
            <v>100</v>
          </cell>
          <cell r="J13">
            <v>2.5</v>
          </cell>
        </row>
        <row r="14">
          <cell r="B14">
            <v>22283</v>
          </cell>
          <cell r="C14">
            <v>7.176575342465755</v>
          </cell>
          <cell r="D14">
            <v>2.2821917808219179</v>
          </cell>
          <cell r="E14">
            <v>46615</v>
          </cell>
          <cell r="F14">
            <v>46628</v>
          </cell>
          <cell r="G14">
            <v>21.626575342465756</v>
          </cell>
          <cell r="H14" t="str">
            <v>TCRI 5</v>
          </cell>
          <cell r="I14">
            <v>100</v>
          </cell>
          <cell r="J14">
            <v>3</v>
          </cell>
        </row>
        <row r="15">
          <cell r="B15">
            <v>23682</v>
          </cell>
          <cell r="C15">
            <v>4.6795890410958965</v>
          </cell>
          <cell r="D15">
            <v>1.5534246575342465</v>
          </cell>
          <cell r="E15">
            <v>46349</v>
          </cell>
          <cell r="F15">
            <v>46361</v>
          </cell>
          <cell r="G15">
            <v>18.279589041095889</v>
          </cell>
          <cell r="H15" t="str">
            <v>TCRI 4</v>
          </cell>
          <cell r="I15">
            <v>100</v>
          </cell>
          <cell r="J15">
            <v>2.8</v>
          </cell>
        </row>
        <row r="16">
          <cell r="B16">
            <v>23836</v>
          </cell>
          <cell r="C16">
            <v>6.9349315068493116</v>
          </cell>
          <cell r="D16">
            <v>2.3589041095890413</v>
          </cell>
          <cell r="E16">
            <v>46643</v>
          </cell>
          <cell r="F16">
            <v>46655</v>
          </cell>
          <cell r="G16">
            <v>22.234931506849307</v>
          </cell>
          <cell r="H16" t="str">
            <v>TCRI 3</v>
          </cell>
          <cell r="I16">
            <v>100</v>
          </cell>
          <cell r="J16">
            <v>2.8</v>
          </cell>
        </row>
        <row r="17">
          <cell r="B17">
            <v>24394</v>
          </cell>
          <cell r="C17">
            <v>6.3442465753424688</v>
          </cell>
          <cell r="D17">
            <v>2.1479452054794521</v>
          </cell>
          <cell r="E17">
            <v>46566</v>
          </cell>
          <cell r="F17">
            <v>46578</v>
          </cell>
          <cell r="G17">
            <v>11.79424657534247</v>
          </cell>
          <cell r="H17" t="str">
            <v>TCRI 3</v>
          </cell>
          <cell r="I17">
            <v>100</v>
          </cell>
          <cell r="J17">
            <v>2.8</v>
          </cell>
        </row>
        <row r="18">
          <cell r="B18">
            <v>24395</v>
          </cell>
          <cell r="C18">
            <v>6.4209589041095843</v>
          </cell>
          <cell r="D18">
            <v>2.1753424657534248</v>
          </cell>
          <cell r="E18">
            <v>46576</v>
          </cell>
          <cell r="F18">
            <v>46590</v>
          </cell>
          <cell r="G18">
            <v>13.120958904109585</v>
          </cell>
          <cell r="H18" t="str">
            <v>TCRI 3</v>
          </cell>
          <cell r="I18">
            <v>100</v>
          </cell>
          <cell r="J18">
            <v>2.8</v>
          </cell>
        </row>
        <row r="19">
          <cell r="B19">
            <v>24616</v>
          </cell>
          <cell r="C19">
            <v>2.2771232876712322</v>
          </cell>
          <cell r="D19">
            <v>0.84657534246575339</v>
          </cell>
          <cell r="E19">
            <v>46091</v>
          </cell>
          <cell r="F19">
            <v>46105</v>
          </cell>
          <cell r="G19">
            <v>42.27712328767123</v>
          </cell>
          <cell r="H19" t="str">
            <v>台中銀</v>
          </cell>
          <cell r="I19">
            <v>100</v>
          </cell>
          <cell r="J19">
            <v>2.2999999999999998</v>
          </cell>
        </row>
        <row r="20">
          <cell r="B20">
            <v>24762</v>
          </cell>
          <cell r="C20">
            <v>5.063150684931502</v>
          </cell>
          <cell r="D20">
            <v>1.6904109589041096</v>
          </cell>
          <cell r="E20">
            <v>46399</v>
          </cell>
          <cell r="F20">
            <v>46413</v>
          </cell>
          <cell r="G20">
            <v>22.663150684931495</v>
          </cell>
          <cell r="H20" t="str">
            <v>TCRI 4</v>
          </cell>
          <cell r="I20">
            <v>100</v>
          </cell>
          <cell r="J20">
            <v>2.8</v>
          </cell>
        </row>
        <row r="21">
          <cell r="B21">
            <v>25283</v>
          </cell>
          <cell r="C21">
            <v>6.1259452054794554</v>
          </cell>
          <cell r="D21">
            <v>2.6191780821917807</v>
          </cell>
          <cell r="E21">
            <v>46738</v>
          </cell>
          <cell r="F21">
            <v>46752</v>
          </cell>
          <cell r="G21">
            <v>21.625945205479454</v>
          </cell>
          <cell r="H21" t="str">
            <v>元大</v>
          </cell>
          <cell r="I21">
            <v>100.752</v>
          </cell>
          <cell r="J21">
            <v>2.5</v>
          </cell>
        </row>
        <row r="22">
          <cell r="B22">
            <v>26107</v>
          </cell>
          <cell r="C22">
            <v>2.9217808219178085</v>
          </cell>
          <cell r="D22">
            <v>0.94246575342465755</v>
          </cell>
          <cell r="E22">
            <v>46126</v>
          </cell>
          <cell r="F22">
            <v>46140</v>
          </cell>
          <cell r="G22">
            <v>33.421780821917821</v>
          </cell>
          <cell r="H22" t="str">
            <v>TCRI 4</v>
          </cell>
          <cell r="I22">
            <v>100</v>
          </cell>
          <cell r="J22">
            <v>2.75</v>
          </cell>
        </row>
        <row r="23">
          <cell r="B23">
            <v>27323</v>
          </cell>
          <cell r="C23">
            <v>1.4012328767123297</v>
          </cell>
          <cell r="D23">
            <v>0.69041095890410964</v>
          </cell>
          <cell r="E23">
            <v>46034</v>
          </cell>
          <cell r="F23">
            <v>46048</v>
          </cell>
          <cell r="G23">
            <v>1.4012328767123279</v>
          </cell>
          <cell r="H23" t="str">
            <v>TCRI 5</v>
          </cell>
          <cell r="I23">
            <v>101</v>
          </cell>
          <cell r="J23">
            <v>3</v>
          </cell>
        </row>
        <row r="24">
          <cell r="B24">
            <v>27561</v>
          </cell>
          <cell r="C24">
            <v>3.4699657534246615</v>
          </cell>
          <cell r="D24">
            <v>1.0356164383561643</v>
          </cell>
          <cell r="E24">
            <v>46160</v>
          </cell>
          <cell r="F24">
            <v>46172</v>
          </cell>
          <cell r="G24">
            <v>23.819965753424654</v>
          </cell>
          <cell r="H24" t="str">
            <v>TCRI 5</v>
          </cell>
          <cell r="I24">
            <v>101.0025</v>
          </cell>
          <cell r="J24">
            <v>4</v>
          </cell>
        </row>
        <row r="25">
          <cell r="B25">
            <v>29051</v>
          </cell>
          <cell r="C25">
            <v>2.7464383561643775</v>
          </cell>
          <cell r="D25">
            <v>0.69041095890410964</v>
          </cell>
          <cell r="E25">
            <v>46034</v>
          </cell>
          <cell r="F25">
            <v>46047</v>
          </cell>
          <cell r="G25">
            <v>5.7464383561643757</v>
          </cell>
          <cell r="H25" t="str">
            <v>TCRI 5</v>
          </cell>
          <cell r="I25">
            <v>100</v>
          </cell>
          <cell r="J25">
            <v>3.5</v>
          </cell>
        </row>
        <row r="26">
          <cell r="B26">
            <v>30134</v>
          </cell>
          <cell r="C26">
            <v>6.1294520547945144</v>
          </cell>
          <cell r="D26">
            <v>2.4164383561643836</v>
          </cell>
          <cell r="E26">
            <v>46664</v>
          </cell>
          <cell r="F26">
            <v>46678</v>
          </cell>
          <cell r="G26">
            <v>10.92945205479451</v>
          </cell>
          <cell r="H26" t="str">
            <v>兆豐、中信</v>
          </cell>
          <cell r="I26">
            <v>100</v>
          </cell>
          <cell r="J26">
            <v>2.4</v>
          </cell>
        </row>
        <row r="27">
          <cell r="B27">
            <v>30238</v>
          </cell>
          <cell r="C27">
            <v>1.8612328767123234</v>
          </cell>
          <cell r="D27">
            <v>0.56712328767123288</v>
          </cell>
          <cell r="E27">
            <v>45989</v>
          </cell>
          <cell r="F27">
            <v>46003</v>
          </cell>
          <cell r="G27">
            <v>5.6612328767123188</v>
          </cell>
          <cell r="H27" t="str">
            <v>TCRI 4</v>
          </cell>
          <cell r="I27">
            <v>100</v>
          </cell>
          <cell r="J27">
            <v>2.7</v>
          </cell>
        </row>
        <row r="28">
          <cell r="B28">
            <v>30454</v>
          </cell>
          <cell r="C28">
            <v>6.700684931506844</v>
          </cell>
          <cell r="D28">
            <v>2.7698630136986302</v>
          </cell>
          <cell r="E28">
            <v>46793</v>
          </cell>
          <cell r="F28">
            <v>46807</v>
          </cell>
          <cell r="G28">
            <v>6.8506849315068479</v>
          </cell>
          <cell r="H28" t="str">
            <v>TCRI 2</v>
          </cell>
          <cell r="I28">
            <v>100</v>
          </cell>
          <cell r="J28">
            <v>2.2999999999999998</v>
          </cell>
        </row>
        <row r="29">
          <cell r="B29">
            <v>30455</v>
          </cell>
          <cell r="C29">
            <v>6.7069863013698683</v>
          </cell>
          <cell r="D29">
            <v>2.7726027397260276</v>
          </cell>
          <cell r="E29">
            <v>46794</v>
          </cell>
          <cell r="F29">
            <v>46808</v>
          </cell>
          <cell r="G29">
            <v>9.7069863013698665</v>
          </cell>
          <cell r="H29" t="str">
            <v>TCRI 2</v>
          </cell>
          <cell r="I29">
            <v>100</v>
          </cell>
          <cell r="J29">
            <v>2.2999999999999998</v>
          </cell>
        </row>
        <row r="30">
          <cell r="B30">
            <v>30882</v>
          </cell>
          <cell r="C30">
            <v>4.1601369863013691</v>
          </cell>
          <cell r="D30">
            <v>1.2767123287671234</v>
          </cell>
          <cell r="E30">
            <v>46248</v>
          </cell>
          <cell r="F30">
            <v>46262</v>
          </cell>
          <cell r="G30">
            <v>20.910136986301367</v>
          </cell>
          <cell r="H30" t="str">
            <v>TCRI 5</v>
          </cell>
          <cell r="I30">
            <v>100</v>
          </cell>
          <cell r="J30">
            <v>3</v>
          </cell>
        </row>
        <row r="31">
          <cell r="B31">
            <v>33133</v>
          </cell>
          <cell r="C31">
            <v>6.6587671232876762</v>
          </cell>
          <cell r="D31">
            <v>2.5315068493150683</v>
          </cell>
          <cell r="E31">
            <v>46706</v>
          </cell>
          <cell r="F31">
            <v>46720</v>
          </cell>
          <cell r="G31">
            <v>14.458767123287672</v>
          </cell>
          <cell r="H31" t="str">
            <v>元大</v>
          </cell>
          <cell r="I31">
            <v>100</v>
          </cell>
          <cell r="J31">
            <v>2.5</v>
          </cell>
        </row>
        <row r="32">
          <cell r="B32">
            <v>33245</v>
          </cell>
          <cell r="C32">
            <v>5.4389383561643871</v>
          </cell>
          <cell r="D32">
            <v>2.2054794520547945</v>
          </cell>
          <cell r="E32">
            <v>46587</v>
          </cell>
          <cell r="F32">
            <v>46599</v>
          </cell>
          <cell r="G32">
            <v>16.688938356164385</v>
          </cell>
          <cell r="H32" t="str">
            <v>TCRI 4</v>
          </cell>
          <cell r="I32">
            <v>101.50749999999999</v>
          </cell>
          <cell r="J32">
            <v>3</v>
          </cell>
        </row>
        <row r="33">
          <cell r="B33">
            <v>33571</v>
          </cell>
          <cell r="C33">
            <v>4.265342465753422</v>
          </cell>
          <cell r="D33">
            <v>1.4575342465753425</v>
          </cell>
          <cell r="E33">
            <v>46314</v>
          </cell>
          <cell r="F33">
            <v>46326</v>
          </cell>
          <cell r="G33">
            <v>11.26534246575342</v>
          </cell>
          <cell r="H33" t="str">
            <v>TCRI 4</v>
          </cell>
          <cell r="I33">
            <v>100</v>
          </cell>
          <cell r="J33">
            <v>2.7</v>
          </cell>
        </row>
        <row r="34">
          <cell r="B34">
            <v>33621</v>
          </cell>
          <cell r="C34">
            <v>4.7613698630136998</v>
          </cell>
          <cell r="D34">
            <v>2.1589041095890411</v>
          </cell>
          <cell r="E34">
            <v>46570</v>
          </cell>
          <cell r="F34">
            <v>46584</v>
          </cell>
          <cell r="G34">
            <v>6.1113698630136923</v>
          </cell>
          <cell r="H34" t="str">
            <v>土銀</v>
          </cell>
          <cell r="I34">
            <v>100.75</v>
          </cell>
          <cell r="J34">
            <v>2.4</v>
          </cell>
        </row>
        <row r="35">
          <cell r="B35">
            <v>33763</v>
          </cell>
          <cell r="C35">
            <v>5.1564383561643741</v>
          </cell>
          <cell r="D35">
            <v>2.2630136986301368</v>
          </cell>
          <cell r="E35">
            <v>46608</v>
          </cell>
          <cell r="F35">
            <v>46622</v>
          </cell>
          <cell r="G35">
            <v>24.156438356164372</v>
          </cell>
          <cell r="H35" t="str">
            <v>TCRI 4</v>
          </cell>
          <cell r="I35">
            <v>101.51</v>
          </cell>
          <cell r="J35">
            <v>2.8</v>
          </cell>
        </row>
        <row r="36">
          <cell r="B36">
            <v>33881</v>
          </cell>
          <cell r="C36">
            <v>1.6484931506849296</v>
          </cell>
          <cell r="D36">
            <v>0.47945205479452052</v>
          </cell>
          <cell r="E36">
            <v>45957</v>
          </cell>
          <cell r="F36">
            <v>45970</v>
          </cell>
          <cell r="G36">
            <v>6.1484931506849279</v>
          </cell>
          <cell r="H36" t="str">
            <v>TCRI 4</v>
          </cell>
          <cell r="I36">
            <v>100</v>
          </cell>
          <cell r="J36">
            <v>2.75</v>
          </cell>
        </row>
        <row r="37">
          <cell r="B37">
            <v>33902</v>
          </cell>
          <cell r="C37">
            <v>6.9579452054794491</v>
          </cell>
          <cell r="D37">
            <v>2.7616438356164386</v>
          </cell>
          <cell r="E37">
            <v>46790</v>
          </cell>
          <cell r="F37">
            <v>46804</v>
          </cell>
          <cell r="G37">
            <v>16.957945205479447</v>
          </cell>
          <cell r="H37" t="str">
            <v>中信銀</v>
          </cell>
          <cell r="I37">
            <v>100</v>
          </cell>
          <cell r="J37">
            <v>2.4</v>
          </cell>
        </row>
        <row r="38">
          <cell r="B38">
            <v>34163</v>
          </cell>
          <cell r="C38">
            <v>1.7631506849315048</v>
          </cell>
          <cell r="D38">
            <v>0.69041095890410964</v>
          </cell>
          <cell r="E38">
            <v>46034</v>
          </cell>
          <cell r="F38">
            <v>46047</v>
          </cell>
          <cell r="G38">
            <v>19.763150684931503</v>
          </cell>
          <cell r="H38" t="str">
            <v>TCRI 5</v>
          </cell>
          <cell r="I38">
            <v>100.5</v>
          </cell>
          <cell r="J38">
            <v>2.8</v>
          </cell>
        </row>
        <row r="39">
          <cell r="B39">
            <v>34341</v>
          </cell>
          <cell r="C39">
            <v>4.6105479452054841</v>
          </cell>
          <cell r="D39">
            <v>1.7835616438356163</v>
          </cell>
          <cell r="E39">
            <v>46433</v>
          </cell>
          <cell r="F39">
            <v>46445</v>
          </cell>
          <cell r="G39">
            <v>106.6105479452055</v>
          </cell>
          <cell r="H39" t="str">
            <v>華銀</v>
          </cell>
          <cell r="I39">
            <v>100</v>
          </cell>
          <cell r="J39">
            <v>2.4</v>
          </cell>
        </row>
        <row r="40">
          <cell r="B40">
            <v>34793</v>
          </cell>
          <cell r="C40">
            <v>5.3683561643835578</v>
          </cell>
          <cell r="D40">
            <v>1.6794520547945206</v>
          </cell>
          <cell r="E40">
            <v>46395</v>
          </cell>
          <cell r="F40">
            <v>46409</v>
          </cell>
          <cell r="G40">
            <v>13.118356164383556</v>
          </cell>
          <cell r="H40" t="str">
            <v>TCRI 5</v>
          </cell>
          <cell r="I40">
            <v>100</v>
          </cell>
          <cell r="J40">
            <v>3</v>
          </cell>
        </row>
        <row r="41">
          <cell r="B41">
            <v>34843</v>
          </cell>
          <cell r="C41">
            <v>2.6073972602739719</v>
          </cell>
          <cell r="D41">
            <v>0.93150684931506844</v>
          </cell>
          <cell r="E41">
            <v>46122</v>
          </cell>
          <cell r="F41">
            <v>46136</v>
          </cell>
          <cell r="G41">
            <v>23.60739726027397</v>
          </cell>
          <cell r="H41" t="str">
            <v>TCRI 5</v>
          </cell>
          <cell r="I41">
            <v>100.75</v>
          </cell>
          <cell r="J41">
            <v>3.25</v>
          </cell>
        </row>
        <row r="42">
          <cell r="B42">
            <v>34912</v>
          </cell>
          <cell r="C42">
            <v>7.176575342465755</v>
          </cell>
          <cell r="D42">
            <v>2.2821917808219179</v>
          </cell>
          <cell r="E42">
            <v>46615</v>
          </cell>
          <cell r="F42">
            <v>46627</v>
          </cell>
          <cell r="G42">
            <v>34.826575342465759</v>
          </cell>
          <cell r="H42" t="str">
            <v>TCRI 5</v>
          </cell>
          <cell r="I42">
            <v>100</v>
          </cell>
          <cell r="J42">
            <v>3</v>
          </cell>
        </row>
        <row r="43">
          <cell r="B43">
            <v>35161</v>
          </cell>
          <cell r="C43">
            <v>6.1294520547945144</v>
          </cell>
          <cell r="D43">
            <v>2.4164383561643836</v>
          </cell>
          <cell r="E43">
            <v>46664</v>
          </cell>
          <cell r="F43">
            <v>46678</v>
          </cell>
          <cell r="G43">
            <v>13.129452054794513</v>
          </cell>
          <cell r="H43" t="str">
            <v>永豐</v>
          </cell>
          <cell r="I43">
            <v>100</v>
          </cell>
          <cell r="J43">
            <v>2.4</v>
          </cell>
        </row>
        <row r="44">
          <cell r="B44">
            <v>35181</v>
          </cell>
          <cell r="C44">
            <v>5.7152054794520541</v>
          </cell>
          <cell r="D44">
            <v>2.2438356164383562</v>
          </cell>
          <cell r="E44">
            <v>46601</v>
          </cell>
          <cell r="F44">
            <v>46614</v>
          </cell>
          <cell r="G44">
            <v>8.6652054794520552</v>
          </cell>
          <cell r="H44" t="str">
            <v>台新銀</v>
          </cell>
          <cell r="I44">
            <v>100</v>
          </cell>
          <cell r="J44">
            <v>2.4</v>
          </cell>
        </row>
        <row r="45">
          <cell r="B45">
            <v>35266</v>
          </cell>
          <cell r="C45">
            <v>5.4258904109589015</v>
          </cell>
          <cell r="D45">
            <v>1.6986301369863013</v>
          </cell>
          <cell r="E45">
            <v>46402</v>
          </cell>
          <cell r="F45">
            <v>46416</v>
          </cell>
          <cell r="G45">
            <v>35.425890410958914</v>
          </cell>
          <cell r="H45" t="str">
            <v>TCRI 5</v>
          </cell>
          <cell r="I45">
            <v>100</v>
          </cell>
          <cell r="J45">
            <v>3</v>
          </cell>
        </row>
        <row r="46">
          <cell r="B46">
            <v>35482</v>
          </cell>
          <cell r="C46">
            <v>4.9250684931506772</v>
          </cell>
          <cell r="D46">
            <v>1.6410958904109589</v>
          </cell>
          <cell r="E46">
            <v>46381</v>
          </cell>
          <cell r="F46">
            <v>46395</v>
          </cell>
          <cell r="G46">
            <v>7.4250684931506754</v>
          </cell>
          <cell r="H46" t="str">
            <v>TCRI 4</v>
          </cell>
          <cell r="I46">
            <v>100</v>
          </cell>
          <cell r="J46">
            <v>2.8</v>
          </cell>
        </row>
        <row r="47">
          <cell r="B47">
            <v>35483</v>
          </cell>
          <cell r="C47">
            <v>8.6478082191780761</v>
          </cell>
          <cell r="D47">
            <v>2.7726027397260276</v>
          </cell>
          <cell r="E47">
            <v>46794</v>
          </cell>
          <cell r="F47">
            <v>46808</v>
          </cell>
          <cell r="G47">
            <v>11.347808219178077</v>
          </cell>
          <cell r="H47" t="str">
            <v>TCRI 4</v>
          </cell>
          <cell r="I47">
            <v>100</v>
          </cell>
          <cell r="J47">
            <v>3</v>
          </cell>
        </row>
        <row r="48">
          <cell r="B48">
            <v>35871</v>
          </cell>
          <cell r="C48">
            <v>3.3361643835616395</v>
          </cell>
          <cell r="D48">
            <v>1.0931506849315069</v>
          </cell>
          <cell r="E48">
            <v>46181</v>
          </cell>
          <cell r="F48">
            <v>46193</v>
          </cell>
          <cell r="G48">
            <v>14.086164383561638</v>
          </cell>
          <cell r="H48" t="str">
            <v>TCRI 4</v>
          </cell>
          <cell r="I48">
            <v>100</v>
          </cell>
          <cell r="J48">
            <v>2.75</v>
          </cell>
        </row>
        <row r="49">
          <cell r="B49">
            <v>36804</v>
          </cell>
          <cell r="C49">
            <v>1.6039726027397325</v>
          </cell>
          <cell r="D49">
            <v>0.42465753424657532</v>
          </cell>
          <cell r="E49">
            <v>45937</v>
          </cell>
          <cell r="F49">
            <v>45948</v>
          </cell>
          <cell r="G49">
            <v>17.203972602739725</v>
          </cell>
          <cell r="H49" t="str">
            <v>TCRI 5</v>
          </cell>
          <cell r="I49">
            <v>100</v>
          </cell>
          <cell r="J49">
            <v>3</v>
          </cell>
        </row>
        <row r="50">
          <cell r="B50">
            <v>37083</v>
          </cell>
          <cell r="C50">
            <v>3.4617808219178148</v>
          </cell>
          <cell r="D50">
            <v>1.3616438356164384</v>
          </cell>
          <cell r="E50">
            <v>46279</v>
          </cell>
          <cell r="F50">
            <v>46292</v>
          </cell>
          <cell r="G50">
            <v>11.461780821917813</v>
          </cell>
          <cell r="H50" t="str">
            <v>一銀</v>
          </cell>
          <cell r="I50">
            <v>100</v>
          </cell>
          <cell r="J50">
            <v>2.2999999999999998</v>
          </cell>
        </row>
        <row r="51">
          <cell r="B51">
            <v>41644</v>
          </cell>
          <cell r="C51">
            <v>-1.7097945205479572</v>
          </cell>
          <cell r="D51">
            <v>0.21095890410958903</v>
          </cell>
          <cell r="E51">
            <v>45859</v>
          </cell>
          <cell r="F51">
            <v>45873</v>
          </cell>
          <cell r="G51">
            <v>5.290205479452041</v>
          </cell>
          <cell r="H51" t="str">
            <v>聯保</v>
          </cell>
          <cell r="I51">
            <v>102.52500000000001</v>
          </cell>
          <cell r="J51">
            <v>2.2999999999999998</v>
          </cell>
        </row>
        <row r="52">
          <cell r="B52">
            <v>44163</v>
          </cell>
          <cell r="C52">
            <v>-0.33561643835616733</v>
          </cell>
          <cell r="D52">
            <v>0.36712328767123287</v>
          </cell>
          <cell r="E52">
            <v>45916</v>
          </cell>
          <cell r="F52">
            <v>45930</v>
          </cell>
          <cell r="G52">
            <v>7.5643835616438366</v>
          </cell>
          <cell r="H52" t="str">
            <v>一銀</v>
          </cell>
          <cell r="I52">
            <v>101.51</v>
          </cell>
          <cell r="J52">
            <v>2.2999999999999998</v>
          </cell>
        </row>
        <row r="53">
          <cell r="B53">
            <v>44382</v>
          </cell>
          <cell r="C53">
            <v>1.3809589041095922</v>
          </cell>
          <cell r="D53">
            <v>0.37534246575342467</v>
          </cell>
          <cell r="E53">
            <v>45919</v>
          </cell>
          <cell r="F53">
            <v>45933</v>
          </cell>
          <cell r="G53">
            <v>1.2309589041095848</v>
          </cell>
          <cell r="H53" t="str">
            <v>TCRI 4</v>
          </cell>
          <cell r="I53">
            <v>100</v>
          </cell>
          <cell r="J53">
            <v>2.8</v>
          </cell>
        </row>
        <row r="54">
          <cell r="B54">
            <v>45401</v>
          </cell>
          <cell r="C54">
            <v>1.3445205479452103</v>
          </cell>
          <cell r="D54">
            <v>0.44109589041095892</v>
          </cell>
          <cell r="E54">
            <v>45943</v>
          </cell>
          <cell r="F54">
            <v>45954</v>
          </cell>
          <cell r="G54">
            <v>13.344520547945208</v>
          </cell>
          <cell r="H54" t="str">
            <v>一銀</v>
          </cell>
          <cell r="I54">
            <v>100</v>
          </cell>
          <cell r="J54">
            <v>2.2999999999999998</v>
          </cell>
        </row>
        <row r="55">
          <cell r="B55">
            <v>45491</v>
          </cell>
          <cell r="C55">
            <v>9.6073972602739719</v>
          </cell>
          <cell r="D55">
            <v>2.473972602739726</v>
          </cell>
          <cell r="E55">
            <v>46685</v>
          </cell>
          <cell r="F55">
            <v>46698</v>
          </cell>
          <cell r="G55">
            <v>14.557397260273973</v>
          </cell>
          <cell r="H55" t="str">
            <v>TCRI 5</v>
          </cell>
          <cell r="I55">
            <v>100</v>
          </cell>
          <cell r="J55">
            <v>3.75</v>
          </cell>
        </row>
        <row r="56">
          <cell r="B56">
            <v>45553</v>
          </cell>
          <cell r="C56">
            <v>1.0168493150684998</v>
          </cell>
          <cell r="D56">
            <v>0.29863013698630136</v>
          </cell>
          <cell r="E56">
            <v>45891</v>
          </cell>
          <cell r="F56">
            <v>45905</v>
          </cell>
          <cell r="G56">
            <v>0.51684931506849807</v>
          </cell>
          <cell r="H56" t="str">
            <v>彰銀</v>
          </cell>
          <cell r="I56">
            <v>100</v>
          </cell>
          <cell r="J56">
            <v>2.2999999999999998</v>
          </cell>
        </row>
        <row r="57">
          <cell r="B57">
            <v>45721</v>
          </cell>
          <cell r="C57">
            <v>4.6758904109589015</v>
          </cell>
          <cell r="D57">
            <v>1.1589041095890411</v>
          </cell>
          <cell r="E57">
            <v>46205</v>
          </cell>
          <cell r="F57">
            <v>46219</v>
          </cell>
          <cell r="G57">
            <v>21.1758904109589</v>
          </cell>
          <cell r="H57" t="str">
            <v>TCRI 6</v>
          </cell>
          <cell r="I57">
            <v>100</v>
          </cell>
          <cell r="J57">
            <v>3.75</v>
          </cell>
        </row>
        <row r="58">
          <cell r="B58">
            <v>47393</v>
          </cell>
          <cell r="C58">
            <v>3.6508219178082175</v>
          </cell>
          <cell r="D58">
            <v>1.4438356164383561</v>
          </cell>
          <cell r="E58">
            <v>46309</v>
          </cell>
          <cell r="F58">
            <v>46323</v>
          </cell>
          <cell r="G58">
            <v>3.8008219178082214</v>
          </cell>
          <cell r="H58" t="str">
            <v>彰銀</v>
          </cell>
          <cell r="I58">
            <v>100</v>
          </cell>
          <cell r="J58">
            <v>2.2999999999999998</v>
          </cell>
        </row>
        <row r="59">
          <cell r="B59">
            <v>49066</v>
          </cell>
          <cell r="C59">
            <v>4.2238356164383521</v>
          </cell>
          <cell r="D59">
            <v>1.0383561643835617</v>
          </cell>
          <cell r="E59">
            <v>46161</v>
          </cell>
          <cell r="F59">
            <v>46175</v>
          </cell>
          <cell r="G59">
            <v>14.623835616438356</v>
          </cell>
          <cell r="H59" t="str">
            <v>TCRI 5</v>
          </cell>
          <cell r="I59">
            <v>100</v>
          </cell>
          <cell r="J59">
            <v>3.75</v>
          </cell>
        </row>
        <row r="60">
          <cell r="B60">
            <v>49793</v>
          </cell>
          <cell r="C60">
            <v>5.5631164383561629</v>
          </cell>
          <cell r="D60">
            <v>1.558904109589041</v>
          </cell>
          <cell r="E60">
            <v>46351</v>
          </cell>
          <cell r="F60">
            <v>46365</v>
          </cell>
          <cell r="G60">
            <v>15.063116438356161</v>
          </cell>
          <cell r="H60" t="str">
            <v>TCRI 6</v>
          </cell>
          <cell r="I60">
            <v>101.0025</v>
          </cell>
          <cell r="J60">
            <v>4</v>
          </cell>
        </row>
        <row r="61">
          <cell r="B61">
            <v>50097</v>
          </cell>
          <cell r="C61">
            <v>3.6199999999999921</v>
          </cell>
          <cell r="D61">
            <v>1.2</v>
          </cell>
          <cell r="E61">
            <v>46220</v>
          </cell>
          <cell r="F61">
            <v>46234</v>
          </cell>
          <cell r="G61">
            <v>7.9199999999999875</v>
          </cell>
          <cell r="H61" t="str">
            <v>TCRI 4</v>
          </cell>
          <cell r="I61">
            <v>101.51</v>
          </cell>
          <cell r="J61">
            <v>4</v>
          </cell>
        </row>
        <row r="62">
          <cell r="B62">
            <v>52303</v>
          </cell>
          <cell r="C62">
            <v>3.045890410958906</v>
          </cell>
          <cell r="D62">
            <v>1.1808219178082191</v>
          </cell>
          <cell r="E62">
            <v>46213</v>
          </cell>
          <cell r="F62">
            <v>46227</v>
          </cell>
          <cell r="G62">
            <v>12.045890410958904</v>
          </cell>
          <cell r="H62" t="str">
            <v>富邦銀</v>
          </cell>
          <cell r="I62">
            <v>100</v>
          </cell>
          <cell r="J62">
            <v>2.2999999999999998</v>
          </cell>
        </row>
        <row r="63">
          <cell r="B63">
            <v>52635</v>
          </cell>
          <cell r="C63">
            <v>1.9509958904109528</v>
          </cell>
          <cell r="D63">
            <v>0.79178082191780819</v>
          </cell>
          <cell r="E63">
            <v>46071</v>
          </cell>
          <cell r="F63">
            <v>46085</v>
          </cell>
          <cell r="G63">
            <v>12.950995890410951</v>
          </cell>
          <cell r="H63" t="str">
            <v>台中銀</v>
          </cell>
          <cell r="I63">
            <v>100.20010000000001</v>
          </cell>
          <cell r="J63">
            <v>2.2999999999999998</v>
          </cell>
        </row>
        <row r="64">
          <cell r="B64">
            <v>53064</v>
          </cell>
          <cell r="C64">
            <v>3.7264383561643815</v>
          </cell>
          <cell r="D64">
            <v>1.4767123287671233</v>
          </cell>
          <cell r="E64">
            <v>46321</v>
          </cell>
          <cell r="F64">
            <v>46334</v>
          </cell>
          <cell r="G64">
            <v>6.326438356164374</v>
          </cell>
          <cell r="H64" t="str">
            <v>瑞穗銀</v>
          </cell>
          <cell r="I64">
            <v>100</v>
          </cell>
          <cell r="J64">
            <v>2.2999999999999998</v>
          </cell>
        </row>
        <row r="65">
          <cell r="B65">
            <v>53887</v>
          </cell>
          <cell r="C65">
            <v>4.6795890410958965</v>
          </cell>
          <cell r="D65">
            <v>1.5534246575342465</v>
          </cell>
          <cell r="E65">
            <v>46349</v>
          </cell>
          <cell r="F65">
            <v>46362</v>
          </cell>
          <cell r="G65">
            <v>11.629589041095898</v>
          </cell>
          <cell r="H65" t="str">
            <v>TCRI 4</v>
          </cell>
          <cell r="I65">
            <v>100</v>
          </cell>
          <cell r="J65">
            <v>2.8</v>
          </cell>
        </row>
        <row r="66">
          <cell r="B66">
            <v>54342</v>
          </cell>
          <cell r="C66">
            <v>3.4445205479452046</v>
          </cell>
          <cell r="D66">
            <v>1.1123287671232878</v>
          </cell>
          <cell r="E66">
            <v>46188</v>
          </cell>
          <cell r="F66">
            <v>46202</v>
          </cell>
          <cell r="G66">
            <v>38.444520547945217</v>
          </cell>
          <cell r="H66" t="str">
            <v>TCRI 4</v>
          </cell>
          <cell r="I66">
            <v>100</v>
          </cell>
          <cell r="J66">
            <v>2.8</v>
          </cell>
        </row>
        <row r="67">
          <cell r="B67">
            <v>54501</v>
          </cell>
          <cell r="C67">
            <v>1.5208219178082221</v>
          </cell>
          <cell r="D67">
            <v>0.84383561643835614</v>
          </cell>
          <cell r="E67">
            <v>46090</v>
          </cell>
          <cell r="F67">
            <v>46102</v>
          </cell>
          <cell r="G67">
            <v>6.6208219178082146</v>
          </cell>
          <cell r="H67" t="str">
            <v>土銀</v>
          </cell>
          <cell r="I67">
            <v>100.75</v>
          </cell>
          <cell r="J67">
            <v>2.2999999999999998</v>
          </cell>
        </row>
        <row r="68">
          <cell r="B68">
            <v>56086</v>
          </cell>
          <cell r="C68">
            <v>2.8442465753424688</v>
          </cell>
          <cell r="D68">
            <v>1.0931506849315069</v>
          </cell>
          <cell r="E68">
            <v>46181</v>
          </cell>
          <cell r="F68">
            <v>46194</v>
          </cell>
          <cell r="G68">
            <v>7.8942465753424642</v>
          </cell>
          <cell r="H68" t="str">
            <v>陽信銀</v>
          </cell>
          <cell r="I68">
            <v>100</v>
          </cell>
          <cell r="J68">
            <v>2.2999999999999998</v>
          </cell>
        </row>
        <row r="69">
          <cell r="B69">
            <v>56087</v>
          </cell>
          <cell r="C69">
            <v>6.52397260273972</v>
          </cell>
          <cell r="D69">
            <v>2.580821917808219</v>
          </cell>
          <cell r="E69">
            <v>46724</v>
          </cell>
          <cell r="F69">
            <v>46738</v>
          </cell>
          <cell r="G69">
            <v>15.823972602739715</v>
          </cell>
          <cell r="H69" t="str">
            <v>一銀</v>
          </cell>
          <cell r="I69">
            <v>100</v>
          </cell>
          <cell r="J69">
            <v>2.4</v>
          </cell>
        </row>
        <row r="70">
          <cell r="B70">
            <v>59055</v>
          </cell>
          <cell r="C70">
            <v>2.6236986301369871</v>
          </cell>
          <cell r="D70">
            <v>0.99726027397260275</v>
          </cell>
          <cell r="E70">
            <v>46146</v>
          </cell>
          <cell r="F70">
            <v>46160</v>
          </cell>
          <cell r="G70">
            <v>7.6236986301369853</v>
          </cell>
          <cell r="H70" t="str">
            <v>土銀</v>
          </cell>
          <cell r="I70">
            <v>100</v>
          </cell>
          <cell r="J70">
            <v>2.2999999999999998</v>
          </cell>
        </row>
        <row r="71">
          <cell r="B71">
            <v>61041</v>
          </cell>
          <cell r="C71">
            <v>0.59712328767123957</v>
          </cell>
          <cell r="D71">
            <v>0.27123287671232876</v>
          </cell>
          <cell r="E71">
            <v>45881</v>
          </cell>
          <cell r="F71">
            <v>45895</v>
          </cell>
          <cell r="G71">
            <v>20.597123287671238</v>
          </cell>
          <cell r="H71" t="str">
            <v>TCRI 5</v>
          </cell>
          <cell r="I71">
            <v>100.75</v>
          </cell>
          <cell r="J71">
            <v>3.75</v>
          </cell>
        </row>
        <row r="72">
          <cell r="B72">
            <v>61394</v>
          </cell>
          <cell r="C72">
            <v>1.2606506849315071</v>
          </cell>
          <cell r="D72">
            <v>0.69041095890410964</v>
          </cell>
          <cell r="E72">
            <v>46034</v>
          </cell>
          <cell r="F72">
            <v>46047</v>
          </cell>
          <cell r="G72">
            <v>49.760650684931505</v>
          </cell>
          <cell r="H72" t="str">
            <v>TCRI 4</v>
          </cell>
          <cell r="I72">
            <v>101.0025</v>
          </cell>
          <cell r="J72">
            <v>2.8</v>
          </cell>
        </row>
        <row r="73">
          <cell r="B73">
            <v>61875</v>
          </cell>
          <cell r="C73">
            <v>6.7738356164383493</v>
          </cell>
          <cell r="D73">
            <v>2.1479452054794521</v>
          </cell>
          <cell r="E73">
            <v>46566</v>
          </cell>
          <cell r="F73">
            <v>46578</v>
          </cell>
          <cell r="G73">
            <v>32.773835616438362</v>
          </cell>
          <cell r="H73" t="str">
            <v>TCRI 5</v>
          </cell>
          <cell r="I73">
            <v>100</v>
          </cell>
          <cell r="J73">
            <v>3</v>
          </cell>
        </row>
        <row r="74">
          <cell r="B74">
            <v>61894</v>
          </cell>
          <cell r="C74">
            <v>3.720565753424653</v>
          </cell>
          <cell r="D74">
            <v>1.4794520547945205</v>
          </cell>
          <cell r="E74">
            <v>46322</v>
          </cell>
          <cell r="F74">
            <v>46336</v>
          </cell>
          <cell r="G74">
            <v>34.120565753424671</v>
          </cell>
          <cell r="H74" t="str">
            <v>TCRI 4</v>
          </cell>
          <cell r="I74">
            <v>100.75190000000001</v>
          </cell>
          <cell r="J74">
            <v>2.8</v>
          </cell>
        </row>
        <row r="75">
          <cell r="B75">
            <v>61965</v>
          </cell>
          <cell r="C75">
            <v>3.4445205479452046</v>
          </cell>
          <cell r="D75">
            <v>1.1123287671232878</v>
          </cell>
          <cell r="E75">
            <v>46188</v>
          </cell>
          <cell r="F75">
            <v>46200</v>
          </cell>
          <cell r="G75">
            <v>25.2445205479452</v>
          </cell>
          <cell r="H75" t="str">
            <v>TCRI 4</v>
          </cell>
          <cell r="I75">
            <v>100</v>
          </cell>
          <cell r="J75">
            <v>2.8</v>
          </cell>
        </row>
        <row r="76">
          <cell r="B76">
            <v>61973</v>
          </cell>
          <cell r="C76">
            <v>8.1567123287671297</v>
          </cell>
          <cell r="D76">
            <v>2.408219178082192</v>
          </cell>
          <cell r="E76">
            <v>46661</v>
          </cell>
          <cell r="F76">
            <v>46675</v>
          </cell>
          <cell r="G76">
            <v>15.706712328767125</v>
          </cell>
          <cell r="H76" t="str">
            <v>TCRI 5</v>
          </cell>
          <cell r="I76">
            <v>100</v>
          </cell>
          <cell r="J76">
            <v>3.25</v>
          </cell>
        </row>
        <row r="77">
          <cell r="B77">
            <v>62235</v>
          </cell>
          <cell r="C77">
            <v>8.2697260273972564</v>
          </cell>
          <cell r="D77">
            <v>2.6465753424657534</v>
          </cell>
          <cell r="E77">
            <v>46748</v>
          </cell>
          <cell r="F77">
            <v>46760</v>
          </cell>
          <cell r="G77">
            <v>12.519726027397255</v>
          </cell>
          <cell r="H77" t="str">
            <v>TCRI 4</v>
          </cell>
          <cell r="I77">
            <v>100</v>
          </cell>
          <cell r="J77">
            <v>3</v>
          </cell>
        </row>
        <row r="78">
          <cell r="B78">
            <v>62744</v>
          </cell>
          <cell r="C78">
            <v>5.8302739726027415</v>
          </cell>
          <cell r="D78">
            <v>1.9643835616438357</v>
          </cell>
          <cell r="E78">
            <v>46499</v>
          </cell>
          <cell r="F78">
            <v>46513</v>
          </cell>
          <cell r="G78">
            <v>16.230273972602745</v>
          </cell>
          <cell r="H78" t="str">
            <v>TCRI 4</v>
          </cell>
          <cell r="I78">
            <v>100</v>
          </cell>
          <cell r="J78">
            <v>2.8</v>
          </cell>
        </row>
        <row r="79">
          <cell r="B79">
            <v>62843</v>
          </cell>
          <cell r="C79">
            <v>1.9409589041095945</v>
          </cell>
          <cell r="D79">
            <v>0.57534246575342463</v>
          </cell>
          <cell r="E79">
            <v>45992</v>
          </cell>
          <cell r="F79">
            <v>46005</v>
          </cell>
          <cell r="G79">
            <v>9.3909589041095956</v>
          </cell>
          <cell r="H79" t="str">
            <v>TCRI 4</v>
          </cell>
          <cell r="I79">
            <v>100</v>
          </cell>
          <cell r="J79">
            <v>2.8</v>
          </cell>
        </row>
        <row r="80">
          <cell r="B80">
            <v>64145</v>
          </cell>
          <cell r="C80">
            <v>3.7580821917808169</v>
          </cell>
          <cell r="D80">
            <v>1.2465753424657535</v>
          </cell>
          <cell r="E80">
            <v>46237</v>
          </cell>
          <cell r="F80">
            <v>46250</v>
          </cell>
          <cell r="G80">
            <v>14.108082191780809</v>
          </cell>
          <cell r="H80" t="str">
            <v>TCRI 4</v>
          </cell>
          <cell r="I80">
            <v>100</v>
          </cell>
          <cell r="J80">
            <v>2.75</v>
          </cell>
        </row>
        <row r="81">
          <cell r="B81">
            <v>64692</v>
          </cell>
          <cell r="C81">
            <v>1.2834246575342423</v>
          </cell>
          <cell r="D81">
            <v>0.31780821917808222</v>
          </cell>
          <cell r="E81">
            <v>45898</v>
          </cell>
          <cell r="F81">
            <v>45912</v>
          </cell>
          <cell r="G81">
            <v>3.7334246575342434</v>
          </cell>
          <cell r="H81" t="str">
            <v>TCRI 4</v>
          </cell>
          <cell r="I81">
            <v>100</v>
          </cell>
          <cell r="J81">
            <v>3</v>
          </cell>
        </row>
        <row r="82">
          <cell r="B82">
            <v>64723</v>
          </cell>
          <cell r="C82">
            <v>4.4219356164383488</v>
          </cell>
          <cell r="D82">
            <v>1.210958904109589</v>
          </cell>
          <cell r="E82">
            <v>46224</v>
          </cell>
          <cell r="F82">
            <v>46238</v>
          </cell>
          <cell r="G82">
            <v>33.421935616438361</v>
          </cell>
          <cell r="H82" t="str">
            <v>TCRI 5</v>
          </cell>
          <cell r="I82">
            <v>100.75190000000001</v>
          </cell>
          <cell r="J82">
            <v>4</v>
          </cell>
        </row>
        <row r="83">
          <cell r="B83">
            <v>65096</v>
          </cell>
          <cell r="C83">
            <v>3.9806849315068451</v>
          </cell>
          <cell r="D83">
            <v>1.1232876712328768</v>
          </cell>
          <cell r="E83">
            <v>46192</v>
          </cell>
          <cell r="F83">
            <v>46206</v>
          </cell>
          <cell r="G83">
            <v>6.7306849315068433</v>
          </cell>
          <cell r="H83" t="str">
            <v>TCRI 5</v>
          </cell>
          <cell r="I83">
            <v>100</v>
          </cell>
          <cell r="J83">
            <v>3.25</v>
          </cell>
        </row>
        <row r="84">
          <cell r="B84">
            <v>65841</v>
          </cell>
          <cell r="C84">
            <v>2.6546232876712299</v>
          </cell>
          <cell r="D84">
            <v>1.4465753424657535</v>
          </cell>
          <cell r="E84">
            <v>46310</v>
          </cell>
          <cell r="F84">
            <v>46324</v>
          </cell>
          <cell r="G84">
            <v>6.6546232876712281</v>
          </cell>
          <cell r="H84" t="str">
            <v>彰銀</v>
          </cell>
          <cell r="I84">
            <v>101.0025</v>
          </cell>
          <cell r="J84">
            <v>2.2999999999999998</v>
          </cell>
        </row>
        <row r="85">
          <cell r="B85">
            <v>65851</v>
          </cell>
          <cell r="C85">
            <v>3.6382191780821973</v>
          </cell>
          <cell r="D85">
            <v>1.4383561643835616</v>
          </cell>
          <cell r="E85">
            <v>46307</v>
          </cell>
          <cell r="F85">
            <v>46321</v>
          </cell>
          <cell r="G85">
            <v>24.138219178082196</v>
          </cell>
          <cell r="H85" t="str">
            <v>一銀</v>
          </cell>
          <cell r="I85">
            <v>100</v>
          </cell>
          <cell r="J85">
            <v>2.2999999999999998</v>
          </cell>
        </row>
        <row r="86">
          <cell r="B86">
            <v>65852</v>
          </cell>
          <cell r="C86">
            <v>5.7341095890410987</v>
          </cell>
          <cell r="D86">
            <v>1.441095890410959</v>
          </cell>
          <cell r="E86">
            <v>46308</v>
          </cell>
          <cell r="F86">
            <v>46322</v>
          </cell>
          <cell r="G86">
            <v>22.734109589041097</v>
          </cell>
          <cell r="H86" t="str">
            <v>TCRI 5</v>
          </cell>
          <cell r="I86">
            <v>100</v>
          </cell>
          <cell r="J86">
            <v>3.75</v>
          </cell>
        </row>
        <row r="87">
          <cell r="B87">
            <v>66241</v>
          </cell>
          <cell r="C87">
            <v>4.6890410958904045</v>
          </cell>
          <cell r="D87">
            <v>2.128767123287671</v>
          </cell>
          <cell r="E87">
            <v>46559</v>
          </cell>
          <cell r="F87">
            <v>46573</v>
          </cell>
          <cell r="G87">
            <v>8.3890410958904056</v>
          </cell>
          <cell r="H87" t="str">
            <v>土銀</v>
          </cell>
          <cell r="I87">
            <v>100.75</v>
          </cell>
          <cell r="J87">
            <v>2.4</v>
          </cell>
        </row>
        <row r="88">
          <cell r="B88">
            <v>67531</v>
          </cell>
          <cell r="C88">
            <v>7.1594520547945155</v>
          </cell>
          <cell r="D88">
            <v>2.1013698630136988</v>
          </cell>
          <cell r="E88">
            <v>46549</v>
          </cell>
          <cell r="F88">
            <v>46563</v>
          </cell>
          <cell r="G88">
            <v>14.109452054794517</v>
          </cell>
          <cell r="H88" t="str">
            <v>TCRI 5</v>
          </cell>
          <cell r="I88">
            <v>100</v>
          </cell>
          <cell r="J88">
            <v>3.25</v>
          </cell>
        </row>
        <row r="89">
          <cell r="B89">
            <v>67681</v>
          </cell>
          <cell r="C89">
            <v>8.9217808219178085</v>
          </cell>
          <cell r="D89">
            <v>2.4547945205479453</v>
          </cell>
          <cell r="E89">
            <v>46678</v>
          </cell>
          <cell r="F89">
            <v>46691</v>
          </cell>
          <cell r="G89">
            <v>30.321780821917827</v>
          </cell>
          <cell r="H89" t="str">
            <v>TCRI 4</v>
          </cell>
          <cell r="I89">
            <v>100</v>
          </cell>
          <cell r="J89">
            <v>3.5</v>
          </cell>
        </row>
        <row r="90">
          <cell r="B90">
            <v>68061</v>
          </cell>
          <cell r="C90">
            <v>3.8146575342465798</v>
          </cell>
          <cell r="D90">
            <v>1.515068493150685</v>
          </cell>
          <cell r="E90">
            <v>46335</v>
          </cell>
          <cell r="F90">
            <v>46348</v>
          </cell>
          <cell r="G90">
            <v>9.8146575342465781</v>
          </cell>
          <cell r="H90" t="str">
            <v>聯保</v>
          </cell>
          <cell r="I90">
            <v>100</v>
          </cell>
          <cell r="J90">
            <v>2.2999999999999998</v>
          </cell>
        </row>
        <row r="91">
          <cell r="B91">
            <v>68541</v>
          </cell>
          <cell r="C91">
            <v>3.4296917808219138</v>
          </cell>
          <cell r="D91">
            <v>1.7835616438356163</v>
          </cell>
          <cell r="E91">
            <v>46433</v>
          </cell>
          <cell r="F91">
            <v>46445</v>
          </cell>
          <cell r="G91">
            <v>7.2796917808219064</v>
          </cell>
          <cell r="H91" t="str">
            <v>中信銀</v>
          </cell>
          <cell r="I91">
            <v>101.0025</v>
          </cell>
          <cell r="J91">
            <v>2.2999999999999998</v>
          </cell>
        </row>
        <row r="92">
          <cell r="B92">
            <v>80506</v>
          </cell>
          <cell r="C92">
            <v>1.2628767123287634</v>
          </cell>
          <cell r="D92">
            <v>0.51780821917808217</v>
          </cell>
          <cell r="E92">
            <v>45971</v>
          </cell>
          <cell r="F92">
            <v>45983</v>
          </cell>
          <cell r="G92">
            <v>9.2628767123287616</v>
          </cell>
          <cell r="H92" t="str">
            <v>TCRI 5</v>
          </cell>
          <cell r="I92">
            <v>100.75</v>
          </cell>
          <cell r="J92">
            <v>3.25</v>
          </cell>
        </row>
        <row r="93">
          <cell r="B93">
            <v>80914</v>
          </cell>
          <cell r="C93">
            <v>3.8197260273972535</v>
          </cell>
          <cell r="D93">
            <v>1.2465753424657535</v>
          </cell>
          <cell r="E93">
            <v>46237</v>
          </cell>
          <cell r="F93">
            <v>46249</v>
          </cell>
          <cell r="G93">
            <v>11.919726027397246</v>
          </cell>
          <cell r="H93" t="str">
            <v>TCRI 5</v>
          </cell>
          <cell r="I93">
            <v>100.25</v>
          </cell>
          <cell r="J93">
            <v>3</v>
          </cell>
        </row>
        <row r="94">
          <cell r="B94">
            <v>81551</v>
          </cell>
          <cell r="C94">
            <v>8.2697260273972564</v>
          </cell>
          <cell r="D94">
            <v>2.6465753424657534</v>
          </cell>
          <cell r="E94">
            <v>46748</v>
          </cell>
          <cell r="F94">
            <v>46762</v>
          </cell>
          <cell r="G94">
            <v>20.91972602739726</v>
          </cell>
          <cell r="H94" t="str">
            <v>TCRI 4</v>
          </cell>
          <cell r="I94">
            <v>100</v>
          </cell>
          <cell r="J94">
            <v>3</v>
          </cell>
        </row>
        <row r="95">
          <cell r="B95">
            <v>81714</v>
          </cell>
          <cell r="C95">
            <v>6.5423287671232817</v>
          </cell>
          <cell r="D95">
            <v>2.484931506849315</v>
          </cell>
          <cell r="E95">
            <v>46689</v>
          </cell>
          <cell r="F95">
            <v>46703</v>
          </cell>
          <cell r="G95">
            <v>28.04232876712328</v>
          </cell>
          <cell r="H95" t="str">
            <v>台中銀、板信</v>
          </cell>
          <cell r="I95">
            <v>100</v>
          </cell>
          <cell r="J95">
            <v>2.5</v>
          </cell>
        </row>
        <row r="96">
          <cell r="B96">
            <v>82101</v>
          </cell>
          <cell r="C96">
            <v>4.9258904109589015</v>
          </cell>
          <cell r="D96">
            <v>1.6712328767123288</v>
          </cell>
          <cell r="E96">
            <v>46392</v>
          </cell>
          <cell r="F96">
            <v>46406</v>
          </cell>
          <cell r="G96">
            <v>17.475890410958897</v>
          </cell>
          <cell r="H96" t="str">
            <v>TCRI 4</v>
          </cell>
          <cell r="I96">
            <v>100</v>
          </cell>
          <cell r="J96">
            <v>2.75</v>
          </cell>
        </row>
        <row r="97">
          <cell r="B97">
            <v>82551</v>
          </cell>
          <cell r="C97">
            <v>3.7053424657534197</v>
          </cell>
          <cell r="D97">
            <v>1.2273972602739727</v>
          </cell>
          <cell r="E97">
            <v>46230</v>
          </cell>
          <cell r="F97">
            <v>46243</v>
          </cell>
          <cell r="G97">
            <v>5.705342465753418</v>
          </cell>
          <cell r="H97" t="str">
            <v>TCRI 4</v>
          </cell>
          <cell r="I97">
            <v>100</v>
          </cell>
          <cell r="J97">
            <v>2.75</v>
          </cell>
        </row>
        <row r="98">
          <cell r="B98">
            <v>82992</v>
          </cell>
          <cell r="C98">
            <v>5.055479452054799</v>
          </cell>
          <cell r="D98">
            <v>1.6876712328767123</v>
          </cell>
          <cell r="E98">
            <v>46398</v>
          </cell>
          <cell r="F98">
            <v>46410</v>
          </cell>
          <cell r="G98">
            <v>12.055479452054797</v>
          </cell>
          <cell r="H98" t="str">
            <v>TCRI 3</v>
          </cell>
          <cell r="I98">
            <v>100</v>
          </cell>
          <cell r="J98">
            <v>2.8</v>
          </cell>
        </row>
        <row r="99">
          <cell r="B99">
            <v>84222</v>
          </cell>
          <cell r="C99">
            <v>9.7149315068493127</v>
          </cell>
          <cell r="D99">
            <v>2.8876712328767122</v>
          </cell>
          <cell r="E99">
            <v>46836</v>
          </cell>
          <cell r="F99">
            <v>46850</v>
          </cell>
          <cell r="G99">
            <v>13.314931506849305</v>
          </cell>
          <cell r="H99" t="str">
            <v>TCRI 4</v>
          </cell>
          <cell r="I99">
            <v>100</v>
          </cell>
          <cell r="J99">
            <v>3.25</v>
          </cell>
        </row>
        <row r="100">
          <cell r="B100">
            <v>84672</v>
          </cell>
          <cell r="C100">
            <v>5.208904109589044</v>
          </cell>
          <cell r="D100">
            <v>2.032876712328767</v>
          </cell>
          <cell r="E100">
            <v>46524</v>
          </cell>
          <cell r="F100">
            <v>46537</v>
          </cell>
          <cell r="G100">
            <v>16.008904109589039</v>
          </cell>
          <cell r="H100" t="str">
            <v>聯保</v>
          </cell>
          <cell r="I100">
            <v>100</v>
          </cell>
          <cell r="J100">
            <v>2.4</v>
          </cell>
        </row>
        <row r="101">
          <cell r="B101">
            <v>84881</v>
          </cell>
          <cell r="C101">
            <v>4.1502739726027347</v>
          </cell>
          <cell r="D101">
            <v>1.5917808219178082</v>
          </cell>
          <cell r="E101">
            <v>46363</v>
          </cell>
          <cell r="F101">
            <v>46375</v>
          </cell>
          <cell r="G101">
            <v>4.6002739726027357</v>
          </cell>
          <cell r="H101" t="str">
            <v>玉山/王道</v>
          </cell>
          <cell r="I101">
            <v>100</v>
          </cell>
          <cell r="J101">
            <v>2.4</v>
          </cell>
        </row>
        <row r="102">
          <cell r="B102">
            <v>89277</v>
          </cell>
          <cell r="C102">
            <v>4.207705479452061</v>
          </cell>
          <cell r="D102">
            <v>2.2438356164383562</v>
          </cell>
          <cell r="E102">
            <v>46601</v>
          </cell>
          <cell r="F102">
            <v>46615</v>
          </cell>
          <cell r="G102">
            <v>15.707705479452059</v>
          </cell>
          <cell r="H102" t="str">
            <v>合庫</v>
          </cell>
          <cell r="I102">
            <v>101.50749999999999</v>
          </cell>
          <cell r="J102">
            <v>2.4</v>
          </cell>
        </row>
        <row r="103">
          <cell r="B103">
            <v>89383</v>
          </cell>
          <cell r="C103">
            <v>0.84780821917807891</v>
          </cell>
          <cell r="D103">
            <v>0.17260273972602741</v>
          </cell>
          <cell r="E103">
            <v>45845</v>
          </cell>
          <cell r="F103">
            <v>45858</v>
          </cell>
          <cell r="G103">
            <v>5.9978082191780828</v>
          </cell>
          <cell r="H103" t="str">
            <v>TCRI 4</v>
          </cell>
          <cell r="I103">
            <v>100</v>
          </cell>
          <cell r="J103">
            <v>3</v>
          </cell>
        </row>
        <row r="104">
          <cell r="B104">
            <v>89964</v>
          </cell>
          <cell r="C104">
            <v>4.6267301369862981</v>
          </cell>
          <cell r="D104">
            <v>1.5534246575342465</v>
          </cell>
          <cell r="E104">
            <v>46349</v>
          </cell>
          <cell r="F104">
            <v>46362</v>
          </cell>
          <cell r="G104">
            <v>19.126730136986296</v>
          </cell>
          <cell r="H104" t="str">
            <v>TCRI 5</v>
          </cell>
          <cell r="I104">
            <v>100.75190000000001</v>
          </cell>
          <cell r="J104">
            <v>3.25</v>
          </cell>
        </row>
        <row r="105">
          <cell r="B105">
            <v>98026</v>
          </cell>
          <cell r="C105">
            <v>4.1891438356164361</v>
          </cell>
          <cell r="D105">
            <v>1.4958904109589042</v>
          </cell>
          <cell r="E105">
            <v>46328</v>
          </cell>
          <cell r="F105">
            <v>46341</v>
          </cell>
          <cell r="G105">
            <v>16.489143835616431</v>
          </cell>
          <cell r="H105" t="str">
            <v>TCRI 4</v>
          </cell>
          <cell r="I105">
            <v>101.0025</v>
          </cell>
          <cell r="J105">
            <v>3.25</v>
          </cell>
        </row>
        <row r="106">
          <cell r="B106">
            <v>99392</v>
          </cell>
          <cell r="C106">
            <v>7.0580821917808283</v>
          </cell>
          <cell r="D106">
            <v>2.4465753424657533</v>
          </cell>
          <cell r="E106">
            <v>46675</v>
          </cell>
          <cell r="F106">
            <v>46689</v>
          </cell>
          <cell r="G106">
            <v>14.408082191780821</v>
          </cell>
          <cell r="H106" t="str">
            <v>TCRI 4</v>
          </cell>
          <cell r="I106">
            <v>100</v>
          </cell>
          <cell r="J106">
            <v>2.75</v>
          </cell>
        </row>
        <row r="107">
          <cell r="B107"/>
          <cell r="C107"/>
          <cell r="D107"/>
          <cell r="E107"/>
          <cell r="F107"/>
          <cell r="G107"/>
          <cell r="H107"/>
          <cell r="I107"/>
          <cell r="J107"/>
        </row>
        <row r="108">
          <cell r="B108"/>
          <cell r="C108"/>
          <cell r="D108"/>
          <cell r="E108"/>
          <cell r="F108"/>
          <cell r="G108"/>
          <cell r="H108"/>
          <cell r="I108"/>
          <cell r="J108"/>
        </row>
        <row r="109">
          <cell r="B109"/>
          <cell r="C109"/>
          <cell r="D109"/>
          <cell r="E109"/>
          <cell r="F109"/>
          <cell r="G109"/>
          <cell r="H109"/>
          <cell r="I109"/>
          <cell r="J109"/>
        </row>
        <row r="110">
          <cell r="B110"/>
          <cell r="C110"/>
          <cell r="D110"/>
          <cell r="E110"/>
          <cell r="F110"/>
          <cell r="G110"/>
          <cell r="H110"/>
          <cell r="I110"/>
          <cell r="J110"/>
        </row>
        <row r="111">
          <cell r="B111"/>
          <cell r="C111"/>
          <cell r="D111"/>
          <cell r="E111"/>
          <cell r="F111"/>
          <cell r="G111"/>
          <cell r="H111"/>
          <cell r="I111"/>
          <cell r="J111"/>
        </row>
        <row r="112">
          <cell r="B112"/>
          <cell r="C112"/>
          <cell r="D112"/>
          <cell r="E112"/>
          <cell r="F112"/>
          <cell r="G112"/>
          <cell r="H112"/>
          <cell r="I112"/>
          <cell r="J112"/>
        </row>
        <row r="113">
          <cell r="B113"/>
          <cell r="C113"/>
          <cell r="D113"/>
          <cell r="E113"/>
          <cell r="F113"/>
          <cell r="G113"/>
          <cell r="H113"/>
          <cell r="I113"/>
          <cell r="J113"/>
        </row>
        <row r="114">
          <cell r="B114"/>
          <cell r="C114"/>
          <cell r="D114"/>
          <cell r="E114"/>
          <cell r="F114"/>
          <cell r="G114"/>
          <cell r="H114" t="str">
            <v xml:space="preserve">                     </v>
          </cell>
          <cell r="I114"/>
          <cell r="J114"/>
        </row>
        <row r="115">
          <cell r="B115"/>
          <cell r="C115"/>
          <cell r="D115"/>
          <cell r="E115"/>
          <cell r="F115"/>
          <cell r="G115"/>
          <cell r="H115"/>
          <cell r="I115"/>
          <cell r="J115"/>
        </row>
        <row r="116">
          <cell r="B116"/>
          <cell r="C116"/>
          <cell r="D116"/>
          <cell r="E116"/>
          <cell r="F116"/>
          <cell r="G116"/>
          <cell r="H116"/>
          <cell r="I116"/>
          <cell r="J116"/>
        </row>
        <row r="117">
          <cell r="B117"/>
          <cell r="C117"/>
          <cell r="D117"/>
          <cell r="E117"/>
          <cell r="F117"/>
          <cell r="G117"/>
          <cell r="H117"/>
          <cell r="I117"/>
          <cell r="J117"/>
        </row>
        <row r="118">
          <cell r="B118"/>
          <cell r="C118"/>
          <cell r="D118"/>
          <cell r="E118"/>
          <cell r="F118"/>
          <cell r="G118"/>
          <cell r="H118"/>
          <cell r="I118"/>
          <cell r="J118"/>
        </row>
        <row r="119">
          <cell r="B119"/>
          <cell r="C119"/>
          <cell r="D119"/>
          <cell r="E119"/>
          <cell r="F119"/>
          <cell r="G119"/>
          <cell r="H119"/>
          <cell r="I119"/>
          <cell r="J119"/>
        </row>
        <row r="120">
          <cell r="B120"/>
          <cell r="C120"/>
          <cell r="D120"/>
          <cell r="E120"/>
          <cell r="F120"/>
          <cell r="G120"/>
          <cell r="H120"/>
          <cell r="I120"/>
          <cell r="J120"/>
        </row>
        <row r="121">
          <cell r="B121"/>
          <cell r="C121"/>
          <cell r="D121"/>
          <cell r="E121"/>
          <cell r="F121"/>
          <cell r="G121"/>
          <cell r="H121"/>
          <cell r="I121"/>
          <cell r="J121"/>
        </row>
        <row r="122">
          <cell r="B122"/>
          <cell r="C122"/>
          <cell r="D122"/>
          <cell r="E122"/>
          <cell r="F122"/>
          <cell r="G122"/>
          <cell r="H122"/>
          <cell r="I122"/>
          <cell r="J122"/>
        </row>
        <row r="123">
          <cell r="B123"/>
          <cell r="C123"/>
          <cell r="D123"/>
          <cell r="E123"/>
          <cell r="F123"/>
          <cell r="G123"/>
          <cell r="H123"/>
          <cell r="I123"/>
          <cell r="J123"/>
        </row>
        <row r="124">
          <cell r="B124"/>
          <cell r="C124"/>
          <cell r="D124"/>
          <cell r="E124"/>
          <cell r="F124"/>
          <cell r="G124"/>
          <cell r="H124"/>
          <cell r="I124"/>
          <cell r="J124"/>
        </row>
        <row r="125">
          <cell r="B125"/>
          <cell r="C125"/>
          <cell r="D125"/>
          <cell r="E125"/>
          <cell r="F125"/>
          <cell r="G125"/>
          <cell r="H125"/>
          <cell r="I125"/>
          <cell r="J125"/>
        </row>
        <row r="126">
          <cell r="B126"/>
          <cell r="C126"/>
          <cell r="D126"/>
          <cell r="E126"/>
          <cell r="F126"/>
          <cell r="G126"/>
          <cell r="H126"/>
          <cell r="I126"/>
          <cell r="J126"/>
        </row>
        <row r="127">
          <cell r="B127"/>
          <cell r="C127"/>
          <cell r="D127"/>
          <cell r="E127"/>
          <cell r="F127"/>
          <cell r="G127"/>
          <cell r="H127"/>
          <cell r="I127"/>
          <cell r="J127"/>
        </row>
      </sheetData>
      <sheetData sheetId="8">
        <row r="2">
          <cell r="C2"/>
          <cell r="D2"/>
          <cell r="E2"/>
          <cell r="F2"/>
          <cell r="G2"/>
          <cell r="H2"/>
          <cell r="I2"/>
          <cell r="J2"/>
        </row>
        <row r="3">
          <cell r="C3"/>
          <cell r="D3"/>
          <cell r="E3"/>
          <cell r="F3"/>
          <cell r="G3"/>
          <cell r="H3"/>
          <cell r="I3"/>
          <cell r="J3"/>
        </row>
        <row r="5">
          <cell r="C5" t="str">
            <v>可轉債
代碼</v>
          </cell>
          <cell r="D5" t="str">
            <v>權利金
(百元報價)</v>
          </cell>
          <cell r="E5" t="str">
            <v>權利金
(市價)</v>
          </cell>
          <cell r="F5" t="str">
            <v>天期 
(年)</v>
          </cell>
          <cell r="G5" t="str">
            <v>履約
利率(R)</v>
          </cell>
          <cell r="H5" t="str">
            <v>標的
股價</v>
          </cell>
          <cell r="I5" t="str">
            <v>轉換
股價</v>
          </cell>
          <cell r="J5" t="str">
            <v>可轉債
市價</v>
          </cell>
        </row>
        <row r="6">
          <cell r="C6">
            <v>11011</v>
          </cell>
          <cell r="D6">
            <v>7.22</v>
          </cell>
          <cell r="E6">
            <v>7.26</v>
          </cell>
          <cell r="F6">
            <v>2.5808219178082199</v>
          </cell>
          <cell r="G6">
            <v>2.7</v>
          </cell>
          <cell r="H6">
            <v>29.35</v>
          </cell>
          <cell r="I6">
            <v>36.5</v>
          </cell>
          <cell r="J6">
            <v>100.05</v>
          </cell>
        </row>
        <row r="7">
          <cell r="C7">
            <v>13164</v>
          </cell>
          <cell r="D7">
            <v>1.82</v>
          </cell>
          <cell r="E7">
            <v>23.82</v>
          </cell>
          <cell r="F7">
            <v>0.71780821917808202</v>
          </cell>
          <cell r="G7">
            <v>2.2000000000000002</v>
          </cell>
          <cell r="H7">
            <v>14.8</v>
          </cell>
          <cell r="I7">
            <v>15</v>
          </cell>
          <cell r="J7">
            <v>122</v>
          </cell>
        </row>
        <row r="8">
          <cell r="C8">
            <v>13166</v>
          </cell>
          <cell r="D8">
            <v>3.81</v>
          </cell>
          <cell r="E8">
            <v>13.31</v>
          </cell>
          <cell r="F8">
            <v>1.6273972602739699</v>
          </cell>
          <cell r="G8">
            <v>2.5</v>
          </cell>
          <cell r="H8">
            <v>14.8</v>
          </cell>
          <cell r="I8">
            <v>17.399999999999999</v>
          </cell>
          <cell r="J8">
            <v>109.5</v>
          </cell>
        </row>
        <row r="9">
          <cell r="C9">
            <v>140201</v>
          </cell>
          <cell r="D9">
            <v>6.07</v>
          </cell>
          <cell r="E9">
            <v>12.67</v>
          </cell>
          <cell r="F9">
            <v>2.2410958904109601</v>
          </cell>
          <cell r="G9">
            <v>2.6</v>
          </cell>
          <cell r="H9">
            <v>43.95</v>
          </cell>
          <cell r="I9">
            <v>45.4</v>
          </cell>
          <cell r="J9">
            <v>106.6</v>
          </cell>
        </row>
        <row r="10">
          <cell r="C10">
            <v>14362</v>
          </cell>
          <cell r="D10">
            <v>1.46</v>
          </cell>
          <cell r="E10">
            <v>286.45</v>
          </cell>
          <cell r="F10">
            <v>0.55616438356164399</v>
          </cell>
          <cell r="G10">
            <v>2.2000000000000002</v>
          </cell>
          <cell r="H10">
            <v>119</v>
          </cell>
          <cell r="I10">
            <v>30.5</v>
          </cell>
          <cell r="J10">
            <v>385</v>
          </cell>
        </row>
        <row r="11">
          <cell r="C11">
            <v>14381</v>
          </cell>
          <cell r="D11">
            <v>5.25</v>
          </cell>
          <cell r="E11">
            <v>33.25</v>
          </cell>
          <cell r="F11">
            <v>2.6054794520547899</v>
          </cell>
          <cell r="G11">
            <v>2.5</v>
          </cell>
          <cell r="H11">
            <v>43.8</v>
          </cell>
          <cell r="I11">
            <v>55.88</v>
          </cell>
          <cell r="J11">
            <v>128</v>
          </cell>
        </row>
        <row r="12">
          <cell r="C12">
            <v>15601</v>
          </cell>
          <cell r="D12">
            <v>5.75</v>
          </cell>
          <cell r="E12">
            <v>13.75</v>
          </cell>
          <cell r="F12">
            <v>2.1178082191780798</v>
          </cell>
          <cell r="G12">
            <v>2.6</v>
          </cell>
          <cell r="H12">
            <v>218</v>
          </cell>
          <cell r="I12">
            <v>288.2</v>
          </cell>
          <cell r="J12">
            <v>108</v>
          </cell>
        </row>
        <row r="13">
          <cell r="C13">
            <v>15864</v>
          </cell>
          <cell r="D13">
            <v>3.23</v>
          </cell>
          <cell r="E13">
            <v>9.23</v>
          </cell>
          <cell r="F13">
            <v>1.3013698630137001</v>
          </cell>
          <cell r="G13">
            <v>2.2999999999999998</v>
          </cell>
          <cell r="H13">
            <v>27.45</v>
          </cell>
          <cell r="I13">
            <v>32.82</v>
          </cell>
          <cell r="J13">
            <v>106</v>
          </cell>
        </row>
        <row r="14">
          <cell r="C14">
            <v>15991</v>
          </cell>
          <cell r="D14">
            <v>1.38</v>
          </cell>
          <cell r="E14">
            <v>0.87</v>
          </cell>
          <cell r="F14">
            <v>0.52054794520547898</v>
          </cell>
          <cell r="G14">
            <v>2.2000000000000002</v>
          </cell>
          <cell r="H14">
            <v>28.15</v>
          </cell>
          <cell r="I14">
            <v>41.5</v>
          </cell>
          <cell r="J14">
            <v>99.5</v>
          </cell>
        </row>
        <row r="15">
          <cell r="C15">
            <v>17813</v>
          </cell>
          <cell r="D15">
            <v>5.69</v>
          </cell>
          <cell r="E15">
            <v>9.68</v>
          </cell>
          <cell r="F15">
            <v>2.3698630136986298</v>
          </cell>
          <cell r="G15">
            <v>2.2999999999999998</v>
          </cell>
          <cell r="H15">
            <v>12.85</v>
          </cell>
          <cell r="I15">
            <v>18</v>
          </cell>
          <cell r="J15">
            <v>104</v>
          </cell>
        </row>
        <row r="16">
          <cell r="C16">
            <v>20343</v>
          </cell>
          <cell r="D16">
            <v>1.79</v>
          </cell>
          <cell r="E16">
            <v>7.79</v>
          </cell>
          <cell r="F16">
            <v>0.59452054794520603</v>
          </cell>
          <cell r="G16">
            <v>2.6</v>
          </cell>
          <cell r="H16">
            <v>21.35</v>
          </cell>
          <cell r="I16">
            <v>21.1</v>
          </cell>
          <cell r="J16">
            <v>106</v>
          </cell>
        </row>
        <row r="17">
          <cell r="C17">
            <v>20344</v>
          </cell>
          <cell r="D17">
            <v>7.44</v>
          </cell>
          <cell r="E17">
            <v>12.43</v>
          </cell>
          <cell r="F17">
            <v>2.3917808219178101</v>
          </cell>
          <cell r="G17">
            <v>3</v>
          </cell>
          <cell r="H17">
            <v>21.35</v>
          </cell>
          <cell r="I17">
            <v>25.2</v>
          </cell>
          <cell r="J17">
            <v>105</v>
          </cell>
        </row>
        <row r="18">
          <cell r="C18">
            <v>20662</v>
          </cell>
          <cell r="D18">
            <v>4.8600000000000003</v>
          </cell>
          <cell r="E18">
            <v>8.66</v>
          </cell>
          <cell r="F18">
            <v>1.2191780821917799</v>
          </cell>
          <cell r="G18">
            <v>3.75</v>
          </cell>
          <cell r="H18">
            <v>81.900000000000006</v>
          </cell>
          <cell r="I18">
            <v>92.9</v>
          </cell>
          <cell r="J18">
            <v>103.8</v>
          </cell>
        </row>
        <row r="19">
          <cell r="C19">
            <v>22283</v>
          </cell>
          <cell r="D19">
            <v>6.46</v>
          </cell>
          <cell r="E19">
            <v>17.45</v>
          </cell>
          <cell r="F19">
            <v>2.2986301369862998</v>
          </cell>
          <cell r="G19">
            <v>2.7</v>
          </cell>
          <cell r="H19">
            <v>93.1</v>
          </cell>
          <cell r="I19">
            <v>94.5</v>
          </cell>
          <cell r="J19">
            <v>111</v>
          </cell>
        </row>
        <row r="20">
          <cell r="C20">
            <v>23682</v>
          </cell>
          <cell r="D20">
            <v>4.32</v>
          </cell>
          <cell r="E20">
            <v>16.22</v>
          </cell>
          <cell r="F20">
            <v>1.56712328767123</v>
          </cell>
          <cell r="G20">
            <v>2.6</v>
          </cell>
          <cell r="H20">
            <v>195</v>
          </cell>
          <cell r="I20">
            <v>218.9</v>
          </cell>
          <cell r="J20">
            <v>111.9</v>
          </cell>
        </row>
        <row r="21">
          <cell r="C21">
            <v>23835</v>
          </cell>
          <cell r="D21">
            <v>4.93</v>
          </cell>
          <cell r="E21">
            <v>145.91999999999999</v>
          </cell>
          <cell r="F21">
            <v>1.95342465753425</v>
          </cell>
          <cell r="G21">
            <v>2.4</v>
          </cell>
          <cell r="H21">
            <v>566</v>
          </cell>
          <cell r="I21">
            <v>236.2</v>
          </cell>
          <cell r="J21">
            <v>241</v>
          </cell>
        </row>
        <row r="22">
          <cell r="C22">
            <v>23836</v>
          </cell>
          <cell r="D22">
            <v>5.93</v>
          </cell>
          <cell r="E22">
            <v>19.43</v>
          </cell>
          <cell r="F22">
            <v>2.3726027397260299</v>
          </cell>
          <cell r="G22">
            <v>2.4</v>
          </cell>
          <cell r="H22">
            <v>566</v>
          </cell>
          <cell r="I22">
            <v>607.5</v>
          </cell>
          <cell r="J22">
            <v>113.5</v>
          </cell>
        </row>
        <row r="23">
          <cell r="C23">
            <v>24394</v>
          </cell>
          <cell r="D23">
            <v>5.65</v>
          </cell>
          <cell r="E23">
            <v>10.89</v>
          </cell>
          <cell r="F23">
            <v>2.1616438356164398</v>
          </cell>
          <cell r="G23">
            <v>2.5</v>
          </cell>
          <cell r="H23">
            <v>111.5</v>
          </cell>
          <cell r="I23">
            <v>137.5</v>
          </cell>
          <cell r="J23">
            <v>105.25</v>
          </cell>
        </row>
        <row r="24">
          <cell r="C24">
            <v>24395</v>
          </cell>
          <cell r="D24">
            <v>5.73</v>
          </cell>
          <cell r="E24">
            <v>11.58</v>
          </cell>
          <cell r="F24">
            <v>2.1945205479452099</v>
          </cell>
          <cell r="G24">
            <v>2.5</v>
          </cell>
          <cell r="H24">
            <v>111.5</v>
          </cell>
          <cell r="I24">
            <v>133.5</v>
          </cell>
          <cell r="J24">
            <v>105.85</v>
          </cell>
        </row>
        <row r="25">
          <cell r="C25">
            <v>24762</v>
          </cell>
          <cell r="D25">
            <v>4.6900000000000004</v>
          </cell>
          <cell r="E25">
            <v>20.190000000000001</v>
          </cell>
          <cell r="F25">
            <v>1.70958904109589</v>
          </cell>
          <cell r="G25">
            <v>2.6</v>
          </cell>
          <cell r="H25">
            <v>68.3</v>
          </cell>
          <cell r="I25">
            <v>69.599999999999994</v>
          </cell>
          <cell r="J25">
            <v>115.5</v>
          </cell>
        </row>
        <row r="26">
          <cell r="C26">
            <v>24972</v>
          </cell>
          <cell r="D26">
            <v>0.56999999999999995</v>
          </cell>
          <cell r="E26">
            <v>0.22</v>
          </cell>
          <cell r="F26">
            <v>0.153424657534247</v>
          </cell>
          <cell r="G26">
            <v>2.2000000000000002</v>
          </cell>
          <cell r="H26">
            <v>46.35</v>
          </cell>
          <cell r="I26">
            <v>82.4</v>
          </cell>
          <cell r="J26">
            <v>99.65</v>
          </cell>
        </row>
        <row r="27">
          <cell r="C27">
            <v>25283</v>
          </cell>
          <cell r="D27">
            <v>5.82</v>
          </cell>
          <cell r="E27">
            <v>17.82</v>
          </cell>
          <cell r="F27">
            <v>2.63835616438356</v>
          </cell>
          <cell r="G27">
            <v>2.4</v>
          </cell>
          <cell r="H27">
            <v>34.200000000000003</v>
          </cell>
          <cell r="I27">
            <v>46.4</v>
          </cell>
          <cell r="J27">
            <v>112</v>
          </cell>
        </row>
        <row r="28">
          <cell r="C28">
            <v>26107</v>
          </cell>
          <cell r="D28">
            <v>2.65</v>
          </cell>
          <cell r="E28">
            <v>32.340000000000003</v>
          </cell>
          <cell r="F28">
            <v>0.96164383561643796</v>
          </cell>
          <cell r="G28">
            <v>2.5</v>
          </cell>
          <cell r="H28">
            <v>20.9</v>
          </cell>
          <cell r="I28">
            <v>17.5</v>
          </cell>
          <cell r="J28">
            <v>129.69999999999999</v>
          </cell>
        </row>
        <row r="29">
          <cell r="C29">
            <v>27271</v>
          </cell>
          <cell r="D29">
            <v>1.97</v>
          </cell>
          <cell r="E29">
            <v>8.66</v>
          </cell>
          <cell r="F29">
            <v>0.87945205479452104</v>
          </cell>
          <cell r="G29">
            <v>2.8</v>
          </cell>
          <cell r="H29">
            <v>214.5</v>
          </cell>
          <cell r="I29">
            <v>248.1</v>
          </cell>
          <cell r="J29">
            <v>106.7</v>
          </cell>
        </row>
        <row r="30">
          <cell r="C30">
            <v>30134</v>
          </cell>
          <cell r="D30">
            <v>5.84</v>
          </cell>
          <cell r="E30">
            <v>10.53</v>
          </cell>
          <cell r="F30">
            <v>2.4356164383561598</v>
          </cell>
          <cell r="G30">
            <v>2.2999999999999998</v>
          </cell>
          <cell r="H30">
            <v>84.1</v>
          </cell>
          <cell r="I30">
            <v>144.5</v>
          </cell>
          <cell r="J30">
            <v>104.7</v>
          </cell>
        </row>
        <row r="31">
          <cell r="C31">
            <v>30238</v>
          </cell>
          <cell r="D31">
            <v>1.71</v>
          </cell>
          <cell r="E31">
            <v>5.7</v>
          </cell>
          <cell r="F31">
            <v>0.58630136986301395</v>
          </cell>
          <cell r="G31">
            <v>2.5</v>
          </cell>
          <cell r="H31">
            <v>215</v>
          </cell>
          <cell r="I31">
            <v>270.89999999999998</v>
          </cell>
          <cell r="J31">
            <v>104</v>
          </cell>
        </row>
        <row r="32">
          <cell r="C32">
            <v>30454</v>
          </cell>
          <cell r="D32">
            <v>6.93</v>
          </cell>
          <cell r="E32">
            <v>6.83</v>
          </cell>
          <cell r="F32">
            <v>2.7890410958904099</v>
          </cell>
          <cell r="G32">
            <v>2.4</v>
          </cell>
          <cell r="H32">
            <v>113</v>
          </cell>
          <cell r="I32">
            <v>123</v>
          </cell>
          <cell r="J32">
            <v>99.9</v>
          </cell>
        </row>
        <row r="33">
          <cell r="C33">
            <v>30455</v>
          </cell>
          <cell r="D33">
            <v>6.94</v>
          </cell>
          <cell r="E33">
            <v>9.99</v>
          </cell>
          <cell r="F33">
            <v>2.79178082191781</v>
          </cell>
          <cell r="G33">
            <v>2.4</v>
          </cell>
          <cell r="H33">
            <v>113</v>
          </cell>
          <cell r="I33">
            <v>115.8</v>
          </cell>
          <cell r="J33">
            <v>103.05</v>
          </cell>
        </row>
        <row r="34">
          <cell r="C34">
            <v>30882</v>
          </cell>
          <cell r="D34">
            <v>4.1500000000000004</v>
          </cell>
          <cell r="E34">
            <v>19.39</v>
          </cell>
          <cell r="F34">
            <v>1.2958904109589</v>
          </cell>
          <cell r="G34">
            <v>3</v>
          </cell>
          <cell r="H34">
            <v>100</v>
          </cell>
          <cell r="I34">
            <v>93</v>
          </cell>
          <cell r="J34">
            <v>115.25</v>
          </cell>
        </row>
        <row r="35">
          <cell r="C35">
            <v>30954</v>
          </cell>
          <cell r="D35">
            <v>4.3600000000000003</v>
          </cell>
          <cell r="E35">
            <v>18.55</v>
          </cell>
          <cell r="F35">
            <v>1.79178082191781</v>
          </cell>
          <cell r="G35">
            <v>2.2999999999999998</v>
          </cell>
          <cell r="H35">
            <v>34.35</v>
          </cell>
          <cell r="I35">
            <v>41.1</v>
          </cell>
          <cell r="J35">
            <v>114.2</v>
          </cell>
        </row>
        <row r="36">
          <cell r="C36">
            <v>33101</v>
          </cell>
          <cell r="D36">
            <v>0.26</v>
          </cell>
          <cell r="E36">
            <v>225.25</v>
          </cell>
          <cell r="F36">
            <v>0.35342465753424701</v>
          </cell>
          <cell r="G36">
            <v>2.2000000000000002</v>
          </cell>
          <cell r="H36">
            <v>79.400000000000006</v>
          </cell>
          <cell r="I36">
            <v>23.43</v>
          </cell>
          <cell r="J36">
            <v>325</v>
          </cell>
        </row>
        <row r="37">
          <cell r="C37">
            <v>33133</v>
          </cell>
          <cell r="D37">
            <v>6.1</v>
          </cell>
          <cell r="E37">
            <v>10.6</v>
          </cell>
          <cell r="F37">
            <v>2.5506849315068498</v>
          </cell>
          <cell r="G37">
            <v>2.2999999999999998</v>
          </cell>
          <cell r="H37">
            <v>12.55</v>
          </cell>
          <cell r="I37">
            <v>16.5</v>
          </cell>
          <cell r="J37">
            <v>104.5</v>
          </cell>
        </row>
        <row r="38">
          <cell r="C38">
            <v>33245</v>
          </cell>
          <cell r="D38">
            <v>4.51</v>
          </cell>
          <cell r="E38">
            <v>16.45</v>
          </cell>
          <cell r="F38">
            <v>2.2191780821917799</v>
          </cell>
          <cell r="G38">
            <v>2.6</v>
          </cell>
          <cell r="H38">
            <v>502</v>
          </cell>
          <cell r="I38">
            <v>747.7</v>
          </cell>
          <cell r="J38">
            <v>111.95</v>
          </cell>
        </row>
        <row r="39">
          <cell r="C39">
            <v>33571</v>
          </cell>
          <cell r="D39">
            <v>4.07</v>
          </cell>
          <cell r="E39">
            <v>10.17</v>
          </cell>
          <cell r="F39">
            <v>1.4712328767123299</v>
          </cell>
          <cell r="G39">
            <v>2.6</v>
          </cell>
          <cell r="H39">
            <v>93.1</v>
          </cell>
          <cell r="I39">
            <v>113.5</v>
          </cell>
          <cell r="J39">
            <v>106.1</v>
          </cell>
        </row>
        <row r="40">
          <cell r="C40">
            <v>33621</v>
          </cell>
          <cell r="D40">
            <v>4.5</v>
          </cell>
          <cell r="E40">
            <v>6.14</v>
          </cell>
          <cell r="F40">
            <v>2.17808219178082</v>
          </cell>
          <cell r="G40">
            <v>2.2999999999999998</v>
          </cell>
          <cell r="H40">
            <v>130</v>
          </cell>
          <cell r="I40">
            <v>253</v>
          </cell>
          <cell r="J40">
            <v>101.65</v>
          </cell>
        </row>
        <row r="41">
          <cell r="C41">
            <v>33763</v>
          </cell>
          <cell r="D41">
            <v>4.67</v>
          </cell>
          <cell r="E41">
            <v>24.97</v>
          </cell>
          <cell r="F41">
            <v>2.2821917808219201</v>
          </cell>
          <cell r="G41">
            <v>2.6</v>
          </cell>
          <cell r="H41">
            <v>186</v>
          </cell>
          <cell r="I41">
            <v>200.3</v>
          </cell>
          <cell r="J41">
            <v>120.3</v>
          </cell>
        </row>
        <row r="42">
          <cell r="C42">
            <v>33881</v>
          </cell>
          <cell r="D42">
            <v>1.59</v>
          </cell>
          <cell r="E42">
            <v>5.99</v>
          </cell>
          <cell r="F42">
            <v>0.49589041095890402</v>
          </cell>
          <cell r="G42">
            <v>2.7</v>
          </cell>
          <cell r="H42">
            <v>64.5</v>
          </cell>
          <cell r="I42">
            <v>66.400000000000006</v>
          </cell>
          <cell r="J42">
            <v>104.4</v>
          </cell>
        </row>
        <row r="43">
          <cell r="C43">
            <v>33902</v>
          </cell>
          <cell r="D43">
            <v>6.63</v>
          </cell>
          <cell r="E43">
            <v>16.63</v>
          </cell>
          <cell r="F43">
            <v>2.7808219178082201</v>
          </cell>
          <cell r="G43">
            <v>2.2999999999999998</v>
          </cell>
          <cell r="H43">
            <v>22.55</v>
          </cell>
          <cell r="I43">
            <v>26.2</v>
          </cell>
          <cell r="J43">
            <v>110</v>
          </cell>
        </row>
        <row r="44">
          <cell r="C44">
            <v>34132</v>
          </cell>
          <cell r="D44">
            <v>1.59</v>
          </cell>
          <cell r="E44">
            <v>63.58</v>
          </cell>
          <cell r="F44">
            <v>0.51506849315068504</v>
          </cell>
          <cell r="G44">
            <v>2.6</v>
          </cell>
          <cell r="H44">
            <v>269.5</v>
          </cell>
          <cell r="I44">
            <v>164.66</v>
          </cell>
          <cell r="J44">
            <v>162</v>
          </cell>
        </row>
        <row r="45">
          <cell r="C45">
            <v>34163</v>
          </cell>
          <cell r="D45">
            <v>1.7</v>
          </cell>
          <cell r="E45">
            <v>17.690000000000001</v>
          </cell>
          <cell r="F45">
            <v>0.70684931506849302</v>
          </cell>
          <cell r="G45">
            <v>2.75</v>
          </cell>
          <cell r="H45">
            <v>133</v>
          </cell>
          <cell r="I45">
            <v>132.30000000000001</v>
          </cell>
          <cell r="J45">
            <v>116</v>
          </cell>
        </row>
        <row r="46">
          <cell r="C46">
            <v>34341</v>
          </cell>
          <cell r="D46">
            <v>4.37</v>
          </cell>
          <cell r="E46">
            <v>93.37</v>
          </cell>
          <cell r="F46">
            <v>1.7972602739726</v>
          </cell>
          <cell r="G46">
            <v>2.2999999999999998</v>
          </cell>
          <cell r="H46">
            <v>69.099999999999994</v>
          </cell>
          <cell r="I46">
            <v>30.3</v>
          </cell>
          <cell r="J46">
            <v>189</v>
          </cell>
        </row>
        <row r="47">
          <cell r="C47">
            <v>34793</v>
          </cell>
          <cell r="D47">
            <v>5.01</v>
          </cell>
          <cell r="E47">
            <v>12.46</v>
          </cell>
          <cell r="F47">
            <v>1.6986301369862999</v>
          </cell>
          <cell r="G47">
            <v>2.8</v>
          </cell>
          <cell r="H47">
            <v>93.3</v>
          </cell>
          <cell r="I47">
            <v>115.3</v>
          </cell>
          <cell r="J47">
            <v>107.45</v>
          </cell>
        </row>
        <row r="48">
          <cell r="C48">
            <v>34843</v>
          </cell>
          <cell r="D48">
            <v>2.61</v>
          </cell>
          <cell r="E48">
            <v>24.46</v>
          </cell>
          <cell r="F48">
            <v>0.95068493150684896</v>
          </cell>
          <cell r="G48">
            <v>3.25</v>
          </cell>
          <cell r="H48">
            <v>47.6</v>
          </cell>
          <cell r="I48">
            <v>44.2</v>
          </cell>
          <cell r="J48">
            <v>121.85</v>
          </cell>
        </row>
        <row r="49">
          <cell r="C49">
            <v>34912</v>
          </cell>
          <cell r="D49">
            <v>6.68</v>
          </cell>
          <cell r="E49">
            <v>38.58</v>
          </cell>
          <cell r="F49">
            <v>2.2958904109588998</v>
          </cell>
          <cell r="G49">
            <v>2.8</v>
          </cell>
          <cell r="H49">
            <v>387.5</v>
          </cell>
          <cell r="I49">
            <v>305.3</v>
          </cell>
          <cell r="J49">
            <v>131.9</v>
          </cell>
        </row>
        <row r="50">
          <cell r="C50">
            <v>35181</v>
          </cell>
          <cell r="D50">
            <v>5.44</v>
          </cell>
          <cell r="E50">
            <v>8.33</v>
          </cell>
          <cell r="F50">
            <v>2.2602739726027399</v>
          </cell>
          <cell r="G50">
            <v>2.2999999999999998</v>
          </cell>
          <cell r="H50">
            <v>17.8</v>
          </cell>
          <cell r="I50">
            <v>35</v>
          </cell>
          <cell r="J50">
            <v>102.9</v>
          </cell>
        </row>
        <row r="51">
          <cell r="C51">
            <v>35221</v>
          </cell>
          <cell r="D51">
            <v>0.56000000000000005</v>
          </cell>
          <cell r="E51">
            <v>7.55</v>
          </cell>
          <cell r="F51">
            <v>0.602739726027397</v>
          </cell>
          <cell r="G51">
            <v>2.2000000000000002</v>
          </cell>
          <cell r="H51">
            <v>15.9</v>
          </cell>
          <cell r="I51">
            <v>18.600000000000001</v>
          </cell>
          <cell r="J51">
            <v>107</v>
          </cell>
        </row>
        <row r="52">
          <cell r="C52">
            <v>35266</v>
          </cell>
          <cell r="D52">
            <v>5.0599999999999996</v>
          </cell>
          <cell r="E52">
            <v>29.66</v>
          </cell>
          <cell r="F52">
            <v>1.7178082191780799</v>
          </cell>
          <cell r="G52">
            <v>2.8</v>
          </cell>
          <cell r="H52">
            <v>232</v>
          </cell>
          <cell r="I52">
            <v>212.8</v>
          </cell>
          <cell r="J52">
            <v>124.6</v>
          </cell>
        </row>
        <row r="53">
          <cell r="C53">
            <v>35482</v>
          </cell>
          <cell r="D53">
            <v>4.5599999999999996</v>
          </cell>
          <cell r="E53">
            <v>7.06</v>
          </cell>
          <cell r="F53">
            <v>1.66027397260274</v>
          </cell>
          <cell r="G53">
            <v>2.6</v>
          </cell>
          <cell r="H53">
            <v>123</v>
          </cell>
          <cell r="I53">
            <v>194.2</v>
          </cell>
          <cell r="J53">
            <v>102.5</v>
          </cell>
        </row>
        <row r="54">
          <cell r="C54">
            <v>35483</v>
          </cell>
          <cell r="D54">
            <v>7.51</v>
          </cell>
          <cell r="E54">
            <v>10.95</v>
          </cell>
          <cell r="F54">
            <v>2.79178082191781</v>
          </cell>
          <cell r="G54">
            <v>2.6</v>
          </cell>
          <cell r="H54">
            <v>123</v>
          </cell>
          <cell r="I54">
            <v>170</v>
          </cell>
          <cell r="J54">
            <v>103.45</v>
          </cell>
        </row>
        <row r="55">
          <cell r="C55">
            <v>35832</v>
          </cell>
          <cell r="D55">
            <v>3.35</v>
          </cell>
          <cell r="E55">
            <v>10.34</v>
          </cell>
          <cell r="F55">
            <v>1.1041095890410999</v>
          </cell>
          <cell r="G55">
            <v>2.8</v>
          </cell>
          <cell r="H55">
            <v>270</v>
          </cell>
          <cell r="I55">
            <v>342.5</v>
          </cell>
          <cell r="J55">
            <v>107</v>
          </cell>
        </row>
        <row r="56">
          <cell r="C56">
            <v>35871</v>
          </cell>
          <cell r="D56">
            <v>3.13</v>
          </cell>
          <cell r="E56">
            <v>14.12</v>
          </cell>
          <cell r="F56">
            <v>1.1068493150684899</v>
          </cell>
          <cell r="G56">
            <v>2.6</v>
          </cell>
          <cell r="H56">
            <v>156</v>
          </cell>
          <cell r="I56">
            <v>200.7</v>
          </cell>
          <cell r="J56">
            <v>111</v>
          </cell>
        </row>
        <row r="57">
          <cell r="C57">
            <v>36804</v>
          </cell>
          <cell r="D57">
            <v>1.57</v>
          </cell>
          <cell r="E57">
            <v>17.66</v>
          </cell>
          <cell r="F57">
            <v>0.43561643835616398</v>
          </cell>
          <cell r="G57">
            <v>3</v>
          </cell>
          <cell r="H57">
            <v>369</v>
          </cell>
          <cell r="I57">
            <v>361</v>
          </cell>
          <cell r="J57">
            <v>116.1</v>
          </cell>
        </row>
        <row r="58">
          <cell r="C58">
            <v>36913</v>
          </cell>
          <cell r="D58">
            <v>5.53</v>
          </cell>
          <cell r="E58">
            <v>4.43</v>
          </cell>
          <cell r="F58">
            <v>2.3013698630136998</v>
          </cell>
          <cell r="G58">
            <v>2.2999999999999998</v>
          </cell>
          <cell r="H58">
            <v>63.3</v>
          </cell>
          <cell r="I58">
            <v>118</v>
          </cell>
          <cell r="J58">
            <v>98.9</v>
          </cell>
        </row>
        <row r="59">
          <cell r="C59">
            <v>37022</v>
          </cell>
          <cell r="D59">
            <v>7.26</v>
          </cell>
          <cell r="E59">
            <v>7.15</v>
          </cell>
          <cell r="F59">
            <v>2.5013698630137</v>
          </cell>
          <cell r="G59">
            <v>2.8</v>
          </cell>
          <cell r="H59">
            <v>66.5</v>
          </cell>
          <cell r="I59">
            <v>80.5</v>
          </cell>
          <cell r="J59">
            <v>99.9</v>
          </cell>
        </row>
        <row r="60">
          <cell r="C60">
            <v>37023</v>
          </cell>
          <cell r="D60">
            <v>7.34</v>
          </cell>
          <cell r="E60">
            <v>8.68</v>
          </cell>
          <cell r="F60">
            <v>2.5287671232876701</v>
          </cell>
          <cell r="G60">
            <v>2.8</v>
          </cell>
          <cell r="H60">
            <v>66.5</v>
          </cell>
          <cell r="I60">
            <v>78</v>
          </cell>
          <cell r="J60">
            <v>101.35</v>
          </cell>
        </row>
        <row r="61">
          <cell r="C61">
            <v>37083</v>
          </cell>
          <cell r="D61">
            <v>3.41</v>
          </cell>
          <cell r="E61">
            <v>9.85</v>
          </cell>
          <cell r="F61">
            <v>1.3780821917808199</v>
          </cell>
          <cell r="G61">
            <v>2.2999999999999998</v>
          </cell>
          <cell r="H61">
            <v>73.099999999999994</v>
          </cell>
          <cell r="I61">
            <v>89.1</v>
          </cell>
          <cell r="J61">
            <v>106.45</v>
          </cell>
        </row>
        <row r="62">
          <cell r="C62">
            <v>41234</v>
          </cell>
          <cell r="D62">
            <v>0.94</v>
          </cell>
          <cell r="E62">
            <v>0.94</v>
          </cell>
          <cell r="F62">
            <v>0.32328767123287699</v>
          </cell>
          <cell r="G62">
            <v>2.2000000000000002</v>
          </cell>
          <cell r="H62">
            <v>34.549999999999997</v>
          </cell>
          <cell r="I62">
            <v>58.3</v>
          </cell>
          <cell r="J62">
            <v>100</v>
          </cell>
        </row>
        <row r="63">
          <cell r="C63">
            <v>41235</v>
          </cell>
          <cell r="D63">
            <v>0.95</v>
          </cell>
          <cell r="E63">
            <v>0.2</v>
          </cell>
          <cell r="F63">
            <v>0.32602739726027402</v>
          </cell>
          <cell r="G63">
            <v>2.2000000000000002</v>
          </cell>
          <cell r="H63">
            <v>34.549999999999997</v>
          </cell>
          <cell r="I63">
            <v>57.6</v>
          </cell>
          <cell r="J63">
            <v>99.25</v>
          </cell>
        </row>
        <row r="64">
          <cell r="C64">
            <v>41236</v>
          </cell>
          <cell r="D64">
            <v>7.04</v>
          </cell>
          <cell r="E64">
            <v>14.69</v>
          </cell>
          <cell r="F64">
            <v>2.95890410958904</v>
          </cell>
          <cell r="G64">
            <v>2.2999999999999998</v>
          </cell>
          <cell r="H64">
            <v>34.549999999999997</v>
          </cell>
          <cell r="I64">
            <v>41.3</v>
          </cell>
          <cell r="J64">
            <v>107.65</v>
          </cell>
        </row>
        <row r="65">
          <cell r="C65">
            <v>41644</v>
          </cell>
          <cell r="D65">
            <v>-1.79</v>
          </cell>
          <cell r="E65">
            <v>4.21</v>
          </cell>
          <cell r="F65">
            <v>0.23013698630137</v>
          </cell>
          <cell r="G65">
            <v>2.2000000000000002</v>
          </cell>
          <cell r="H65">
            <v>42.8</v>
          </cell>
          <cell r="I65">
            <v>45.2</v>
          </cell>
          <cell r="J65">
            <v>106</v>
          </cell>
        </row>
        <row r="66">
          <cell r="C66">
            <v>41683</v>
          </cell>
          <cell r="D66">
            <v>0.51</v>
          </cell>
          <cell r="E66">
            <v>0.01</v>
          </cell>
          <cell r="F66">
            <v>0.12602739726027401</v>
          </cell>
          <cell r="G66">
            <v>2.2000000000000002</v>
          </cell>
          <cell r="H66">
            <v>16.45</v>
          </cell>
          <cell r="I66">
            <v>27.3</v>
          </cell>
          <cell r="J66">
            <v>99.5</v>
          </cell>
        </row>
        <row r="67">
          <cell r="C67">
            <v>44163</v>
          </cell>
          <cell r="D67">
            <v>-0.43</v>
          </cell>
          <cell r="E67">
            <v>7.37</v>
          </cell>
          <cell r="F67">
            <v>0.386301369863014</v>
          </cell>
          <cell r="G67">
            <v>2.2000000000000002</v>
          </cell>
          <cell r="H67">
            <v>65</v>
          </cell>
          <cell r="I67">
            <v>66.8</v>
          </cell>
          <cell r="J67">
            <v>107.8</v>
          </cell>
        </row>
        <row r="68">
          <cell r="C68">
            <v>44382</v>
          </cell>
          <cell r="D68">
            <v>1.36</v>
          </cell>
          <cell r="E68">
            <v>1.1499999999999999</v>
          </cell>
          <cell r="F68">
            <v>0.39452054794520502</v>
          </cell>
          <cell r="G68">
            <v>2.8</v>
          </cell>
          <cell r="H68">
            <v>79.5</v>
          </cell>
          <cell r="I68">
            <v>123.7</v>
          </cell>
          <cell r="J68">
            <v>99.8</v>
          </cell>
        </row>
        <row r="69">
          <cell r="C69">
            <v>45401</v>
          </cell>
          <cell r="D69">
            <v>1.23</v>
          </cell>
          <cell r="E69">
            <v>7.22</v>
          </cell>
          <cell r="F69">
            <v>0.45205479452054798</v>
          </cell>
          <cell r="G69">
            <v>2.2000000000000002</v>
          </cell>
          <cell r="H69">
            <v>37.1</v>
          </cell>
          <cell r="I69">
            <v>38.9</v>
          </cell>
          <cell r="J69">
            <v>106</v>
          </cell>
        </row>
        <row r="70">
          <cell r="C70">
            <v>45553</v>
          </cell>
          <cell r="D70">
            <v>0.93</v>
          </cell>
          <cell r="E70">
            <v>0.93</v>
          </cell>
          <cell r="F70">
            <v>0.317808219178082</v>
          </cell>
          <cell r="G70">
            <v>2.2000000000000002</v>
          </cell>
          <cell r="H70">
            <v>34.200000000000003</v>
          </cell>
          <cell r="I70">
            <v>56</v>
          </cell>
          <cell r="J70">
            <v>100</v>
          </cell>
        </row>
        <row r="71">
          <cell r="C71">
            <v>45721</v>
          </cell>
          <cell r="D71">
            <v>4.4000000000000004</v>
          </cell>
          <cell r="E71">
            <v>20.2</v>
          </cell>
          <cell r="F71">
            <v>1.17808219178082</v>
          </cell>
          <cell r="G71">
            <v>3.5</v>
          </cell>
          <cell r="H71">
            <v>177.5</v>
          </cell>
          <cell r="I71">
            <v>169.6</v>
          </cell>
          <cell r="J71">
            <v>115.8</v>
          </cell>
        </row>
        <row r="72">
          <cell r="C72">
            <v>47393</v>
          </cell>
          <cell r="D72">
            <v>3.6</v>
          </cell>
          <cell r="E72">
            <v>3.6</v>
          </cell>
          <cell r="F72">
            <v>1.4630136986301401</v>
          </cell>
          <cell r="G72">
            <v>2.2999999999999998</v>
          </cell>
          <cell r="H72">
            <v>43.4</v>
          </cell>
          <cell r="I72">
            <v>100.5</v>
          </cell>
          <cell r="J72">
            <v>100</v>
          </cell>
        </row>
        <row r="73">
          <cell r="C73">
            <v>47442</v>
          </cell>
          <cell r="D73">
            <v>1.49</v>
          </cell>
          <cell r="E73">
            <v>3.54</v>
          </cell>
          <cell r="F73">
            <v>0.57260273972602704</v>
          </cell>
          <cell r="G73">
            <v>2.2000000000000002</v>
          </cell>
          <cell r="H73">
            <v>21</v>
          </cell>
          <cell r="I73">
            <v>25.6</v>
          </cell>
          <cell r="J73">
            <v>102.05</v>
          </cell>
        </row>
        <row r="74">
          <cell r="C74">
            <v>49681</v>
          </cell>
          <cell r="D74">
            <v>0.97</v>
          </cell>
          <cell r="E74">
            <v>15.96</v>
          </cell>
          <cell r="F74">
            <v>0.21369863013698601</v>
          </cell>
          <cell r="G74">
            <v>3.25</v>
          </cell>
          <cell r="H74">
            <v>135.5</v>
          </cell>
          <cell r="I74">
            <v>136.5</v>
          </cell>
          <cell r="J74">
            <v>115</v>
          </cell>
        </row>
        <row r="75">
          <cell r="C75">
            <v>52251</v>
          </cell>
          <cell r="D75">
            <v>1.44</v>
          </cell>
          <cell r="E75">
            <v>310.43</v>
          </cell>
          <cell r="F75">
            <v>0.54794520547945202</v>
          </cell>
          <cell r="G75">
            <v>2.2000000000000002</v>
          </cell>
          <cell r="H75">
            <v>84.9</v>
          </cell>
          <cell r="I75">
            <v>34.200000000000003</v>
          </cell>
          <cell r="J75">
            <v>409</v>
          </cell>
        </row>
        <row r="76">
          <cell r="C76">
            <v>52303</v>
          </cell>
          <cell r="D76">
            <v>3</v>
          </cell>
          <cell r="E76">
            <v>11.99</v>
          </cell>
          <cell r="F76">
            <v>1.2</v>
          </cell>
          <cell r="G76">
            <v>2.2999999999999998</v>
          </cell>
          <cell r="H76">
            <v>20.65</v>
          </cell>
          <cell r="I76">
            <v>22.5</v>
          </cell>
          <cell r="J76">
            <v>109</v>
          </cell>
        </row>
        <row r="77">
          <cell r="C77">
            <v>52451</v>
          </cell>
          <cell r="D77">
            <v>0.87</v>
          </cell>
          <cell r="E77">
            <v>-0.09</v>
          </cell>
          <cell r="F77">
            <v>0.28767123287671198</v>
          </cell>
          <cell r="G77">
            <v>2.2000000000000002</v>
          </cell>
          <cell r="H77">
            <v>20.95</v>
          </cell>
          <cell r="I77">
            <v>61.5</v>
          </cell>
          <cell r="J77">
            <v>99.05</v>
          </cell>
        </row>
        <row r="78">
          <cell r="C78">
            <v>52635</v>
          </cell>
          <cell r="D78">
            <v>1.82</v>
          </cell>
          <cell r="E78">
            <v>12.81</v>
          </cell>
          <cell r="F78">
            <v>0.81095890410958904</v>
          </cell>
          <cell r="G78">
            <v>2.2000000000000002</v>
          </cell>
          <cell r="H78">
            <v>95.7</v>
          </cell>
          <cell r="I78">
            <v>111.7</v>
          </cell>
          <cell r="J78">
            <v>111</v>
          </cell>
        </row>
        <row r="79">
          <cell r="C79">
            <v>53064</v>
          </cell>
          <cell r="D79">
            <v>3.67</v>
          </cell>
          <cell r="E79">
            <v>6.07</v>
          </cell>
          <cell r="F79">
            <v>1.4931506849315099</v>
          </cell>
          <cell r="G79">
            <v>2.2999999999999998</v>
          </cell>
          <cell r="H79">
            <v>94.9</v>
          </cell>
          <cell r="I79">
            <v>126.4</v>
          </cell>
          <cell r="J79">
            <v>102.4</v>
          </cell>
        </row>
        <row r="80">
          <cell r="C80">
            <v>53887</v>
          </cell>
          <cell r="D80">
            <v>4.33</v>
          </cell>
          <cell r="E80">
            <v>9.92</v>
          </cell>
          <cell r="F80">
            <v>1.56986301369863</v>
          </cell>
          <cell r="G80">
            <v>2.6</v>
          </cell>
          <cell r="H80">
            <v>101</v>
          </cell>
          <cell r="I80">
            <v>139.6</v>
          </cell>
          <cell r="J80">
            <v>105.6</v>
          </cell>
        </row>
        <row r="81">
          <cell r="C81">
            <v>54342</v>
          </cell>
          <cell r="D81">
            <v>3.19</v>
          </cell>
          <cell r="E81">
            <v>38.18</v>
          </cell>
          <cell r="F81">
            <v>1.13150684931507</v>
          </cell>
          <cell r="G81">
            <v>2.6</v>
          </cell>
          <cell r="H81">
            <v>241</v>
          </cell>
          <cell r="I81">
            <v>192.5</v>
          </cell>
          <cell r="J81">
            <v>135</v>
          </cell>
        </row>
        <row r="82">
          <cell r="C82">
            <v>54501</v>
          </cell>
          <cell r="D82">
            <v>1.37</v>
          </cell>
          <cell r="E82">
            <v>5.41</v>
          </cell>
          <cell r="F82">
            <v>0.85753424657534205</v>
          </cell>
          <cell r="G82">
            <v>2.2000000000000002</v>
          </cell>
          <cell r="H82">
            <v>15.15</v>
          </cell>
          <cell r="I82">
            <v>18</v>
          </cell>
          <cell r="J82">
            <v>104.05</v>
          </cell>
        </row>
        <row r="83">
          <cell r="C83">
            <v>56086</v>
          </cell>
          <cell r="D83">
            <v>2.79</v>
          </cell>
          <cell r="E83">
            <v>6.78</v>
          </cell>
          <cell r="F83">
            <v>1.10958904109589</v>
          </cell>
          <cell r="G83">
            <v>2.2999999999999998</v>
          </cell>
          <cell r="H83">
            <v>16.25</v>
          </cell>
          <cell r="I83">
            <v>22.1</v>
          </cell>
          <cell r="J83">
            <v>104</v>
          </cell>
        </row>
        <row r="84">
          <cell r="C84">
            <v>56087</v>
          </cell>
          <cell r="D84">
            <v>6.22</v>
          </cell>
          <cell r="E84">
            <v>12.51</v>
          </cell>
          <cell r="F84">
            <v>2.6</v>
          </cell>
          <cell r="G84">
            <v>2.2999999999999998</v>
          </cell>
          <cell r="H84">
            <v>16.25</v>
          </cell>
          <cell r="I84">
            <v>19.3</v>
          </cell>
          <cell r="J84">
            <v>106.3</v>
          </cell>
        </row>
        <row r="85">
          <cell r="C85">
            <v>59055</v>
          </cell>
          <cell r="D85">
            <v>2.57</v>
          </cell>
          <cell r="E85">
            <v>8.52</v>
          </cell>
          <cell r="F85">
            <v>1.0164383561643799</v>
          </cell>
          <cell r="G85">
            <v>2.2999999999999998</v>
          </cell>
          <cell r="H85">
            <v>11.6</v>
          </cell>
          <cell r="I85">
            <v>12.62</v>
          </cell>
          <cell r="J85">
            <v>105.95</v>
          </cell>
        </row>
        <row r="86">
          <cell r="C86">
            <v>61342</v>
          </cell>
          <cell r="D86">
            <v>0.43</v>
          </cell>
          <cell r="E86">
            <v>0.43</v>
          </cell>
          <cell r="F86">
            <v>9.0410958904109606E-2</v>
          </cell>
          <cell r="G86">
            <v>2.2000000000000002</v>
          </cell>
          <cell r="H86">
            <v>20.9</v>
          </cell>
          <cell r="I86">
            <v>21.5</v>
          </cell>
          <cell r="J86">
            <v>100</v>
          </cell>
        </row>
        <row r="87">
          <cell r="C87">
            <v>61394</v>
          </cell>
          <cell r="D87">
            <v>1.19</v>
          </cell>
          <cell r="E87">
            <v>41.19</v>
          </cell>
          <cell r="F87">
            <v>0.70684931506849302</v>
          </cell>
          <cell r="G87">
            <v>2.75</v>
          </cell>
          <cell r="H87">
            <v>226</v>
          </cell>
          <cell r="I87">
            <v>164.6</v>
          </cell>
          <cell r="J87">
            <v>140</v>
          </cell>
        </row>
        <row r="88">
          <cell r="C88">
            <v>61894</v>
          </cell>
          <cell r="D88">
            <v>3.39</v>
          </cell>
          <cell r="E88">
            <v>31.44</v>
          </cell>
          <cell r="F88">
            <v>1.4986301369863</v>
          </cell>
          <cell r="G88">
            <v>2.6</v>
          </cell>
          <cell r="H88">
            <v>70.7</v>
          </cell>
          <cell r="I88">
            <v>54.56</v>
          </cell>
          <cell r="J88">
            <v>128.05000000000001</v>
          </cell>
        </row>
        <row r="89">
          <cell r="C89">
            <v>61965</v>
          </cell>
          <cell r="D89">
            <v>3.18</v>
          </cell>
          <cell r="E89">
            <v>24.02</v>
          </cell>
          <cell r="F89">
            <v>1.1260273972602699</v>
          </cell>
          <cell r="G89">
            <v>2.6</v>
          </cell>
          <cell r="H89">
            <v>158.5</v>
          </cell>
          <cell r="I89">
            <v>135.19999999999999</v>
          </cell>
          <cell r="J89">
            <v>120.85</v>
          </cell>
        </row>
        <row r="90">
          <cell r="C90">
            <v>61973</v>
          </cell>
          <cell r="D90">
            <v>7.05</v>
          </cell>
          <cell r="E90">
            <v>14.9</v>
          </cell>
          <cell r="F90">
            <v>2.42739726027397</v>
          </cell>
          <cell r="G90">
            <v>2.8</v>
          </cell>
          <cell r="H90">
            <v>122</v>
          </cell>
          <cell r="I90">
            <v>160</v>
          </cell>
          <cell r="J90">
            <v>107.85</v>
          </cell>
        </row>
        <row r="91">
          <cell r="C91">
            <v>62235</v>
          </cell>
          <cell r="D91">
            <v>7.16</v>
          </cell>
          <cell r="E91">
            <v>11.16</v>
          </cell>
          <cell r="F91">
            <v>2.6602739726027398</v>
          </cell>
          <cell r="G91">
            <v>2.6</v>
          </cell>
          <cell r="H91">
            <v>648</v>
          </cell>
          <cell r="I91">
            <v>930</v>
          </cell>
          <cell r="J91">
            <v>104</v>
          </cell>
        </row>
        <row r="92">
          <cell r="C92">
            <v>62744</v>
          </cell>
          <cell r="D92">
            <v>5.4</v>
          </cell>
          <cell r="E92">
            <v>15.3</v>
          </cell>
          <cell r="F92">
            <v>1.9835616438356201</v>
          </cell>
          <cell r="G92">
            <v>2.6</v>
          </cell>
          <cell r="H92">
            <v>135.5</v>
          </cell>
          <cell r="I92">
            <v>170</v>
          </cell>
          <cell r="J92">
            <v>109.9</v>
          </cell>
        </row>
        <row r="93">
          <cell r="C93">
            <v>62756</v>
          </cell>
          <cell r="D93">
            <v>2.17</v>
          </cell>
          <cell r="E93">
            <v>107.16</v>
          </cell>
          <cell r="F93">
            <v>1.38630136986301</v>
          </cell>
          <cell r="G93">
            <v>2.2999999999999998</v>
          </cell>
          <cell r="H93">
            <v>40</v>
          </cell>
          <cell r="I93">
            <v>25.3</v>
          </cell>
          <cell r="J93">
            <v>205</v>
          </cell>
        </row>
        <row r="94">
          <cell r="C94">
            <v>62843</v>
          </cell>
          <cell r="D94">
            <v>1.91</v>
          </cell>
          <cell r="E94">
            <v>6.86</v>
          </cell>
          <cell r="F94">
            <v>0.59178082191780801</v>
          </cell>
          <cell r="G94">
            <v>2.8</v>
          </cell>
          <cell r="H94">
            <v>67.5</v>
          </cell>
          <cell r="I94">
            <v>90</v>
          </cell>
          <cell r="J94">
            <v>104.95</v>
          </cell>
        </row>
        <row r="95">
          <cell r="C95">
            <v>64145</v>
          </cell>
          <cell r="D95">
            <v>3.53</v>
          </cell>
          <cell r="E95">
            <v>13.73</v>
          </cell>
          <cell r="F95">
            <v>1.2630136986301399</v>
          </cell>
          <cell r="G95">
            <v>2.6</v>
          </cell>
          <cell r="H95">
            <v>267</v>
          </cell>
          <cell r="I95">
            <v>285.10000000000002</v>
          </cell>
          <cell r="J95">
            <v>110.2</v>
          </cell>
        </row>
        <row r="96">
          <cell r="C96">
            <v>64251</v>
          </cell>
          <cell r="D96">
            <v>5.82</v>
          </cell>
          <cell r="E96">
            <v>19.96</v>
          </cell>
          <cell r="F96">
            <v>2.42739726027397</v>
          </cell>
          <cell r="G96">
            <v>2.2999999999999998</v>
          </cell>
          <cell r="H96">
            <v>50.3</v>
          </cell>
          <cell r="I96">
            <v>60</v>
          </cell>
          <cell r="J96">
            <v>114.15</v>
          </cell>
        </row>
        <row r="97">
          <cell r="C97">
            <v>64692</v>
          </cell>
          <cell r="D97">
            <v>1.2</v>
          </cell>
          <cell r="E97">
            <v>3.64</v>
          </cell>
          <cell r="F97">
            <v>0.33698630136986302</v>
          </cell>
          <cell r="G97">
            <v>2.8</v>
          </cell>
          <cell r="H97">
            <v>161.5</v>
          </cell>
          <cell r="I97">
            <v>206.58</v>
          </cell>
          <cell r="J97">
            <v>102.45</v>
          </cell>
        </row>
        <row r="98">
          <cell r="C98">
            <v>65096</v>
          </cell>
          <cell r="D98">
            <v>3.45</v>
          </cell>
          <cell r="E98">
            <v>4.6500000000000004</v>
          </cell>
          <cell r="F98">
            <v>1.1424657534246601</v>
          </cell>
          <cell r="G98">
            <v>2.8</v>
          </cell>
          <cell r="H98">
            <v>30.75</v>
          </cell>
          <cell r="I98">
            <v>39.200000000000003</v>
          </cell>
          <cell r="J98">
            <v>101.2</v>
          </cell>
        </row>
        <row r="99">
          <cell r="C99">
            <v>65521</v>
          </cell>
          <cell r="D99">
            <v>3.58</v>
          </cell>
          <cell r="E99">
            <v>2.68</v>
          </cell>
          <cell r="F99">
            <v>1.45479452054794</v>
          </cell>
          <cell r="G99">
            <v>2.2999999999999998</v>
          </cell>
          <cell r="H99">
            <v>25.65</v>
          </cell>
          <cell r="I99">
            <v>59.2</v>
          </cell>
          <cell r="J99">
            <v>99.1</v>
          </cell>
        </row>
        <row r="100">
          <cell r="C100">
            <v>65841</v>
          </cell>
          <cell r="D100">
            <v>2.61</v>
          </cell>
          <cell r="E100">
            <v>6.45</v>
          </cell>
          <cell r="F100">
            <v>1.4657534246575299</v>
          </cell>
          <cell r="G100">
            <v>2.2999999999999998</v>
          </cell>
          <cell r="H100">
            <v>120.5</v>
          </cell>
          <cell r="I100">
            <v>178.8</v>
          </cell>
          <cell r="J100">
            <v>103.85</v>
          </cell>
        </row>
        <row r="101">
          <cell r="C101">
            <v>65851</v>
          </cell>
          <cell r="D101">
            <v>3.59</v>
          </cell>
          <cell r="E101">
            <v>20.88</v>
          </cell>
          <cell r="F101">
            <v>1.45753424657534</v>
          </cell>
          <cell r="G101">
            <v>2.2999999999999998</v>
          </cell>
          <cell r="H101">
            <v>126.5</v>
          </cell>
          <cell r="I101">
            <v>118.5</v>
          </cell>
          <cell r="J101">
            <v>117.3</v>
          </cell>
        </row>
        <row r="102">
          <cell r="C102">
            <v>65931</v>
          </cell>
          <cell r="D102">
            <v>1.54</v>
          </cell>
          <cell r="E102">
            <v>199.53</v>
          </cell>
          <cell r="F102">
            <v>0.59178082191780801</v>
          </cell>
          <cell r="G102">
            <v>2.2000000000000002</v>
          </cell>
          <cell r="H102">
            <v>45.8</v>
          </cell>
          <cell r="I102">
            <v>37.15</v>
          </cell>
          <cell r="J102">
            <v>298</v>
          </cell>
        </row>
        <row r="103">
          <cell r="C103">
            <v>66241</v>
          </cell>
          <cell r="D103">
            <v>4.43</v>
          </cell>
          <cell r="E103">
            <v>8.1199999999999992</v>
          </cell>
          <cell r="F103">
            <v>2.1479452054794499</v>
          </cell>
          <cell r="G103">
            <v>2.2999999999999998</v>
          </cell>
          <cell r="H103">
            <v>33</v>
          </cell>
          <cell r="I103">
            <v>41.2</v>
          </cell>
          <cell r="J103">
            <v>103.7</v>
          </cell>
        </row>
        <row r="104">
          <cell r="C104">
            <v>66451</v>
          </cell>
          <cell r="D104">
            <v>1.83</v>
          </cell>
          <cell r="E104">
            <v>7.83</v>
          </cell>
          <cell r="F104">
            <v>1.56438356164384</v>
          </cell>
          <cell r="G104">
            <v>2.2999999999999998</v>
          </cell>
          <cell r="H104">
            <v>21.75</v>
          </cell>
          <cell r="I104">
            <v>27.87</v>
          </cell>
          <cell r="J104">
            <v>106</v>
          </cell>
        </row>
        <row r="105">
          <cell r="C105">
            <v>68061</v>
          </cell>
          <cell r="D105">
            <v>3.76</v>
          </cell>
          <cell r="E105">
            <v>8.15</v>
          </cell>
          <cell r="F105">
            <v>1.5315068493150701</v>
          </cell>
          <cell r="G105">
            <v>2.2999999999999998</v>
          </cell>
          <cell r="H105">
            <v>82.1</v>
          </cell>
          <cell r="I105">
            <v>106.6</v>
          </cell>
          <cell r="J105">
            <v>104.4</v>
          </cell>
        </row>
        <row r="106">
          <cell r="C106">
            <v>68541</v>
          </cell>
          <cell r="D106">
            <v>3.37</v>
          </cell>
          <cell r="E106">
            <v>7.86</v>
          </cell>
          <cell r="F106">
            <v>1.7972602739726</v>
          </cell>
          <cell r="G106">
            <v>2.2999999999999998</v>
          </cell>
          <cell r="H106">
            <v>145</v>
          </cell>
          <cell r="I106">
            <v>250.9</v>
          </cell>
          <cell r="J106">
            <v>104.5</v>
          </cell>
        </row>
        <row r="107">
          <cell r="C107">
            <v>80924</v>
          </cell>
          <cell r="D107">
            <v>1.1399999999999999</v>
          </cell>
          <cell r="E107">
            <v>26.64</v>
          </cell>
          <cell r="F107">
            <v>0.83013698630137001</v>
          </cell>
          <cell r="G107">
            <v>2.2999999999999998</v>
          </cell>
          <cell r="H107">
            <v>17.7</v>
          </cell>
          <cell r="I107">
            <v>14.5</v>
          </cell>
          <cell r="J107">
            <v>125.5</v>
          </cell>
        </row>
        <row r="108">
          <cell r="C108">
            <v>81551</v>
          </cell>
          <cell r="D108">
            <v>7.18</v>
          </cell>
          <cell r="E108">
            <v>17.670000000000002</v>
          </cell>
          <cell r="F108">
            <v>2.6657534246575301</v>
          </cell>
          <cell r="G108">
            <v>2.6</v>
          </cell>
          <cell r="H108">
            <v>113.5</v>
          </cell>
          <cell r="I108">
            <v>126.8</v>
          </cell>
          <cell r="J108">
            <v>110.5</v>
          </cell>
        </row>
        <row r="109">
          <cell r="C109">
            <v>81714</v>
          </cell>
          <cell r="D109">
            <v>6</v>
          </cell>
          <cell r="E109">
            <v>25.99</v>
          </cell>
          <cell r="F109">
            <v>2.5041095890411</v>
          </cell>
          <cell r="G109">
            <v>2.2999999999999998</v>
          </cell>
          <cell r="H109">
            <v>35</v>
          </cell>
          <cell r="I109">
            <v>33.799999999999997</v>
          </cell>
          <cell r="J109">
            <v>120</v>
          </cell>
        </row>
        <row r="110">
          <cell r="C110">
            <v>82101</v>
          </cell>
          <cell r="D110">
            <v>4.6399999999999997</v>
          </cell>
          <cell r="E110">
            <v>15.79</v>
          </cell>
          <cell r="F110">
            <v>1.6904109589041101</v>
          </cell>
          <cell r="G110">
            <v>2.6</v>
          </cell>
          <cell r="H110">
            <v>242.5</v>
          </cell>
          <cell r="I110">
            <v>266.60000000000002</v>
          </cell>
          <cell r="J110">
            <v>111.15</v>
          </cell>
        </row>
        <row r="111">
          <cell r="C111">
            <v>82551</v>
          </cell>
          <cell r="D111">
            <v>3.48</v>
          </cell>
          <cell r="E111">
            <v>5.98</v>
          </cell>
          <cell r="F111">
            <v>1.2438356164383599</v>
          </cell>
          <cell r="G111">
            <v>2.6</v>
          </cell>
          <cell r="H111">
            <v>129</v>
          </cell>
          <cell r="I111">
            <v>203.4</v>
          </cell>
          <cell r="J111">
            <v>102.5</v>
          </cell>
        </row>
        <row r="112">
          <cell r="C112">
            <v>82992</v>
          </cell>
          <cell r="D112">
            <v>4.5</v>
          </cell>
          <cell r="E112">
            <v>11.19</v>
          </cell>
          <cell r="F112">
            <v>1.7013698630137</v>
          </cell>
          <cell r="G112">
            <v>2.5</v>
          </cell>
          <cell r="H112">
            <v>454</v>
          </cell>
          <cell r="I112">
            <v>563.29999999999995</v>
          </cell>
          <cell r="J112">
            <v>106.7</v>
          </cell>
        </row>
        <row r="113">
          <cell r="C113">
            <v>84221</v>
          </cell>
          <cell r="D113">
            <v>0.88</v>
          </cell>
          <cell r="E113">
            <v>18.87</v>
          </cell>
          <cell r="F113">
            <v>0.53150684931506798</v>
          </cell>
          <cell r="G113">
            <v>2.6</v>
          </cell>
          <cell r="H113">
            <v>181</v>
          </cell>
          <cell r="I113">
            <v>153.4</v>
          </cell>
          <cell r="J113">
            <v>118</v>
          </cell>
        </row>
        <row r="114">
          <cell r="C114">
            <v>84222</v>
          </cell>
          <cell r="D114">
            <v>8.98</v>
          </cell>
          <cell r="E114">
            <v>11.98</v>
          </cell>
          <cell r="F114">
            <v>2.9068493150684902</v>
          </cell>
          <cell r="G114">
            <v>3</v>
          </cell>
          <cell r="H114">
            <v>181</v>
          </cell>
          <cell r="I114">
            <v>200</v>
          </cell>
          <cell r="J114">
            <v>103</v>
          </cell>
        </row>
        <row r="115">
          <cell r="C115">
            <v>84421</v>
          </cell>
          <cell r="D115">
            <v>0.83</v>
          </cell>
          <cell r="E115">
            <v>45.83</v>
          </cell>
          <cell r="F115">
            <v>0.27123287671232899</v>
          </cell>
          <cell r="G115">
            <v>2.2000000000000002</v>
          </cell>
          <cell r="H115">
            <v>80.7</v>
          </cell>
          <cell r="I115">
            <v>57.3</v>
          </cell>
          <cell r="J115">
            <v>145</v>
          </cell>
        </row>
        <row r="116">
          <cell r="C116">
            <v>84422</v>
          </cell>
          <cell r="D116">
            <v>3.55</v>
          </cell>
          <cell r="E116">
            <v>14.54</v>
          </cell>
          <cell r="F116">
            <v>1.4383561643835601</v>
          </cell>
          <cell r="G116">
            <v>2.2999999999999998</v>
          </cell>
          <cell r="H116">
            <v>80.7</v>
          </cell>
          <cell r="I116">
            <v>79.900000000000006</v>
          </cell>
          <cell r="J116">
            <v>111</v>
          </cell>
        </row>
        <row r="117">
          <cell r="C117">
            <v>84672</v>
          </cell>
          <cell r="D117">
            <v>4.95</v>
          </cell>
          <cell r="E117">
            <v>15.65</v>
          </cell>
          <cell r="F117">
            <v>2.0493150684931498</v>
          </cell>
          <cell r="G117">
            <v>2.2999999999999998</v>
          </cell>
          <cell r="H117">
            <v>165</v>
          </cell>
          <cell r="I117">
            <v>193.6</v>
          </cell>
          <cell r="J117">
            <v>110.7</v>
          </cell>
        </row>
        <row r="118">
          <cell r="C118">
            <v>84881</v>
          </cell>
          <cell r="D118">
            <v>3.93</v>
          </cell>
          <cell r="E118">
            <v>4.37</v>
          </cell>
          <cell r="F118">
            <v>1.6054794520547899</v>
          </cell>
          <cell r="G118">
            <v>2.2999999999999998</v>
          </cell>
          <cell r="H118">
            <v>11.5</v>
          </cell>
          <cell r="I118">
            <v>18.399999999999999</v>
          </cell>
          <cell r="J118">
            <v>100.45</v>
          </cell>
        </row>
        <row r="119">
          <cell r="C119">
            <v>84891</v>
          </cell>
          <cell r="D119">
            <v>3.67</v>
          </cell>
          <cell r="E119">
            <v>17.16</v>
          </cell>
          <cell r="F119">
            <v>1.5780821917808201</v>
          </cell>
          <cell r="G119">
            <v>2.2999999999999998</v>
          </cell>
          <cell r="H119">
            <v>31.8</v>
          </cell>
          <cell r="I119">
            <v>28.8</v>
          </cell>
          <cell r="J119">
            <v>113.5</v>
          </cell>
        </row>
        <row r="120">
          <cell r="C120">
            <v>89277</v>
          </cell>
          <cell r="D120">
            <v>3.9</v>
          </cell>
          <cell r="E120">
            <v>14.9</v>
          </cell>
          <cell r="F120">
            <v>2.2630136986301399</v>
          </cell>
          <cell r="G120">
            <v>2.2999999999999998</v>
          </cell>
          <cell r="H120">
            <v>46</v>
          </cell>
          <cell r="I120">
            <v>59.79</v>
          </cell>
          <cell r="J120">
            <v>111</v>
          </cell>
        </row>
        <row r="121">
          <cell r="C121">
            <v>89383</v>
          </cell>
          <cell r="D121">
            <v>0.83</v>
          </cell>
          <cell r="E121">
            <v>5.07</v>
          </cell>
          <cell r="F121">
            <v>0.18904109589041099</v>
          </cell>
          <cell r="G121">
            <v>3</v>
          </cell>
          <cell r="H121">
            <v>67</v>
          </cell>
          <cell r="I121">
            <v>68.8</v>
          </cell>
          <cell r="J121">
            <v>104.25</v>
          </cell>
        </row>
        <row r="122">
          <cell r="C122">
            <v>89964</v>
          </cell>
          <cell r="D122">
            <v>4.22</v>
          </cell>
          <cell r="E122">
            <v>18.21</v>
          </cell>
          <cell r="F122">
            <v>1.56986301369863</v>
          </cell>
          <cell r="G122">
            <v>3</v>
          </cell>
          <cell r="H122">
            <v>209.5</v>
          </cell>
          <cell r="I122">
            <v>237.5</v>
          </cell>
          <cell r="J122">
            <v>114</v>
          </cell>
        </row>
        <row r="123">
          <cell r="C123">
            <v>99211</v>
          </cell>
          <cell r="D123">
            <v>0.5</v>
          </cell>
          <cell r="E123">
            <v>0.1</v>
          </cell>
          <cell r="F123">
            <v>8.7671232876712302E-2</v>
          </cell>
          <cell r="G123">
            <v>2.8</v>
          </cell>
          <cell r="H123">
            <v>129</v>
          </cell>
          <cell r="I123">
            <v>260</v>
          </cell>
          <cell r="J123">
            <v>99.6</v>
          </cell>
        </row>
        <row r="124">
          <cell r="C124">
            <v>99392</v>
          </cell>
          <cell r="D124">
            <v>6.66</v>
          </cell>
          <cell r="E124">
            <v>13.55</v>
          </cell>
          <cell r="F124">
            <v>2.4657534246575299</v>
          </cell>
          <cell r="G124">
            <v>2.6</v>
          </cell>
          <cell r="H124">
            <v>151.5</v>
          </cell>
          <cell r="I124">
            <v>167.7</v>
          </cell>
          <cell r="J124">
            <v>106.9</v>
          </cell>
        </row>
        <row r="125">
          <cell r="C125"/>
          <cell r="D125"/>
          <cell r="E125"/>
          <cell r="F125"/>
          <cell r="G125"/>
          <cell r="H125"/>
          <cell r="I125"/>
          <cell r="J125"/>
        </row>
        <row r="126">
          <cell r="C126"/>
          <cell r="D126"/>
          <cell r="E126"/>
          <cell r="F126"/>
          <cell r="G126"/>
          <cell r="H126"/>
          <cell r="I126"/>
          <cell r="J126"/>
        </row>
        <row r="127">
          <cell r="C127"/>
          <cell r="D127"/>
          <cell r="E127"/>
          <cell r="F127"/>
          <cell r="G127"/>
          <cell r="H127"/>
          <cell r="I127"/>
          <cell r="J127"/>
        </row>
        <row r="128">
          <cell r="C128"/>
          <cell r="D128"/>
          <cell r="E128"/>
          <cell r="F128"/>
          <cell r="G128"/>
          <cell r="H128"/>
          <cell r="I128"/>
          <cell r="J128"/>
        </row>
        <row r="129">
          <cell r="C129"/>
          <cell r="D129"/>
          <cell r="E129"/>
          <cell r="F129"/>
          <cell r="G129"/>
          <cell r="H129"/>
          <cell r="I129"/>
          <cell r="J129"/>
        </row>
      </sheetData>
      <sheetData sheetId="9">
        <row r="1">
          <cell r="B1"/>
          <cell r="C1"/>
          <cell r="D1"/>
          <cell r="E1"/>
          <cell r="F1"/>
          <cell r="G1"/>
          <cell r="H1"/>
          <cell r="I1"/>
          <cell r="J1"/>
          <cell r="K1"/>
          <cell r="L1"/>
          <cell r="M1"/>
        </row>
        <row r="2">
          <cell r="B2"/>
          <cell r="C2"/>
          <cell r="D2"/>
          <cell r="E2"/>
          <cell r="F2"/>
          <cell r="G2"/>
          <cell r="H2"/>
          <cell r="I2"/>
          <cell r="J2"/>
          <cell r="K2"/>
          <cell r="L2"/>
          <cell r="M2"/>
        </row>
        <row r="3">
          <cell r="B3"/>
          <cell r="C3"/>
          <cell r="D3"/>
          <cell r="E3"/>
          <cell r="F3"/>
          <cell r="G3"/>
          <cell r="H3"/>
          <cell r="I3"/>
          <cell r="J3"/>
          <cell r="K3"/>
          <cell r="L3"/>
          <cell r="M3"/>
          <cell r="N3"/>
        </row>
        <row r="4">
          <cell r="B4"/>
          <cell r="C4"/>
          <cell r="D4"/>
          <cell r="E4"/>
          <cell r="F4"/>
          <cell r="G4"/>
          <cell r="H4"/>
          <cell r="I4"/>
          <cell r="J4"/>
          <cell r="K4"/>
          <cell r="L4"/>
          <cell r="M4"/>
          <cell r="N4"/>
        </row>
        <row r="5">
          <cell r="B5">
            <v>45783</v>
          </cell>
          <cell r="C5" t="str">
            <v>提解交割日:</v>
          </cell>
          <cell r="D5">
            <v>45785</v>
          </cell>
          <cell r="F5"/>
          <cell r="G5"/>
          <cell r="H5"/>
          <cell r="I5"/>
          <cell r="J5" t="str">
            <v>Asset Swapped Convertible Option Quote</v>
          </cell>
          <cell r="K5"/>
          <cell r="L5"/>
          <cell r="M5"/>
        </row>
        <row r="6">
          <cell r="B6" t="str">
            <v>代號</v>
          </cell>
          <cell r="C6" t="str">
            <v>產業別</v>
          </cell>
          <cell r="D6" t="str">
            <v>是否有擔保?</v>
          </cell>
          <cell r="E6" t="str">
            <v>發行公司評等</v>
          </cell>
          <cell r="F6" t="str">
            <v>權利金
(cb=佰元參考價)</v>
          </cell>
          <cell r="G6" t="str">
            <v>權利金
(cb=市價參考價)</v>
          </cell>
          <cell r="H6" t="str">
            <v>選擇權到期日</v>
          </cell>
          <cell r="I6" t="str">
            <v>賣回日</v>
          </cell>
          <cell r="J6" t="str">
            <v>賣回價</v>
          </cell>
          <cell r="K6" t="str">
            <v>折現率
(履約利率)</v>
          </cell>
          <cell r="L6" t="str">
            <v>現股
價格</v>
          </cell>
          <cell r="M6" t="str">
            <v>轉換價格</v>
          </cell>
          <cell r="N6" t="str">
            <v>轉換
價值</v>
          </cell>
        </row>
        <row r="7">
          <cell r="B7" t="str">
            <v>CB Ticker</v>
          </cell>
          <cell r="C7" t="str">
            <v>Industry</v>
          </cell>
          <cell r="D7" t="str">
            <v>Guaranteed?</v>
          </cell>
          <cell r="E7" t="str">
            <v>Rating</v>
          </cell>
          <cell r="F7" t="str">
            <v>Premium
(cb=100)</v>
          </cell>
          <cell r="G7" t="str">
            <v>Premium
(cb= ref. mkt price)</v>
          </cell>
          <cell r="H7" t="str">
            <v>Expiration</v>
          </cell>
          <cell r="I7" t="str">
            <v>Put Date</v>
          </cell>
          <cell r="J7" t="str">
            <v>Put Price</v>
          </cell>
          <cell r="K7" t="str">
            <v>Discount Rate</v>
          </cell>
          <cell r="L7" t="str">
            <v>Stock Price</v>
          </cell>
          <cell r="M7" t="str">
            <v>Conversion Price</v>
          </cell>
          <cell r="N7" t="str">
            <v>Conversion
Value</v>
          </cell>
        </row>
        <row r="8">
          <cell r="B8"/>
          <cell r="C8"/>
          <cell r="D8"/>
          <cell r="E8"/>
          <cell r="F8"/>
          <cell r="G8"/>
          <cell r="H8"/>
          <cell r="I8"/>
          <cell r="J8"/>
          <cell r="K8"/>
          <cell r="L8"/>
          <cell r="M8"/>
          <cell r="N8"/>
        </row>
        <row r="9">
          <cell r="B9">
            <v>13164</v>
          </cell>
          <cell r="C9" t="str">
            <v>傳產-營建</v>
          </cell>
          <cell r="D9" t="str">
            <v>有，台北富邦商業銀行股份有限公司</v>
          </cell>
          <cell r="E9" t="str">
            <v>TCRI 8</v>
          </cell>
          <cell r="F9">
            <v>1.72</v>
          </cell>
          <cell r="G9">
            <v>25.519999999999996</v>
          </cell>
          <cell r="H9">
            <v>46037</v>
          </cell>
          <cell r="I9">
            <v>46051</v>
          </cell>
          <cell r="J9">
            <v>100</v>
          </cell>
          <cell r="K9">
            <v>2.2499999999999999E-2</v>
          </cell>
          <cell r="L9">
            <v>16.05</v>
          </cell>
          <cell r="M9">
            <v>14.7</v>
          </cell>
          <cell r="N9">
            <v>109.18367346938777</v>
          </cell>
        </row>
        <row r="10">
          <cell r="B10">
            <v>13166</v>
          </cell>
          <cell r="C10" t="str">
            <v>傳產-營建</v>
          </cell>
          <cell r="D10" t="str">
            <v>有，板信商業銀行股份有限公司</v>
          </cell>
          <cell r="E10" t="str">
            <v>TCRI 8</v>
          </cell>
          <cell r="F10">
            <v>3.51</v>
          </cell>
          <cell r="G10">
            <v>15.01</v>
          </cell>
          <cell r="H10">
            <v>46370</v>
          </cell>
          <cell r="I10">
            <v>46383</v>
          </cell>
          <cell r="J10">
            <v>100.5</v>
          </cell>
          <cell r="K10">
            <v>2.4E-2</v>
          </cell>
          <cell r="L10">
            <v>16.05</v>
          </cell>
          <cell r="M10">
            <v>17.399999999999999</v>
          </cell>
          <cell r="N10">
            <v>92.24137931034484</v>
          </cell>
        </row>
        <row r="11">
          <cell r="B11">
            <v>13421</v>
          </cell>
          <cell r="C11" t="str">
            <v>傳產-塑膠</v>
          </cell>
          <cell r="D11" t="str">
            <v>有，華南商業銀行股份有限公司</v>
          </cell>
          <cell r="E11" t="str">
            <v>TCRI 5</v>
          </cell>
          <cell r="F11">
            <v>0.23</v>
          </cell>
          <cell r="G11">
            <v>86.23</v>
          </cell>
          <cell r="H11">
            <v>45796</v>
          </cell>
          <cell r="I11">
            <v>45810</v>
          </cell>
          <cell r="J11">
            <v>100</v>
          </cell>
          <cell r="K11">
            <v>2.1999999999999999E-2</v>
          </cell>
          <cell r="L11">
            <v>93.6</v>
          </cell>
          <cell r="M11">
            <v>55.9</v>
          </cell>
          <cell r="N11">
            <v>167.44186046511626</v>
          </cell>
        </row>
        <row r="12">
          <cell r="B12">
            <v>14381</v>
          </cell>
          <cell r="C12" t="str">
            <v>傳產-營建</v>
          </cell>
          <cell r="D12" t="str">
            <v>有，台中商業銀行股份有限公司</v>
          </cell>
          <cell r="E12" t="str">
            <v>TCRI 8</v>
          </cell>
          <cell r="F12">
            <v>4.59</v>
          </cell>
          <cell r="G12">
            <v>32.590000000000003</v>
          </cell>
          <cell r="H12">
            <v>46727</v>
          </cell>
          <cell r="I12">
            <v>46740</v>
          </cell>
          <cell r="J12">
            <v>101.50749999999999</v>
          </cell>
          <cell r="K12">
            <v>2.3E-2</v>
          </cell>
          <cell r="L12">
            <v>45.85</v>
          </cell>
          <cell r="M12">
            <v>55.88</v>
          </cell>
          <cell r="N12">
            <v>82.050823192555484</v>
          </cell>
        </row>
        <row r="13">
          <cell r="B13">
            <v>14362</v>
          </cell>
          <cell r="C13" t="str">
            <v>傳產-營建</v>
          </cell>
          <cell r="D13" t="str">
            <v>有，第一商業銀行股份有限公司</v>
          </cell>
          <cell r="E13" t="str">
            <v>TCRI 8</v>
          </cell>
          <cell r="F13">
            <v>1.35</v>
          </cell>
          <cell r="G13">
            <v>300.35000000000002</v>
          </cell>
          <cell r="H13">
            <v>45978</v>
          </cell>
          <cell r="I13">
            <v>45992</v>
          </cell>
          <cell r="J13">
            <v>100</v>
          </cell>
          <cell r="K13">
            <v>2.2499999999999999E-2</v>
          </cell>
          <cell r="L13">
            <v>124</v>
          </cell>
          <cell r="M13">
            <v>30.5</v>
          </cell>
          <cell r="N13">
            <v>406.55737704918033</v>
          </cell>
        </row>
        <row r="14">
          <cell r="B14">
            <v>15864</v>
          </cell>
          <cell r="C14" t="str">
            <v>傳產-汽車零組件</v>
          </cell>
          <cell r="D14" t="str">
            <v>有，合作金庫商業銀行股份有限公司</v>
          </cell>
          <cell r="E14" t="str">
            <v>TCRI 8</v>
          </cell>
          <cell r="F14">
            <v>3.1</v>
          </cell>
          <cell r="G14">
            <v>10.899999999999997</v>
          </cell>
          <cell r="H14">
            <v>46251</v>
          </cell>
          <cell r="I14">
            <v>46264</v>
          </cell>
          <cell r="J14">
            <v>100</v>
          </cell>
          <cell r="K14">
            <v>2.3E-2</v>
          </cell>
          <cell r="L14">
            <v>28.1</v>
          </cell>
          <cell r="M14">
            <v>31.08</v>
          </cell>
          <cell r="N14">
            <v>90.41184041184043</v>
          </cell>
        </row>
        <row r="15">
          <cell r="B15">
            <v>15991</v>
          </cell>
          <cell r="C15" t="str">
            <v>傳產-汽車零組件</v>
          </cell>
          <cell r="D15" t="str">
            <v>有，台北富邦商業銀行</v>
          </cell>
          <cell r="E15" t="str">
            <v>TCRI 5</v>
          </cell>
          <cell r="F15">
            <v>1.27</v>
          </cell>
          <cell r="G15">
            <v>0.77</v>
          </cell>
          <cell r="H15">
            <v>45965</v>
          </cell>
          <cell r="I15">
            <v>45979</v>
          </cell>
          <cell r="J15">
            <v>100</v>
          </cell>
          <cell r="K15">
            <v>2.2499999999999999E-2</v>
          </cell>
          <cell r="L15">
            <v>28.85</v>
          </cell>
          <cell r="M15">
            <v>41.5</v>
          </cell>
          <cell r="N15">
            <v>69.518072289156635</v>
          </cell>
        </row>
        <row r="16">
          <cell r="B16">
            <v>17813</v>
          </cell>
          <cell r="C16" t="str">
            <v>傳產-生技</v>
          </cell>
          <cell r="D16" t="str">
            <v>有，華南商業銀行股份有限公司</v>
          </cell>
          <cell r="E16" t="str">
            <v>TCRI 7</v>
          </cell>
          <cell r="F16">
            <v>5.55</v>
          </cell>
          <cell r="G16">
            <v>10.050000000000001</v>
          </cell>
          <cell r="H16">
            <v>46640</v>
          </cell>
          <cell r="I16">
            <v>46654</v>
          </cell>
          <cell r="J16">
            <v>100</v>
          </cell>
          <cell r="K16">
            <v>2.3E-2</v>
          </cell>
          <cell r="L16">
            <v>14</v>
          </cell>
          <cell r="M16">
            <v>18</v>
          </cell>
          <cell r="N16">
            <v>77.777777777777771</v>
          </cell>
        </row>
        <row r="17">
          <cell r="B17">
            <v>24616</v>
          </cell>
          <cell r="C17" t="str">
            <v>電子中游-其他</v>
          </cell>
          <cell r="D17" t="str">
            <v>有，台中商業銀行股份有限公司</v>
          </cell>
          <cell r="E17" t="str">
            <v>TCRI 6</v>
          </cell>
          <cell r="F17">
            <v>2.0499999999999998</v>
          </cell>
          <cell r="G17">
            <v>42.05</v>
          </cell>
          <cell r="H17">
            <v>46091</v>
          </cell>
          <cell r="I17">
            <v>46105</v>
          </cell>
          <cell r="J17">
            <v>100</v>
          </cell>
          <cell r="K17">
            <v>2.2499999999999999E-2</v>
          </cell>
          <cell r="L17">
            <v>17.100000000000001</v>
          </cell>
          <cell r="M17">
            <v>15.3</v>
          </cell>
          <cell r="N17">
            <v>111.76470588235294</v>
          </cell>
        </row>
        <row r="18">
          <cell r="B18">
            <v>24972</v>
          </cell>
          <cell r="C18" t="str">
            <v>傳產-汽車零組件</v>
          </cell>
          <cell r="D18" t="str">
            <v>有，兆豐國際商業銀行股份有限公司</v>
          </cell>
          <cell r="E18" t="str">
            <v>TCRI 6</v>
          </cell>
          <cell r="F18">
            <v>0.44</v>
          </cell>
          <cell r="G18">
            <v>9.0000000000005687E-2</v>
          </cell>
          <cell r="H18">
            <v>45831</v>
          </cell>
          <cell r="I18">
            <v>45845</v>
          </cell>
          <cell r="J18">
            <v>100</v>
          </cell>
          <cell r="K18">
            <v>2.1999999999999999E-2</v>
          </cell>
          <cell r="L18">
            <v>49.3</v>
          </cell>
          <cell r="M18">
            <v>82.4</v>
          </cell>
          <cell r="N18">
            <v>59.830097087378633</v>
          </cell>
        </row>
        <row r="19">
          <cell r="B19">
            <v>25283</v>
          </cell>
          <cell r="C19" t="str">
            <v>傳產-營建</v>
          </cell>
          <cell r="D19" t="str">
            <v>有，元大商業銀行股份有限公司</v>
          </cell>
          <cell r="E19" t="str">
            <v>TCRI 8</v>
          </cell>
          <cell r="F19">
            <v>5.42</v>
          </cell>
          <cell r="G19">
            <v>20.92</v>
          </cell>
          <cell r="H19">
            <v>46738</v>
          </cell>
          <cell r="I19">
            <v>46752</v>
          </cell>
          <cell r="J19">
            <v>100.752</v>
          </cell>
          <cell r="K19">
            <v>2.3E-2</v>
          </cell>
          <cell r="L19">
            <v>37.200000000000003</v>
          </cell>
          <cell r="M19">
            <v>44.5</v>
          </cell>
          <cell r="N19">
            <v>83.595505617977537</v>
          </cell>
        </row>
        <row r="20">
          <cell r="B20">
            <v>30134</v>
          </cell>
          <cell r="C20" t="str">
            <v>電子中游-機殼</v>
          </cell>
          <cell r="D20" t="str">
            <v>有，兆豐國際商業銀行股份有限公司、中國信託商業銀行股份有限公司</v>
          </cell>
          <cell r="E20" t="str">
            <v>TCRI 6</v>
          </cell>
          <cell r="F20">
            <v>5.7</v>
          </cell>
          <cell r="G20">
            <v>10.499999999999996</v>
          </cell>
          <cell r="H20">
            <v>46664</v>
          </cell>
          <cell r="I20">
            <v>46678</v>
          </cell>
          <cell r="J20">
            <v>100</v>
          </cell>
          <cell r="K20">
            <v>2.3E-2</v>
          </cell>
          <cell r="L20">
            <v>90.8</v>
          </cell>
          <cell r="M20">
            <v>144.5</v>
          </cell>
          <cell r="N20">
            <v>62.837370242214526</v>
          </cell>
        </row>
        <row r="21">
          <cell r="B21">
            <v>30954</v>
          </cell>
          <cell r="C21" t="str">
            <v>電子中游-NB與手機零組件</v>
          </cell>
          <cell r="D21" t="str">
            <v>有，陽信商業銀行股份有限公司</v>
          </cell>
          <cell r="E21" t="str">
            <v>TCRI 9</v>
          </cell>
          <cell r="F21">
            <v>4.22</v>
          </cell>
          <cell r="G21">
            <v>19.22</v>
          </cell>
          <cell r="H21">
            <v>46429</v>
          </cell>
          <cell r="I21">
            <v>46443</v>
          </cell>
          <cell r="J21">
            <v>100</v>
          </cell>
          <cell r="K21">
            <v>2.3E-2</v>
          </cell>
          <cell r="L21">
            <v>35.049999999999997</v>
          </cell>
          <cell r="M21">
            <v>41.1</v>
          </cell>
          <cell r="N21">
            <v>85.27980535279805</v>
          </cell>
        </row>
        <row r="22">
          <cell r="B22">
            <v>33101</v>
          </cell>
          <cell r="C22" t="str">
            <v>電子上游-連接元件</v>
          </cell>
          <cell r="D22" t="str">
            <v>有，彰化商業銀行</v>
          </cell>
          <cell r="E22" t="str">
            <v>TCRI 8</v>
          </cell>
          <cell r="F22">
            <v>0.14000000000000001</v>
          </cell>
          <cell r="G22">
            <v>236.14</v>
          </cell>
          <cell r="H22">
            <v>45904</v>
          </cell>
          <cell r="I22">
            <v>45918</v>
          </cell>
          <cell r="J22">
            <v>100.75230000000001</v>
          </cell>
          <cell r="K22">
            <v>2.2499999999999999E-2</v>
          </cell>
          <cell r="L22">
            <v>82</v>
          </cell>
          <cell r="M22">
            <v>23.43</v>
          </cell>
          <cell r="N22">
            <v>349.97865983781475</v>
          </cell>
        </row>
        <row r="23">
          <cell r="B23">
            <v>33133</v>
          </cell>
          <cell r="C23" t="str">
            <v>傳產-營建</v>
          </cell>
          <cell r="D23" t="str">
            <v>有，元大商業銀行股份有限公司</v>
          </cell>
          <cell r="E23" t="str">
            <v>TCRI 7</v>
          </cell>
          <cell r="F23">
            <v>5.97</v>
          </cell>
          <cell r="G23">
            <v>13.769999999999996</v>
          </cell>
          <cell r="H23">
            <v>46706</v>
          </cell>
          <cell r="I23">
            <v>46720</v>
          </cell>
          <cell r="J23">
            <v>100</v>
          </cell>
          <cell r="K23">
            <v>2.3E-2</v>
          </cell>
          <cell r="L23">
            <v>13.95</v>
          </cell>
          <cell r="M23">
            <v>15.7</v>
          </cell>
          <cell r="N23">
            <v>88.853503184713375</v>
          </cell>
        </row>
        <row r="24">
          <cell r="B24">
            <v>33621</v>
          </cell>
          <cell r="C24" t="str">
            <v>電子中游-光學鏡片</v>
          </cell>
          <cell r="D24" t="str">
            <v>有，臺灣土地銀行股份有限公司</v>
          </cell>
          <cell r="E24" t="str">
            <v>TCRI 6</v>
          </cell>
          <cell r="F24">
            <v>4.3600000000000003</v>
          </cell>
          <cell r="G24">
            <v>5.7099999999999946</v>
          </cell>
          <cell r="H24">
            <v>46570</v>
          </cell>
          <cell r="I24">
            <v>46584</v>
          </cell>
          <cell r="J24">
            <v>100.75</v>
          </cell>
          <cell r="K24">
            <v>2.3E-2</v>
          </cell>
          <cell r="L24">
            <v>133.5</v>
          </cell>
          <cell r="M24">
            <v>253</v>
          </cell>
          <cell r="N24">
            <v>52.766798418972328</v>
          </cell>
        </row>
        <row r="25">
          <cell r="B25">
            <v>33902</v>
          </cell>
          <cell r="C25" t="str">
            <v>電子上游-PCB-製造</v>
          </cell>
          <cell r="D25" t="str">
            <v>有，中國信託商業銀行股份有限公司</v>
          </cell>
          <cell r="E25" t="str">
            <v>TCRI 7</v>
          </cell>
          <cell r="F25">
            <v>6.5</v>
          </cell>
          <cell r="G25">
            <v>16.5</v>
          </cell>
          <cell r="H25">
            <v>46790</v>
          </cell>
          <cell r="I25">
            <v>46804</v>
          </cell>
          <cell r="J25">
            <v>100</v>
          </cell>
          <cell r="K25">
            <v>2.3E-2</v>
          </cell>
          <cell r="L25">
            <v>23.35</v>
          </cell>
          <cell r="M25">
            <v>25.5</v>
          </cell>
          <cell r="N25">
            <v>91.568627450980401</v>
          </cell>
        </row>
        <row r="26">
          <cell r="B26">
            <v>34341</v>
          </cell>
          <cell r="C26" t="str">
            <v>電子下游-安全監控</v>
          </cell>
          <cell r="D26" t="str">
            <v>有，華南商業銀行股份有限公司</v>
          </cell>
          <cell r="E26" t="str">
            <v>TCRI 7</v>
          </cell>
          <cell r="F26">
            <v>4.25</v>
          </cell>
          <cell r="G26">
            <v>106.25</v>
          </cell>
          <cell r="H26">
            <v>46433</v>
          </cell>
          <cell r="I26">
            <v>46445</v>
          </cell>
          <cell r="J26">
            <v>100</v>
          </cell>
          <cell r="K26">
            <v>2.3E-2</v>
          </cell>
          <cell r="L26">
            <v>73</v>
          </cell>
          <cell r="M26">
            <v>30.3</v>
          </cell>
          <cell r="N26">
            <v>240.92409240924093</v>
          </cell>
        </row>
        <row r="27">
          <cell r="B27">
            <v>35181</v>
          </cell>
          <cell r="C27" t="str">
            <v>傳產-其他</v>
          </cell>
          <cell r="D27" t="str">
            <v>有，台新國際商業銀行股份有限公司</v>
          </cell>
          <cell r="E27" t="str">
            <v>TCRI 8</v>
          </cell>
          <cell r="F27">
            <v>5.3</v>
          </cell>
          <cell r="G27">
            <v>8.2500000000000036</v>
          </cell>
          <cell r="H27">
            <v>46601</v>
          </cell>
          <cell r="I27">
            <v>46614</v>
          </cell>
          <cell r="J27">
            <v>100</v>
          </cell>
          <cell r="K27">
            <v>2.3E-2</v>
          </cell>
          <cell r="L27">
            <v>17.899999999999999</v>
          </cell>
          <cell r="M27">
            <v>35</v>
          </cell>
          <cell r="N27">
            <v>51.142857142857139</v>
          </cell>
        </row>
        <row r="28">
          <cell r="B28">
            <v>35161</v>
          </cell>
          <cell r="C28" t="str">
            <v>電子中游-LCD-零組件</v>
          </cell>
          <cell r="D28" t="str">
            <v>有，永豐商業銀行股份有限公司</v>
          </cell>
          <cell r="E28" t="str">
            <v>TCRI 7</v>
          </cell>
          <cell r="F28">
            <v>5.7</v>
          </cell>
          <cell r="G28">
            <v>12.7</v>
          </cell>
          <cell r="H28">
            <v>46664</v>
          </cell>
          <cell r="I28">
            <v>46678</v>
          </cell>
          <cell r="J28">
            <v>100</v>
          </cell>
          <cell r="K28">
            <v>2.3E-2</v>
          </cell>
          <cell r="L28">
            <v>22</v>
          </cell>
          <cell r="M28">
            <v>26.14</v>
          </cell>
          <cell r="N28">
            <v>84.162203519510328</v>
          </cell>
        </row>
        <row r="29">
          <cell r="B29">
            <v>36871</v>
          </cell>
          <cell r="C29" t="str">
            <v>軟體-其他</v>
          </cell>
          <cell r="D29" t="str">
            <v>有，第一商業銀行股份有限公司</v>
          </cell>
          <cell r="E29" t="str">
            <v>TCRI 5</v>
          </cell>
          <cell r="F29">
            <v>7.0000000000000007E-2</v>
          </cell>
          <cell r="G29">
            <v>-8.0000000000005678E-2</v>
          </cell>
          <cell r="H29">
            <v>45769</v>
          </cell>
          <cell r="I29">
            <v>45783</v>
          </cell>
          <cell r="J29">
            <v>100</v>
          </cell>
          <cell r="K29">
            <v>2.1999999999999999E-2</v>
          </cell>
          <cell r="L29">
            <v>78.099999999999994</v>
          </cell>
          <cell r="M29">
            <v>145.80000000000001</v>
          </cell>
          <cell r="N29">
            <v>53.566529492455409</v>
          </cell>
        </row>
        <row r="30">
          <cell r="B30">
            <v>36913</v>
          </cell>
          <cell r="C30" t="str">
            <v>電子下游-太陽能</v>
          </cell>
          <cell r="D30" t="str">
            <v>有，上海商業銀行、合作金庫商業銀行、彰化商業銀行</v>
          </cell>
          <cell r="E30" t="str">
            <v>TCRI 7</v>
          </cell>
          <cell r="F30">
            <v>5.39</v>
          </cell>
          <cell r="G30">
            <v>3.489999999999994</v>
          </cell>
          <cell r="H30">
            <v>46615</v>
          </cell>
          <cell r="I30">
            <v>46629</v>
          </cell>
          <cell r="J30">
            <v>100</v>
          </cell>
          <cell r="K30">
            <v>2.3E-2</v>
          </cell>
          <cell r="L30">
            <v>64.599999999999994</v>
          </cell>
          <cell r="M30">
            <v>118</v>
          </cell>
          <cell r="N30">
            <v>54.745762711864401</v>
          </cell>
        </row>
        <row r="31">
          <cell r="B31">
            <v>37083</v>
          </cell>
          <cell r="C31" t="str">
            <v>傳產-綠能環保</v>
          </cell>
          <cell r="D31" t="str">
            <v>有，第一商業銀行股份有限公司</v>
          </cell>
          <cell r="E31" t="str">
            <v>TCRI 6</v>
          </cell>
          <cell r="F31">
            <v>3.28</v>
          </cell>
          <cell r="G31">
            <v>11.28</v>
          </cell>
          <cell r="H31">
            <v>46279</v>
          </cell>
          <cell r="I31">
            <v>46292</v>
          </cell>
          <cell r="J31">
            <v>100</v>
          </cell>
          <cell r="K31">
            <v>2.3E-2</v>
          </cell>
          <cell r="L31">
            <v>76.7</v>
          </cell>
          <cell r="M31">
            <v>89.1</v>
          </cell>
          <cell r="N31">
            <v>86.083052749719414</v>
          </cell>
        </row>
        <row r="32">
          <cell r="B32">
            <v>37131</v>
          </cell>
          <cell r="C32" t="str">
            <v>電子下游-太陽能</v>
          </cell>
          <cell r="D32" t="str">
            <v>有，永豐商業銀行股份有限公司</v>
          </cell>
          <cell r="E32" t="str">
            <v>TCRI 8</v>
          </cell>
          <cell r="F32">
            <v>1.96</v>
          </cell>
          <cell r="G32">
            <v>-0.54</v>
          </cell>
          <cell r="H32">
            <v>46077</v>
          </cell>
          <cell r="I32">
            <v>46091</v>
          </cell>
          <cell r="J32">
            <v>100</v>
          </cell>
          <cell r="K32">
            <v>2.2499999999999999E-2</v>
          </cell>
          <cell r="L32">
            <v>18.2</v>
          </cell>
          <cell r="M32">
            <v>53.8</v>
          </cell>
          <cell r="N32">
            <v>33.828996282527882</v>
          </cell>
        </row>
        <row r="33">
          <cell r="B33">
            <v>41234</v>
          </cell>
          <cell r="C33" t="str">
            <v>傳產-生技</v>
          </cell>
          <cell r="D33" t="str">
            <v>有，上海商業儲蓄銀行</v>
          </cell>
          <cell r="E33" t="str">
            <v>TCRI 6</v>
          </cell>
          <cell r="F33">
            <v>0.82</v>
          </cell>
          <cell r="G33">
            <v>0.72000000000000564</v>
          </cell>
          <cell r="H33">
            <v>45894</v>
          </cell>
          <cell r="I33">
            <v>45907</v>
          </cell>
          <cell r="J33">
            <v>100</v>
          </cell>
          <cell r="K33">
            <v>2.1999999999999999E-2</v>
          </cell>
          <cell r="L33">
            <v>36.299999999999997</v>
          </cell>
          <cell r="M33">
            <v>58.3</v>
          </cell>
          <cell r="N33">
            <v>62.264150943396224</v>
          </cell>
        </row>
        <row r="34">
          <cell r="B34">
            <v>41235</v>
          </cell>
          <cell r="C34" t="str">
            <v>傳產-生技</v>
          </cell>
          <cell r="D34" t="str">
            <v>有，合庫銀、彰銀、土銀、華銀、元大銀</v>
          </cell>
          <cell r="E34" t="str">
            <v>TCRI 6</v>
          </cell>
          <cell r="F34">
            <v>0.83</v>
          </cell>
          <cell r="G34">
            <v>0.62999999999999712</v>
          </cell>
          <cell r="H34">
            <v>45894</v>
          </cell>
          <cell r="I34">
            <v>45908</v>
          </cell>
          <cell r="J34">
            <v>100</v>
          </cell>
          <cell r="K34">
            <v>2.2499999999999999E-2</v>
          </cell>
          <cell r="L34">
            <v>36.299999999999997</v>
          </cell>
          <cell r="M34">
            <v>57.6</v>
          </cell>
          <cell r="N34">
            <v>63.020833333333329</v>
          </cell>
        </row>
        <row r="35">
          <cell r="B35">
            <v>41236</v>
          </cell>
          <cell r="C35" t="str">
            <v>傳產-生技</v>
          </cell>
          <cell r="D35" t="str">
            <v>有，永豐商業銀行股份有限公司忠孝分公司</v>
          </cell>
          <cell r="E35" t="str">
            <v>TCRI 6</v>
          </cell>
          <cell r="F35">
            <v>6.91</v>
          </cell>
          <cell r="G35">
            <v>15.91</v>
          </cell>
          <cell r="H35">
            <v>46855</v>
          </cell>
          <cell r="I35">
            <v>46869</v>
          </cell>
          <cell r="J35">
            <v>100</v>
          </cell>
          <cell r="K35">
            <v>2.3E-2</v>
          </cell>
          <cell r="L35">
            <v>36.299999999999997</v>
          </cell>
          <cell r="M35">
            <v>41.3</v>
          </cell>
          <cell r="N35">
            <v>87.893462469733649</v>
          </cell>
        </row>
        <row r="36">
          <cell r="B36">
            <v>41644</v>
          </cell>
          <cell r="C36" t="str">
            <v>傳產-生技</v>
          </cell>
          <cell r="D36" t="str">
            <v>有，第一商業銀行、中國信託商業銀行、台北富邦商業銀行</v>
          </cell>
          <cell r="E36" t="str">
            <v>TCRI 6</v>
          </cell>
          <cell r="F36">
            <v>-1.92</v>
          </cell>
          <cell r="G36">
            <v>5.08</v>
          </cell>
          <cell r="H36">
            <v>45859</v>
          </cell>
          <cell r="I36">
            <v>45873</v>
          </cell>
          <cell r="J36">
            <v>102.52500000000001</v>
          </cell>
          <cell r="K36">
            <v>2.1999999999999999E-2</v>
          </cell>
          <cell r="L36">
            <v>42.85</v>
          </cell>
          <cell r="M36">
            <v>45.2</v>
          </cell>
          <cell r="N36">
            <v>94.80088495575221</v>
          </cell>
        </row>
        <row r="37">
          <cell r="B37">
            <v>41683</v>
          </cell>
          <cell r="C37" t="str">
            <v>傳產-生技</v>
          </cell>
          <cell r="D37" t="str">
            <v>有，台新銀行</v>
          </cell>
          <cell r="E37" t="str">
            <v>TCRI 7</v>
          </cell>
          <cell r="F37">
            <v>0.38</v>
          </cell>
          <cell r="G37">
            <v>0.58000000000000285</v>
          </cell>
          <cell r="H37">
            <v>45821</v>
          </cell>
          <cell r="I37">
            <v>45835</v>
          </cell>
          <cell r="J37">
            <v>100</v>
          </cell>
          <cell r="K37">
            <v>2.2499999999999999E-2</v>
          </cell>
          <cell r="L37">
            <v>18.5</v>
          </cell>
          <cell r="M37">
            <v>27.3</v>
          </cell>
          <cell r="N37">
            <v>67.765567765567766</v>
          </cell>
        </row>
        <row r="38">
          <cell r="B38">
            <v>44163</v>
          </cell>
          <cell r="C38" t="str">
            <v>傳產-營建</v>
          </cell>
          <cell r="D38" t="str">
            <v>有，第一商業銀行股份有限公司</v>
          </cell>
          <cell r="E38" t="str">
            <v>TCRI 8</v>
          </cell>
          <cell r="F38">
            <v>-0.54</v>
          </cell>
          <cell r="G38">
            <v>7.3600000000000056</v>
          </cell>
          <cell r="H38">
            <v>45916</v>
          </cell>
          <cell r="I38">
            <v>45930</v>
          </cell>
          <cell r="J38">
            <v>101.51</v>
          </cell>
          <cell r="K38">
            <v>2.2499999999999999E-2</v>
          </cell>
          <cell r="L38">
            <v>65.8</v>
          </cell>
          <cell r="M38">
            <v>66.8</v>
          </cell>
          <cell r="N38">
            <v>98.502994011976043</v>
          </cell>
        </row>
        <row r="39">
          <cell r="B39">
            <v>45401</v>
          </cell>
          <cell r="C39" t="str">
            <v>傳產-電機</v>
          </cell>
          <cell r="D39" t="str">
            <v>有，第一商業銀行股份有限公司</v>
          </cell>
          <cell r="E39" t="str">
            <v>TCRI 7</v>
          </cell>
          <cell r="F39">
            <v>1.1200000000000001</v>
          </cell>
          <cell r="G39">
            <v>13.120000000000001</v>
          </cell>
          <cell r="H39">
            <v>45940</v>
          </cell>
          <cell r="I39">
            <v>45954</v>
          </cell>
          <cell r="J39">
            <v>100</v>
          </cell>
          <cell r="K39">
            <v>2.2499999999999999E-2</v>
          </cell>
          <cell r="L39">
            <v>41.35</v>
          </cell>
          <cell r="M39">
            <v>38.9</v>
          </cell>
          <cell r="N39">
            <v>106.29820051413883</v>
          </cell>
        </row>
        <row r="40">
          <cell r="B40">
            <v>45553</v>
          </cell>
          <cell r="C40" t="str">
            <v>傳產-電機</v>
          </cell>
          <cell r="D40" t="str">
            <v>有，彰化商業銀行</v>
          </cell>
          <cell r="E40" t="str">
            <v>TCRI 6</v>
          </cell>
          <cell r="F40">
            <v>0.82</v>
          </cell>
          <cell r="G40">
            <v>0.31999999999999995</v>
          </cell>
          <cell r="H40">
            <v>45891</v>
          </cell>
          <cell r="I40">
            <v>45905</v>
          </cell>
          <cell r="J40">
            <v>100</v>
          </cell>
          <cell r="K40">
            <v>2.2499999999999999E-2</v>
          </cell>
          <cell r="L40">
            <v>36.799999999999997</v>
          </cell>
          <cell r="M40">
            <v>56</v>
          </cell>
          <cell r="N40">
            <v>65.714285714285708</v>
          </cell>
        </row>
        <row r="41">
          <cell r="B41">
            <v>47393</v>
          </cell>
          <cell r="C41" t="str">
            <v>傳產-化學工業</v>
          </cell>
          <cell r="D41" t="str">
            <v>有，彰化商業銀行股份有限公司</v>
          </cell>
          <cell r="E41" t="str">
            <v>TCRI 5</v>
          </cell>
          <cell r="F41">
            <v>3.46</v>
          </cell>
          <cell r="G41">
            <v>3.6100000000000056</v>
          </cell>
          <cell r="H41">
            <v>46309</v>
          </cell>
          <cell r="I41">
            <v>46323</v>
          </cell>
          <cell r="J41">
            <v>100</v>
          </cell>
          <cell r="K41">
            <v>2.3E-2</v>
          </cell>
          <cell r="L41">
            <v>45.4</v>
          </cell>
          <cell r="M41">
            <v>100.5</v>
          </cell>
          <cell r="N41">
            <v>45.17412935323383</v>
          </cell>
        </row>
        <row r="42">
          <cell r="B42">
            <v>47442</v>
          </cell>
          <cell r="C42" t="str">
            <v>傳產-生技</v>
          </cell>
          <cell r="D42" t="str">
            <v>有，臺灣土地銀行股份有限公司</v>
          </cell>
          <cell r="E42" t="str">
            <v>TCRI 7</v>
          </cell>
          <cell r="F42">
            <v>1.4</v>
          </cell>
          <cell r="G42">
            <v>3.4499999999999971</v>
          </cell>
          <cell r="H42">
            <v>45985</v>
          </cell>
          <cell r="I42">
            <v>45998</v>
          </cell>
          <cell r="J42">
            <v>100</v>
          </cell>
          <cell r="K42">
            <v>2.2499999999999999E-2</v>
          </cell>
          <cell r="L42">
            <v>21.15</v>
          </cell>
          <cell r="M42">
            <v>25.6</v>
          </cell>
          <cell r="N42">
            <v>82.6171875</v>
          </cell>
        </row>
        <row r="43">
          <cell r="B43">
            <v>52451</v>
          </cell>
          <cell r="C43" t="str">
            <v>電子中游-LCD-TFT面板</v>
          </cell>
          <cell r="D43" t="str">
            <v>有，合作金庫商業銀行股份有限公司</v>
          </cell>
          <cell r="E43" t="str">
            <v>TCRI 6</v>
          </cell>
          <cell r="F43">
            <v>0.75</v>
          </cell>
          <cell r="G43">
            <v>0.25</v>
          </cell>
          <cell r="H43">
            <v>45880</v>
          </cell>
          <cell r="I43">
            <v>45894</v>
          </cell>
          <cell r="J43">
            <v>100</v>
          </cell>
          <cell r="K43">
            <v>2.2499999999999999E-2</v>
          </cell>
          <cell r="L43">
            <v>21.7</v>
          </cell>
          <cell r="M43">
            <v>61.5</v>
          </cell>
          <cell r="N43">
            <v>35.284552845528452</v>
          </cell>
        </row>
        <row r="44">
          <cell r="B44">
            <v>52303</v>
          </cell>
          <cell r="C44" t="str">
            <v>電子上游-LED照明及光元件</v>
          </cell>
          <cell r="D44" t="str">
            <v>有，台北富邦商業銀行</v>
          </cell>
          <cell r="E44" t="str">
            <v>TCRI 7</v>
          </cell>
          <cell r="F44">
            <v>2.8</v>
          </cell>
          <cell r="G44">
            <v>11.8</v>
          </cell>
          <cell r="H44">
            <v>46213</v>
          </cell>
          <cell r="I44">
            <v>46227</v>
          </cell>
          <cell r="J44">
            <v>100</v>
          </cell>
          <cell r="K44">
            <v>2.2499999999999999E-2</v>
          </cell>
          <cell r="L44">
            <v>21.7</v>
          </cell>
          <cell r="M44">
            <v>22.5</v>
          </cell>
          <cell r="N44">
            <v>96.444444444444443</v>
          </cell>
        </row>
        <row r="45">
          <cell r="B45">
            <v>52635</v>
          </cell>
          <cell r="C45" t="str">
            <v>軟體-其他</v>
          </cell>
          <cell r="D45" t="str">
            <v>有，台中商業銀行</v>
          </cell>
          <cell r="E45" t="str">
            <v>TCRI 7</v>
          </cell>
          <cell r="F45">
            <v>1.73</v>
          </cell>
          <cell r="G45">
            <v>12.73</v>
          </cell>
          <cell r="H45">
            <v>46071</v>
          </cell>
          <cell r="I45">
            <v>46085</v>
          </cell>
          <cell r="J45">
            <v>100.20010000000001</v>
          </cell>
          <cell r="K45">
            <v>2.2499999999999999E-2</v>
          </cell>
          <cell r="L45">
            <v>101.5</v>
          </cell>
          <cell r="M45">
            <v>111.7</v>
          </cell>
          <cell r="N45">
            <v>90.868397493285585</v>
          </cell>
        </row>
        <row r="46">
          <cell r="B46">
            <v>53064</v>
          </cell>
          <cell r="C46" t="str">
            <v>傳產-自行車</v>
          </cell>
          <cell r="D46" t="str">
            <v>有，日商瑞穗銀行</v>
          </cell>
          <cell r="E46" t="str">
            <v>TCRI 4</v>
          </cell>
          <cell r="F46">
            <v>3.54</v>
          </cell>
          <cell r="G46">
            <v>6.1399999999999944</v>
          </cell>
          <cell r="H46">
            <v>46321</v>
          </cell>
          <cell r="I46">
            <v>46334</v>
          </cell>
          <cell r="J46">
            <v>100</v>
          </cell>
          <cell r="K46">
            <v>2.3E-2</v>
          </cell>
          <cell r="L46">
            <v>96.3</v>
          </cell>
          <cell r="M46">
            <v>124.9</v>
          </cell>
          <cell r="N46">
            <v>77.101681345076059</v>
          </cell>
        </row>
        <row r="47">
          <cell r="B47">
            <v>54501</v>
          </cell>
          <cell r="C47" t="str">
            <v>傳產-其他</v>
          </cell>
          <cell r="D47" t="str">
            <v>有，臺灣土地銀行股份有限公司</v>
          </cell>
          <cell r="E47" t="str">
            <v>TCRI 7</v>
          </cell>
          <cell r="F47">
            <v>1.29</v>
          </cell>
          <cell r="G47">
            <v>6.3899999999999944</v>
          </cell>
          <cell r="H47">
            <v>46090</v>
          </cell>
          <cell r="I47">
            <v>46102</v>
          </cell>
          <cell r="J47">
            <v>100.75</v>
          </cell>
          <cell r="K47">
            <v>2.2499999999999999E-2</v>
          </cell>
          <cell r="L47">
            <v>16.05</v>
          </cell>
          <cell r="M47">
            <v>18</v>
          </cell>
          <cell r="N47">
            <v>89.166666666666671</v>
          </cell>
        </row>
        <row r="48">
          <cell r="B48">
            <v>56086</v>
          </cell>
          <cell r="C48" t="str">
            <v>傳產-航運</v>
          </cell>
          <cell r="D48" t="str">
            <v>有，陽信商業銀行</v>
          </cell>
          <cell r="E48" t="str">
            <v>TCRI 7</v>
          </cell>
          <cell r="F48">
            <v>2.66</v>
          </cell>
          <cell r="G48">
            <v>7.7099999999999973</v>
          </cell>
          <cell r="H48">
            <v>46181</v>
          </cell>
          <cell r="I48">
            <v>46194</v>
          </cell>
          <cell r="J48">
            <v>100</v>
          </cell>
          <cell r="K48">
            <v>2.3E-2</v>
          </cell>
          <cell r="L48">
            <v>17.05</v>
          </cell>
          <cell r="M48">
            <v>22.1</v>
          </cell>
          <cell r="N48">
            <v>77.149321266968329</v>
          </cell>
        </row>
        <row r="49">
          <cell r="B49">
            <v>56087</v>
          </cell>
          <cell r="C49" t="str">
            <v>傳產-航運</v>
          </cell>
          <cell r="D49" t="str">
            <v>有，第一商業銀行股份有限公司</v>
          </cell>
          <cell r="E49" t="str">
            <v>TCRI 7</v>
          </cell>
          <cell r="F49">
            <v>6.08</v>
          </cell>
          <cell r="G49">
            <v>15.379999999999997</v>
          </cell>
          <cell r="H49">
            <v>46724</v>
          </cell>
          <cell r="I49">
            <v>46738</v>
          </cell>
          <cell r="J49">
            <v>100</v>
          </cell>
          <cell r="K49">
            <v>2.3E-2</v>
          </cell>
          <cell r="L49">
            <v>17.05</v>
          </cell>
          <cell r="M49">
            <v>19.3</v>
          </cell>
          <cell r="N49">
            <v>88.341968911917093</v>
          </cell>
        </row>
        <row r="50">
          <cell r="B50">
            <v>62756</v>
          </cell>
          <cell r="C50" t="str">
            <v>電子中游-散熱零組件</v>
          </cell>
          <cell r="D50" t="str">
            <v>有，第一商業銀行</v>
          </cell>
          <cell r="E50" t="str">
            <v>TCRI 6</v>
          </cell>
          <cell r="F50">
            <v>2.0299999999999998</v>
          </cell>
          <cell r="G50">
            <v>107.03</v>
          </cell>
          <cell r="H50">
            <v>46281</v>
          </cell>
          <cell r="I50">
            <v>46295</v>
          </cell>
          <cell r="J50">
            <v>101.256</v>
          </cell>
          <cell r="K50">
            <v>2.3E-2</v>
          </cell>
          <cell r="L50">
            <v>42.95</v>
          </cell>
          <cell r="M50">
            <v>25.3</v>
          </cell>
          <cell r="N50">
            <v>169.76284584980237</v>
          </cell>
        </row>
        <row r="51">
          <cell r="B51">
            <v>64251</v>
          </cell>
          <cell r="C51" t="str">
            <v>電子上游-IC-其他</v>
          </cell>
          <cell r="D51" t="str">
            <v>有，上海商業儲蓄銀行股份有限公司</v>
          </cell>
          <cell r="E51" t="str">
            <v>TCRI 8</v>
          </cell>
          <cell r="F51">
            <v>5.68</v>
          </cell>
          <cell r="G51">
            <v>19.830000000000005</v>
          </cell>
          <cell r="H51">
            <v>46661</v>
          </cell>
          <cell r="I51">
            <v>46675</v>
          </cell>
          <cell r="J51">
            <v>100</v>
          </cell>
          <cell r="K51">
            <v>2.3E-2</v>
          </cell>
          <cell r="L51">
            <v>51.5</v>
          </cell>
          <cell r="M51">
            <v>60</v>
          </cell>
          <cell r="N51">
            <v>85.833333333333343</v>
          </cell>
        </row>
        <row r="52">
          <cell r="B52">
            <v>65521</v>
          </cell>
          <cell r="C52" t="str">
            <v>電子上游-IC-封測</v>
          </cell>
          <cell r="D52" t="str">
            <v>有，台新國際商業銀行股份有限公司</v>
          </cell>
          <cell r="E52" t="str">
            <v>TCRI 6</v>
          </cell>
          <cell r="F52">
            <v>3.45</v>
          </cell>
          <cell r="G52">
            <v>3.2999999999999945</v>
          </cell>
          <cell r="H52">
            <v>46307</v>
          </cell>
          <cell r="I52">
            <v>46320</v>
          </cell>
          <cell r="J52">
            <v>100</v>
          </cell>
          <cell r="K52">
            <v>2.3E-2</v>
          </cell>
          <cell r="L52">
            <v>27.35</v>
          </cell>
          <cell r="M52">
            <v>59.2</v>
          </cell>
          <cell r="N52">
            <v>46.199324324324323</v>
          </cell>
        </row>
        <row r="53">
          <cell r="B53">
            <v>65841</v>
          </cell>
          <cell r="C53" t="str">
            <v>電子中游-金屬製品</v>
          </cell>
          <cell r="D53" t="str">
            <v>有，彰化商業銀行股份有限公司</v>
          </cell>
          <cell r="E53" t="str">
            <v>TCRI 7</v>
          </cell>
          <cell r="F53">
            <v>2.4700000000000002</v>
          </cell>
          <cell r="G53">
            <v>6.4700000000000006</v>
          </cell>
          <cell r="H53">
            <v>46310</v>
          </cell>
          <cell r="I53">
            <v>46324</v>
          </cell>
          <cell r="J53">
            <v>101.0025</v>
          </cell>
          <cell r="K53">
            <v>2.3E-2</v>
          </cell>
          <cell r="L53">
            <v>127.5</v>
          </cell>
          <cell r="M53">
            <v>178.8</v>
          </cell>
          <cell r="N53">
            <v>71.308724832214764</v>
          </cell>
        </row>
        <row r="54">
          <cell r="B54">
            <v>65851</v>
          </cell>
          <cell r="C54" t="str">
            <v>傳產-塑膠</v>
          </cell>
          <cell r="D54" t="str">
            <v>有，第一商業銀行股份有限公司</v>
          </cell>
          <cell r="E54" t="str">
            <v>TCRI 5</v>
          </cell>
          <cell r="F54">
            <v>3.38</v>
          </cell>
          <cell r="G54">
            <v>23.88</v>
          </cell>
          <cell r="H54">
            <v>46307</v>
          </cell>
          <cell r="I54">
            <v>46321</v>
          </cell>
          <cell r="J54">
            <v>100</v>
          </cell>
          <cell r="K54">
            <v>2.2499999999999999E-2</v>
          </cell>
          <cell r="L54">
            <v>130</v>
          </cell>
          <cell r="M54">
            <v>118.5</v>
          </cell>
          <cell r="N54">
            <v>109.70464135021098</v>
          </cell>
        </row>
        <row r="55">
          <cell r="B55">
            <v>65931</v>
          </cell>
          <cell r="C55" t="str">
            <v>軟體-系統整合</v>
          </cell>
          <cell r="D55" t="str">
            <v>有，台新國際商業銀行股份有限公司</v>
          </cell>
          <cell r="E55" t="str">
            <v>TCRI 7</v>
          </cell>
          <cell r="F55">
            <v>1.42</v>
          </cell>
          <cell r="G55">
            <v>199.42</v>
          </cell>
          <cell r="H55">
            <v>45992</v>
          </cell>
          <cell r="I55">
            <v>46005</v>
          </cell>
          <cell r="J55">
            <v>100</v>
          </cell>
          <cell r="K55">
            <v>2.2499999999999999E-2</v>
          </cell>
          <cell r="L55">
            <v>42.7</v>
          </cell>
          <cell r="M55">
            <v>37.15</v>
          </cell>
          <cell r="N55">
            <v>114.93943472409154</v>
          </cell>
        </row>
        <row r="56">
          <cell r="B56">
            <v>66241</v>
          </cell>
          <cell r="C56" t="str">
            <v>傳產-綠能環保</v>
          </cell>
          <cell r="D56" t="str">
            <v>有，臺灣土地銀行股份有限公司</v>
          </cell>
          <cell r="E56" t="str">
            <v>TCRI 7</v>
          </cell>
          <cell r="F56">
            <v>4.29</v>
          </cell>
          <cell r="G56">
            <v>7.9900000000000029</v>
          </cell>
          <cell r="H56">
            <v>46559</v>
          </cell>
          <cell r="I56">
            <v>46573</v>
          </cell>
          <cell r="J56">
            <v>100.75</v>
          </cell>
          <cell r="K56">
            <v>2.3E-2</v>
          </cell>
          <cell r="L56">
            <v>34.200000000000003</v>
          </cell>
          <cell r="M56">
            <v>41.2</v>
          </cell>
          <cell r="N56">
            <v>83.009708737864074</v>
          </cell>
        </row>
        <row r="57">
          <cell r="B57">
            <v>68061</v>
          </cell>
          <cell r="C57" t="str">
            <v>電子下游-太陽能</v>
          </cell>
          <cell r="D57" t="str">
            <v>有，臺灣銀行股份有限公司土城分行等</v>
          </cell>
          <cell r="E57" t="str">
            <v>TCRI 7</v>
          </cell>
          <cell r="F57">
            <v>3.48</v>
          </cell>
          <cell r="G57">
            <v>9.48</v>
          </cell>
          <cell r="H57">
            <v>46335</v>
          </cell>
          <cell r="I57">
            <v>46348</v>
          </cell>
          <cell r="J57">
            <v>100</v>
          </cell>
          <cell r="K57">
            <v>2.1999999999999999E-2</v>
          </cell>
          <cell r="L57">
            <v>88.6</v>
          </cell>
          <cell r="M57">
            <v>106.6</v>
          </cell>
          <cell r="N57">
            <v>83.114446529080666</v>
          </cell>
        </row>
        <row r="58">
          <cell r="B58">
            <v>81714</v>
          </cell>
          <cell r="C58" t="str">
            <v>電子中游-電源供應器</v>
          </cell>
          <cell r="D58" t="str">
            <v>有，板信商業銀行、台中商業銀行</v>
          </cell>
          <cell r="E58" t="str">
            <v>TCRI 7</v>
          </cell>
          <cell r="F58">
            <v>5.86</v>
          </cell>
          <cell r="G58">
            <v>27.36</v>
          </cell>
          <cell r="H58">
            <v>46689</v>
          </cell>
          <cell r="I58">
            <v>46703</v>
          </cell>
          <cell r="J58">
            <v>100</v>
          </cell>
          <cell r="K58">
            <v>2.3E-2</v>
          </cell>
          <cell r="L58">
            <v>37.799999999999997</v>
          </cell>
          <cell r="M58">
            <v>33.799999999999997</v>
          </cell>
          <cell r="N58">
            <v>111.83431952662723</v>
          </cell>
        </row>
        <row r="59">
          <cell r="B59">
            <v>84421</v>
          </cell>
          <cell r="C59" t="str">
            <v>傳產-其他</v>
          </cell>
          <cell r="D59" t="str">
            <v>有，玉山商業銀行股份有限公司</v>
          </cell>
          <cell r="E59" t="str">
            <v>TCRI 6</v>
          </cell>
          <cell r="F59">
            <v>0.7</v>
          </cell>
          <cell r="G59">
            <v>46.2</v>
          </cell>
          <cell r="H59">
            <v>45874</v>
          </cell>
          <cell r="I59">
            <v>45888</v>
          </cell>
          <cell r="J59">
            <v>100</v>
          </cell>
          <cell r="K59">
            <v>2.1999999999999999E-2</v>
          </cell>
          <cell r="L59">
            <v>84.5</v>
          </cell>
          <cell r="M59">
            <v>57.3</v>
          </cell>
          <cell r="N59">
            <v>147.46945898778358</v>
          </cell>
        </row>
        <row r="60">
          <cell r="B60">
            <v>84422</v>
          </cell>
          <cell r="C60" t="str">
            <v>傳產-其他</v>
          </cell>
          <cell r="D60" t="str">
            <v>有，台北富邦商業銀行股份有限公司</v>
          </cell>
          <cell r="E60" t="str">
            <v>TCRI 6</v>
          </cell>
          <cell r="F60">
            <v>3.34</v>
          </cell>
          <cell r="G60">
            <v>18.639999999999997</v>
          </cell>
          <cell r="H60">
            <v>46300</v>
          </cell>
          <cell r="I60">
            <v>46314</v>
          </cell>
          <cell r="J60">
            <v>100</v>
          </cell>
          <cell r="K60">
            <v>2.2499999999999999E-2</v>
          </cell>
          <cell r="L60">
            <v>84.5</v>
          </cell>
          <cell r="M60">
            <v>79.900000000000006</v>
          </cell>
          <cell r="N60">
            <v>105.75719649561952</v>
          </cell>
        </row>
        <row r="61">
          <cell r="B61">
            <v>84672</v>
          </cell>
          <cell r="C61" t="str">
            <v>傳產-其他</v>
          </cell>
          <cell r="D61" t="str">
            <v>有，台北富邦商業銀行股份有限公司</v>
          </cell>
          <cell r="E61" t="str">
            <v>TCRI 6</v>
          </cell>
          <cell r="F61">
            <v>4.82</v>
          </cell>
          <cell r="G61">
            <v>15.619999999999997</v>
          </cell>
          <cell r="H61">
            <v>46524</v>
          </cell>
          <cell r="I61">
            <v>46537</v>
          </cell>
          <cell r="J61">
            <v>100</v>
          </cell>
          <cell r="K61">
            <v>2.3E-2</v>
          </cell>
          <cell r="L61">
            <v>167</v>
          </cell>
          <cell r="M61">
            <v>193.6</v>
          </cell>
          <cell r="N61">
            <v>86.260330578512409</v>
          </cell>
        </row>
        <row r="62">
          <cell r="B62">
            <v>84881</v>
          </cell>
          <cell r="C62" t="str">
            <v>傳產-其他</v>
          </cell>
          <cell r="D62" t="str">
            <v>有，玉山銀行、王道銀行</v>
          </cell>
          <cell r="E62" t="str">
            <v>TCRI 7</v>
          </cell>
          <cell r="F62">
            <v>3.8</v>
          </cell>
          <cell r="G62">
            <v>4.2500000000000027</v>
          </cell>
          <cell r="H62">
            <v>46363</v>
          </cell>
          <cell r="I62">
            <v>46375</v>
          </cell>
          <cell r="J62">
            <v>100</v>
          </cell>
          <cell r="K62">
            <v>2.3E-2</v>
          </cell>
          <cell r="L62">
            <v>11.7</v>
          </cell>
          <cell r="M62">
            <v>18.399999999999999</v>
          </cell>
          <cell r="N62">
            <v>63.586956521739125</v>
          </cell>
        </row>
        <row r="63">
          <cell r="B63">
            <v>84891</v>
          </cell>
          <cell r="C63" t="str">
            <v>傳產-文創娛樂</v>
          </cell>
          <cell r="D63" t="str">
            <v>有，上海商業儲蓄銀行股分有限公司竹科分公司</v>
          </cell>
          <cell r="E63" t="str">
            <v>TCRI 6</v>
          </cell>
          <cell r="F63">
            <v>3.53</v>
          </cell>
          <cell r="G63">
            <v>27.33</v>
          </cell>
          <cell r="H63">
            <v>46351</v>
          </cell>
          <cell r="I63">
            <v>46365</v>
          </cell>
          <cell r="J63">
            <v>100.20010000000001</v>
          </cell>
          <cell r="K63">
            <v>2.3E-2</v>
          </cell>
          <cell r="L63">
            <v>36.200000000000003</v>
          </cell>
          <cell r="M63">
            <v>28.8</v>
          </cell>
          <cell r="N63">
            <v>125.69444444444446</v>
          </cell>
        </row>
        <row r="64">
          <cell r="B64">
            <v>89277</v>
          </cell>
          <cell r="C64" t="str">
            <v>傳產-其他</v>
          </cell>
          <cell r="D64" t="str">
            <v>有，合作金庫商業銀行股份有限公司</v>
          </cell>
          <cell r="E64" t="str">
            <v>TCRI 7</v>
          </cell>
          <cell r="F64">
            <v>3.8</v>
          </cell>
          <cell r="G64">
            <v>15.3</v>
          </cell>
          <cell r="H64">
            <v>46601</v>
          </cell>
          <cell r="I64">
            <v>46615</v>
          </cell>
          <cell r="J64">
            <v>101.50749999999999</v>
          </cell>
          <cell r="K64">
            <v>2.3E-2</v>
          </cell>
          <cell r="L64">
            <v>45.95</v>
          </cell>
          <cell r="M64">
            <v>59.79</v>
          </cell>
          <cell r="N64">
            <v>76.852316440876407</v>
          </cell>
        </row>
        <row r="65">
          <cell r="B65"/>
          <cell r="C65"/>
          <cell r="D65"/>
          <cell r="E65"/>
          <cell r="F65"/>
          <cell r="G65"/>
          <cell r="H65"/>
          <cell r="I65"/>
          <cell r="J65"/>
          <cell r="K65"/>
          <cell r="L65"/>
          <cell r="M65"/>
          <cell r="N65"/>
        </row>
        <row r="66">
          <cell r="B66"/>
          <cell r="C66"/>
          <cell r="D66"/>
          <cell r="E66"/>
          <cell r="F66"/>
          <cell r="G66"/>
          <cell r="H66"/>
          <cell r="I66"/>
          <cell r="J66"/>
          <cell r="K66"/>
          <cell r="L66"/>
          <cell r="M66"/>
        </row>
        <row r="67">
          <cell r="B67"/>
          <cell r="C67"/>
          <cell r="D67"/>
          <cell r="E67"/>
          <cell r="F67"/>
          <cell r="G67"/>
          <cell r="H67"/>
          <cell r="I67"/>
          <cell r="J67"/>
          <cell r="K67"/>
          <cell r="L67"/>
          <cell r="M67"/>
          <cell r="N67"/>
        </row>
        <row r="68">
          <cell r="B68"/>
          <cell r="C68"/>
          <cell r="D68"/>
          <cell r="E68"/>
          <cell r="F68"/>
          <cell r="G68"/>
          <cell r="H68"/>
          <cell r="I68"/>
          <cell r="J68"/>
          <cell r="K68"/>
          <cell r="L68"/>
          <cell r="M68"/>
        </row>
        <row r="69">
          <cell r="B69"/>
          <cell r="C69"/>
          <cell r="D69"/>
          <cell r="E69"/>
          <cell r="F69"/>
          <cell r="G69"/>
          <cell r="H69"/>
          <cell r="I69"/>
          <cell r="J69"/>
          <cell r="K69"/>
          <cell r="L69"/>
          <cell r="M69"/>
          <cell r="N69"/>
        </row>
        <row r="70">
          <cell r="B70"/>
          <cell r="C70"/>
          <cell r="D70"/>
          <cell r="E70"/>
          <cell r="F70"/>
          <cell r="G70"/>
          <cell r="H70"/>
          <cell r="I70"/>
          <cell r="J70"/>
          <cell r="K70"/>
          <cell r="L70"/>
          <cell r="M70"/>
        </row>
        <row r="71">
          <cell r="B71"/>
          <cell r="C71"/>
          <cell r="D71"/>
          <cell r="E71"/>
          <cell r="F71"/>
          <cell r="G71"/>
          <cell r="H71"/>
          <cell r="I71"/>
          <cell r="J71"/>
          <cell r="K71"/>
          <cell r="L71"/>
          <cell r="M71"/>
        </row>
        <row r="72">
          <cell r="B72"/>
          <cell r="C72"/>
          <cell r="D72"/>
          <cell r="E72"/>
          <cell r="F72"/>
          <cell r="G72"/>
          <cell r="H72"/>
          <cell r="I72"/>
          <cell r="J72"/>
          <cell r="K72"/>
          <cell r="L72"/>
          <cell r="M72"/>
          <cell r="N72"/>
        </row>
        <row r="73">
          <cell r="B73"/>
          <cell r="C73"/>
          <cell r="D73"/>
          <cell r="E73"/>
          <cell r="F73"/>
          <cell r="G73"/>
          <cell r="H73"/>
          <cell r="I73"/>
          <cell r="J73"/>
          <cell r="K73"/>
          <cell r="L73"/>
          <cell r="M73"/>
        </row>
        <row r="74">
          <cell r="B74"/>
          <cell r="C74"/>
          <cell r="D74"/>
          <cell r="E74"/>
          <cell r="F74"/>
          <cell r="G74"/>
          <cell r="H74"/>
          <cell r="I74"/>
          <cell r="J74"/>
          <cell r="K74"/>
          <cell r="L74"/>
          <cell r="M74"/>
        </row>
        <row r="75">
          <cell r="B75"/>
          <cell r="C75"/>
          <cell r="D75"/>
          <cell r="E75"/>
          <cell r="F75"/>
          <cell r="G75"/>
          <cell r="H75"/>
          <cell r="I75"/>
          <cell r="J75"/>
          <cell r="K75"/>
          <cell r="L75"/>
          <cell r="M75"/>
        </row>
        <row r="76">
          <cell r="B76"/>
          <cell r="C76"/>
          <cell r="D76"/>
          <cell r="E76"/>
          <cell r="F76"/>
          <cell r="G76"/>
          <cell r="H76"/>
          <cell r="I76"/>
          <cell r="J76"/>
          <cell r="K76"/>
          <cell r="L76"/>
          <cell r="M76"/>
        </row>
        <row r="77">
          <cell r="B77"/>
          <cell r="C77"/>
          <cell r="D77"/>
          <cell r="E77"/>
          <cell r="F77"/>
          <cell r="G77"/>
          <cell r="H77"/>
          <cell r="I77"/>
          <cell r="J77"/>
          <cell r="K77"/>
          <cell r="L77"/>
          <cell r="M77"/>
        </row>
        <row r="78">
          <cell r="B78"/>
          <cell r="C78"/>
          <cell r="D78"/>
          <cell r="E78"/>
          <cell r="F78"/>
          <cell r="G78"/>
          <cell r="H78"/>
          <cell r="I78"/>
          <cell r="J78"/>
          <cell r="K78"/>
          <cell r="L78"/>
          <cell r="M78"/>
        </row>
        <row r="79">
          <cell r="B79"/>
          <cell r="C79"/>
          <cell r="D79"/>
          <cell r="E79"/>
          <cell r="F79"/>
          <cell r="G79"/>
          <cell r="H79"/>
          <cell r="I79"/>
          <cell r="J79"/>
          <cell r="K79"/>
          <cell r="L79"/>
          <cell r="M79"/>
        </row>
        <row r="80">
          <cell r="B80"/>
          <cell r="C80"/>
          <cell r="D80"/>
          <cell r="E80"/>
          <cell r="F80"/>
          <cell r="G80"/>
          <cell r="H80"/>
          <cell r="I80"/>
          <cell r="J80"/>
          <cell r="K80"/>
          <cell r="L80"/>
          <cell r="M80"/>
        </row>
        <row r="81">
          <cell r="B81"/>
          <cell r="C81"/>
          <cell r="D81"/>
          <cell r="E81"/>
          <cell r="F81"/>
          <cell r="G81"/>
          <cell r="H81"/>
          <cell r="I81"/>
          <cell r="J81"/>
          <cell r="K81"/>
          <cell r="L81"/>
          <cell r="M81"/>
        </row>
        <row r="82">
          <cell r="B82"/>
          <cell r="C82"/>
          <cell r="D82"/>
          <cell r="E82"/>
          <cell r="F82"/>
          <cell r="G82"/>
          <cell r="H82"/>
          <cell r="I82"/>
          <cell r="J82"/>
          <cell r="K82"/>
          <cell r="L82"/>
          <cell r="M82"/>
        </row>
        <row r="83">
          <cell r="B83"/>
          <cell r="C83"/>
          <cell r="D83"/>
          <cell r="E83"/>
          <cell r="F83"/>
          <cell r="G83"/>
          <cell r="H83"/>
          <cell r="I83"/>
          <cell r="J83"/>
          <cell r="K83"/>
          <cell r="L83"/>
          <cell r="M83"/>
          <cell r="N83"/>
        </row>
        <row r="84">
          <cell r="H84"/>
          <cell r="I84"/>
          <cell r="J84"/>
        </row>
        <row r="85">
          <cell r="B85"/>
          <cell r="C85"/>
          <cell r="D85"/>
          <cell r="E85"/>
          <cell r="F85"/>
          <cell r="G85"/>
          <cell r="H85"/>
          <cell r="I85"/>
          <cell r="J85"/>
          <cell r="K85"/>
          <cell r="L85"/>
          <cell r="M85"/>
          <cell r="N85"/>
        </row>
        <row r="86">
          <cell r="B86" t="str">
            <v>預設:</v>
          </cell>
          <cell r="C86"/>
          <cell r="D86">
            <v>45783</v>
          </cell>
          <cell r="E86"/>
          <cell r="F86"/>
          <cell r="G86"/>
          <cell r="H86"/>
          <cell r="I86"/>
          <cell r="J86"/>
          <cell r="K86"/>
          <cell r="L86"/>
          <cell r="M86"/>
          <cell r="N86"/>
        </row>
        <row r="87">
          <cell r="B87" t="str">
            <v>履約交割日</v>
          </cell>
          <cell r="C87"/>
          <cell r="D87" t="str">
            <v>選擇權到期日</v>
          </cell>
          <cell r="E87"/>
          <cell r="F87" t="str">
            <v>賣回日</v>
          </cell>
          <cell r="G87" t="str">
            <v>賣回價格</v>
          </cell>
          <cell r="H87" t="str">
            <v>剩餘天數</v>
          </cell>
          <cell r="I87" t="str">
            <v>平均可轉債買入價格</v>
          </cell>
          <cell r="J87" t="str">
            <v>折現率</v>
          </cell>
          <cell r="K87" t="str">
            <v>每單位權利金報價(百元)</v>
          </cell>
          <cell r="L87" t="str">
            <v>每單位
權利金(市價)</v>
          </cell>
          <cell r="M87" t="str">
            <v>履約張數</v>
          </cell>
          <cell r="N87" t="str">
            <v>提前履約補償金(%)</v>
          </cell>
        </row>
        <row r="88">
          <cell r="B88">
            <v>45785</v>
          </cell>
          <cell r="C88"/>
          <cell r="D88">
            <v>45758</v>
          </cell>
          <cell r="E88"/>
          <cell r="F88">
            <v>45772</v>
          </cell>
          <cell r="G88">
            <v>100</v>
          </cell>
          <cell r="H88">
            <v>-12</v>
          </cell>
          <cell r="I88">
            <v>111.1</v>
          </cell>
          <cell r="J88">
            <v>2.1999999999999999E-2</v>
          </cell>
          <cell r="K88">
            <v>6.6</v>
          </cell>
          <cell r="L88">
            <v>17.699999999999996</v>
          </cell>
          <cell r="M88">
            <v>10</v>
          </cell>
          <cell r="N88">
            <v>0.25</v>
          </cell>
        </row>
        <row r="89">
          <cell r="B89"/>
          <cell r="C89"/>
          <cell r="D89"/>
          <cell r="E89"/>
          <cell r="F89"/>
          <cell r="G89"/>
          <cell r="H89"/>
          <cell r="I89"/>
          <cell r="J89"/>
          <cell r="K89"/>
          <cell r="L89"/>
          <cell r="M89"/>
        </row>
        <row r="90">
          <cell r="B90"/>
          <cell r="C90"/>
          <cell r="D90"/>
          <cell r="E90"/>
          <cell r="F90"/>
          <cell r="G90"/>
          <cell r="H90"/>
          <cell r="I90"/>
          <cell r="J90"/>
          <cell r="K90"/>
          <cell r="L90"/>
          <cell r="M90"/>
        </row>
        <row r="91">
          <cell r="B91"/>
          <cell r="C91"/>
          <cell r="D91"/>
          <cell r="E91"/>
          <cell r="F91"/>
          <cell r="G91"/>
          <cell r="H91"/>
          <cell r="I91"/>
          <cell r="J91"/>
          <cell r="K91"/>
          <cell r="L91"/>
          <cell r="M91"/>
          <cell r="N91"/>
        </row>
      </sheetData>
      <sheetData sheetId="10">
        <row r="1">
          <cell r="B1"/>
          <cell r="C1"/>
          <cell r="D1" t="str">
            <v>轉(交)換公司債資產交換選擇權報價表</v>
          </cell>
          <cell r="E1"/>
        </row>
        <row r="2">
          <cell r="B2"/>
          <cell r="C2"/>
          <cell r="D2"/>
          <cell r="E2"/>
        </row>
        <row r="3">
          <cell r="B3" t="str">
            <v>CB代號</v>
          </cell>
          <cell r="C3" t="str">
            <v>擔保/評等</v>
          </cell>
          <cell r="D3" t="str">
            <v>百元報價</v>
          </cell>
          <cell r="E3" t="str">
            <v>履約利率</v>
          </cell>
        </row>
        <row r="4">
          <cell r="B4">
            <v>13164</v>
          </cell>
          <cell r="C4" t="str">
            <v>有，台北富邦</v>
          </cell>
          <cell r="D4">
            <v>1.8399999999999999</v>
          </cell>
          <cell r="E4">
            <v>2.3E-2</v>
          </cell>
        </row>
        <row r="5">
          <cell r="B5">
            <v>140201</v>
          </cell>
          <cell r="C5" t="str">
            <v>無，TCRI 3</v>
          </cell>
          <cell r="D5">
            <v>6.25</v>
          </cell>
          <cell r="E5">
            <v>2.7E-2</v>
          </cell>
        </row>
        <row r="6">
          <cell r="B6">
            <v>14381</v>
          </cell>
          <cell r="C6" t="str">
            <v>有，台中</v>
          </cell>
          <cell r="D6">
            <v>4.9400000000000004</v>
          </cell>
          <cell r="E6">
            <v>2.4E-2</v>
          </cell>
        </row>
        <row r="7">
          <cell r="B7">
            <v>15601</v>
          </cell>
          <cell r="C7" t="str">
            <v>無，TCRI 4</v>
          </cell>
          <cell r="D7">
            <v>5.91</v>
          </cell>
          <cell r="E7">
            <v>2.7E-2</v>
          </cell>
        </row>
        <row r="8">
          <cell r="B8">
            <v>15864</v>
          </cell>
          <cell r="C8" t="str">
            <v>有，合作金庫</v>
          </cell>
          <cell r="D8">
            <v>3.1799999999999997</v>
          </cell>
          <cell r="E8">
            <v>2.3E-2</v>
          </cell>
        </row>
        <row r="9">
          <cell r="B9">
            <v>15991</v>
          </cell>
          <cell r="C9" t="str">
            <v>有，台北富邦</v>
          </cell>
          <cell r="D9">
            <v>1.39</v>
          </cell>
          <cell r="E9">
            <v>2.3E-2</v>
          </cell>
        </row>
        <row r="10">
          <cell r="B10">
            <v>17813</v>
          </cell>
          <cell r="C10" t="str">
            <v>有，華南</v>
          </cell>
          <cell r="D10">
            <v>5.6400000000000006</v>
          </cell>
          <cell r="E10">
            <v>2.3E-2</v>
          </cell>
        </row>
        <row r="11">
          <cell r="B11">
            <v>23682</v>
          </cell>
          <cell r="C11" t="str">
            <v>無，TCRI 4</v>
          </cell>
          <cell r="D11">
            <v>4.66</v>
          </cell>
          <cell r="E11">
            <v>2.8500000000000001E-2</v>
          </cell>
        </row>
        <row r="12">
          <cell r="B12">
            <v>23836</v>
          </cell>
          <cell r="C12" t="str">
            <v>無，TCRI 3</v>
          </cell>
          <cell r="D12">
            <v>6.12</v>
          </cell>
          <cell r="E12">
            <v>2.5000000000000001E-2</v>
          </cell>
        </row>
        <row r="13">
          <cell r="B13">
            <v>23837</v>
          </cell>
          <cell r="C13" t="str">
            <v>無，TCRI 3</v>
          </cell>
          <cell r="D13">
            <v>13</v>
          </cell>
          <cell r="E13">
            <v>2.9000000000000001E-2</v>
          </cell>
        </row>
        <row r="14">
          <cell r="B14">
            <v>24394</v>
          </cell>
          <cell r="C14" t="str">
            <v>無，TCRI 3</v>
          </cell>
          <cell r="D14">
            <v>5.8100000000000005</v>
          </cell>
          <cell r="E14">
            <v>2.5999999999999999E-2</v>
          </cell>
        </row>
        <row r="15">
          <cell r="B15">
            <v>24395</v>
          </cell>
          <cell r="C15" t="str">
            <v>無，TCRI 3</v>
          </cell>
          <cell r="D15">
            <v>5.9</v>
          </cell>
          <cell r="E15">
            <v>2.5999999999999999E-2</v>
          </cell>
        </row>
        <row r="16">
          <cell r="B16">
            <v>24762</v>
          </cell>
          <cell r="C16" t="str">
            <v>無，TCRI 4</v>
          </cell>
          <cell r="D16">
            <v>4.9000000000000004</v>
          </cell>
          <cell r="E16">
            <v>2.75E-2</v>
          </cell>
        </row>
        <row r="17">
          <cell r="B17">
            <v>24972</v>
          </cell>
          <cell r="C17" t="str">
            <v>有，兆豐</v>
          </cell>
          <cell r="D17">
            <v>0.54</v>
          </cell>
          <cell r="E17">
            <v>2.3E-2</v>
          </cell>
        </row>
        <row r="18">
          <cell r="B18">
            <v>25283</v>
          </cell>
          <cell r="C18" t="str">
            <v>有，元大</v>
          </cell>
          <cell r="D18">
            <v>5.7700000000000005</v>
          </cell>
          <cell r="E18">
            <v>2.4E-2</v>
          </cell>
        </row>
        <row r="19">
          <cell r="B19">
            <v>26107</v>
          </cell>
          <cell r="C19" t="str">
            <v>無，TCRI 4</v>
          </cell>
          <cell r="D19">
            <v>2.84</v>
          </cell>
          <cell r="E19">
            <v>2.7500000000000004E-2</v>
          </cell>
        </row>
        <row r="20">
          <cell r="B20">
            <v>27271</v>
          </cell>
          <cell r="C20" t="str">
            <v>無，TCRI 4</v>
          </cell>
          <cell r="D20">
            <v>2</v>
          </cell>
          <cell r="E20">
            <v>2.9000000000000001E-2</v>
          </cell>
        </row>
        <row r="21">
          <cell r="B21">
            <v>30134</v>
          </cell>
          <cell r="C21" t="str">
            <v>有，兆豐、中國信託</v>
          </cell>
          <cell r="D21">
            <v>5.79</v>
          </cell>
          <cell r="E21">
            <v>2.3E-2</v>
          </cell>
        </row>
        <row r="22">
          <cell r="B22">
            <v>30238</v>
          </cell>
          <cell r="C22" t="str">
            <v>無，TCRI 4</v>
          </cell>
          <cell r="D22">
            <v>1.72</v>
          </cell>
          <cell r="E22">
            <v>2.5999999999999999E-2</v>
          </cell>
        </row>
        <row r="23">
          <cell r="B23">
            <v>30454</v>
          </cell>
          <cell r="C23" t="str">
            <v>無，TCRI 2</v>
          </cell>
          <cell r="D23">
            <v>6.6000000000000005</v>
          </cell>
          <cell r="E23">
            <v>2.3E-2</v>
          </cell>
        </row>
        <row r="24">
          <cell r="B24">
            <v>30455</v>
          </cell>
          <cell r="C24" t="str">
            <v>無，TCRI 2</v>
          </cell>
          <cell r="D24">
            <v>6.61</v>
          </cell>
          <cell r="E24">
            <v>2.3E-2</v>
          </cell>
        </row>
        <row r="25">
          <cell r="B25">
            <v>30882</v>
          </cell>
          <cell r="C25" t="str">
            <v>無，TCRI 5</v>
          </cell>
          <cell r="D25">
            <v>4.1500000000000004</v>
          </cell>
          <cell r="E25">
            <v>3.0499999999999999E-2</v>
          </cell>
        </row>
        <row r="26">
          <cell r="B26">
            <v>33133</v>
          </cell>
          <cell r="C26" t="str">
            <v>有，元大</v>
          </cell>
          <cell r="D26">
            <v>6.0500000000000007</v>
          </cell>
          <cell r="E26">
            <v>2.3E-2</v>
          </cell>
        </row>
        <row r="27">
          <cell r="B27">
            <v>33245</v>
          </cell>
          <cell r="C27" t="str">
            <v>無，TCRI 4</v>
          </cell>
          <cell r="D27">
            <v>4.3400000000000007</v>
          </cell>
          <cell r="E27">
            <v>2.5500000000000002E-2</v>
          </cell>
        </row>
        <row r="28">
          <cell r="B28">
            <v>33571</v>
          </cell>
          <cell r="C28" t="str">
            <v>無，TCRI 4</v>
          </cell>
          <cell r="D28">
            <v>4.32</v>
          </cell>
          <cell r="E28">
            <v>2.8000000000000001E-2</v>
          </cell>
        </row>
        <row r="29">
          <cell r="B29">
            <v>33621</v>
          </cell>
          <cell r="C29" t="str">
            <v>有，臺灣土地</v>
          </cell>
          <cell r="D29">
            <v>4.45</v>
          </cell>
          <cell r="E29">
            <v>2.3E-2</v>
          </cell>
        </row>
        <row r="30">
          <cell r="B30">
            <v>33763</v>
          </cell>
          <cell r="C30" t="str">
            <v>無，TCRI 4</v>
          </cell>
          <cell r="D30">
            <v>4.5</v>
          </cell>
          <cell r="E30">
            <v>2.5500000000000002E-2</v>
          </cell>
        </row>
        <row r="31">
          <cell r="B31">
            <v>33881</v>
          </cell>
          <cell r="C31" t="str">
            <v>無，TCRI 4</v>
          </cell>
          <cell r="D31">
            <v>1.66</v>
          </cell>
          <cell r="E31">
            <v>2.9499999999999998E-2</v>
          </cell>
        </row>
        <row r="32">
          <cell r="B32">
            <v>33902</v>
          </cell>
          <cell r="C32" t="str">
            <v>有，中國信託</v>
          </cell>
          <cell r="D32">
            <v>6.58</v>
          </cell>
          <cell r="E32">
            <v>2.3E-2</v>
          </cell>
        </row>
        <row r="33">
          <cell r="B33">
            <v>34132</v>
          </cell>
          <cell r="C33" t="str">
            <v>無，TCRI 4</v>
          </cell>
          <cell r="D33">
            <v>1.5299999999999998</v>
          </cell>
          <cell r="E33">
            <v>2.5999999999999999E-2</v>
          </cell>
        </row>
        <row r="34">
          <cell r="B34">
            <v>34341</v>
          </cell>
          <cell r="C34" t="str">
            <v>有，華南</v>
          </cell>
          <cell r="D34">
            <v>4.32</v>
          </cell>
          <cell r="E34">
            <v>2.3E-2</v>
          </cell>
        </row>
        <row r="35">
          <cell r="B35">
            <v>35161</v>
          </cell>
          <cell r="C35" t="str">
            <v>有，永豐</v>
          </cell>
          <cell r="D35">
            <v>5.79</v>
          </cell>
          <cell r="E35">
            <v>2.3E-2</v>
          </cell>
        </row>
        <row r="36">
          <cell r="B36">
            <v>35181</v>
          </cell>
          <cell r="C36" t="str">
            <v>有，台新</v>
          </cell>
          <cell r="D36">
            <v>5.3900000000000006</v>
          </cell>
          <cell r="E36">
            <v>2.3E-2</v>
          </cell>
        </row>
        <row r="37">
          <cell r="B37">
            <v>35221</v>
          </cell>
          <cell r="C37" t="str">
            <v>有，兆豐</v>
          </cell>
          <cell r="D37">
            <v>0.56999999999999995</v>
          </cell>
          <cell r="E37">
            <v>2.3E-2</v>
          </cell>
        </row>
        <row r="38">
          <cell r="B38">
            <v>35482</v>
          </cell>
          <cell r="C38" t="str">
            <v>無，TCRI 4</v>
          </cell>
          <cell r="D38">
            <v>5.1800000000000006</v>
          </cell>
          <cell r="E38">
            <v>0.03</v>
          </cell>
        </row>
        <row r="39">
          <cell r="B39">
            <v>35483</v>
          </cell>
          <cell r="C39" t="str">
            <v>無，TCRI 4</v>
          </cell>
          <cell r="D39">
            <v>8.01</v>
          </cell>
          <cell r="E39">
            <v>2.8000000000000001E-2</v>
          </cell>
        </row>
        <row r="40">
          <cell r="B40">
            <v>35871</v>
          </cell>
          <cell r="C40" t="str">
            <v>無，TCRI 4</v>
          </cell>
          <cell r="D40">
            <v>3.2399999999999998</v>
          </cell>
          <cell r="E40">
            <v>2.7500000000000004E-2</v>
          </cell>
        </row>
        <row r="41">
          <cell r="B41">
            <v>37083</v>
          </cell>
          <cell r="C41" t="str">
            <v>有，第一</v>
          </cell>
          <cell r="D41">
            <v>3.36</v>
          </cell>
          <cell r="E41">
            <v>2.3E-2</v>
          </cell>
        </row>
        <row r="42">
          <cell r="B42">
            <v>41234</v>
          </cell>
          <cell r="C42" t="str">
            <v>有，上海</v>
          </cell>
          <cell r="D42">
            <v>0.93</v>
          </cell>
          <cell r="E42">
            <v>2.3E-2</v>
          </cell>
        </row>
        <row r="43">
          <cell r="B43">
            <v>41235</v>
          </cell>
          <cell r="C43" t="str">
            <v>有，合庫等5家</v>
          </cell>
          <cell r="D43">
            <v>0.94000000000000006</v>
          </cell>
          <cell r="E43">
            <v>2.3E-2</v>
          </cell>
        </row>
        <row r="44">
          <cell r="B44">
            <v>41236</v>
          </cell>
          <cell r="C44" t="str">
            <v>有，永豐忠孝分公司</v>
          </cell>
          <cell r="D44">
            <v>7.1400000000000006</v>
          </cell>
          <cell r="E44">
            <v>2.35E-2</v>
          </cell>
        </row>
        <row r="45">
          <cell r="B45">
            <v>41644</v>
          </cell>
          <cell r="C45" t="str">
            <v>有，第一等3家</v>
          </cell>
          <cell r="D45">
            <v>-1.81</v>
          </cell>
          <cell r="E45">
            <v>2.3E-2</v>
          </cell>
        </row>
        <row r="46">
          <cell r="B46">
            <v>41683</v>
          </cell>
          <cell r="C46" t="str">
            <v>有，台新</v>
          </cell>
          <cell r="D46">
            <v>0.48</v>
          </cell>
          <cell r="E46">
            <v>2.3E-2</v>
          </cell>
        </row>
        <row r="47">
          <cell r="B47">
            <v>44163</v>
          </cell>
          <cell r="C47" t="str">
            <v>有，第一</v>
          </cell>
          <cell r="D47">
            <v>-0.42999999999999994</v>
          </cell>
          <cell r="E47">
            <v>2.3E-2</v>
          </cell>
        </row>
        <row r="48">
          <cell r="B48">
            <v>45401</v>
          </cell>
          <cell r="C48" t="str">
            <v>有，第一</v>
          </cell>
          <cell r="D48">
            <v>1.23</v>
          </cell>
          <cell r="E48">
            <v>2.3E-2</v>
          </cell>
        </row>
        <row r="49">
          <cell r="B49">
            <v>45553</v>
          </cell>
          <cell r="C49" t="str">
            <v>有，彰化</v>
          </cell>
          <cell r="D49">
            <v>0.92</v>
          </cell>
          <cell r="E49">
            <v>2.3E-2</v>
          </cell>
        </row>
        <row r="50">
          <cell r="B50">
            <v>47393</v>
          </cell>
          <cell r="C50" t="str">
            <v>有，彰化</v>
          </cell>
          <cell r="D50">
            <v>3.55</v>
          </cell>
          <cell r="E50">
            <v>2.3E-2</v>
          </cell>
        </row>
        <row r="51">
          <cell r="B51">
            <v>47442</v>
          </cell>
          <cell r="C51" t="str">
            <v>有，臺灣土地</v>
          </cell>
          <cell r="D51">
            <v>1.48</v>
          </cell>
          <cell r="E51">
            <v>2.2499999999999999E-2</v>
          </cell>
        </row>
        <row r="52">
          <cell r="B52">
            <v>52303</v>
          </cell>
          <cell r="C52" t="str">
            <v>有，台北富邦</v>
          </cell>
          <cell r="D52">
            <v>2.9499999999999997</v>
          </cell>
          <cell r="E52">
            <v>2.3E-2</v>
          </cell>
        </row>
        <row r="53">
          <cell r="B53">
            <v>52635</v>
          </cell>
          <cell r="C53" t="str">
            <v>有，台中</v>
          </cell>
          <cell r="D53">
            <v>1.8499999999999999</v>
          </cell>
          <cell r="E53">
            <v>2.3E-2</v>
          </cell>
        </row>
        <row r="54">
          <cell r="B54">
            <v>53064</v>
          </cell>
          <cell r="C54" t="str">
            <v>有，日商瑞穗</v>
          </cell>
          <cell r="D54">
            <v>3.62</v>
          </cell>
          <cell r="E54">
            <v>2.3E-2</v>
          </cell>
        </row>
        <row r="55">
          <cell r="B55">
            <v>53887</v>
          </cell>
          <cell r="C55" t="str">
            <v>無，TCRI 4</v>
          </cell>
          <cell r="D55">
            <v>4.67</v>
          </cell>
          <cell r="E55">
            <v>2.8500000000000004E-2</v>
          </cell>
        </row>
        <row r="56">
          <cell r="B56">
            <v>54342</v>
          </cell>
          <cell r="C56" t="str">
            <v>無，TCRI 4</v>
          </cell>
          <cell r="D56">
            <v>3.42</v>
          </cell>
          <cell r="E56">
            <v>2.8500000000000004E-2</v>
          </cell>
        </row>
        <row r="57">
          <cell r="B57">
            <v>54501</v>
          </cell>
          <cell r="C57" t="str">
            <v>有，臺灣土地</v>
          </cell>
          <cell r="D57">
            <v>1.41</v>
          </cell>
          <cell r="E57">
            <v>2.3E-2</v>
          </cell>
        </row>
        <row r="58">
          <cell r="B58">
            <v>56086</v>
          </cell>
          <cell r="C58" t="str">
            <v>有，陽信</v>
          </cell>
          <cell r="D58">
            <v>2.85</v>
          </cell>
          <cell r="E58">
            <v>2.4E-2</v>
          </cell>
        </row>
        <row r="59">
          <cell r="B59">
            <v>56087</v>
          </cell>
          <cell r="C59" t="str">
            <v>有，第一</v>
          </cell>
          <cell r="D59">
            <v>6.17</v>
          </cell>
          <cell r="E59">
            <v>2.3E-2</v>
          </cell>
        </row>
        <row r="60">
          <cell r="B60">
            <v>61394</v>
          </cell>
          <cell r="C60" t="str">
            <v>無，TCRI 4</v>
          </cell>
          <cell r="D60">
            <v>1.25</v>
          </cell>
          <cell r="E60">
            <v>2.9000000000000001E-2</v>
          </cell>
        </row>
        <row r="61">
          <cell r="B61">
            <v>61894</v>
          </cell>
          <cell r="C61" t="str">
            <v>無，TCRI 4</v>
          </cell>
          <cell r="D61">
            <v>3.7199999999999998</v>
          </cell>
          <cell r="E61">
            <v>2.8500000000000004E-2</v>
          </cell>
        </row>
        <row r="62">
          <cell r="B62">
            <v>61965</v>
          </cell>
          <cell r="C62" t="str">
            <v>無，TCRI 4</v>
          </cell>
          <cell r="D62">
            <v>3.29</v>
          </cell>
          <cell r="E62">
            <v>2.75E-2</v>
          </cell>
        </row>
        <row r="63">
          <cell r="B63">
            <v>62744</v>
          </cell>
          <cell r="C63" t="str">
            <v>無，TCRI 4</v>
          </cell>
          <cell r="D63">
            <v>5.3500000000000005</v>
          </cell>
          <cell r="E63">
            <v>2.5999999999999999E-2</v>
          </cell>
        </row>
        <row r="64">
          <cell r="B64">
            <v>62843</v>
          </cell>
          <cell r="C64" t="str">
            <v>無，TCRI 4</v>
          </cell>
          <cell r="D64">
            <v>1.88</v>
          </cell>
          <cell r="E64">
            <v>2.8500000000000004E-2</v>
          </cell>
        </row>
        <row r="65">
          <cell r="B65">
            <v>64145</v>
          </cell>
          <cell r="C65" t="str">
            <v>無，TCRI 4</v>
          </cell>
          <cell r="D65">
            <v>3.6</v>
          </cell>
          <cell r="E65">
            <v>2.7E-2</v>
          </cell>
        </row>
        <row r="66">
          <cell r="B66">
            <v>64251</v>
          </cell>
          <cell r="C66" t="str">
            <v>有，上海</v>
          </cell>
          <cell r="D66">
            <v>5.7700000000000005</v>
          </cell>
          <cell r="E66">
            <v>2.3E-2</v>
          </cell>
        </row>
        <row r="67">
          <cell r="B67">
            <v>64692</v>
          </cell>
          <cell r="C67" t="str">
            <v>無，TCRI 4</v>
          </cell>
          <cell r="D67">
            <v>1.19</v>
          </cell>
          <cell r="E67">
            <v>2.9499999999999998E-2</v>
          </cell>
        </row>
        <row r="68">
          <cell r="B68">
            <v>65841</v>
          </cell>
          <cell r="C68" t="str">
            <v>有，彰化</v>
          </cell>
          <cell r="D68">
            <v>2.56</v>
          </cell>
          <cell r="E68">
            <v>2.3E-2</v>
          </cell>
        </row>
        <row r="69">
          <cell r="B69">
            <v>65851</v>
          </cell>
          <cell r="C69" t="str">
            <v>有，第一</v>
          </cell>
          <cell r="D69">
            <v>3.54</v>
          </cell>
          <cell r="E69">
            <v>2.3E-2</v>
          </cell>
        </row>
        <row r="70">
          <cell r="B70">
            <v>66241</v>
          </cell>
          <cell r="C70" t="str">
            <v>有，臺灣土地</v>
          </cell>
          <cell r="D70">
            <v>4.3800000000000008</v>
          </cell>
          <cell r="E70">
            <v>2.3E-2</v>
          </cell>
        </row>
        <row r="71">
          <cell r="B71">
            <v>68061</v>
          </cell>
          <cell r="C71" t="str">
            <v>有，臺灣土城分行等</v>
          </cell>
          <cell r="D71">
            <v>3.71</v>
          </cell>
          <cell r="E71">
            <v>2.3E-2</v>
          </cell>
        </row>
        <row r="72">
          <cell r="B72">
            <v>80914</v>
          </cell>
          <cell r="C72" t="str">
            <v>無，TCRI 5</v>
          </cell>
          <cell r="D72">
            <v>3.79</v>
          </cell>
          <cell r="E72">
            <v>3.0499999999999999E-2</v>
          </cell>
        </row>
        <row r="73">
          <cell r="B73">
            <v>81551</v>
          </cell>
          <cell r="C73" t="str">
            <v>無，TCRI 4</v>
          </cell>
          <cell r="D73">
            <v>7.2600000000000007</v>
          </cell>
          <cell r="E73">
            <v>2.6500000000000003E-2</v>
          </cell>
        </row>
        <row r="74">
          <cell r="B74">
            <v>82101</v>
          </cell>
          <cell r="C74" t="str">
            <v>無，TCRI 4</v>
          </cell>
          <cell r="D74">
            <v>4.8400000000000007</v>
          </cell>
          <cell r="E74">
            <v>2.7500000000000004E-2</v>
          </cell>
        </row>
        <row r="75">
          <cell r="B75">
            <v>82551</v>
          </cell>
          <cell r="C75" t="str">
            <v>無，TCRI 4</v>
          </cell>
          <cell r="D75">
            <v>3.7399999999999998</v>
          </cell>
          <cell r="E75">
            <v>2.8500000000000004E-2</v>
          </cell>
        </row>
        <row r="76">
          <cell r="B76">
            <v>82992</v>
          </cell>
          <cell r="C76" t="str">
            <v>無，TCRI 3</v>
          </cell>
          <cell r="D76">
            <v>4.79</v>
          </cell>
          <cell r="E76">
            <v>2.7E-2</v>
          </cell>
        </row>
        <row r="77">
          <cell r="B77">
            <v>84221</v>
          </cell>
          <cell r="C77" t="str">
            <v>無，TCRI 4</v>
          </cell>
          <cell r="D77">
            <v>0.93</v>
          </cell>
          <cell r="E77">
            <v>2.8000000000000001E-2</v>
          </cell>
        </row>
        <row r="78">
          <cell r="B78">
            <v>84421</v>
          </cell>
          <cell r="C78" t="str">
            <v>有，玉山</v>
          </cell>
          <cell r="D78">
            <v>0.8</v>
          </cell>
          <cell r="E78">
            <v>2.2499999999999999E-2</v>
          </cell>
        </row>
        <row r="79">
          <cell r="B79">
            <v>84422</v>
          </cell>
          <cell r="C79" t="str">
            <v>有，台北富邦</v>
          </cell>
          <cell r="D79">
            <v>3.5</v>
          </cell>
          <cell r="E79">
            <v>2.3E-2</v>
          </cell>
        </row>
        <row r="80">
          <cell r="B80">
            <v>84672</v>
          </cell>
          <cell r="C80" t="str">
            <v>有，台北富邦</v>
          </cell>
          <cell r="D80">
            <v>4.9000000000000004</v>
          </cell>
          <cell r="E80">
            <v>2.3E-2</v>
          </cell>
        </row>
        <row r="81">
          <cell r="B81">
            <v>84881</v>
          </cell>
          <cell r="C81" t="str">
            <v>有，玉山、王道</v>
          </cell>
          <cell r="D81">
            <v>3.88</v>
          </cell>
          <cell r="E81">
            <v>2.3E-2</v>
          </cell>
        </row>
        <row r="82">
          <cell r="B82">
            <v>84891</v>
          </cell>
          <cell r="C82" t="str">
            <v>有，上海竹科分公司</v>
          </cell>
          <cell r="D82">
            <v>3.62</v>
          </cell>
          <cell r="E82">
            <v>2.3E-2</v>
          </cell>
        </row>
        <row r="83">
          <cell r="B83">
            <v>89277</v>
          </cell>
          <cell r="C83" t="str">
            <v>有，合作金庫</v>
          </cell>
          <cell r="D83">
            <v>3.89</v>
          </cell>
          <cell r="E83">
            <v>2.3E-2</v>
          </cell>
        </row>
        <row r="86">
          <cell r="B86"/>
          <cell r="C86"/>
          <cell r="D86"/>
          <cell r="E86"/>
        </row>
        <row r="87">
          <cell r="B87"/>
        </row>
        <row r="88">
          <cell r="B88"/>
        </row>
        <row r="89">
          <cell r="B89"/>
        </row>
        <row r="90">
          <cell r="B90"/>
        </row>
        <row r="91">
          <cell r="B91"/>
        </row>
        <row r="92">
          <cell r="B92"/>
        </row>
        <row r="101">
          <cell r="B101"/>
          <cell r="C101"/>
          <cell r="D101"/>
          <cell r="E101"/>
        </row>
        <row r="104">
          <cell r="B104"/>
          <cell r="C104"/>
          <cell r="D104"/>
          <cell r="E104"/>
        </row>
        <row r="105">
          <cell r="B105">
            <v>45782</v>
          </cell>
          <cell r="C105" t="str">
            <v>計算日可修改成任一日期以試算履約價</v>
          </cell>
          <cell r="D105"/>
          <cell r="E105"/>
        </row>
        <row r="106">
          <cell r="B106">
            <v>45784</v>
          </cell>
          <cell r="C106"/>
          <cell r="D106"/>
          <cell r="E106"/>
        </row>
        <row r="107">
          <cell r="B107">
            <v>11011</v>
          </cell>
          <cell r="C107" t="str">
            <v>輸入標的代號</v>
          </cell>
          <cell r="D107"/>
          <cell r="E107"/>
        </row>
        <row r="108">
          <cell r="B108" t="str">
            <v>標的代號</v>
          </cell>
          <cell r="C108"/>
          <cell r="D108"/>
          <cell r="E108"/>
        </row>
        <row r="109">
          <cell r="B109"/>
          <cell r="C109"/>
          <cell r="D109"/>
          <cell r="E109"/>
        </row>
        <row r="110">
          <cell r="B110">
            <v>0</v>
          </cell>
          <cell r="C110" t="str">
            <v>依實際承作契約條件為主</v>
          </cell>
          <cell r="D110"/>
          <cell r="E110"/>
        </row>
        <row r="111">
          <cell r="B111">
            <v>0</v>
          </cell>
          <cell r="C111" t="str">
            <v>依實際承作契約條件為主</v>
          </cell>
          <cell r="D111"/>
          <cell r="E111"/>
        </row>
        <row r="112">
          <cell r="B112">
            <v>0</v>
          </cell>
          <cell r="C112" t="str">
            <v>依實際承作契約條件為主</v>
          </cell>
          <cell r="D112"/>
          <cell r="E112"/>
        </row>
        <row r="113">
          <cell r="B113"/>
          <cell r="C113"/>
          <cell r="D113"/>
          <cell r="E113"/>
        </row>
        <row r="114">
          <cell r="B114"/>
          <cell r="C114"/>
          <cell r="D114"/>
          <cell r="E114"/>
        </row>
        <row r="115">
          <cell r="B115">
            <v>0</v>
          </cell>
          <cell r="C115" t="str">
            <v>=賣回價格 - (100*履約利率%*D/365)，D = 自履約交割日(含)至賣回日(含)間之實際日曆天數，履約價格計算至小數點第二位，第三位以下四捨五入</v>
          </cell>
          <cell r="D115"/>
          <cell r="E115"/>
        </row>
        <row r="116">
          <cell r="B116"/>
          <cell r="C116"/>
          <cell r="D116"/>
          <cell r="E116"/>
        </row>
        <row r="117">
          <cell r="B117">
            <v>99.5</v>
          </cell>
          <cell r="C117" t="str">
            <v>自行輸入買進價格</v>
          </cell>
          <cell r="D117"/>
          <cell r="E117"/>
        </row>
        <row r="118">
          <cell r="B118">
            <v>99.5</v>
          </cell>
          <cell r="C118" t="str">
            <v>自行輸入價格試算損益</v>
          </cell>
          <cell r="D118"/>
          <cell r="E118"/>
        </row>
        <row r="119">
          <cell r="B119">
            <v>1</v>
          </cell>
          <cell r="C119" t="str">
            <v>自行輸入買進張數</v>
          </cell>
          <cell r="D119"/>
        </row>
        <row r="120">
          <cell r="B120">
            <v>0</v>
          </cell>
          <cell r="C120" t="str">
            <v>依實際承作契約條件為主</v>
          </cell>
          <cell r="D120"/>
        </row>
        <row r="121">
          <cell r="B121">
            <v>0.1</v>
          </cell>
          <cell r="C121" t="str">
            <v>依實際承作契約條件為主；=CB買進均成本-100+百元報價，最低不低於0.1</v>
          </cell>
          <cell r="D121"/>
        </row>
        <row r="122">
          <cell r="B122">
            <v>100</v>
          </cell>
          <cell r="C122" t="str">
            <v>依實際承作契約條件為主；=CBAS單位成本*CBAS買進單位數*1000</v>
          </cell>
          <cell r="D122"/>
        </row>
        <row r="123">
          <cell r="B123">
            <v>99500</v>
          </cell>
          <cell r="C123" t="str">
            <v>預估數；'=(CB目前市價-計算日履約價，最低不低於0)*CBAS單位數*1000</v>
          </cell>
          <cell r="D123"/>
        </row>
        <row r="124">
          <cell r="B124">
            <v>99400</v>
          </cell>
          <cell r="C124" t="str">
            <v>預估數；'=CBAS評估價值-CBAS總成本</v>
          </cell>
          <cell r="D124"/>
        </row>
        <row r="125">
          <cell r="B125"/>
          <cell r="C125"/>
          <cell r="D125"/>
        </row>
        <row r="126">
          <cell r="B126"/>
          <cell r="C126"/>
          <cell r="D126"/>
        </row>
        <row r="127">
          <cell r="B127"/>
          <cell r="C127"/>
          <cell r="D127"/>
        </row>
        <row r="128">
          <cell r="B128"/>
          <cell r="C128"/>
          <cell r="D128"/>
        </row>
      </sheetData>
      <sheetData sheetId="11">
        <row r="1">
          <cell r="B1"/>
          <cell r="C1"/>
          <cell r="D1"/>
          <cell r="E1"/>
          <cell r="F1"/>
          <cell r="G1"/>
        </row>
        <row r="2">
          <cell r="B2"/>
          <cell r="C2"/>
          <cell r="D2"/>
          <cell r="E2"/>
          <cell r="F2"/>
          <cell r="G2"/>
        </row>
        <row r="3">
          <cell r="B3">
            <v>45782</v>
          </cell>
          <cell r="C3"/>
          <cell r="D3"/>
          <cell r="E3"/>
          <cell r="F3" t="str">
            <v>CB資產交換選擇權 報價表</v>
          </cell>
          <cell r="G3"/>
        </row>
        <row r="4">
          <cell r="B4">
            <v>45784</v>
          </cell>
          <cell r="C4"/>
          <cell r="D4"/>
          <cell r="E4"/>
          <cell r="F4"/>
        </row>
        <row r="5">
          <cell r="B5" t="str">
            <v>債券代碼</v>
          </cell>
          <cell r="C5" t="str">
            <v xml:space="preserve">
百元報價(%)</v>
          </cell>
          <cell r="D5" t="str">
            <v>剩餘
期間</v>
          </cell>
          <cell r="E5" t="str">
            <v>選擇權
到期日</v>
          </cell>
          <cell r="F5" t="str">
            <v>評等or擔保</v>
          </cell>
          <cell r="G5" t="str">
            <v xml:space="preserve">
折現率</v>
          </cell>
        </row>
        <row r="6">
          <cell r="B6">
            <v>13164</v>
          </cell>
          <cell r="C6">
            <v>1.66</v>
          </cell>
          <cell r="D6">
            <v>0.69863013698630139</v>
          </cell>
          <cell r="E6">
            <v>46037</v>
          </cell>
          <cell r="F6" t="str">
            <v>日盛銀</v>
          </cell>
          <cell r="G6">
            <v>2.1999999999999999E-2</v>
          </cell>
        </row>
        <row r="7">
          <cell r="B7">
            <v>15601</v>
          </cell>
          <cell r="C7">
            <v>5.78</v>
          </cell>
          <cell r="D7">
            <v>2.0986301369863014</v>
          </cell>
          <cell r="E7">
            <v>46548</v>
          </cell>
          <cell r="F7">
            <v>4</v>
          </cell>
          <cell r="G7">
            <v>2.8000000000000001E-2</v>
          </cell>
        </row>
        <row r="8">
          <cell r="B8">
            <v>15864</v>
          </cell>
          <cell r="C8">
            <v>2.9</v>
          </cell>
          <cell r="D8">
            <v>1.2821917808219179</v>
          </cell>
          <cell r="E8">
            <v>46250</v>
          </cell>
          <cell r="F8" t="str">
            <v>合庫銀</v>
          </cell>
          <cell r="G8">
            <v>2.1999999999999999E-2</v>
          </cell>
        </row>
        <row r="9">
          <cell r="B9">
            <v>17813</v>
          </cell>
          <cell r="C9">
            <v>5.57</v>
          </cell>
          <cell r="D9">
            <v>2.3506849315068492</v>
          </cell>
          <cell r="E9">
            <v>46640</v>
          </cell>
          <cell r="F9" t="str">
            <v>華南銀</v>
          </cell>
          <cell r="G9">
            <v>2.4E-2</v>
          </cell>
        </row>
        <row r="10">
          <cell r="B10">
            <v>23682</v>
          </cell>
          <cell r="C10">
            <v>4.33</v>
          </cell>
          <cell r="D10">
            <v>1.547945205479452</v>
          </cell>
          <cell r="E10">
            <v>46347</v>
          </cell>
          <cell r="F10">
            <v>4</v>
          </cell>
          <cell r="G10">
            <v>2.8000000000000001E-2</v>
          </cell>
        </row>
        <row r="11">
          <cell r="B11">
            <v>23836</v>
          </cell>
          <cell r="C11">
            <v>6.23</v>
          </cell>
          <cell r="D11">
            <v>2.3534246575342466</v>
          </cell>
          <cell r="E11">
            <v>46641</v>
          </cell>
          <cell r="F11">
            <v>3</v>
          </cell>
          <cell r="G11">
            <v>2.7E-2</v>
          </cell>
        </row>
        <row r="12">
          <cell r="B12">
            <v>23837</v>
          </cell>
          <cell r="C12">
            <v>12.33</v>
          </cell>
          <cell r="D12">
            <v>4.3945205479452056</v>
          </cell>
          <cell r="E12">
            <v>47386</v>
          </cell>
          <cell r="F12">
            <v>3</v>
          </cell>
          <cell r="G12">
            <v>0.03</v>
          </cell>
        </row>
        <row r="13">
          <cell r="B13">
            <v>24394</v>
          </cell>
          <cell r="C13">
            <v>5.7</v>
          </cell>
          <cell r="D13">
            <v>2.1424657534246574</v>
          </cell>
          <cell r="E13">
            <v>46564</v>
          </cell>
          <cell r="F13">
            <v>3</v>
          </cell>
          <cell r="G13">
            <v>2.7E-2</v>
          </cell>
        </row>
        <row r="14">
          <cell r="B14">
            <v>24395</v>
          </cell>
          <cell r="C14">
            <v>5.78</v>
          </cell>
          <cell r="D14">
            <v>2.1753424657534248</v>
          </cell>
          <cell r="E14">
            <v>46576</v>
          </cell>
          <cell r="F14">
            <v>3</v>
          </cell>
          <cell r="G14">
            <v>2.7E-2</v>
          </cell>
        </row>
        <row r="15">
          <cell r="B15">
            <v>24616</v>
          </cell>
          <cell r="C15">
            <v>2.06</v>
          </cell>
          <cell r="D15">
            <v>0.84657534246575339</v>
          </cell>
          <cell r="E15">
            <v>46091</v>
          </cell>
          <cell r="F15" t="str">
            <v>台中銀</v>
          </cell>
          <cell r="G15">
            <v>2.3E-2</v>
          </cell>
        </row>
        <row r="16">
          <cell r="B16">
            <v>24762</v>
          </cell>
          <cell r="C16">
            <v>4.71</v>
          </cell>
          <cell r="D16">
            <v>1.6904109589041096</v>
          </cell>
          <cell r="E16">
            <v>46399</v>
          </cell>
          <cell r="F16">
            <v>4</v>
          </cell>
          <cell r="G16">
            <v>2.8000000000000001E-2</v>
          </cell>
        </row>
        <row r="17">
          <cell r="B17">
            <v>25283</v>
          </cell>
          <cell r="C17">
            <v>5.34</v>
          </cell>
          <cell r="D17">
            <v>2.6191780821917807</v>
          </cell>
          <cell r="E17">
            <v>46738</v>
          </cell>
          <cell r="F17" t="str">
            <v>元大銀</v>
          </cell>
          <cell r="G17">
            <v>2.35E-2</v>
          </cell>
        </row>
        <row r="18">
          <cell r="B18">
            <v>26107</v>
          </cell>
          <cell r="C18">
            <v>2.4500000000000002</v>
          </cell>
          <cell r="D18">
            <v>0.94246575342465755</v>
          </cell>
          <cell r="E18">
            <v>46126</v>
          </cell>
          <cell r="F18">
            <v>4</v>
          </cell>
          <cell r="G18">
            <v>2.5000000000000001E-2</v>
          </cell>
        </row>
        <row r="19">
          <cell r="B19">
            <v>27271</v>
          </cell>
          <cell r="C19">
            <v>1.93</v>
          </cell>
          <cell r="D19">
            <v>0.86027397260273974</v>
          </cell>
          <cell r="E19">
            <v>46096</v>
          </cell>
          <cell r="F19">
            <v>4</v>
          </cell>
          <cell r="G19">
            <v>0.03</v>
          </cell>
        </row>
        <row r="20">
          <cell r="B20">
            <v>30134</v>
          </cell>
          <cell r="C20">
            <v>5.5</v>
          </cell>
          <cell r="D20">
            <v>2.4164383561643836</v>
          </cell>
          <cell r="E20">
            <v>46664</v>
          </cell>
          <cell r="F20" t="str">
            <v>中信銀/兆豐銀</v>
          </cell>
          <cell r="G20">
            <v>2.3E-2</v>
          </cell>
        </row>
        <row r="21">
          <cell r="B21">
            <v>30238</v>
          </cell>
          <cell r="C21">
            <v>1.7</v>
          </cell>
          <cell r="D21">
            <v>0.56712328767123288</v>
          </cell>
          <cell r="E21">
            <v>45989</v>
          </cell>
          <cell r="F21">
            <v>4</v>
          </cell>
          <cell r="G21">
            <v>2.8000000000000001E-2</v>
          </cell>
        </row>
        <row r="22">
          <cell r="B22">
            <v>30455</v>
          </cell>
          <cell r="C22">
            <v>7.27</v>
          </cell>
          <cell r="D22">
            <v>2.7726027397260276</v>
          </cell>
          <cell r="E22">
            <v>46794</v>
          </cell>
          <cell r="F22">
            <v>2</v>
          </cell>
          <cell r="G22">
            <v>2.7E-2</v>
          </cell>
        </row>
        <row r="23">
          <cell r="B23">
            <v>33133</v>
          </cell>
          <cell r="C23">
            <v>5.98</v>
          </cell>
          <cell r="D23">
            <v>2.5315068493150683</v>
          </cell>
          <cell r="E23">
            <v>46706</v>
          </cell>
          <cell r="F23" t="str">
            <v>元大銀</v>
          </cell>
          <cell r="G23">
            <v>2.4E-2</v>
          </cell>
        </row>
        <row r="24">
          <cell r="B24">
            <v>33571</v>
          </cell>
          <cell r="C24">
            <v>4.08</v>
          </cell>
          <cell r="D24">
            <v>1.452054794520548</v>
          </cell>
          <cell r="E24">
            <v>46312</v>
          </cell>
          <cell r="F24">
            <v>4</v>
          </cell>
          <cell r="G24">
            <v>2.8000000000000001E-2</v>
          </cell>
        </row>
        <row r="25">
          <cell r="B25">
            <v>33763</v>
          </cell>
          <cell r="C25">
            <v>4.79</v>
          </cell>
          <cell r="D25">
            <v>2.2630136986301368</v>
          </cell>
          <cell r="E25">
            <v>46608</v>
          </cell>
          <cell r="F25">
            <v>4</v>
          </cell>
          <cell r="G25">
            <v>2.8000000000000001E-2</v>
          </cell>
        </row>
        <row r="26">
          <cell r="B26">
            <v>33881</v>
          </cell>
          <cell r="C26">
            <v>1.46</v>
          </cell>
          <cell r="D26">
            <v>0.47671232876712327</v>
          </cell>
          <cell r="E26">
            <v>45956</v>
          </cell>
          <cell r="F26">
            <v>4</v>
          </cell>
          <cell r="G26">
            <v>2.8000000000000001E-2</v>
          </cell>
        </row>
        <row r="27">
          <cell r="B27">
            <v>33902</v>
          </cell>
          <cell r="C27">
            <v>6.24</v>
          </cell>
          <cell r="D27">
            <v>2.7616438356164386</v>
          </cell>
          <cell r="E27">
            <v>46790</v>
          </cell>
          <cell r="F27" t="str">
            <v>中信銀</v>
          </cell>
          <cell r="G27">
            <v>2.3E-2</v>
          </cell>
        </row>
        <row r="28">
          <cell r="B28">
            <v>35161</v>
          </cell>
          <cell r="C28">
            <v>5.5</v>
          </cell>
          <cell r="D28">
            <v>2.4164383561643836</v>
          </cell>
          <cell r="E28">
            <v>46664</v>
          </cell>
          <cell r="F28" t="str">
            <v>永豐銀</v>
          </cell>
          <cell r="G28">
            <v>2.3E-2</v>
          </cell>
        </row>
        <row r="29">
          <cell r="B29">
            <v>35181</v>
          </cell>
          <cell r="C29">
            <v>5.12</v>
          </cell>
          <cell r="D29">
            <v>2.2410958904109588</v>
          </cell>
          <cell r="E29">
            <v>46600</v>
          </cell>
          <cell r="F29" t="str">
            <v>台新銀</v>
          </cell>
          <cell r="G29">
            <v>2.3E-2</v>
          </cell>
        </row>
        <row r="30">
          <cell r="B30">
            <v>35871</v>
          </cell>
          <cell r="C30">
            <v>3.11</v>
          </cell>
          <cell r="D30">
            <v>1.0876712328767124</v>
          </cell>
          <cell r="E30">
            <v>46179</v>
          </cell>
          <cell r="F30">
            <v>4</v>
          </cell>
          <cell r="G30">
            <v>2.8000000000000001E-2</v>
          </cell>
        </row>
        <row r="31">
          <cell r="B31">
            <v>37083</v>
          </cell>
          <cell r="C31">
            <v>3.06</v>
          </cell>
          <cell r="D31">
            <v>1.3589041095890411</v>
          </cell>
          <cell r="E31">
            <v>46278</v>
          </cell>
          <cell r="F31" t="str">
            <v>第一銀</v>
          </cell>
          <cell r="G31">
            <v>2.1999999999999999E-2</v>
          </cell>
        </row>
        <row r="32">
          <cell r="B32">
            <v>44163</v>
          </cell>
          <cell r="C32">
            <v>-0.55000000000000004</v>
          </cell>
          <cell r="D32">
            <v>0.36712328767123287</v>
          </cell>
          <cell r="E32">
            <v>45916</v>
          </cell>
          <cell r="F32" t="str">
            <v>一銀</v>
          </cell>
          <cell r="G32">
            <v>2.1999999999999999E-2</v>
          </cell>
        </row>
        <row r="33">
          <cell r="B33">
            <v>52635</v>
          </cell>
          <cell r="C33">
            <v>1.7</v>
          </cell>
          <cell r="D33">
            <v>0.79178082191780819</v>
          </cell>
          <cell r="E33">
            <v>46071</v>
          </cell>
          <cell r="F33" t="str">
            <v>台中銀</v>
          </cell>
          <cell r="G33">
            <v>2.2499999999999999E-2</v>
          </cell>
        </row>
        <row r="34">
          <cell r="B34">
            <v>53887</v>
          </cell>
          <cell r="C34">
            <v>4.34</v>
          </cell>
          <cell r="D34">
            <v>1.5506849315068494</v>
          </cell>
          <cell r="E34">
            <v>46348</v>
          </cell>
          <cell r="F34">
            <v>4</v>
          </cell>
          <cell r="G34">
            <v>2.8000000000000001E-2</v>
          </cell>
        </row>
        <row r="35">
          <cell r="B35">
            <v>54342</v>
          </cell>
          <cell r="C35">
            <v>3.18</v>
          </cell>
          <cell r="D35">
            <v>1.1123287671232878</v>
          </cell>
          <cell r="E35">
            <v>46188</v>
          </cell>
          <cell r="F35">
            <v>4</v>
          </cell>
          <cell r="G35">
            <v>2.8000000000000001E-2</v>
          </cell>
        </row>
        <row r="36">
          <cell r="B36">
            <v>54501</v>
          </cell>
          <cell r="C36">
            <v>1.26</v>
          </cell>
          <cell r="D36">
            <v>0.83835616438356164</v>
          </cell>
          <cell r="E36">
            <v>46088</v>
          </cell>
          <cell r="F36" t="str">
            <v>土銀</v>
          </cell>
          <cell r="G36">
            <v>2.2499999999999999E-2</v>
          </cell>
        </row>
        <row r="37">
          <cell r="B37">
            <v>56087</v>
          </cell>
          <cell r="C37">
            <v>5.97</v>
          </cell>
          <cell r="D37">
            <v>2.580821917808219</v>
          </cell>
          <cell r="E37">
            <v>46724</v>
          </cell>
          <cell r="F37" t="str">
            <v>第一銀</v>
          </cell>
          <cell r="G37">
            <v>2.35E-2</v>
          </cell>
        </row>
        <row r="38">
          <cell r="B38">
            <v>59055</v>
          </cell>
          <cell r="C38">
            <v>2.34</v>
          </cell>
          <cell r="D38">
            <v>0.99726027397260275</v>
          </cell>
          <cell r="E38">
            <v>46146</v>
          </cell>
          <cell r="F38" t="str">
            <v>土銀</v>
          </cell>
          <cell r="G38">
            <v>2.2499999999999999E-2</v>
          </cell>
        </row>
        <row r="39">
          <cell r="B39">
            <v>61394</v>
          </cell>
          <cell r="C39">
            <v>1.05</v>
          </cell>
          <cell r="D39">
            <v>0.68767123287671228</v>
          </cell>
          <cell r="E39">
            <v>46033</v>
          </cell>
          <cell r="F39">
            <v>4</v>
          </cell>
          <cell r="G39">
            <v>2.8000000000000001E-2</v>
          </cell>
        </row>
        <row r="40">
          <cell r="B40">
            <v>61894</v>
          </cell>
          <cell r="C40">
            <v>3.43</v>
          </cell>
          <cell r="D40">
            <v>1.4794520547945205</v>
          </cell>
          <cell r="E40">
            <v>46322</v>
          </cell>
          <cell r="F40">
            <v>4</v>
          </cell>
          <cell r="G40">
            <v>2.8000000000000001E-2</v>
          </cell>
        </row>
        <row r="41">
          <cell r="B41">
            <v>61965</v>
          </cell>
          <cell r="C41">
            <v>3.16</v>
          </cell>
          <cell r="D41">
            <v>1.106849315068493</v>
          </cell>
          <cell r="E41">
            <v>46186</v>
          </cell>
          <cell r="F41">
            <v>4</v>
          </cell>
          <cell r="G41">
            <v>2.8000000000000001E-2</v>
          </cell>
        </row>
        <row r="42">
          <cell r="B42">
            <v>62744</v>
          </cell>
          <cell r="C42">
            <v>5.43</v>
          </cell>
          <cell r="D42">
            <v>1.9643835616438357</v>
          </cell>
          <cell r="E42">
            <v>46499</v>
          </cell>
          <cell r="F42">
            <v>4</v>
          </cell>
          <cell r="G42">
            <v>2.8000000000000001E-2</v>
          </cell>
        </row>
        <row r="43">
          <cell r="B43">
            <v>64145</v>
          </cell>
          <cell r="C43">
            <v>3.53</v>
          </cell>
          <cell r="D43">
            <v>1.2438356164383562</v>
          </cell>
          <cell r="E43">
            <v>46236</v>
          </cell>
          <cell r="F43">
            <v>4</v>
          </cell>
          <cell r="G43">
            <v>2.8000000000000001E-2</v>
          </cell>
        </row>
        <row r="44">
          <cell r="B44">
            <v>64251</v>
          </cell>
          <cell r="C44">
            <v>5.48</v>
          </cell>
          <cell r="D44">
            <v>2.408219178082192</v>
          </cell>
          <cell r="E44">
            <v>46661</v>
          </cell>
          <cell r="F44" t="str">
            <v>上海</v>
          </cell>
          <cell r="G44">
            <v>2.3E-2</v>
          </cell>
        </row>
        <row r="45">
          <cell r="B45">
            <v>66241</v>
          </cell>
          <cell r="C45">
            <v>4.0599999999999996</v>
          </cell>
          <cell r="D45">
            <v>2.128767123287671</v>
          </cell>
          <cell r="E45">
            <v>46559</v>
          </cell>
          <cell r="F45" t="str">
            <v>土銀</v>
          </cell>
          <cell r="G45">
            <v>2.2499999999999999E-2</v>
          </cell>
        </row>
        <row r="46">
          <cell r="B46">
            <v>68061</v>
          </cell>
          <cell r="C46">
            <v>3.53</v>
          </cell>
          <cell r="D46">
            <v>1.5123287671232877</v>
          </cell>
          <cell r="E46">
            <v>46334</v>
          </cell>
          <cell r="F46" t="str">
            <v>聯合擔保</v>
          </cell>
          <cell r="G46">
            <v>2.3E-2</v>
          </cell>
        </row>
        <row r="47">
          <cell r="B47">
            <v>82101</v>
          </cell>
          <cell r="C47">
            <v>4.66</v>
          </cell>
          <cell r="D47">
            <v>1.6712328767123288</v>
          </cell>
          <cell r="E47">
            <v>46392</v>
          </cell>
          <cell r="F47">
            <v>4</v>
          </cell>
          <cell r="G47">
            <v>2.8000000000000001E-2</v>
          </cell>
        </row>
        <row r="48">
          <cell r="B48">
            <v>82551</v>
          </cell>
          <cell r="C48">
            <v>3.48</v>
          </cell>
          <cell r="D48">
            <v>1.2246575342465753</v>
          </cell>
          <cell r="E48">
            <v>46229</v>
          </cell>
          <cell r="F48">
            <v>4</v>
          </cell>
          <cell r="G48">
            <v>2.8000000000000001E-2</v>
          </cell>
        </row>
        <row r="49">
          <cell r="B49">
            <v>84221</v>
          </cell>
          <cell r="C49">
            <v>0.81</v>
          </cell>
          <cell r="D49">
            <v>0.51232876712328768</v>
          </cell>
          <cell r="E49">
            <v>45969</v>
          </cell>
          <cell r="F49">
            <v>4</v>
          </cell>
          <cell r="G49">
            <v>2.8000000000000001E-2</v>
          </cell>
        </row>
        <row r="50">
          <cell r="B50">
            <v>84222</v>
          </cell>
          <cell r="C50">
            <v>8.33</v>
          </cell>
          <cell r="D50">
            <v>2.8876712328767122</v>
          </cell>
          <cell r="E50">
            <v>46836</v>
          </cell>
          <cell r="F50">
            <v>4</v>
          </cell>
          <cell r="G50">
            <v>0.03</v>
          </cell>
        </row>
        <row r="51">
          <cell r="B51">
            <v>84421</v>
          </cell>
          <cell r="C51">
            <v>0.7</v>
          </cell>
          <cell r="D51">
            <v>0.25205479452054796</v>
          </cell>
          <cell r="E51">
            <v>45874</v>
          </cell>
          <cell r="F51" t="str">
            <v>玉山銀</v>
          </cell>
          <cell r="G51">
            <v>2.1999999999999999E-2</v>
          </cell>
        </row>
        <row r="52">
          <cell r="B52">
            <v>84422</v>
          </cell>
          <cell r="C52">
            <v>3.19</v>
          </cell>
          <cell r="D52">
            <v>1.4191780821917808</v>
          </cell>
          <cell r="E52">
            <v>46300</v>
          </cell>
          <cell r="F52" t="str">
            <v>富邦銀</v>
          </cell>
          <cell r="G52">
            <v>2.1999999999999999E-2</v>
          </cell>
        </row>
        <row r="53">
          <cell r="B53">
            <v>84672</v>
          </cell>
          <cell r="C53">
            <v>4.57</v>
          </cell>
          <cell r="D53">
            <v>2.0301369863013701</v>
          </cell>
          <cell r="E53">
            <v>46523</v>
          </cell>
          <cell r="F53" t="str">
            <v>聯合擔保</v>
          </cell>
          <cell r="G53">
            <v>2.2499999999999999E-2</v>
          </cell>
        </row>
        <row r="54">
          <cell r="B54">
            <v>84891</v>
          </cell>
          <cell r="C54">
            <v>3.44</v>
          </cell>
          <cell r="D54">
            <v>1.558904109589041</v>
          </cell>
          <cell r="E54">
            <v>46351</v>
          </cell>
          <cell r="F54" t="str">
            <v>上海商銀</v>
          </cell>
          <cell r="G54">
            <v>2.3E-2</v>
          </cell>
        </row>
        <row r="55">
          <cell r="B55"/>
          <cell r="C55"/>
          <cell r="D55"/>
          <cell r="E55"/>
          <cell r="F55"/>
          <cell r="G55"/>
        </row>
        <row r="56">
          <cell r="B56"/>
          <cell r="C56" t="str">
            <v>大展證券   債券部：
楊俞文 (02) 2556-6115  /  (02) 2555-1234 #577
洪允玄 (02) 2556-0395  /  (02) 2555-1234 #575</v>
          </cell>
          <cell r="D56"/>
          <cell r="E56"/>
          <cell r="F56"/>
          <cell r="G56"/>
        </row>
        <row r="57">
          <cell r="B57"/>
          <cell r="C57"/>
          <cell r="D57"/>
          <cell r="E57"/>
          <cell r="F57"/>
          <cell r="G57"/>
        </row>
        <row r="58">
          <cell r="B58"/>
          <cell r="C58" t="str">
            <v>一、本報價表僅供參考使用，交易條件或額度以雙方實際議價為主。</v>
          </cell>
          <cell r="D58"/>
          <cell r="E58"/>
          <cell r="F58"/>
          <cell r="G58"/>
        </row>
        <row r="59">
          <cell r="B59"/>
          <cell r="C59" t="str">
            <v xml:space="preserve">二、本報價表以可轉債100元為報價基準，權利金之計算方式=可轉債平均買進價格 - 100 + 權利金百元報價。 實際權利金最少金額為0.1。(一張100元) </v>
          </cell>
          <cell r="D59"/>
          <cell r="E59"/>
          <cell r="F59"/>
          <cell r="G59"/>
        </row>
        <row r="60">
          <cell r="B60"/>
          <cell r="C60" t="str">
            <v>三、三個月提前履約無罰金。最小承作張數為5張。</v>
          </cell>
          <cell r="D60"/>
          <cell r="E60"/>
          <cell r="F60"/>
          <cell r="G60"/>
        </row>
        <row r="61">
          <cell r="B61"/>
          <cell r="C61" t="str">
            <v>四、選擇權履約價格=A/(1+B)^(D/365)，A=賣回價格，B=折現率，D=自選擇權履約之交割日(含)至選擇權到期日(不含)間之實際日曆天數。</v>
          </cell>
          <cell r="D61"/>
          <cell r="E61"/>
          <cell r="F61"/>
          <cell r="G61"/>
        </row>
        <row r="62">
          <cell r="B62"/>
          <cell r="C62" t="str">
            <v>五、選擇權執行方式：(1.) 實物交割  (2.) 現金交割</v>
          </cell>
          <cell r="D62"/>
          <cell r="E62"/>
          <cell r="F62"/>
          <cell r="G62"/>
        </row>
        <row r="63">
          <cell r="B63"/>
          <cell r="C63" t="str">
            <v>六、本報價單僅供客戶參考使用，資訊內容將力求正確，惟進行投資決策時，請投資人依據個人專業判斷，本公司不作任何資訊及獲利保證。</v>
          </cell>
          <cell r="D63"/>
          <cell r="E63"/>
          <cell r="F63"/>
          <cell r="G63"/>
        </row>
        <row r="64">
          <cell r="C64" t="str">
            <v>七、依據證券商經營衍生性金融商品業務規則:
(1)承作CB資產交換選擇權業務，需屆滿五個交易日後始可承作。
(2)客戶於各金融機構承作資產交換選擇權之總名目本金，不得逾該轉(交)換公司債發行面額10%。</v>
          </cell>
          <cell r="D64"/>
          <cell r="E64"/>
          <cell r="F64"/>
          <cell r="G64"/>
        </row>
        <row r="80">
          <cell r="C80"/>
          <cell r="D80"/>
          <cell r="E80"/>
          <cell r="F80"/>
          <cell r="G80"/>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調整後"/>
      <sheetName val="差異"/>
    </sheetNames>
    <sheetDataSet>
      <sheetData sheetId="0">
        <row r="1">
          <cell r="A1" t="str">
            <v>標的代碼</v>
          </cell>
          <cell r="B1" t="str">
            <v>標的名稱</v>
          </cell>
          <cell r="C1" t="str">
            <v>賣回日</v>
          </cell>
          <cell r="D1" t="str">
            <v>折現率</v>
          </cell>
          <cell r="E1" t="str">
            <v>額度張數</v>
          </cell>
        </row>
        <row r="2">
          <cell r="A2">
            <v>13164</v>
          </cell>
          <cell r="B2"/>
          <cell r="C2">
            <v>45320</v>
          </cell>
          <cell r="D2">
            <v>1.4999999999999999E-2</v>
          </cell>
          <cell r="E2">
            <v>200</v>
          </cell>
        </row>
        <row r="3">
          <cell r="A3">
            <v>14361</v>
          </cell>
          <cell r="B3"/>
          <cell r="C3">
            <v>44943</v>
          </cell>
          <cell r="D3">
            <v>1.4999999999999999E-2</v>
          </cell>
          <cell r="E3">
            <v>200</v>
          </cell>
        </row>
        <row r="4">
          <cell r="A4">
            <v>14362</v>
          </cell>
          <cell r="B4"/>
          <cell r="C4">
            <v>45261</v>
          </cell>
          <cell r="D4">
            <v>1.4999999999999999E-2</v>
          </cell>
          <cell r="E4">
            <v>200</v>
          </cell>
        </row>
        <row r="5">
          <cell r="A5">
            <v>15823</v>
          </cell>
          <cell r="B5"/>
          <cell r="C5">
            <v>45544</v>
          </cell>
          <cell r="D5">
            <v>0.02</v>
          </cell>
          <cell r="E5">
            <v>200</v>
          </cell>
        </row>
        <row r="6">
          <cell r="A6">
            <v>15862</v>
          </cell>
          <cell r="B6"/>
          <cell r="C6">
            <v>45169</v>
          </cell>
          <cell r="D6">
            <v>1.4999999999999999E-2</v>
          </cell>
          <cell r="E6">
            <v>200</v>
          </cell>
        </row>
        <row r="7">
          <cell r="A7">
            <v>15982</v>
          </cell>
          <cell r="B7"/>
          <cell r="C7">
            <v>45162</v>
          </cell>
          <cell r="D7">
            <v>1.4999999999999999E-2</v>
          </cell>
          <cell r="E7">
            <v>200</v>
          </cell>
        </row>
        <row r="8">
          <cell r="A8">
            <v>16263</v>
          </cell>
          <cell r="B8"/>
          <cell r="C8">
            <v>44899</v>
          </cell>
          <cell r="D8">
            <v>1.4999999999999999E-2</v>
          </cell>
          <cell r="E8">
            <v>200</v>
          </cell>
        </row>
        <row r="9">
          <cell r="A9">
            <v>20121</v>
          </cell>
          <cell r="B9"/>
          <cell r="C9">
            <v>45741</v>
          </cell>
          <cell r="D9">
            <v>1.6E-2</v>
          </cell>
          <cell r="E9">
            <v>200</v>
          </cell>
        </row>
        <row r="10">
          <cell r="A10">
            <v>20122</v>
          </cell>
          <cell r="B10"/>
          <cell r="C10">
            <v>45741</v>
          </cell>
          <cell r="D10">
            <v>1.6E-2</v>
          </cell>
          <cell r="E10">
            <v>200</v>
          </cell>
        </row>
        <row r="11">
          <cell r="A11">
            <v>20123</v>
          </cell>
          <cell r="B11"/>
          <cell r="C11">
            <v>45741</v>
          </cell>
          <cell r="D11">
            <v>1.6E-2</v>
          </cell>
          <cell r="E11">
            <v>200</v>
          </cell>
        </row>
        <row r="12">
          <cell r="A12">
            <v>20343</v>
          </cell>
          <cell r="B12"/>
          <cell r="C12">
            <v>45275</v>
          </cell>
          <cell r="D12">
            <v>0.02</v>
          </cell>
          <cell r="E12">
            <v>200</v>
          </cell>
        </row>
        <row r="13">
          <cell r="A13">
            <v>20612</v>
          </cell>
          <cell r="B13"/>
          <cell r="C13">
            <v>45303</v>
          </cell>
          <cell r="D13">
            <v>1.4999999999999999E-2</v>
          </cell>
          <cell r="E13">
            <v>100</v>
          </cell>
        </row>
        <row r="14">
          <cell r="A14">
            <v>20631</v>
          </cell>
          <cell r="B14"/>
          <cell r="C14">
            <v>44775</v>
          </cell>
          <cell r="D14">
            <v>1.4999999999999999E-2</v>
          </cell>
          <cell r="E14">
            <v>200</v>
          </cell>
        </row>
        <row r="15">
          <cell r="A15">
            <v>22081</v>
          </cell>
          <cell r="B15"/>
          <cell r="C15">
            <v>45346</v>
          </cell>
          <cell r="D15">
            <v>1.4999999999999999E-2</v>
          </cell>
          <cell r="E15">
            <v>200</v>
          </cell>
        </row>
        <row r="16">
          <cell r="A16">
            <v>24393</v>
          </cell>
          <cell r="B16"/>
          <cell r="C16">
            <v>45515</v>
          </cell>
          <cell r="D16">
            <v>1.7999999999999999E-2</v>
          </cell>
          <cell r="E16">
            <v>300</v>
          </cell>
        </row>
        <row r="17">
          <cell r="A17">
            <v>24616</v>
          </cell>
          <cell r="B17"/>
          <cell r="C17">
            <v>45375</v>
          </cell>
          <cell r="D17">
            <v>1.4999999999999999E-2</v>
          </cell>
          <cell r="E17">
            <v>200</v>
          </cell>
        </row>
        <row r="18">
          <cell r="A18">
            <v>24663</v>
          </cell>
          <cell r="B18"/>
          <cell r="C18">
            <v>44984</v>
          </cell>
          <cell r="D18">
            <v>1.4999999999999999E-2</v>
          </cell>
          <cell r="E18">
            <v>200</v>
          </cell>
        </row>
        <row r="19">
          <cell r="A19">
            <v>24822</v>
          </cell>
          <cell r="B19"/>
          <cell r="C19">
            <v>45119</v>
          </cell>
          <cell r="D19">
            <v>1.4999999999999999E-2</v>
          </cell>
          <cell r="E19">
            <v>200</v>
          </cell>
        </row>
        <row r="20">
          <cell r="A20">
            <v>24921</v>
          </cell>
          <cell r="B20"/>
          <cell r="C20">
            <v>45411</v>
          </cell>
          <cell r="D20">
            <v>1.9E-2</v>
          </cell>
          <cell r="E20">
            <v>200</v>
          </cell>
        </row>
        <row r="21">
          <cell r="A21">
            <v>25282</v>
          </cell>
          <cell r="B21"/>
          <cell r="C21">
            <v>45560</v>
          </cell>
          <cell r="D21">
            <v>1.4999999999999999E-2</v>
          </cell>
          <cell r="E21">
            <v>200</v>
          </cell>
        </row>
        <row r="22">
          <cell r="A22">
            <v>25391</v>
          </cell>
          <cell r="B22"/>
          <cell r="C22">
            <v>45172</v>
          </cell>
          <cell r="D22">
            <v>1.4999999999999999E-2</v>
          </cell>
          <cell r="E22">
            <v>200</v>
          </cell>
        </row>
        <row r="23">
          <cell r="A23">
            <v>26034</v>
          </cell>
          <cell r="B23"/>
          <cell r="C23">
            <v>45430</v>
          </cell>
          <cell r="D23">
            <v>0.02</v>
          </cell>
          <cell r="E23">
            <v>500</v>
          </cell>
        </row>
        <row r="24">
          <cell r="A24">
            <v>26107</v>
          </cell>
          <cell r="B24"/>
          <cell r="C24">
            <v>45410</v>
          </cell>
          <cell r="D24">
            <v>2.5000000000000001E-2</v>
          </cell>
          <cell r="E24">
            <v>500</v>
          </cell>
        </row>
        <row r="25">
          <cell r="A25">
            <v>288701</v>
          </cell>
          <cell r="B25"/>
          <cell r="C25">
            <v>45748</v>
          </cell>
          <cell r="D25">
            <v>0.02</v>
          </cell>
          <cell r="E25">
            <v>200</v>
          </cell>
        </row>
        <row r="26">
          <cell r="A26">
            <v>28886</v>
          </cell>
          <cell r="B26"/>
          <cell r="C26">
            <v>45277</v>
          </cell>
          <cell r="D26">
            <v>1.4999999999999999E-2</v>
          </cell>
          <cell r="E26">
            <v>200</v>
          </cell>
        </row>
        <row r="27">
          <cell r="A27">
            <v>29371</v>
          </cell>
          <cell r="B27"/>
          <cell r="C27">
            <v>44808</v>
          </cell>
          <cell r="D27">
            <v>1.4999999999999999E-2</v>
          </cell>
          <cell r="E27">
            <v>100</v>
          </cell>
        </row>
        <row r="28">
          <cell r="A28">
            <v>30103</v>
          </cell>
          <cell r="B28"/>
          <cell r="C28">
            <v>45528</v>
          </cell>
          <cell r="D28">
            <v>0.02</v>
          </cell>
          <cell r="E28">
            <v>300</v>
          </cell>
        </row>
        <row r="29">
          <cell r="A29">
            <v>30237</v>
          </cell>
          <cell r="B29"/>
          <cell r="C29">
            <v>44910</v>
          </cell>
          <cell r="D29">
            <v>0.02</v>
          </cell>
          <cell r="E29">
            <v>200</v>
          </cell>
        </row>
        <row r="30">
          <cell r="A30">
            <v>30425</v>
          </cell>
          <cell r="B30"/>
          <cell r="C30">
            <v>45499</v>
          </cell>
          <cell r="D30">
            <v>0.02</v>
          </cell>
          <cell r="E30">
            <v>300</v>
          </cell>
        </row>
        <row r="31">
          <cell r="A31">
            <v>30477</v>
          </cell>
          <cell r="B31"/>
          <cell r="C31">
            <v>45381</v>
          </cell>
          <cell r="D31">
            <v>1.4999999999999999E-2</v>
          </cell>
          <cell r="E31">
            <v>200</v>
          </cell>
        </row>
        <row r="32">
          <cell r="A32">
            <v>30921</v>
          </cell>
          <cell r="B32"/>
          <cell r="C32">
            <v>44825</v>
          </cell>
          <cell r="D32">
            <v>1.4999999999999999E-2</v>
          </cell>
          <cell r="E32">
            <v>200</v>
          </cell>
        </row>
        <row r="33">
          <cell r="A33">
            <v>31221</v>
          </cell>
          <cell r="B33"/>
          <cell r="C33">
            <v>45562</v>
          </cell>
          <cell r="D33">
            <v>1.4999999999999999E-2</v>
          </cell>
          <cell r="E33">
            <v>100</v>
          </cell>
        </row>
        <row r="34">
          <cell r="A34">
            <v>31381</v>
          </cell>
          <cell r="B34"/>
          <cell r="C34">
            <v>45675</v>
          </cell>
          <cell r="D34">
            <v>1.4999999999999999E-2</v>
          </cell>
          <cell r="E34">
            <v>100</v>
          </cell>
        </row>
        <row r="35">
          <cell r="A35">
            <v>31493</v>
          </cell>
          <cell r="B35"/>
          <cell r="C35">
            <v>45377</v>
          </cell>
          <cell r="D35">
            <v>1.7999999999999999E-2</v>
          </cell>
          <cell r="E35">
            <v>200</v>
          </cell>
        </row>
        <row r="36">
          <cell r="A36">
            <v>31712</v>
          </cell>
          <cell r="B36"/>
          <cell r="C36">
            <v>45214</v>
          </cell>
          <cell r="D36">
            <v>1.4999999999999999E-2</v>
          </cell>
          <cell r="E36">
            <v>200</v>
          </cell>
        </row>
        <row r="37">
          <cell r="A37">
            <v>31881</v>
          </cell>
          <cell r="B37"/>
          <cell r="C37">
            <v>44890</v>
          </cell>
          <cell r="D37">
            <v>1.4999999999999999E-2</v>
          </cell>
          <cell r="E37">
            <v>200</v>
          </cell>
        </row>
        <row r="38">
          <cell r="A38">
            <v>32024</v>
          </cell>
          <cell r="B38"/>
          <cell r="C38">
            <v>45192</v>
          </cell>
          <cell r="D38">
            <v>1.4999999999999999E-2</v>
          </cell>
          <cell r="E38">
            <v>200</v>
          </cell>
        </row>
        <row r="39">
          <cell r="A39">
            <v>32607</v>
          </cell>
          <cell r="B39"/>
          <cell r="C39">
            <v>45197</v>
          </cell>
          <cell r="D39">
            <v>1.4999999999999999E-2</v>
          </cell>
          <cell r="E39">
            <v>200</v>
          </cell>
        </row>
        <row r="40">
          <cell r="A40">
            <v>32681</v>
          </cell>
          <cell r="B40"/>
          <cell r="C40">
            <v>45667</v>
          </cell>
          <cell r="D40">
            <v>1.4999999999999999E-2</v>
          </cell>
          <cell r="E40">
            <v>100</v>
          </cell>
        </row>
        <row r="41">
          <cell r="A41">
            <v>33101</v>
          </cell>
          <cell r="B41"/>
          <cell r="C41">
            <v>45918</v>
          </cell>
          <cell r="D41">
            <v>1.4999999999999999E-2</v>
          </cell>
          <cell r="E41">
            <v>200</v>
          </cell>
        </row>
        <row r="42">
          <cell r="A42">
            <v>33244</v>
          </cell>
          <cell r="B42"/>
          <cell r="C42">
            <v>45242</v>
          </cell>
          <cell r="D42">
            <v>0.02</v>
          </cell>
          <cell r="E42">
            <v>200</v>
          </cell>
        </row>
        <row r="43">
          <cell r="A43">
            <v>33394</v>
          </cell>
          <cell r="B43"/>
          <cell r="C43">
            <v>45537</v>
          </cell>
          <cell r="D43">
            <v>1.7999999999999999E-2</v>
          </cell>
          <cell r="E43">
            <v>200</v>
          </cell>
        </row>
        <row r="44">
          <cell r="A44">
            <v>34132</v>
          </cell>
          <cell r="B44"/>
          <cell r="C44">
            <v>45246</v>
          </cell>
          <cell r="D44">
            <v>0.02</v>
          </cell>
          <cell r="E44">
            <v>300</v>
          </cell>
        </row>
        <row r="45">
          <cell r="A45">
            <v>34653</v>
          </cell>
          <cell r="B45"/>
          <cell r="C45">
            <v>45037</v>
          </cell>
          <cell r="D45">
            <v>1.4999999999999999E-2</v>
          </cell>
          <cell r="E45">
            <v>200</v>
          </cell>
        </row>
        <row r="46">
          <cell r="A46">
            <v>34891</v>
          </cell>
          <cell r="B46"/>
          <cell r="C46">
            <v>45274</v>
          </cell>
          <cell r="D46">
            <v>1.4999999999999999E-2</v>
          </cell>
          <cell r="E46">
            <v>200</v>
          </cell>
        </row>
        <row r="47">
          <cell r="A47">
            <v>35121</v>
          </cell>
          <cell r="B47"/>
          <cell r="C47">
            <v>45063</v>
          </cell>
          <cell r="D47">
            <v>1.4999999999999999E-2</v>
          </cell>
          <cell r="E47">
            <v>100</v>
          </cell>
        </row>
        <row r="48">
          <cell r="A48">
            <v>35211</v>
          </cell>
          <cell r="B48"/>
          <cell r="C48">
            <v>44920</v>
          </cell>
          <cell r="D48">
            <v>1.4999999999999999E-2</v>
          </cell>
          <cell r="E48">
            <v>200</v>
          </cell>
        </row>
        <row r="49">
          <cell r="A49">
            <v>35331</v>
          </cell>
          <cell r="B49"/>
          <cell r="C49">
            <v>45523</v>
          </cell>
          <cell r="D49">
            <v>0.02</v>
          </cell>
          <cell r="E49">
            <v>200</v>
          </cell>
        </row>
        <row r="50">
          <cell r="A50">
            <v>35763</v>
          </cell>
          <cell r="B50"/>
          <cell r="C50">
            <v>45590</v>
          </cell>
          <cell r="D50">
            <v>1.4999999999999999E-2</v>
          </cell>
          <cell r="E50">
            <v>100</v>
          </cell>
        </row>
        <row r="51">
          <cell r="A51">
            <v>35802</v>
          </cell>
          <cell r="B51"/>
          <cell r="C51">
            <v>45059</v>
          </cell>
          <cell r="D51">
            <v>1.4999999999999999E-2</v>
          </cell>
          <cell r="E51">
            <v>200</v>
          </cell>
        </row>
        <row r="52">
          <cell r="A52">
            <v>35913</v>
          </cell>
          <cell r="B52"/>
          <cell r="C52">
            <v>45316</v>
          </cell>
          <cell r="D52">
            <v>1.4999999999999999E-2</v>
          </cell>
          <cell r="E52">
            <v>200</v>
          </cell>
        </row>
        <row r="53">
          <cell r="A53">
            <v>36313</v>
          </cell>
          <cell r="B53"/>
          <cell r="C53">
            <v>44997</v>
          </cell>
          <cell r="D53">
            <v>1.4999999999999999E-2</v>
          </cell>
          <cell r="E53">
            <v>50</v>
          </cell>
        </row>
        <row r="54">
          <cell r="A54">
            <v>36533</v>
          </cell>
          <cell r="B54"/>
          <cell r="C54">
            <v>45229</v>
          </cell>
          <cell r="D54">
            <v>0.02</v>
          </cell>
          <cell r="E54">
            <v>200</v>
          </cell>
        </row>
        <row r="55">
          <cell r="A55">
            <v>36893</v>
          </cell>
          <cell r="B55"/>
          <cell r="C55">
            <v>44906</v>
          </cell>
          <cell r="D55">
            <v>1.4999999999999999E-2</v>
          </cell>
          <cell r="E55">
            <v>200</v>
          </cell>
        </row>
        <row r="56">
          <cell r="A56">
            <v>37073</v>
          </cell>
          <cell r="B56"/>
          <cell r="C56">
            <v>45465</v>
          </cell>
          <cell r="D56">
            <v>1.4999999999999999E-2</v>
          </cell>
          <cell r="E56">
            <v>200</v>
          </cell>
        </row>
        <row r="57">
          <cell r="A57">
            <v>37074</v>
          </cell>
          <cell r="B57"/>
          <cell r="C57">
            <v>45754</v>
          </cell>
          <cell r="D57">
            <v>1.4999999999999999E-2</v>
          </cell>
          <cell r="E57">
            <v>200</v>
          </cell>
        </row>
        <row r="58">
          <cell r="A58">
            <v>37083</v>
          </cell>
          <cell r="B58"/>
          <cell r="C58">
            <v>45562</v>
          </cell>
          <cell r="D58">
            <v>1.4999999999999999E-2</v>
          </cell>
          <cell r="E58">
            <v>200</v>
          </cell>
        </row>
        <row r="59">
          <cell r="A59">
            <v>37101</v>
          </cell>
          <cell r="B59"/>
          <cell r="C59">
            <v>44773</v>
          </cell>
          <cell r="D59">
            <v>1.7999999999999999E-2</v>
          </cell>
          <cell r="E59">
            <v>200</v>
          </cell>
        </row>
        <row r="60">
          <cell r="A60">
            <v>37131</v>
          </cell>
          <cell r="B60"/>
          <cell r="C60">
            <v>45361</v>
          </cell>
          <cell r="D60">
            <v>1.4999999999999999E-2</v>
          </cell>
          <cell r="E60">
            <v>200</v>
          </cell>
        </row>
        <row r="61">
          <cell r="A61">
            <v>41551</v>
          </cell>
          <cell r="B61"/>
          <cell r="C61">
            <v>44765</v>
          </cell>
          <cell r="D61">
            <v>1.4999999999999999E-2</v>
          </cell>
          <cell r="E61">
            <v>200</v>
          </cell>
        </row>
        <row r="62">
          <cell r="A62">
            <v>41552</v>
          </cell>
          <cell r="B62"/>
          <cell r="C62">
            <v>45081</v>
          </cell>
          <cell r="D62">
            <v>1.4999999999999999E-2</v>
          </cell>
          <cell r="E62">
            <v>200</v>
          </cell>
        </row>
        <row r="63">
          <cell r="A63">
            <v>41644</v>
          </cell>
          <cell r="B63"/>
          <cell r="C63">
            <v>45873</v>
          </cell>
          <cell r="D63">
            <v>1.4999999999999999E-2</v>
          </cell>
          <cell r="E63">
            <v>200</v>
          </cell>
        </row>
        <row r="64">
          <cell r="A64">
            <v>41672</v>
          </cell>
          <cell r="B64"/>
          <cell r="C64">
            <v>45071</v>
          </cell>
          <cell r="D64">
            <v>1.4999999999999999E-2</v>
          </cell>
          <cell r="E64">
            <v>200</v>
          </cell>
        </row>
        <row r="65">
          <cell r="A65">
            <v>43068</v>
          </cell>
          <cell r="B65"/>
          <cell r="C65">
            <v>45457</v>
          </cell>
          <cell r="D65">
            <v>1.4999999999999999E-2</v>
          </cell>
          <cell r="E65">
            <v>200</v>
          </cell>
        </row>
        <row r="66">
          <cell r="A66">
            <v>43069</v>
          </cell>
          <cell r="B66"/>
          <cell r="C66">
            <v>45457</v>
          </cell>
          <cell r="D66">
            <v>1.4999999999999999E-2</v>
          </cell>
          <cell r="E66">
            <v>200</v>
          </cell>
        </row>
        <row r="67">
          <cell r="A67">
            <v>44162</v>
          </cell>
          <cell r="B67"/>
          <cell r="C67">
            <v>44822</v>
          </cell>
          <cell r="D67">
            <v>1.4999999999999999E-2</v>
          </cell>
          <cell r="E67">
            <v>200</v>
          </cell>
        </row>
        <row r="68">
          <cell r="A68">
            <v>45552</v>
          </cell>
          <cell r="B68"/>
          <cell r="C68">
            <v>45044</v>
          </cell>
          <cell r="D68">
            <v>1.4999999999999999E-2</v>
          </cell>
          <cell r="E68">
            <v>200</v>
          </cell>
        </row>
        <row r="69">
          <cell r="A69">
            <v>45561</v>
          </cell>
          <cell r="B69"/>
          <cell r="C69">
            <v>45282</v>
          </cell>
          <cell r="D69">
            <v>1.4999999999999999E-2</v>
          </cell>
          <cell r="E69">
            <v>200</v>
          </cell>
        </row>
        <row r="70">
          <cell r="A70">
            <v>47146</v>
          </cell>
          <cell r="B70"/>
          <cell r="C70">
            <v>45580</v>
          </cell>
          <cell r="D70">
            <v>1.4999999999999999E-2</v>
          </cell>
          <cell r="E70">
            <v>200</v>
          </cell>
        </row>
        <row r="71">
          <cell r="A71">
            <v>47202</v>
          </cell>
          <cell r="B71"/>
          <cell r="C71">
            <v>45588</v>
          </cell>
          <cell r="D71">
            <v>1.4999999999999999E-2</v>
          </cell>
          <cell r="E71">
            <v>200</v>
          </cell>
        </row>
        <row r="72">
          <cell r="A72">
            <v>47363</v>
          </cell>
          <cell r="B72"/>
          <cell r="C72">
            <v>44794</v>
          </cell>
          <cell r="D72">
            <v>1.4999999999999999E-2</v>
          </cell>
          <cell r="E72">
            <v>200</v>
          </cell>
        </row>
        <row r="73">
          <cell r="A73">
            <v>47393</v>
          </cell>
          <cell r="B73"/>
          <cell r="C73">
            <v>45593</v>
          </cell>
          <cell r="D73">
            <v>1.4999999999999999E-2</v>
          </cell>
          <cell r="E73">
            <v>100</v>
          </cell>
        </row>
        <row r="74">
          <cell r="A74">
            <v>47441</v>
          </cell>
          <cell r="B74"/>
          <cell r="C74">
            <v>44851</v>
          </cell>
          <cell r="D74">
            <v>1.4999999999999999E-2</v>
          </cell>
          <cell r="E74">
            <v>200</v>
          </cell>
        </row>
        <row r="75">
          <cell r="A75">
            <v>47601</v>
          </cell>
          <cell r="B75"/>
          <cell r="C75">
            <v>44798</v>
          </cell>
          <cell r="D75">
            <v>1.4999999999999999E-2</v>
          </cell>
          <cell r="E75">
            <v>200</v>
          </cell>
        </row>
        <row r="76">
          <cell r="A76">
            <v>52137</v>
          </cell>
          <cell r="B76"/>
          <cell r="C76">
            <v>45712</v>
          </cell>
          <cell r="D76">
            <v>1.4999999999999999E-2</v>
          </cell>
          <cell r="E76">
            <v>200</v>
          </cell>
        </row>
        <row r="77">
          <cell r="A77">
            <v>52911</v>
          </cell>
          <cell r="B77"/>
          <cell r="C77">
            <v>44785</v>
          </cell>
          <cell r="D77">
            <v>1.4999999999999999E-2</v>
          </cell>
          <cell r="E77">
            <v>200</v>
          </cell>
        </row>
        <row r="78">
          <cell r="A78">
            <v>53063</v>
          </cell>
          <cell r="B78"/>
          <cell r="C78">
            <v>45229</v>
          </cell>
          <cell r="D78">
            <v>1.4999999999999999E-2</v>
          </cell>
          <cell r="E78">
            <v>200</v>
          </cell>
        </row>
        <row r="79">
          <cell r="A79">
            <v>53094</v>
          </cell>
          <cell r="B79"/>
          <cell r="C79">
            <v>44854</v>
          </cell>
          <cell r="D79">
            <v>1.4999999999999999E-2</v>
          </cell>
          <cell r="E79">
            <v>200</v>
          </cell>
        </row>
        <row r="80">
          <cell r="A80">
            <v>55361</v>
          </cell>
          <cell r="B80"/>
          <cell r="C80">
            <v>44892</v>
          </cell>
          <cell r="D80">
            <v>0.02</v>
          </cell>
          <cell r="E80">
            <v>300</v>
          </cell>
        </row>
        <row r="81">
          <cell r="A81">
            <v>55431</v>
          </cell>
          <cell r="B81"/>
          <cell r="C81">
            <v>45119</v>
          </cell>
          <cell r="D81">
            <v>1.4999999999999999E-2</v>
          </cell>
          <cell r="E81">
            <v>200</v>
          </cell>
        </row>
        <row r="82">
          <cell r="A82">
            <v>59055</v>
          </cell>
          <cell r="B82"/>
          <cell r="C82">
            <v>45430</v>
          </cell>
          <cell r="D82">
            <v>1.4999999999999999E-2</v>
          </cell>
          <cell r="E82">
            <v>200</v>
          </cell>
        </row>
        <row r="83">
          <cell r="A83">
            <v>61792</v>
          </cell>
          <cell r="B83"/>
          <cell r="C83">
            <v>45465</v>
          </cell>
          <cell r="D83">
            <v>1.7999999999999999E-2</v>
          </cell>
          <cell r="E83">
            <v>200</v>
          </cell>
        </row>
        <row r="84">
          <cell r="A84">
            <v>61893</v>
          </cell>
          <cell r="B84"/>
          <cell r="C84">
            <v>45085</v>
          </cell>
          <cell r="D84">
            <v>0.02</v>
          </cell>
          <cell r="E84">
            <v>200</v>
          </cell>
        </row>
        <row r="85">
          <cell r="A85">
            <v>61964</v>
          </cell>
          <cell r="B85"/>
          <cell r="C85">
            <v>45275</v>
          </cell>
          <cell r="D85">
            <v>0.02</v>
          </cell>
          <cell r="E85">
            <v>200</v>
          </cell>
        </row>
        <row r="86">
          <cell r="A86">
            <v>62092</v>
          </cell>
          <cell r="B86"/>
          <cell r="C86">
            <v>45517</v>
          </cell>
          <cell r="D86">
            <v>1.4999999999999999E-2</v>
          </cell>
          <cell r="E86">
            <v>200</v>
          </cell>
        </row>
        <row r="87">
          <cell r="A87">
            <v>62482</v>
          </cell>
          <cell r="B87"/>
          <cell r="C87">
            <v>44873</v>
          </cell>
          <cell r="D87">
            <v>1.4999999999999999E-2</v>
          </cell>
          <cell r="E87">
            <v>200</v>
          </cell>
        </row>
        <row r="88">
          <cell r="A88">
            <v>62573</v>
          </cell>
          <cell r="B88"/>
          <cell r="C88">
            <v>44849</v>
          </cell>
          <cell r="D88">
            <v>0.02</v>
          </cell>
          <cell r="E88">
            <v>100</v>
          </cell>
        </row>
        <row r="89">
          <cell r="A89">
            <v>62574</v>
          </cell>
          <cell r="B89"/>
          <cell r="C89">
            <v>45578</v>
          </cell>
          <cell r="D89">
            <v>0.02</v>
          </cell>
          <cell r="E89">
            <v>200</v>
          </cell>
        </row>
        <row r="90">
          <cell r="A90">
            <v>62743</v>
          </cell>
          <cell r="B90"/>
          <cell r="C90">
            <v>45068</v>
          </cell>
          <cell r="D90">
            <v>0.02</v>
          </cell>
          <cell r="E90">
            <v>200</v>
          </cell>
        </row>
        <row r="91">
          <cell r="A91">
            <v>62756</v>
          </cell>
          <cell r="B91"/>
          <cell r="C91">
            <v>45565</v>
          </cell>
          <cell r="D91">
            <v>1.4999999999999999E-2</v>
          </cell>
          <cell r="E91">
            <v>100</v>
          </cell>
        </row>
        <row r="92">
          <cell r="A92">
            <v>62821</v>
          </cell>
          <cell r="B92"/>
          <cell r="C92">
            <v>45711</v>
          </cell>
          <cell r="D92">
            <v>0.02</v>
          </cell>
          <cell r="E92">
            <v>200</v>
          </cell>
        </row>
        <row r="93">
          <cell r="A93">
            <v>62832</v>
          </cell>
          <cell r="B93"/>
          <cell r="C93">
            <v>45252</v>
          </cell>
          <cell r="D93">
            <v>1.4999999999999999E-2</v>
          </cell>
          <cell r="E93">
            <v>100</v>
          </cell>
        </row>
        <row r="94">
          <cell r="A94">
            <v>62881</v>
          </cell>
          <cell r="B94"/>
          <cell r="C94">
            <v>44920</v>
          </cell>
          <cell r="D94">
            <v>1.4999999999999999E-2</v>
          </cell>
          <cell r="E94">
            <v>200</v>
          </cell>
        </row>
        <row r="95">
          <cell r="A95">
            <v>64143</v>
          </cell>
          <cell r="B95"/>
          <cell r="C95">
            <v>45348</v>
          </cell>
          <cell r="D95">
            <v>0.02</v>
          </cell>
          <cell r="E95">
            <v>400</v>
          </cell>
        </row>
        <row r="96">
          <cell r="A96">
            <v>64144</v>
          </cell>
          <cell r="B96"/>
          <cell r="C96">
            <v>45612</v>
          </cell>
          <cell r="D96">
            <v>2.4E-2</v>
          </cell>
          <cell r="E96">
            <v>300</v>
          </cell>
        </row>
        <row r="97">
          <cell r="A97">
            <v>64323</v>
          </cell>
          <cell r="B97"/>
          <cell r="C97">
            <v>45109</v>
          </cell>
          <cell r="D97">
            <v>1.4999999999999999E-2</v>
          </cell>
          <cell r="E97">
            <v>200</v>
          </cell>
        </row>
        <row r="98">
          <cell r="A98">
            <v>64413</v>
          </cell>
          <cell r="B98"/>
          <cell r="C98">
            <v>44860</v>
          </cell>
          <cell r="D98">
            <v>1.4999999999999999E-2</v>
          </cell>
          <cell r="E98">
            <v>200</v>
          </cell>
        </row>
        <row r="99">
          <cell r="A99">
            <v>64414</v>
          </cell>
          <cell r="B99"/>
          <cell r="C99">
            <v>44860</v>
          </cell>
          <cell r="D99">
            <v>1.4999999999999999E-2</v>
          </cell>
          <cell r="E99">
            <v>200</v>
          </cell>
        </row>
        <row r="100">
          <cell r="A100">
            <v>64651</v>
          </cell>
          <cell r="B100"/>
          <cell r="C100">
            <v>44904</v>
          </cell>
          <cell r="D100">
            <v>1.7999999999999999E-2</v>
          </cell>
          <cell r="E100">
            <v>200</v>
          </cell>
        </row>
        <row r="101">
          <cell r="A101">
            <v>64961</v>
          </cell>
          <cell r="B101"/>
          <cell r="C101">
            <v>45193</v>
          </cell>
          <cell r="D101">
            <v>1.4999999999999999E-2</v>
          </cell>
          <cell r="E101">
            <v>200</v>
          </cell>
        </row>
        <row r="102">
          <cell r="A102">
            <v>65521</v>
          </cell>
          <cell r="B102"/>
          <cell r="C102">
            <v>45590</v>
          </cell>
          <cell r="D102">
            <v>1.4999999999999999E-2</v>
          </cell>
          <cell r="E102">
            <v>100</v>
          </cell>
        </row>
        <row r="103">
          <cell r="A103">
            <v>65781</v>
          </cell>
          <cell r="B103"/>
          <cell r="C103">
            <v>45634</v>
          </cell>
          <cell r="D103">
            <v>1.4999999999999999E-2</v>
          </cell>
          <cell r="E103">
            <v>200</v>
          </cell>
        </row>
        <row r="104">
          <cell r="A104">
            <v>66541</v>
          </cell>
          <cell r="B104"/>
          <cell r="C104">
            <v>45636</v>
          </cell>
          <cell r="D104">
            <v>1.4999999999999999E-2</v>
          </cell>
          <cell r="E104">
            <v>200</v>
          </cell>
        </row>
        <row r="105">
          <cell r="A105">
            <v>66551</v>
          </cell>
          <cell r="B105"/>
          <cell r="C105">
            <v>44931</v>
          </cell>
          <cell r="D105">
            <v>1.4999999999999999E-2</v>
          </cell>
          <cell r="E105">
            <v>200</v>
          </cell>
        </row>
        <row r="106">
          <cell r="A106">
            <v>66681</v>
          </cell>
          <cell r="B106"/>
          <cell r="C106">
            <v>44928</v>
          </cell>
          <cell r="D106">
            <v>1.4999999999999999E-2</v>
          </cell>
          <cell r="E106">
            <v>200</v>
          </cell>
        </row>
        <row r="107">
          <cell r="A107">
            <v>66701</v>
          </cell>
          <cell r="B107"/>
          <cell r="C107">
            <v>45758</v>
          </cell>
          <cell r="D107">
            <v>0.02</v>
          </cell>
          <cell r="E107">
            <v>200</v>
          </cell>
        </row>
        <row r="108">
          <cell r="A108">
            <v>67271</v>
          </cell>
          <cell r="B108"/>
          <cell r="C108">
            <v>45087</v>
          </cell>
          <cell r="D108">
            <v>1.4999999999999999E-2</v>
          </cell>
          <cell r="E108">
            <v>200</v>
          </cell>
        </row>
        <row r="109">
          <cell r="A109">
            <v>80114</v>
          </cell>
          <cell r="B109"/>
          <cell r="C109">
            <v>44736</v>
          </cell>
          <cell r="D109">
            <v>1.4999999999999999E-2</v>
          </cell>
          <cell r="E109">
            <v>200</v>
          </cell>
        </row>
        <row r="110">
          <cell r="A110">
            <v>80441</v>
          </cell>
          <cell r="B110"/>
          <cell r="C110">
            <v>45206</v>
          </cell>
          <cell r="D110">
            <v>1.4999999999999999E-2</v>
          </cell>
          <cell r="E110">
            <v>200</v>
          </cell>
        </row>
        <row r="111">
          <cell r="A111">
            <v>80661</v>
          </cell>
          <cell r="B111"/>
          <cell r="C111">
            <v>44912</v>
          </cell>
          <cell r="D111">
            <v>1.4999999999999999E-2</v>
          </cell>
          <cell r="E111">
            <v>200</v>
          </cell>
        </row>
        <row r="112">
          <cell r="A112">
            <v>80923</v>
          </cell>
          <cell r="B112"/>
          <cell r="C112">
            <v>44764</v>
          </cell>
          <cell r="D112">
            <v>1.4999999999999999E-2</v>
          </cell>
          <cell r="E112">
            <v>50</v>
          </cell>
        </row>
        <row r="113">
          <cell r="A113">
            <v>80972</v>
          </cell>
          <cell r="B113"/>
          <cell r="C113">
            <v>45464</v>
          </cell>
          <cell r="D113">
            <v>1.4999999999999999E-2</v>
          </cell>
          <cell r="E113">
            <v>200</v>
          </cell>
        </row>
        <row r="114">
          <cell r="A114">
            <v>81713</v>
          </cell>
          <cell r="B114"/>
          <cell r="C114">
            <v>45008</v>
          </cell>
          <cell r="D114">
            <v>1.7999999999999999E-2</v>
          </cell>
          <cell r="E114">
            <v>200</v>
          </cell>
        </row>
        <row r="115">
          <cell r="A115">
            <v>82991</v>
          </cell>
          <cell r="B115"/>
          <cell r="C115">
            <v>45643</v>
          </cell>
          <cell r="D115">
            <v>1.7999999999999999E-2</v>
          </cell>
          <cell r="E115">
            <v>400</v>
          </cell>
        </row>
        <row r="116">
          <cell r="A116">
            <v>84671</v>
          </cell>
          <cell r="B116"/>
          <cell r="C116">
            <v>45145</v>
          </cell>
          <cell r="D116">
            <v>1.4999999999999999E-2</v>
          </cell>
          <cell r="E116">
            <v>200</v>
          </cell>
        </row>
        <row r="117">
          <cell r="A117">
            <v>89275</v>
          </cell>
          <cell r="B117"/>
          <cell r="C117">
            <v>45283</v>
          </cell>
          <cell r="D117">
            <v>1.4999999999999999E-2</v>
          </cell>
          <cell r="E117">
            <v>200</v>
          </cell>
        </row>
        <row r="118">
          <cell r="A118">
            <v>98025</v>
          </cell>
          <cell r="B118"/>
          <cell r="C118">
            <v>44790</v>
          </cell>
          <cell r="D118">
            <v>0.02</v>
          </cell>
          <cell r="E118">
            <v>500</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帳密"/>
      <sheetName val="參數設定"/>
      <sheetName val="view_event"/>
      <sheetName val="額度表"/>
      <sheetName val="金融交易部資產交換選擇權報價表"/>
      <sheetName val="ASO"/>
      <sheetName val="ASW"/>
      <sheetName val="OASW"/>
      <sheetName val="CLN"/>
      <sheetName val="ASO_E"/>
      <sheetName val="內部ASW"/>
      <sheetName val="內部OASW"/>
      <sheetName val="OD-怡芳"/>
      <sheetName val="OC-怡芳"/>
      <sheetName val="ASO (標的加總)"/>
      <sheetName val="TEJ"/>
      <sheetName val="凱基"/>
      <sheetName val="富邦"/>
      <sheetName val="國票"/>
      <sheetName val="債券部報價"/>
      <sheetName val="大展報價"/>
      <sheetName val="永豐"/>
      <sheetName val="第一金報價"/>
      <sheetName val="元富"/>
      <sheetName val="康和"/>
      <sheetName val="統一證"/>
      <sheetName val="群益報價"/>
      <sheetName val="評等對照"/>
      <sheetName val="波動率"/>
      <sheetName val="KY國別"/>
      <sheetName val="無擔保"/>
      <sheetName val="財報資料(CMONEY)"/>
      <sheetName val="轉換價調整"/>
      <sheetName val="基本資料(CMONEY)2"/>
      <sheetName val="流通餘額(週)"/>
      <sheetName val="擔保銀行及評等分布"/>
      <sheetName val="ASW交易對手及標的評等分布"/>
      <sheetName val="自留部位概況"/>
      <sheetName val="金融交易部資產交換credit報價表"/>
    </sheetNames>
    <sheetDataSet>
      <sheetData sheetId="0"/>
      <sheetData sheetId="1"/>
      <sheetData sheetId="2"/>
      <sheetData sheetId="3">
        <row r="68">
          <cell r="A68">
            <v>26417</v>
          </cell>
          <cell r="B68" t="str">
            <v>正德七</v>
          </cell>
          <cell r="C68" t="str">
            <v>傳產-航運</v>
          </cell>
          <cell r="D68" t="str">
            <v>6</v>
          </cell>
          <cell r="E68" t="str">
            <v>無</v>
          </cell>
          <cell r="F68" t="str">
            <v>6</v>
          </cell>
          <cell r="G68" t="str">
            <v>6</v>
          </cell>
          <cell r="H68" t="str">
            <v>bb+</v>
          </cell>
          <cell r="I68" t="str">
            <v>IV: bb+ ~ bb</v>
          </cell>
          <cell r="J68">
            <v>-2.9810867257050185E-2</v>
          </cell>
          <cell r="K68">
            <v>107</v>
          </cell>
          <cell r="L68">
            <v>97.356828193832612</v>
          </cell>
          <cell r="M68">
            <v>100</v>
          </cell>
          <cell r="N68">
            <v>46594</v>
          </cell>
          <cell r="O68">
            <v>2.1945205479452055</v>
          </cell>
          <cell r="P68" t="str">
            <v>&gt;2Y</v>
          </cell>
          <cell r="Q68">
            <v>5843</v>
          </cell>
          <cell r="R68">
            <v>0.99033898305084744</v>
          </cell>
          <cell r="S68">
            <v>71600000</v>
          </cell>
          <cell r="T68">
            <v>0</v>
          </cell>
          <cell r="U68">
            <v>68300000</v>
          </cell>
          <cell r="V68">
            <v>7500000</v>
          </cell>
          <cell r="W68">
            <v>12000000</v>
          </cell>
          <cell r="X68">
            <v>8100000</v>
          </cell>
          <cell r="Y68">
            <v>300000</v>
          </cell>
          <cell r="Z68">
            <v>0</v>
          </cell>
          <cell r="AA68">
            <v>0</v>
          </cell>
          <cell r="AB68">
            <v>0</v>
          </cell>
        </row>
        <row r="69">
          <cell r="A69">
            <v>27271</v>
          </cell>
          <cell r="B69" t="str">
            <v>王品一</v>
          </cell>
          <cell r="C69" t="str">
            <v>傳產-觀光</v>
          </cell>
          <cell r="D69" t="str">
            <v>4</v>
          </cell>
          <cell r="E69" t="str">
            <v>無</v>
          </cell>
          <cell r="F69" t="str">
            <v>4</v>
          </cell>
          <cell r="G69" t="str">
            <v>4</v>
          </cell>
          <cell r="H69" t="str">
            <v>bbb+</v>
          </cell>
          <cell r="I69" t="str">
            <v>II: a- ~ bbb+</v>
          </cell>
          <cell r="J69">
            <v>-8.4191332031261237E-2</v>
          </cell>
          <cell r="K69">
            <v>108.7</v>
          </cell>
          <cell r="L69">
            <v>92.301491334139456</v>
          </cell>
          <cell r="M69">
            <v>100.75190000000001</v>
          </cell>
          <cell r="N69">
            <v>46110</v>
          </cell>
          <cell r="O69">
            <v>0.86849315068493149</v>
          </cell>
          <cell r="P69" t="str">
            <v>&lt;1Y</v>
          </cell>
          <cell r="Q69">
            <v>6999</v>
          </cell>
          <cell r="R69">
            <v>0.99985714285714289</v>
          </cell>
          <cell r="S69">
            <v>13300000</v>
          </cell>
          <cell r="T69">
            <v>0</v>
          </cell>
          <cell r="U69">
            <v>10000000</v>
          </cell>
          <cell r="V69">
            <v>0</v>
          </cell>
          <cell r="W69">
            <v>50600000</v>
          </cell>
          <cell r="X69">
            <v>18500000</v>
          </cell>
          <cell r="Y69">
            <v>24000000</v>
          </cell>
          <cell r="Z69">
            <v>59400000</v>
          </cell>
          <cell r="AA69">
            <v>4.4506717217505974E-3</v>
          </cell>
          <cell r="AB69">
            <v>0</v>
          </cell>
        </row>
        <row r="70">
          <cell r="A70">
            <v>27551</v>
          </cell>
          <cell r="B70" t="str">
            <v>揚秦一</v>
          </cell>
          <cell r="C70" t="str">
            <v>傳產-觀光</v>
          </cell>
          <cell r="D70" t="str">
            <v>5</v>
          </cell>
          <cell r="E70" t="str">
            <v>無</v>
          </cell>
          <cell r="F70" t="str">
            <v>5</v>
          </cell>
          <cell r="G70" t="str">
            <v>5</v>
          </cell>
          <cell r="H70" t="str">
            <v>bbb</v>
          </cell>
          <cell r="I70" t="str">
            <v>III: bbb ~ bbb-</v>
          </cell>
          <cell r="J70">
            <v>-6.3623918860058484E-2</v>
          </cell>
          <cell r="K70">
            <v>120.45</v>
          </cell>
          <cell r="L70">
            <v>116.50943396226414</v>
          </cell>
          <cell r="M70">
            <v>100</v>
          </cell>
          <cell r="N70">
            <v>46767</v>
          </cell>
          <cell r="O70">
            <v>2.6684931506849314</v>
          </cell>
          <cell r="P70" t="str">
            <v>&gt;2Y</v>
          </cell>
          <cell r="Q70">
            <v>2000</v>
          </cell>
          <cell r="R70">
            <v>1</v>
          </cell>
          <cell r="S70">
            <v>21000000</v>
          </cell>
          <cell r="T70">
            <v>0</v>
          </cell>
          <cell r="U70">
            <v>0</v>
          </cell>
          <cell r="V70">
            <v>26500000</v>
          </cell>
          <cell r="W70">
            <v>2500000</v>
          </cell>
          <cell r="X70">
            <v>0</v>
          </cell>
          <cell r="Y70">
            <v>2900000</v>
          </cell>
          <cell r="Z70">
            <v>-100000</v>
          </cell>
          <cell r="AA70">
            <v>-7.4927133362804674E-6</v>
          </cell>
          <cell r="AB70">
            <v>0</v>
          </cell>
        </row>
        <row r="71">
          <cell r="A71">
            <v>27561</v>
          </cell>
          <cell r="B71" t="str">
            <v>聯發國際一</v>
          </cell>
          <cell r="C71" t="str">
            <v>傳產-觀光</v>
          </cell>
          <cell r="D71" t="str">
            <v>5</v>
          </cell>
          <cell r="E71" t="str">
            <v>無</v>
          </cell>
          <cell r="F71" t="str">
            <v>5</v>
          </cell>
          <cell r="G71" t="str">
            <v>5</v>
          </cell>
          <cell r="H71" t="str">
            <v>bbb</v>
          </cell>
          <cell r="I71" t="str">
            <v>III: bbb ~ bbb-</v>
          </cell>
          <cell r="J71">
            <v>-0.13732607702335248</v>
          </cell>
          <cell r="K71">
            <v>117.8</v>
          </cell>
          <cell r="L71">
            <v>101.53340635268347</v>
          </cell>
          <cell r="M71">
            <v>101.0025</v>
          </cell>
          <cell r="N71">
            <v>46172</v>
          </cell>
          <cell r="O71">
            <v>1.0383561643835617</v>
          </cell>
          <cell r="P71" t="str">
            <v>1Y-2Y</v>
          </cell>
          <cell r="Q71">
            <v>3000</v>
          </cell>
          <cell r="R71">
            <v>1</v>
          </cell>
          <cell r="S71">
            <v>9000000</v>
          </cell>
          <cell r="T71">
            <v>0</v>
          </cell>
          <cell r="U71">
            <v>8700000</v>
          </cell>
          <cell r="V71">
            <v>11500000</v>
          </cell>
          <cell r="W71">
            <v>6100000</v>
          </cell>
          <cell r="X71">
            <v>0</v>
          </cell>
          <cell r="Y71">
            <v>5100000</v>
          </cell>
          <cell r="Z71">
            <v>0</v>
          </cell>
          <cell r="AA71">
            <v>0</v>
          </cell>
          <cell r="AB71">
            <v>0</v>
          </cell>
        </row>
        <row r="72">
          <cell r="A72">
            <v>27323</v>
          </cell>
          <cell r="B72" t="str">
            <v>六角三</v>
          </cell>
          <cell r="C72" t="str">
            <v>傳產-觀光</v>
          </cell>
          <cell r="D72" t="str">
            <v>5</v>
          </cell>
          <cell r="E72" t="str">
            <v>無</v>
          </cell>
          <cell r="F72" t="str">
            <v>5</v>
          </cell>
          <cell r="G72" t="str">
            <v>5</v>
          </cell>
          <cell r="H72" t="str">
            <v>bbb</v>
          </cell>
          <cell r="I72" t="str">
            <v>III: bbb ~ bbb-</v>
          </cell>
          <cell r="J72">
            <v>1.2869483457718793E-2</v>
          </cell>
          <cell r="K72">
            <v>100.1</v>
          </cell>
          <cell r="L72">
            <v>70.934799685781613</v>
          </cell>
          <cell r="M72">
            <v>101</v>
          </cell>
          <cell r="N72">
            <v>46048</v>
          </cell>
          <cell r="O72">
            <v>0.69863013698630139</v>
          </cell>
          <cell r="P72" t="str">
            <v>&lt;1Y</v>
          </cell>
          <cell r="Q72">
            <v>6000</v>
          </cell>
          <cell r="R72">
            <v>1</v>
          </cell>
          <cell r="S72">
            <v>12400000</v>
          </cell>
          <cell r="T72">
            <v>0</v>
          </cell>
          <cell r="U72">
            <v>11800000</v>
          </cell>
          <cell r="V72">
            <v>0</v>
          </cell>
          <cell r="W72">
            <v>14700000</v>
          </cell>
          <cell r="X72">
            <v>14700000</v>
          </cell>
          <cell r="Y72">
            <v>0</v>
          </cell>
          <cell r="Z72">
            <v>600000</v>
          </cell>
          <cell r="AA72">
            <v>4.4956280017682803E-5</v>
          </cell>
          <cell r="AB72">
            <v>0</v>
          </cell>
        </row>
        <row r="73">
          <cell r="A73">
            <v>29051</v>
          </cell>
          <cell r="B73" t="str">
            <v>三商一</v>
          </cell>
          <cell r="C73" t="str">
            <v>傳產-百貨</v>
          </cell>
          <cell r="D73" t="str">
            <v>5</v>
          </cell>
          <cell r="E73" t="str">
            <v>無</v>
          </cell>
          <cell r="F73" t="str">
            <v>5</v>
          </cell>
          <cell r="G73" t="str">
            <v>5</v>
          </cell>
          <cell r="H73" t="str">
            <v>bbb</v>
          </cell>
          <cell r="I73" t="str">
            <v>III: bbb ~ bbb-</v>
          </cell>
          <cell r="J73">
            <v>-4.1177010474467764E-2</v>
          </cell>
          <cell r="K73">
            <v>102.95</v>
          </cell>
          <cell r="L73">
            <v>67.039106145251395</v>
          </cell>
          <cell r="M73">
            <v>100</v>
          </cell>
          <cell r="N73">
            <v>46047</v>
          </cell>
          <cell r="O73">
            <v>0.69589041095890414</v>
          </cell>
          <cell r="P73" t="str">
            <v>&lt;1Y</v>
          </cell>
          <cell r="Q73">
            <v>2547</v>
          </cell>
          <cell r="R73">
            <v>0.1107391304347826</v>
          </cell>
          <cell r="S73">
            <v>20500000</v>
          </cell>
          <cell r="T73">
            <v>0</v>
          </cell>
          <cell r="U73">
            <v>20500000</v>
          </cell>
          <cell r="V73">
            <v>0</v>
          </cell>
          <cell r="W73">
            <v>800000</v>
          </cell>
          <cell r="X73">
            <v>800000</v>
          </cell>
          <cell r="Y73">
            <v>0</v>
          </cell>
          <cell r="Z73">
            <v>0</v>
          </cell>
          <cell r="AA73">
            <v>0</v>
          </cell>
          <cell r="AB73">
            <v>0</v>
          </cell>
        </row>
        <row r="74">
          <cell r="A74">
            <v>29061</v>
          </cell>
          <cell r="B74" t="str">
            <v>高林一</v>
          </cell>
          <cell r="C74" t="str">
            <v>傳產-百貨</v>
          </cell>
          <cell r="D74" t="str">
            <v>5</v>
          </cell>
          <cell r="E74" t="str">
            <v>無</v>
          </cell>
          <cell r="F74" t="str">
            <v>5</v>
          </cell>
          <cell r="G74" t="str">
            <v>5</v>
          </cell>
          <cell r="H74" t="str">
            <v>bbb</v>
          </cell>
          <cell r="I74" t="str">
            <v>III: bbb ~ bbb-</v>
          </cell>
          <cell r="J74">
            <v>2.8176624980739132E-4</v>
          </cell>
          <cell r="K74">
            <v>102</v>
          </cell>
          <cell r="L74">
            <v>90.857142857142861</v>
          </cell>
          <cell r="M74">
            <v>102.01</v>
          </cell>
          <cell r="N74">
            <v>45920</v>
          </cell>
          <cell r="O74">
            <v>0.34794520547945207</v>
          </cell>
          <cell r="P74" t="str">
            <v>&lt;1Y</v>
          </cell>
          <cell r="Q74">
            <v>9999</v>
          </cell>
          <cell r="R74">
            <v>0.99990000000000001</v>
          </cell>
          <cell r="S74">
            <v>73400000</v>
          </cell>
          <cell r="T74">
            <v>0</v>
          </cell>
          <cell r="U74">
            <v>55700000</v>
          </cell>
          <cell r="V74">
            <v>38700000</v>
          </cell>
          <cell r="W74">
            <v>13800000</v>
          </cell>
          <cell r="X74">
            <v>4800000</v>
          </cell>
          <cell r="Y74">
            <v>11900000</v>
          </cell>
          <cell r="Z74">
            <v>-100000</v>
          </cell>
          <cell r="AA74">
            <v>-7.4927133362804674E-6</v>
          </cell>
          <cell r="AB74">
            <v>0</v>
          </cell>
        </row>
        <row r="75">
          <cell r="A75">
            <v>30061</v>
          </cell>
          <cell r="B75" t="str">
            <v>晶豪科一</v>
          </cell>
          <cell r="C75" t="str">
            <v>電子上游-IC-設計</v>
          </cell>
          <cell r="D75" t="str">
            <v>5</v>
          </cell>
          <cell r="E75" t="str">
            <v>無</v>
          </cell>
          <cell r="F75" t="str">
            <v>5</v>
          </cell>
          <cell r="G75" t="str">
            <v>5</v>
          </cell>
          <cell r="H75" t="str">
            <v>bbb</v>
          </cell>
          <cell r="I75" t="str">
            <v>III: bbb ~ bbb-</v>
          </cell>
          <cell r="J75">
            <v>6.9067176817640195E-4</v>
          </cell>
          <cell r="K75">
            <v>99.9</v>
          </cell>
          <cell r="L75">
            <v>64.747356051703889</v>
          </cell>
          <cell r="M75">
            <v>100</v>
          </cell>
          <cell r="N75">
            <v>46322</v>
          </cell>
          <cell r="O75">
            <v>1.4493150684931506</v>
          </cell>
          <cell r="P75" t="str">
            <v>1Y-2Y</v>
          </cell>
          <cell r="Q75">
            <v>9999</v>
          </cell>
          <cell r="R75">
            <v>0.99990000000000001</v>
          </cell>
          <cell r="S75">
            <v>61100000</v>
          </cell>
          <cell r="T75">
            <v>0</v>
          </cell>
          <cell r="U75">
            <v>43800000</v>
          </cell>
          <cell r="V75">
            <v>80900000</v>
          </cell>
          <cell r="W75">
            <v>46400000</v>
          </cell>
          <cell r="X75">
            <v>4300000</v>
          </cell>
          <cell r="Y75">
            <v>22000000</v>
          </cell>
          <cell r="Z75">
            <v>500000</v>
          </cell>
          <cell r="AA75">
            <v>3.7463566681402334E-5</v>
          </cell>
          <cell r="AB75">
            <v>0</v>
          </cell>
        </row>
        <row r="76">
          <cell r="A76">
            <v>30134</v>
          </cell>
          <cell r="B76" t="str">
            <v>晟銘電四</v>
          </cell>
          <cell r="C76" t="str">
            <v>電子中游-機殼</v>
          </cell>
          <cell r="D76" t="str">
            <v>6</v>
          </cell>
          <cell r="E76" t="str">
            <v>有，兆豐國際商業銀行股份有限公司、中國信託商業銀行股份有限公司</v>
          </cell>
          <cell r="F76" t="str">
            <v>有，兆豐國際商業銀行股份有限公司、中國信託商業銀行股份有限公司</v>
          </cell>
          <cell r="G76" t="str">
            <v>有擔</v>
          </cell>
          <cell r="H76" t="str">
            <v>有擔</v>
          </cell>
          <cell r="I76" t="str">
            <v>有擔</v>
          </cell>
          <cell r="J76">
            <v>-3.1959472137094276E-2</v>
          </cell>
          <cell r="K76">
            <v>108.4</v>
          </cell>
          <cell r="L76">
            <v>73.010380622837374</v>
          </cell>
          <cell r="M76">
            <v>100</v>
          </cell>
          <cell r="N76">
            <v>46678</v>
          </cell>
          <cell r="O76">
            <v>2.4246575342465753</v>
          </cell>
          <cell r="P76" t="str">
            <v>&gt;2Y</v>
          </cell>
          <cell r="Q76">
            <v>5000</v>
          </cell>
          <cell r="R76">
            <v>1</v>
          </cell>
          <cell r="S76">
            <v>6700000</v>
          </cell>
          <cell r="T76">
            <v>0</v>
          </cell>
          <cell r="U76">
            <v>0</v>
          </cell>
          <cell r="V76">
            <v>0</v>
          </cell>
          <cell r="W76">
            <v>18900000</v>
          </cell>
          <cell r="X76">
            <v>5600000</v>
          </cell>
          <cell r="Y76">
            <v>1700000</v>
          </cell>
          <cell r="Z76">
            <v>21700000</v>
          </cell>
          <cell r="AA76">
            <v>1.6259187939728615E-3</v>
          </cell>
          <cell r="AB76">
            <v>0</v>
          </cell>
        </row>
        <row r="77">
          <cell r="A77">
            <v>30165</v>
          </cell>
          <cell r="B77" t="str">
            <v>嘉晶五</v>
          </cell>
          <cell r="C77" t="str">
            <v>電子上游-IC-製造</v>
          </cell>
          <cell r="D77" t="str">
            <v>6</v>
          </cell>
          <cell r="E77" t="str">
            <v>無</v>
          </cell>
          <cell r="F77" t="str">
            <v>6</v>
          </cell>
          <cell r="G77" t="str">
            <v>6</v>
          </cell>
          <cell r="H77" t="str">
            <v>bb+</v>
          </cell>
          <cell r="I77" t="str">
            <v>IV: bb+ ~ bb</v>
          </cell>
          <cell r="J77">
            <v>-1.3272244645649243E-2</v>
          </cell>
          <cell r="K77">
            <v>103</v>
          </cell>
          <cell r="L77">
            <v>47.727272727272727</v>
          </cell>
          <cell r="M77">
            <v>100</v>
          </cell>
          <cell r="N77">
            <v>46594</v>
          </cell>
          <cell r="O77">
            <v>2.1945205479452055</v>
          </cell>
          <cell r="P77" t="str">
            <v>&gt;2Y</v>
          </cell>
          <cell r="Q77">
            <v>5000</v>
          </cell>
          <cell r="R77">
            <v>1</v>
          </cell>
          <cell r="S77">
            <v>11000000</v>
          </cell>
          <cell r="T77">
            <v>0</v>
          </cell>
          <cell r="U77">
            <v>11000000</v>
          </cell>
          <cell r="V77">
            <v>2100000</v>
          </cell>
          <cell r="W77">
            <v>700000</v>
          </cell>
          <cell r="X77">
            <v>0</v>
          </cell>
          <cell r="Y77">
            <v>1400000</v>
          </cell>
          <cell r="Z77">
            <v>0</v>
          </cell>
          <cell r="AA77">
            <v>0</v>
          </cell>
          <cell r="AB77">
            <v>0</v>
          </cell>
        </row>
        <row r="78">
          <cell r="A78">
            <v>30238</v>
          </cell>
          <cell r="B78" t="str">
            <v>信邦八</v>
          </cell>
          <cell r="C78" t="str">
            <v>電子上游-連接元件</v>
          </cell>
          <cell r="D78" t="str">
            <v>4</v>
          </cell>
          <cell r="E78" t="str">
            <v>無</v>
          </cell>
          <cell r="F78" t="str">
            <v>4</v>
          </cell>
          <cell r="G78" t="str">
            <v>4</v>
          </cell>
          <cell r="H78" t="str">
            <v>bbb+</v>
          </cell>
          <cell r="I78" t="str">
            <v>II: a- ~ bbb+</v>
          </cell>
          <cell r="J78">
            <v>-0.12576199310893177</v>
          </cell>
          <cell r="K78">
            <v>107.8</v>
          </cell>
          <cell r="L78">
            <v>86.932447397563678</v>
          </cell>
          <cell r="M78">
            <v>100</v>
          </cell>
          <cell r="N78">
            <v>46003</v>
          </cell>
          <cell r="O78">
            <v>0.57534246575342463</v>
          </cell>
          <cell r="P78" t="str">
            <v>&lt;1Y</v>
          </cell>
          <cell r="Q78">
            <v>8167</v>
          </cell>
          <cell r="R78">
            <v>0.81669999999999998</v>
          </cell>
          <cell r="S78">
            <v>16000000</v>
          </cell>
          <cell r="T78">
            <v>0</v>
          </cell>
          <cell r="U78">
            <v>0</v>
          </cell>
          <cell r="V78">
            <v>0</v>
          </cell>
          <cell r="W78">
            <v>78800000</v>
          </cell>
          <cell r="X78">
            <v>17800000</v>
          </cell>
          <cell r="Y78">
            <v>27500000</v>
          </cell>
          <cell r="Z78">
            <v>104500000</v>
          </cell>
          <cell r="AA78">
            <v>7.8298854364130879E-3</v>
          </cell>
          <cell r="AB78">
            <v>0</v>
          </cell>
        </row>
        <row r="79">
          <cell r="A79">
            <v>30336</v>
          </cell>
          <cell r="B79" t="str">
            <v>威健六</v>
          </cell>
          <cell r="C79" t="str">
            <v>電子上游-IC-通路</v>
          </cell>
          <cell r="D79" t="str">
            <v>6</v>
          </cell>
          <cell r="E79" t="str">
            <v>無</v>
          </cell>
          <cell r="F79" t="str">
            <v>6</v>
          </cell>
          <cell r="G79" t="str">
            <v>6</v>
          </cell>
          <cell r="H79" t="str">
            <v>bb+</v>
          </cell>
          <cell r="I79" t="str">
            <v>IV: bb+ ~ bb</v>
          </cell>
          <cell r="J79">
            <v>-4.4357638888888884</v>
          </cell>
          <cell r="K79">
            <v>126</v>
          </cell>
          <cell r="L79">
            <v>126.08695652173914</v>
          </cell>
          <cell r="M79">
            <v>101.5</v>
          </cell>
          <cell r="N79">
            <v>45809</v>
          </cell>
          <cell r="O79">
            <v>4.3835616438356165E-2</v>
          </cell>
          <cell r="P79" t="str">
            <v>&lt;1Y</v>
          </cell>
          <cell r="Q79">
            <v>4801</v>
          </cell>
          <cell r="R79">
            <v>0.24005000000000001</v>
          </cell>
          <cell r="S79">
            <v>15000000</v>
          </cell>
          <cell r="T79">
            <v>0</v>
          </cell>
          <cell r="U79">
            <v>1400000</v>
          </cell>
          <cell r="V79">
            <v>14000000</v>
          </cell>
          <cell r="W79">
            <v>400000</v>
          </cell>
          <cell r="X79">
            <v>300000</v>
          </cell>
          <cell r="Y79">
            <v>0</v>
          </cell>
          <cell r="Z79">
            <v>-300000</v>
          </cell>
          <cell r="AA79">
            <v>-2.2478140008841401E-5</v>
          </cell>
          <cell r="AB79">
            <v>0</v>
          </cell>
        </row>
        <row r="80">
          <cell r="A80">
            <v>30337</v>
          </cell>
          <cell r="B80" t="str">
            <v>威健七</v>
          </cell>
          <cell r="C80" t="str">
            <v>電子上游-IC-通路</v>
          </cell>
          <cell r="D80" t="str">
            <v>6</v>
          </cell>
          <cell r="E80" t="str">
            <v>無</v>
          </cell>
          <cell r="F80" t="str">
            <v>6</v>
          </cell>
          <cell r="G80" t="str">
            <v>6</v>
          </cell>
          <cell r="H80" t="str">
            <v>bb+</v>
          </cell>
          <cell r="I80" t="str">
            <v>IV: bb+ ~ bb</v>
          </cell>
          <cell r="J80">
            <v>-1.9518057369297993E-2</v>
          </cell>
          <cell r="K80">
            <v>104.75</v>
          </cell>
          <cell r="L80">
            <v>90.946277611126263</v>
          </cell>
          <cell r="M80">
            <v>100</v>
          </cell>
          <cell r="N80">
            <v>46641</v>
          </cell>
          <cell r="O80">
            <v>2.3232876712328765</v>
          </cell>
          <cell r="P80" t="str">
            <v>&gt;2Y</v>
          </cell>
          <cell r="Q80">
            <v>25000</v>
          </cell>
          <cell r="R80">
            <v>1</v>
          </cell>
          <cell r="S80">
            <v>364600000</v>
          </cell>
          <cell r="T80">
            <v>0</v>
          </cell>
          <cell r="U80">
            <v>275600000</v>
          </cell>
          <cell r="V80">
            <v>140700000</v>
          </cell>
          <cell r="W80">
            <v>55200000</v>
          </cell>
          <cell r="X80">
            <v>18300000</v>
          </cell>
          <cell r="Y80">
            <v>14700000</v>
          </cell>
          <cell r="Z80">
            <v>-100000</v>
          </cell>
          <cell r="AA80">
            <v>-7.4927133362804674E-6</v>
          </cell>
          <cell r="AB80">
            <v>0</v>
          </cell>
        </row>
        <row r="81">
          <cell r="A81">
            <v>30454</v>
          </cell>
          <cell r="B81" t="str">
            <v>台灣大四</v>
          </cell>
          <cell r="C81" t="str">
            <v>電子下游-電信服務</v>
          </cell>
          <cell r="D81" t="str">
            <v>2</v>
          </cell>
          <cell r="E81" t="str">
            <v>無</v>
          </cell>
          <cell r="F81" t="str">
            <v>2</v>
          </cell>
          <cell r="G81" t="str">
            <v>2</v>
          </cell>
          <cell r="H81" t="str">
            <v>aa-</v>
          </cell>
          <cell r="I81" t="str">
            <v>I: aaa ~ a</v>
          </cell>
          <cell r="J81">
            <v>2.9029076795826152E-3</v>
          </cell>
          <cell r="K81">
            <v>99.2</v>
          </cell>
          <cell r="L81">
            <v>93.089430894308947</v>
          </cell>
          <cell r="M81">
            <v>100</v>
          </cell>
          <cell r="N81">
            <v>46807</v>
          </cell>
          <cell r="O81">
            <v>2.7780821917808218</v>
          </cell>
          <cell r="P81" t="str">
            <v>&gt;2Y</v>
          </cell>
          <cell r="Q81">
            <v>70000</v>
          </cell>
          <cell r="R81">
            <v>1</v>
          </cell>
          <cell r="S81">
            <v>469700000</v>
          </cell>
          <cell r="T81">
            <v>0</v>
          </cell>
          <cell r="U81">
            <v>0</v>
          </cell>
          <cell r="V81">
            <v>0</v>
          </cell>
          <cell r="W81">
            <v>45400000</v>
          </cell>
          <cell r="X81">
            <v>3300000</v>
          </cell>
          <cell r="Y81">
            <v>7600000</v>
          </cell>
          <cell r="Z81">
            <v>519400000</v>
          </cell>
          <cell r="AA81">
            <v>3.8917153068640749E-2</v>
          </cell>
          <cell r="AB81">
            <v>0</v>
          </cell>
        </row>
        <row r="82">
          <cell r="A82">
            <v>30455</v>
          </cell>
          <cell r="B82" t="str">
            <v>台灣大五</v>
          </cell>
          <cell r="C82" t="str">
            <v>電子下游-電信服務</v>
          </cell>
          <cell r="D82" t="str">
            <v>2</v>
          </cell>
          <cell r="E82" t="str">
            <v>無</v>
          </cell>
          <cell r="F82" t="str">
            <v>2</v>
          </cell>
          <cell r="G82" t="str">
            <v>2</v>
          </cell>
          <cell r="H82" t="str">
            <v>aa-</v>
          </cell>
          <cell r="I82" t="str">
            <v>I: aaa ~ a</v>
          </cell>
          <cell r="J82">
            <v>-1.1319314400219467E-2</v>
          </cell>
          <cell r="K82">
            <v>103.25</v>
          </cell>
          <cell r="L82">
            <v>98.877374784110543</v>
          </cell>
          <cell r="M82">
            <v>100</v>
          </cell>
          <cell r="N82">
            <v>46808</v>
          </cell>
          <cell r="O82">
            <v>2.7808219178082192</v>
          </cell>
          <cell r="P82" t="str">
            <v>&gt;2Y</v>
          </cell>
          <cell r="Q82">
            <v>30000</v>
          </cell>
          <cell r="R82">
            <v>1</v>
          </cell>
          <cell r="S82">
            <v>89600000</v>
          </cell>
          <cell r="T82">
            <v>0</v>
          </cell>
          <cell r="U82">
            <v>0</v>
          </cell>
          <cell r="V82">
            <v>0</v>
          </cell>
          <cell r="W82">
            <v>7900000</v>
          </cell>
          <cell r="X82">
            <v>100000</v>
          </cell>
          <cell r="Y82">
            <v>5600000</v>
          </cell>
          <cell r="Z82">
            <v>103000000</v>
          </cell>
          <cell r="AA82">
            <v>7.7174947363688809E-3</v>
          </cell>
          <cell r="AB82">
            <v>0</v>
          </cell>
        </row>
        <row r="83">
          <cell r="A83">
            <v>30882</v>
          </cell>
          <cell r="B83" t="str">
            <v>艾訊二</v>
          </cell>
          <cell r="C83" t="str">
            <v>電子下游-工業電腦</v>
          </cell>
          <cell r="D83" t="str">
            <v>5</v>
          </cell>
          <cell r="E83" t="str">
            <v>無</v>
          </cell>
          <cell r="F83" t="str">
            <v>5</v>
          </cell>
          <cell r="G83" t="str">
            <v>5</v>
          </cell>
          <cell r="H83" t="str">
            <v>bbb</v>
          </cell>
          <cell r="I83" t="str">
            <v>III: bbb ~ bbb-</v>
          </cell>
          <cell r="J83">
            <v>-0.10151107814962457</v>
          </cell>
          <cell r="K83">
            <v>115</v>
          </cell>
          <cell r="L83">
            <v>107.5268817204301</v>
          </cell>
          <cell r="M83">
            <v>100</v>
          </cell>
          <cell r="N83">
            <v>46262</v>
          </cell>
          <cell r="O83">
            <v>1.284931506849315</v>
          </cell>
          <cell r="P83" t="str">
            <v>1Y-2Y</v>
          </cell>
          <cell r="Q83">
            <v>3686</v>
          </cell>
          <cell r="R83">
            <v>0.46074999999999999</v>
          </cell>
          <cell r="S83">
            <v>4000000</v>
          </cell>
          <cell r="T83">
            <v>0</v>
          </cell>
          <cell r="U83">
            <v>3300000</v>
          </cell>
          <cell r="V83">
            <v>0</v>
          </cell>
          <cell r="W83">
            <v>7900000</v>
          </cell>
          <cell r="X83">
            <v>7900000</v>
          </cell>
          <cell r="Y83">
            <v>0</v>
          </cell>
          <cell r="Z83">
            <v>700000</v>
          </cell>
          <cell r="AA83">
            <v>5.2448993353963271E-5</v>
          </cell>
          <cell r="AB83">
            <v>0</v>
          </cell>
        </row>
        <row r="84">
          <cell r="A84">
            <v>30922</v>
          </cell>
          <cell r="B84" t="str">
            <v>鴻碩二</v>
          </cell>
          <cell r="C84" t="str">
            <v>電子上游-連接元件</v>
          </cell>
          <cell r="D84" t="str">
            <v>8</v>
          </cell>
          <cell r="E84" t="str">
            <v>無</v>
          </cell>
          <cell r="F84" t="str">
            <v>8</v>
          </cell>
          <cell r="G84" t="str">
            <v>8</v>
          </cell>
          <cell r="H84" t="str">
            <v>b</v>
          </cell>
          <cell r="I84" t="str">
            <v>VI: b~c</v>
          </cell>
          <cell r="J84">
            <v>6.71598809353912E-2</v>
          </cell>
          <cell r="K84">
            <v>100.1</v>
          </cell>
          <cell r="L84">
            <v>60.416666666666664</v>
          </cell>
          <cell r="M84">
            <v>101.0025</v>
          </cell>
          <cell r="N84">
            <v>45842</v>
          </cell>
          <cell r="O84">
            <v>0.13424657534246576</v>
          </cell>
          <cell r="P84" t="str">
            <v>&lt;1Y</v>
          </cell>
          <cell r="Q84">
            <v>2499</v>
          </cell>
          <cell r="R84">
            <v>0.99960000000000004</v>
          </cell>
          <cell r="S84">
            <v>0</v>
          </cell>
          <cell r="T84">
            <v>0</v>
          </cell>
          <cell r="U84">
            <v>0</v>
          </cell>
          <cell r="V84">
            <v>0</v>
          </cell>
          <cell r="W84">
            <v>0</v>
          </cell>
          <cell r="X84">
            <v>0</v>
          </cell>
          <cell r="Y84">
            <v>0</v>
          </cell>
          <cell r="Z84">
            <v>0</v>
          </cell>
          <cell r="AA84">
            <v>0</v>
          </cell>
          <cell r="AB84">
            <v>0</v>
          </cell>
        </row>
        <row r="85">
          <cell r="A85">
            <v>30954</v>
          </cell>
          <cell r="B85" t="str">
            <v>及成四</v>
          </cell>
          <cell r="C85" t="str">
            <v>電子中游-NB與手機零組件</v>
          </cell>
          <cell r="D85" t="str">
            <v>9</v>
          </cell>
          <cell r="E85" t="str">
            <v>有，陽信商業銀行股份有限公司</v>
          </cell>
          <cell r="F85" t="str">
            <v>有，陽信商業銀行股份有限公司</v>
          </cell>
          <cell r="G85" t="str">
            <v>有擔</v>
          </cell>
          <cell r="H85" t="str">
            <v>有擔</v>
          </cell>
          <cell r="I85" t="str">
            <v>有擔</v>
          </cell>
          <cell r="J85">
            <v>-6.8960863697705835E-2</v>
          </cell>
          <cell r="K85">
            <v>114</v>
          </cell>
          <cell r="L85">
            <v>86.131386861313857</v>
          </cell>
          <cell r="M85">
            <v>100</v>
          </cell>
          <cell r="N85">
            <v>46443</v>
          </cell>
          <cell r="O85">
            <v>1.7808219178082192</v>
          </cell>
          <cell r="P85" t="str">
            <v>1Y-2Y</v>
          </cell>
          <cell r="Q85">
            <v>1500</v>
          </cell>
          <cell r="R85">
            <v>1</v>
          </cell>
          <cell r="S85">
            <v>1800000</v>
          </cell>
          <cell r="T85">
            <v>0</v>
          </cell>
          <cell r="U85">
            <v>0</v>
          </cell>
          <cell r="V85">
            <v>0</v>
          </cell>
          <cell r="W85">
            <v>800000</v>
          </cell>
          <cell r="X85">
            <v>0</v>
          </cell>
          <cell r="Y85">
            <v>11300000</v>
          </cell>
          <cell r="Z85">
            <v>13900000</v>
          </cell>
          <cell r="AA85">
            <v>1.0414871537429849E-3</v>
          </cell>
          <cell r="AB85">
            <v>0</v>
          </cell>
        </row>
        <row r="86">
          <cell r="A86">
            <v>31222</v>
          </cell>
          <cell r="B86" t="str">
            <v>笙泉二</v>
          </cell>
          <cell r="C86" t="str">
            <v>電子上游-IC-設計</v>
          </cell>
          <cell r="D86" t="str">
            <v>6</v>
          </cell>
          <cell r="E86" t="str">
            <v>無</v>
          </cell>
          <cell r="F86" t="str">
            <v>6</v>
          </cell>
          <cell r="G86" t="str">
            <v>6</v>
          </cell>
          <cell r="H86" t="str">
            <v>bb+</v>
          </cell>
          <cell r="I86" t="str">
            <v>IV: bb+ ~ bb</v>
          </cell>
          <cell r="J86">
            <v>5.9745731199428866E-2</v>
          </cell>
          <cell r="K86">
            <v>95.5</v>
          </cell>
          <cell r="L86">
            <v>53.78250591016549</v>
          </cell>
          <cell r="M86">
            <v>101.0025</v>
          </cell>
          <cell r="N86">
            <v>46145</v>
          </cell>
          <cell r="O86">
            <v>0.96438356164383565</v>
          </cell>
          <cell r="P86" t="str">
            <v>&lt;1Y</v>
          </cell>
          <cell r="Q86">
            <v>1996</v>
          </cell>
          <cell r="R86">
            <v>0.998</v>
          </cell>
          <cell r="S86">
            <v>5000000</v>
          </cell>
          <cell r="T86">
            <v>0</v>
          </cell>
          <cell r="U86">
            <v>0</v>
          </cell>
          <cell r="V86">
            <v>5000000</v>
          </cell>
          <cell r="W86">
            <v>0</v>
          </cell>
          <cell r="X86">
            <v>0</v>
          </cell>
          <cell r="Y86">
            <v>0</v>
          </cell>
          <cell r="Z86">
            <v>0</v>
          </cell>
          <cell r="AA86">
            <v>0</v>
          </cell>
          <cell r="AB86">
            <v>0</v>
          </cell>
        </row>
        <row r="87">
          <cell r="A87">
            <v>31282</v>
          </cell>
          <cell r="B87" t="str">
            <v>昇銳二</v>
          </cell>
          <cell r="C87" t="str">
            <v>電子下游-安全監控</v>
          </cell>
          <cell r="D87" t="str">
            <v>7</v>
          </cell>
          <cell r="E87" t="str">
            <v>無</v>
          </cell>
          <cell r="F87" t="str">
            <v>7</v>
          </cell>
          <cell r="G87" t="str">
            <v>7</v>
          </cell>
          <cell r="H87" t="str">
            <v>bb</v>
          </cell>
          <cell r="I87" t="str">
            <v>IV: bb+ ~ bb</v>
          </cell>
          <cell r="J87">
            <v>6.8758157630522662E-2</v>
          </cell>
          <cell r="K87">
            <v>99.6</v>
          </cell>
          <cell r="L87">
            <v>62.350119904076742</v>
          </cell>
          <cell r="M87">
            <v>100.50060000000001</v>
          </cell>
          <cell r="N87">
            <v>45841</v>
          </cell>
          <cell r="O87">
            <v>0.13150684931506848</v>
          </cell>
          <cell r="P87" t="str">
            <v>&lt;1Y</v>
          </cell>
          <cell r="Q87">
            <v>3000</v>
          </cell>
          <cell r="R87">
            <v>1</v>
          </cell>
          <cell r="S87">
            <v>0</v>
          </cell>
          <cell r="T87">
            <v>0</v>
          </cell>
          <cell r="U87">
            <v>0</v>
          </cell>
          <cell r="V87">
            <v>0</v>
          </cell>
          <cell r="W87">
            <v>0</v>
          </cell>
          <cell r="X87">
            <v>0</v>
          </cell>
          <cell r="Y87">
            <v>0</v>
          </cell>
          <cell r="Z87">
            <v>0</v>
          </cell>
          <cell r="AA87">
            <v>0</v>
          </cell>
          <cell r="AB87">
            <v>0</v>
          </cell>
        </row>
        <row r="88">
          <cell r="A88">
            <v>31382</v>
          </cell>
          <cell r="B88" t="str">
            <v>耀登二</v>
          </cell>
          <cell r="C88" t="str">
            <v>電子中游-通訊設備</v>
          </cell>
          <cell r="D88" t="str">
            <v>6</v>
          </cell>
          <cell r="E88" t="str">
            <v>無</v>
          </cell>
          <cell r="F88" t="str">
            <v>6</v>
          </cell>
          <cell r="G88" t="str">
            <v>6</v>
          </cell>
          <cell r="H88" t="str">
            <v>bb+</v>
          </cell>
          <cell r="I88" t="str">
            <v>IV: bb+ ~ bb</v>
          </cell>
          <cell r="J88">
            <v>-1.0971174366527394E-2</v>
          </cell>
          <cell r="K88">
            <v>103</v>
          </cell>
          <cell r="L88">
            <v>76.525423728813564</v>
          </cell>
          <cell r="M88">
            <v>100</v>
          </cell>
          <cell r="N88">
            <v>46762</v>
          </cell>
          <cell r="O88">
            <v>2.6547945205479451</v>
          </cell>
          <cell r="P88" t="str">
            <v>&gt;2Y</v>
          </cell>
          <cell r="Q88">
            <v>7000</v>
          </cell>
          <cell r="R88">
            <v>1</v>
          </cell>
          <cell r="S88">
            <v>79300000</v>
          </cell>
          <cell r="T88">
            <v>0</v>
          </cell>
          <cell r="U88">
            <v>74000000</v>
          </cell>
          <cell r="V88">
            <v>6300000</v>
          </cell>
          <cell r="W88">
            <v>100000</v>
          </cell>
          <cell r="X88">
            <v>0</v>
          </cell>
          <cell r="Y88">
            <v>900000</v>
          </cell>
          <cell r="Z88">
            <v>0</v>
          </cell>
          <cell r="AA88">
            <v>0</v>
          </cell>
          <cell r="AB88">
            <v>0</v>
          </cell>
        </row>
        <row r="89">
          <cell r="A89">
            <v>31413</v>
          </cell>
          <cell r="B89" t="str">
            <v>晶宏三</v>
          </cell>
          <cell r="C89" t="str">
            <v>電子上游-IC-設計</v>
          </cell>
          <cell r="D89" t="str">
            <v>6</v>
          </cell>
          <cell r="E89" t="str">
            <v>無</v>
          </cell>
          <cell r="F89" t="str">
            <v>6</v>
          </cell>
          <cell r="G89" t="str">
            <v>6</v>
          </cell>
          <cell r="H89" t="str">
            <v>bb+</v>
          </cell>
          <cell r="I89" t="str">
            <v>IV: bb+ ~ bb</v>
          </cell>
          <cell r="J89">
            <v>9.9915140565547712E-3</v>
          </cell>
          <cell r="K89">
            <v>99</v>
          </cell>
          <cell r="L89">
            <v>66.349206349206355</v>
          </cell>
          <cell r="M89">
            <v>100</v>
          </cell>
          <cell r="N89">
            <v>46162</v>
          </cell>
          <cell r="O89">
            <v>1.010958904109589</v>
          </cell>
          <cell r="P89" t="str">
            <v>1Y-2Y</v>
          </cell>
          <cell r="Q89">
            <v>8000</v>
          </cell>
          <cell r="R89">
            <v>1</v>
          </cell>
          <cell r="S89">
            <v>29700000</v>
          </cell>
          <cell r="T89">
            <v>0</v>
          </cell>
          <cell r="U89">
            <v>14600000</v>
          </cell>
          <cell r="V89">
            <v>52900000</v>
          </cell>
          <cell r="W89">
            <v>29800000</v>
          </cell>
          <cell r="X89">
            <v>5400000</v>
          </cell>
          <cell r="Y89">
            <v>13600000</v>
          </cell>
          <cell r="Z89">
            <v>200000</v>
          </cell>
          <cell r="AA89">
            <v>1.4985426672560935E-5</v>
          </cell>
          <cell r="AB89">
            <v>0</v>
          </cell>
        </row>
        <row r="90">
          <cell r="A90">
            <v>33035</v>
          </cell>
          <cell r="B90" t="str">
            <v>岱稜五</v>
          </cell>
          <cell r="C90" t="str">
            <v>電子中游-其他</v>
          </cell>
          <cell r="D90" t="str">
            <v>6</v>
          </cell>
          <cell r="E90" t="str">
            <v>無</v>
          </cell>
          <cell r="F90" t="str">
            <v>6</v>
          </cell>
          <cell r="G90" t="str">
            <v>6</v>
          </cell>
          <cell r="H90" t="str">
            <v>bb+</v>
          </cell>
          <cell r="I90" t="str">
            <v>IV: bb+ ~ bb</v>
          </cell>
          <cell r="J90">
            <v>-1.2592845479111598E-2</v>
          </cell>
          <cell r="K90">
            <v>104.85</v>
          </cell>
          <cell r="L90">
            <v>84.516129032258064</v>
          </cell>
          <cell r="M90">
            <v>101.50749999999999</v>
          </cell>
          <cell r="N90">
            <v>46717</v>
          </cell>
          <cell r="O90">
            <v>2.5315068493150683</v>
          </cell>
          <cell r="P90" t="str">
            <v>&gt;2Y</v>
          </cell>
          <cell r="Q90">
            <v>5000</v>
          </cell>
          <cell r="R90">
            <v>1</v>
          </cell>
          <cell r="S90">
            <v>30500000</v>
          </cell>
          <cell r="T90">
            <v>0</v>
          </cell>
          <cell r="U90">
            <v>26700000</v>
          </cell>
          <cell r="V90">
            <v>5000000</v>
          </cell>
          <cell r="W90">
            <v>2100000</v>
          </cell>
          <cell r="X90">
            <v>1400000</v>
          </cell>
          <cell r="Y90">
            <v>600000</v>
          </cell>
          <cell r="Z90">
            <v>100000</v>
          </cell>
          <cell r="AA90">
            <v>7.4927133362804674E-6</v>
          </cell>
          <cell r="AB90">
            <v>0</v>
          </cell>
        </row>
        <row r="91">
          <cell r="A91">
            <v>32071</v>
          </cell>
          <cell r="B91" t="str">
            <v>耀勝一</v>
          </cell>
          <cell r="C91" t="str">
            <v>電子中游-變壓器與UPS</v>
          </cell>
          <cell r="D91" t="str">
            <v>6</v>
          </cell>
          <cell r="E91" t="str">
            <v>無</v>
          </cell>
          <cell r="F91" t="str">
            <v>6</v>
          </cell>
          <cell r="G91" t="str">
            <v>6</v>
          </cell>
          <cell r="H91" t="str">
            <v>bb+</v>
          </cell>
          <cell r="I91" t="str">
            <v>IV: bb+ ~ bb</v>
          </cell>
          <cell r="J91">
            <v>0.13893820353698474</v>
          </cell>
          <cell r="K91">
            <v>91.15</v>
          </cell>
          <cell r="L91">
            <v>71.987325477770085</v>
          </cell>
          <cell r="M91">
            <v>102.01</v>
          </cell>
          <cell r="N91">
            <v>46106</v>
          </cell>
          <cell r="O91">
            <v>0.8575342465753425</v>
          </cell>
          <cell r="P91" t="str">
            <v>&lt;1Y</v>
          </cell>
          <cell r="Q91">
            <v>4871</v>
          </cell>
          <cell r="R91">
            <v>0.97419999999999995</v>
          </cell>
          <cell r="S91">
            <v>9000000</v>
          </cell>
          <cell r="T91">
            <v>0</v>
          </cell>
          <cell r="U91">
            <v>0</v>
          </cell>
          <cell r="V91">
            <v>9000000</v>
          </cell>
          <cell r="W91">
            <v>0</v>
          </cell>
          <cell r="X91">
            <v>0</v>
          </cell>
          <cell r="Y91">
            <v>0</v>
          </cell>
          <cell r="Z91">
            <v>0</v>
          </cell>
          <cell r="AA91">
            <v>0</v>
          </cell>
          <cell r="AB91">
            <v>0</v>
          </cell>
        </row>
        <row r="92">
          <cell r="A92">
            <v>32094</v>
          </cell>
          <cell r="B92" t="str">
            <v>全科四</v>
          </cell>
          <cell r="C92" t="str">
            <v>電子上游-IC-通路</v>
          </cell>
          <cell r="D92" t="str">
            <v>6</v>
          </cell>
          <cell r="E92" t="str">
            <v>無</v>
          </cell>
          <cell r="F92" t="str">
            <v>6</v>
          </cell>
          <cell r="G92" t="str">
            <v>6</v>
          </cell>
          <cell r="H92" t="str">
            <v>bb+</v>
          </cell>
          <cell r="I92" t="str">
            <v>IV: bb+ ~ bb</v>
          </cell>
          <cell r="J92">
            <v>-1.3409182379349043</v>
          </cell>
          <cell r="K92">
            <v>135</v>
          </cell>
          <cell r="L92">
            <v>136.21908127208479</v>
          </cell>
          <cell r="M92">
            <v>102.26690000000001</v>
          </cell>
          <cell r="N92">
            <v>45859</v>
          </cell>
          <cell r="O92">
            <v>0.18082191780821918</v>
          </cell>
          <cell r="P92" t="str">
            <v>&lt;1Y</v>
          </cell>
          <cell r="Q92">
            <v>192</v>
          </cell>
          <cell r="R92">
            <v>3.2000000000000001E-2</v>
          </cell>
          <cell r="S92">
            <v>0</v>
          </cell>
          <cell r="T92">
            <v>0</v>
          </cell>
          <cell r="U92">
            <v>0</v>
          </cell>
          <cell r="V92">
            <v>0</v>
          </cell>
          <cell r="W92">
            <v>0</v>
          </cell>
          <cell r="X92">
            <v>0</v>
          </cell>
          <cell r="Y92">
            <v>0</v>
          </cell>
          <cell r="Z92">
            <v>0</v>
          </cell>
          <cell r="AA92">
            <v>0</v>
          </cell>
          <cell r="AB92">
            <v>0</v>
          </cell>
        </row>
        <row r="93">
          <cell r="A93">
            <v>32571</v>
          </cell>
          <cell r="B93" t="str">
            <v>虹冠電一</v>
          </cell>
          <cell r="C93" t="str">
            <v>電子上游-IC-設計</v>
          </cell>
          <cell r="D93" t="str">
            <v>6</v>
          </cell>
          <cell r="E93" t="str">
            <v>無</v>
          </cell>
          <cell r="F93" t="str">
            <v>6</v>
          </cell>
          <cell r="G93" t="str">
            <v>6</v>
          </cell>
          <cell r="H93" t="str">
            <v>bb+</v>
          </cell>
          <cell r="I93" t="str">
            <v>IV: bb+ ~ bb</v>
          </cell>
          <cell r="J93">
            <v>-1.7207405502969769E-2</v>
          </cell>
          <cell r="K93">
            <v>106</v>
          </cell>
          <cell r="L93">
            <v>83.933518005540165</v>
          </cell>
          <cell r="M93">
            <v>101.50749999999999</v>
          </cell>
          <cell r="N93">
            <v>46692</v>
          </cell>
          <cell r="O93">
            <v>2.463013698630137</v>
          </cell>
          <cell r="P93" t="str">
            <v>&gt;2Y</v>
          </cell>
          <cell r="Q93">
            <v>5000</v>
          </cell>
          <cell r="R93">
            <v>1</v>
          </cell>
          <cell r="S93">
            <v>23000000</v>
          </cell>
          <cell r="T93">
            <v>0</v>
          </cell>
          <cell r="U93">
            <v>23000000</v>
          </cell>
          <cell r="V93">
            <v>6400000</v>
          </cell>
          <cell r="W93">
            <v>4500000</v>
          </cell>
          <cell r="X93">
            <v>0</v>
          </cell>
          <cell r="Y93">
            <v>1200000</v>
          </cell>
          <cell r="Z93">
            <v>-700000</v>
          </cell>
          <cell r="AA93">
            <v>-5.2448993353963271E-5</v>
          </cell>
          <cell r="AB93">
            <v>0</v>
          </cell>
        </row>
        <row r="94">
          <cell r="A94">
            <v>32723</v>
          </cell>
          <cell r="B94" t="str">
            <v>東碩三</v>
          </cell>
          <cell r="C94" t="str">
            <v>電子上游-連接元件</v>
          </cell>
          <cell r="D94" t="str">
            <v>7</v>
          </cell>
          <cell r="E94" t="str">
            <v>無</v>
          </cell>
          <cell r="F94" t="str">
            <v>7</v>
          </cell>
          <cell r="G94" t="str">
            <v>7</v>
          </cell>
          <cell r="H94" t="str">
            <v>bb-</v>
          </cell>
          <cell r="I94" t="str">
            <v>V: bb- ~ b+</v>
          </cell>
          <cell r="J94">
            <v>6.6067457912457883E-2</v>
          </cell>
          <cell r="K94">
            <v>90</v>
          </cell>
          <cell r="L94">
            <v>76.754385964912274</v>
          </cell>
          <cell r="M94">
            <v>100.7518</v>
          </cell>
          <cell r="N94">
            <v>46453</v>
          </cell>
          <cell r="O94">
            <v>1.8082191780821917</v>
          </cell>
          <cell r="P94" t="str">
            <v>1Y-2Y</v>
          </cell>
          <cell r="Q94">
            <v>2997</v>
          </cell>
          <cell r="R94">
            <v>0.999</v>
          </cell>
          <cell r="S94">
            <v>34600000</v>
          </cell>
          <cell r="T94">
            <v>0</v>
          </cell>
          <cell r="U94">
            <v>20000000</v>
          </cell>
          <cell r="V94">
            <v>14600000</v>
          </cell>
          <cell r="W94">
            <v>0</v>
          </cell>
          <cell r="X94">
            <v>0</v>
          </cell>
          <cell r="Y94">
            <v>0</v>
          </cell>
          <cell r="Z94">
            <v>0</v>
          </cell>
          <cell r="AA94">
            <v>0</v>
          </cell>
          <cell r="AB94">
            <v>0</v>
          </cell>
        </row>
        <row r="95">
          <cell r="A95">
            <v>33055</v>
          </cell>
          <cell r="B95" t="str">
            <v>昇貿五</v>
          </cell>
          <cell r="C95" t="str">
            <v>電子中游-其他</v>
          </cell>
          <cell r="D95" t="str">
            <v>6</v>
          </cell>
          <cell r="E95" t="str">
            <v>無</v>
          </cell>
          <cell r="F95" t="str">
            <v>6</v>
          </cell>
          <cell r="G95" t="str">
            <v>6</v>
          </cell>
          <cell r="H95" t="str">
            <v>bb+</v>
          </cell>
          <cell r="I95" t="str">
            <v>IV: bb+ ~ bb</v>
          </cell>
          <cell r="J95">
            <v>-0.10887857148777814</v>
          </cell>
          <cell r="K95">
            <v>108.2</v>
          </cell>
          <cell r="L95">
            <v>84.272608125819133</v>
          </cell>
          <cell r="M95">
            <v>101.0025</v>
          </cell>
          <cell r="N95">
            <v>46016</v>
          </cell>
          <cell r="O95">
            <v>0.61095890410958908</v>
          </cell>
          <cell r="P95" t="str">
            <v>&lt;1Y</v>
          </cell>
          <cell r="Q95">
            <v>8000</v>
          </cell>
          <cell r="R95">
            <v>1</v>
          </cell>
          <cell r="S95">
            <v>2200000</v>
          </cell>
          <cell r="T95">
            <v>0</v>
          </cell>
          <cell r="U95">
            <v>0</v>
          </cell>
          <cell r="V95">
            <v>14900000</v>
          </cell>
          <cell r="W95">
            <v>14400000</v>
          </cell>
          <cell r="X95">
            <v>1800000</v>
          </cell>
          <cell r="Y95">
            <v>100000</v>
          </cell>
          <cell r="Z95">
            <v>0</v>
          </cell>
          <cell r="AA95">
            <v>0</v>
          </cell>
          <cell r="AB95">
            <v>0</v>
          </cell>
        </row>
        <row r="96">
          <cell r="A96">
            <v>33101</v>
          </cell>
          <cell r="B96" t="str">
            <v>佳穎一</v>
          </cell>
          <cell r="C96" t="str">
            <v>電子上游-連接元件</v>
          </cell>
          <cell r="D96" t="str">
            <v>8</v>
          </cell>
          <cell r="E96" t="str">
            <v>有，彰化商業銀行</v>
          </cell>
          <cell r="F96" t="str">
            <v>有，彰化商業銀行</v>
          </cell>
          <cell r="G96" t="str">
            <v>有擔</v>
          </cell>
          <cell r="H96" t="str">
            <v>有擔</v>
          </cell>
          <cell r="I96" t="str">
            <v>有擔</v>
          </cell>
          <cell r="J96">
            <v>-2.0865815410764874</v>
          </cell>
          <cell r="K96">
            <v>353</v>
          </cell>
          <cell r="L96">
            <v>360.22193768672645</v>
          </cell>
          <cell r="M96">
            <v>100.75230000000001</v>
          </cell>
          <cell r="N96">
            <v>45918</v>
          </cell>
          <cell r="O96">
            <v>0.34246575342465752</v>
          </cell>
          <cell r="P96" t="str">
            <v>&lt;1Y</v>
          </cell>
          <cell r="Q96">
            <v>794</v>
          </cell>
          <cell r="R96">
            <v>0.13233333333333333</v>
          </cell>
          <cell r="S96">
            <v>1500000</v>
          </cell>
          <cell r="T96">
            <v>0</v>
          </cell>
          <cell r="U96">
            <v>0</v>
          </cell>
          <cell r="V96">
            <v>0</v>
          </cell>
          <cell r="W96">
            <v>100000</v>
          </cell>
          <cell r="X96">
            <v>0</v>
          </cell>
          <cell r="Y96">
            <v>0</v>
          </cell>
          <cell r="Z96">
            <v>1600000</v>
          </cell>
          <cell r="AA96">
            <v>1.1988341338048748E-4</v>
          </cell>
          <cell r="AB96">
            <v>0</v>
          </cell>
        </row>
        <row r="97">
          <cell r="A97">
            <v>33121</v>
          </cell>
          <cell r="B97" t="str">
            <v>弘憶股一</v>
          </cell>
          <cell r="C97" t="str">
            <v>電子上游-IC-通路</v>
          </cell>
          <cell r="D97" t="str">
            <v>6</v>
          </cell>
          <cell r="E97" t="str">
            <v>無</v>
          </cell>
          <cell r="F97" t="str">
            <v>6</v>
          </cell>
          <cell r="G97" t="str">
            <v>6</v>
          </cell>
          <cell r="H97" t="str">
            <v>bb+</v>
          </cell>
          <cell r="I97" t="str">
            <v>IV: bb+ ~ bb</v>
          </cell>
          <cell r="J97">
            <v>2.3377986127199182E-2</v>
          </cell>
          <cell r="K97">
            <v>95.3</v>
          </cell>
          <cell r="L97">
            <v>71.240105540897105</v>
          </cell>
          <cell r="M97">
            <v>100</v>
          </cell>
          <cell r="N97">
            <v>46563</v>
          </cell>
          <cell r="O97">
            <v>2.1095890410958904</v>
          </cell>
          <cell r="P97" t="str">
            <v>&gt;2Y</v>
          </cell>
          <cell r="Q97">
            <v>10000</v>
          </cell>
          <cell r="R97">
            <v>1</v>
          </cell>
          <cell r="S97">
            <v>17700000</v>
          </cell>
          <cell r="T97">
            <v>0</v>
          </cell>
          <cell r="U97">
            <v>11600000</v>
          </cell>
          <cell r="V97">
            <v>7000000</v>
          </cell>
          <cell r="W97">
            <v>26700000</v>
          </cell>
          <cell r="X97">
            <v>26100000</v>
          </cell>
          <cell r="Y97">
            <v>1400000</v>
          </cell>
          <cell r="Z97">
            <v>1100000</v>
          </cell>
          <cell r="AA97">
            <v>8.2419846699085137E-5</v>
          </cell>
          <cell r="AB97">
            <v>0</v>
          </cell>
        </row>
        <row r="98">
          <cell r="A98">
            <v>33133</v>
          </cell>
          <cell r="B98" t="str">
            <v>斐成三</v>
          </cell>
          <cell r="C98" t="str">
            <v>傳產-營建</v>
          </cell>
          <cell r="D98" t="str">
            <v>7</v>
          </cell>
          <cell r="E98" t="str">
            <v>有，元大商業銀行股份有限公司</v>
          </cell>
          <cell r="F98" t="str">
            <v>有，元大商業銀行股份有限公司</v>
          </cell>
          <cell r="G98" t="str">
            <v>有擔</v>
          </cell>
          <cell r="H98" t="str">
            <v>有擔</v>
          </cell>
          <cell r="I98" t="str">
            <v>有擔</v>
          </cell>
          <cell r="J98">
            <v>-2.5758904717256954E-2</v>
          </cell>
          <cell r="K98">
            <v>107</v>
          </cell>
          <cell r="L98">
            <v>89.171974522292999</v>
          </cell>
          <cell r="M98">
            <v>100</v>
          </cell>
          <cell r="N98">
            <v>46720</v>
          </cell>
          <cell r="O98">
            <v>2.5397260273972604</v>
          </cell>
          <cell r="P98" t="str">
            <v>&gt;2Y</v>
          </cell>
          <cell r="Q98">
            <v>4000</v>
          </cell>
          <cell r="R98">
            <v>1</v>
          </cell>
          <cell r="S98">
            <v>21500000</v>
          </cell>
          <cell r="T98">
            <v>0</v>
          </cell>
          <cell r="U98">
            <v>0</v>
          </cell>
          <cell r="V98">
            <v>0</v>
          </cell>
          <cell r="W98">
            <v>8700000</v>
          </cell>
          <cell r="X98">
            <v>0</v>
          </cell>
          <cell r="Y98">
            <v>900000</v>
          </cell>
          <cell r="Z98">
            <v>31100000</v>
          </cell>
          <cell r="AA98">
            <v>2.3302338475832255E-3</v>
          </cell>
          <cell r="AB98">
            <v>0</v>
          </cell>
        </row>
        <row r="99">
          <cell r="A99">
            <v>33224</v>
          </cell>
          <cell r="B99" t="str">
            <v>建舜四</v>
          </cell>
          <cell r="C99" t="str">
            <v>電子上游-連接元件</v>
          </cell>
          <cell r="D99" t="str">
            <v>6</v>
          </cell>
          <cell r="E99" t="str">
            <v>無</v>
          </cell>
          <cell r="F99" t="str">
            <v>6</v>
          </cell>
          <cell r="G99" t="str">
            <v>6</v>
          </cell>
          <cell r="H99" t="str">
            <v>bb+</v>
          </cell>
          <cell r="I99" t="str">
            <v>IV: bb+ ~ bb</v>
          </cell>
          <cell r="J99">
            <v>4.2544225372318223E-2</v>
          </cell>
          <cell r="K99">
            <v>98.7</v>
          </cell>
          <cell r="L99">
            <v>62.858508604206499</v>
          </cell>
          <cell r="M99">
            <v>100</v>
          </cell>
          <cell r="N99">
            <v>45906</v>
          </cell>
          <cell r="O99">
            <v>0.30958904109589042</v>
          </cell>
          <cell r="P99" t="str">
            <v>&lt;1Y</v>
          </cell>
          <cell r="Q99">
            <v>2689</v>
          </cell>
          <cell r="R99">
            <v>0.67225000000000001</v>
          </cell>
          <cell r="S99">
            <v>0</v>
          </cell>
          <cell r="T99">
            <v>0</v>
          </cell>
          <cell r="U99">
            <v>0</v>
          </cell>
          <cell r="V99">
            <v>0</v>
          </cell>
          <cell r="W99">
            <v>0</v>
          </cell>
          <cell r="X99">
            <v>0</v>
          </cell>
          <cell r="Y99">
            <v>0</v>
          </cell>
          <cell r="Z99">
            <v>0</v>
          </cell>
          <cell r="AA99">
            <v>0</v>
          </cell>
          <cell r="AB99">
            <v>0</v>
          </cell>
        </row>
        <row r="100">
          <cell r="A100">
            <v>33225</v>
          </cell>
          <cell r="B100" t="str">
            <v>建舜五</v>
          </cell>
          <cell r="C100" t="str">
            <v>電子上游-連接元件</v>
          </cell>
          <cell r="D100" t="str">
            <v>6</v>
          </cell>
          <cell r="E100" t="str">
            <v>無</v>
          </cell>
          <cell r="F100" t="str">
            <v>6</v>
          </cell>
          <cell r="G100" t="str">
            <v>6</v>
          </cell>
          <cell r="H100" t="str">
            <v>bb+</v>
          </cell>
          <cell r="I100" t="str">
            <v>IV: bb+ ~ bb</v>
          </cell>
          <cell r="J100">
            <v>6.5811505088911385E-2</v>
          </cell>
          <cell r="K100">
            <v>93.05</v>
          </cell>
          <cell r="L100">
            <v>55.862361937128291</v>
          </cell>
          <cell r="M100">
            <v>101.0025</v>
          </cell>
          <cell r="N100">
            <v>46267</v>
          </cell>
          <cell r="O100">
            <v>1.2986301369863014</v>
          </cell>
          <cell r="P100" t="str">
            <v>1Y-2Y</v>
          </cell>
          <cell r="Q100">
            <v>1500</v>
          </cell>
          <cell r="R100">
            <v>1</v>
          </cell>
          <cell r="S100">
            <v>0</v>
          </cell>
          <cell r="T100">
            <v>0</v>
          </cell>
          <cell r="U100">
            <v>0</v>
          </cell>
          <cell r="V100">
            <v>0</v>
          </cell>
          <cell r="W100">
            <v>0</v>
          </cell>
          <cell r="X100">
            <v>0</v>
          </cell>
          <cell r="Y100">
            <v>0</v>
          </cell>
          <cell r="Z100">
            <v>0</v>
          </cell>
          <cell r="AA100">
            <v>0</v>
          </cell>
          <cell r="AB100">
            <v>0</v>
          </cell>
        </row>
        <row r="101">
          <cell r="A101">
            <v>33233</v>
          </cell>
          <cell r="B101" t="str">
            <v>加百裕三</v>
          </cell>
          <cell r="C101" t="str">
            <v>電子中游-NB與手機零組件</v>
          </cell>
          <cell r="D101" t="str">
            <v>6</v>
          </cell>
          <cell r="E101" t="str">
            <v>無</v>
          </cell>
          <cell r="F101" t="str">
            <v>6</v>
          </cell>
          <cell r="G101" t="str">
            <v>6</v>
          </cell>
          <cell r="H101" t="str">
            <v>bb+</v>
          </cell>
          <cell r="I101" t="str">
            <v>IV: bb+ ~ bb</v>
          </cell>
          <cell r="J101">
            <v>-9.3362710878417771E-2</v>
          </cell>
          <cell r="K101">
            <v>112.5</v>
          </cell>
          <cell r="L101">
            <v>97.280966767371595</v>
          </cell>
          <cell r="M101">
            <v>101.50749999999999</v>
          </cell>
          <cell r="N101">
            <v>46175</v>
          </cell>
          <cell r="O101">
            <v>1.0465753424657533</v>
          </cell>
          <cell r="P101" t="str">
            <v>1Y-2Y</v>
          </cell>
          <cell r="Q101">
            <v>2131</v>
          </cell>
          <cell r="R101">
            <v>0.53274999999999995</v>
          </cell>
          <cell r="S101">
            <v>19600000</v>
          </cell>
          <cell r="T101">
            <v>0</v>
          </cell>
          <cell r="U101">
            <v>0</v>
          </cell>
          <cell r="V101">
            <v>23900000</v>
          </cell>
          <cell r="W101">
            <v>2100000</v>
          </cell>
          <cell r="X101">
            <v>300000</v>
          </cell>
          <cell r="Y101">
            <v>2400000</v>
          </cell>
          <cell r="Z101">
            <v>-100000</v>
          </cell>
          <cell r="AA101">
            <v>-7.4927133362804674E-6</v>
          </cell>
          <cell r="AB101">
            <v>0</v>
          </cell>
        </row>
        <row r="102">
          <cell r="A102">
            <v>33244</v>
          </cell>
          <cell r="B102" t="str">
            <v>雙鴻四</v>
          </cell>
          <cell r="C102" t="str">
            <v>電子中游-NB與手機零組件</v>
          </cell>
          <cell r="D102" t="str">
            <v>4</v>
          </cell>
          <cell r="E102" t="str">
            <v>無</v>
          </cell>
          <cell r="F102" t="str">
            <v>4</v>
          </cell>
          <cell r="G102" t="str">
            <v>4</v>
          </cell>
          <cell r="H102" t="str">
            <v>bbb+</v>
          </cell>
          <cell r="I102" t="str">
            <v>II: a- ~ bbb+</v>
          </cell>
          <cell r="J102">
            <v>-1.2739570425444033</v>
          </cell>
          <cell r="K102">
            <v>269</v>
          </cell>
          <cell r="L102">
            <v>266.51053864168614</v>
          </cell>
          <cell r="M102">
            <v>100</v>
          </cell>
          <cell r="N102">
            <v>45973</v>
          </cell>
          <cell r="O102">
            <v>0.49315068493150682</v>
          </cell>
          <cell r="P102" t="str">
            <v>&lt;1Y</v>
          </cell>
          <cell r="Q102">
            <v>2727</v>
          </cell>
          <cell r="R102">
            <v>0.2727</v>
          </cell>
          <cell r="S102">
            <v>4800000</v>
          </cell>
          <cell r="T102">
            <v>0</v>
          </cell>
          <cell r="U102">
            <v>0</v>
          </cell>
          <cell r="V102">
            <v>0</v>
          </cell>
          <cell r="W102">
            <v>3200000</v>
          </cell>
          <cell r="X102">
            <v>1600000</v>
          </cell>
          <cell r="Y102">
            <v>3400000</v>
          </cell>
          <cell r="Z102">
            <v>9800000</v>
          </cell>
          <cell r="AA102">
            <v>7.3428590695548575E-4</v>
          </cell>
          <cell r="AB102">
            <v>0</v>
          </cell>
        </row>
        <row r="103">
          <cell r="A103">
            <v>33245</v>
          </cell>
          <cell r="B103" t="str">
            <v>雙鴻五</v>
          </cell>
          <cell r="C103" t="str">
            <v>電子中游-NB與手機零組件</v>
          </cell>
          <cell r="D103" t="str">
            <v>4</v>
          </cell>
          <cell r="E103" t="str">
            <v>無</v>
          </cell>
          <cell r="F103" t="str">
            <v>4</v>
          </cell>
          <cell r="G103" t="str">
            <v>4</v>
          </cell>
          <cell r="H103" t="str">
            <v>bbb+</v>
          </cell>
          <cell r="I103" t="str">
            <v>II: a- ~ bbb+</v>
          </cell>
          <cell r="J103">
            <v>-5.5549910888732137E-2</v>
          </cell>
          <cell r="K103">
            <v>115.7</v>
          </cell>
          <cell r="L103">
            <v>76.100040123043996</v>
          </cell>
          <cell r="M103">
            <v>101.50749999999999</v>
          </cell>
          <cell r="N103">
            <v>46599</v>
          </cell>
          <cell r="O103">
            <v>2.2082191780821918</v>
          </cell>
          <cell r="P103" t="str">
            <v>&gt;2Y</v>
          </cell>
          <cell r="Q103">
            <v>15000</v>
          </cell>
          <cell r="R103">
            <v>1</v>
          </cell>
          <cell r="S103">
            <v>42600000</v>
          </cell>
          <cell r="T103">
            <v>0</v>
          </cell>
          <cell r="U103">
            <v>0</v>
          </cell>
          <cell r="V103">
            <v>0</v>
          </cell>
          <cell r="W103">
            <v>31500000</v>
          </cell>
          <cell r="X103">
            <v>0</v>
          </cell>
          <cell r="Y103">
            <v>4600000</v>
          </cell>
          <cell r="Z103">
            <v>78700000</v>
          </cell>
          <cell r="AA103">
            <v>5.8967653956527276E-3</v>
          </cell>
          <cell r="AB103">
            <v>0</v>
          </cell>
        </row>
        <row r="104">
          <cell r="A104">
            <v>33465</v>
          </cell>
          <cell r="B104" t="str">
            <v>麗清五</v>
          </cell>
          <cell r="C104" t="str">
            <v>傳產-汽車零組件</v>
          </cell>
          <cell r="D104" t="str">
            <v>7</v>
          </cell>
          <cell r="E104" t="str">
            <v>無</v>
          </cell>
          <cell r="F104" t="str">
            <v>7</v>
          </cell>
          <cell r="G104" t="str">
            <v>7</v>
          </cell>
          <cell r="H104" t="str">
            <v>bb</v>
          </cell>
          <cell r="I104" t="str">
            <v>IV: bb+ ~ bb</v>
          </cell>
          <cell r="J104">
            <v>2.9603662383072223E-2</v>
          </cell>
          <cell r="K104">
            <v>98.2</v>
          </cell>
          <cell r="L104">
            <v>73.490466101694921</v>
          </cell>
          <cell r="M104">
            <v>100</v>
          </cell>
          <cell r="N104">
            <v>46019</v>
          </cell>
          <cell r="O104">
            <v>0.61917808219178083</v>
          </cell>
          <cell r="P104" t="str">
            <v>&lt;1Y</v>
          </cell>
          <cell r="Q104">
            <v>202</v>
          </cell>
          <cell r="R104">
            <v>6.7333333333333328E-2</v>
          </cell>
          <cell r="S104">
            <v>0</v>
          </cell>
          <cell r="T104">
            <v>0</v>
          </cell>
          <cell r="U104">
            <v>0</v>
          </cell>
          <cell r="V104">
            <v>0</v>
          </cell>
          <cell r="W104">
            <v>0</v>
          </cell>
          <cell r="X104">
            <v>0</v>
          </cell>
          <cell r="Y104">
            <v>0</v>
          </cell>
          <cell r="Z104">
            <v>0</v>
          </cell>
          <cell r="AA104">
            <v>0</v>
          </cell>
          <cell r="AB104">
            <v>0</v>
          </cell>
        </row>
        <row r="105">
          <cell r="A105">
            <v>33466</v>
          </cell>
          <cell r="B105" t="str">
            <v>麗清六</v>
          </cell>
          <cell r="C105" t="str">
            <v>傳產-汽車零組件</v>
          </cell>
          <cell r="D105" t="str">
            <v>7</v>
          </cell>
          <cell r="E105" t="str">
            <v>無</v>
          </cell>
          <cell r="F105" t="str">
            <v>7</v>
          </cell>
          <cell r="G105" t="str">
            <v>7</v>
          </cell>
          <cell r="H105" t="str">
            <v>bb</v>
          </cell>
          <cell r="I105" t="str">
            <v>IV: bb+ ~ bb</v>
          </cell>
          <cell r="J105">
            <v>2.5613089082582398E-2</v>
          </cell>
          <cell r="K105">
            <v>96.7</v>
          </cell>
          <cell r="L105">
            <v>72.077922077922068</v>
          </cell>
          <cell r="M105">
            <v>100.5</v>
          </cell>
          <cell r="N105">
            <v>46353</v>
          </cell>
          <cell r="O105">
            <v>1.5342465753424657</v>
          </cell>
          <cell r="P105" t="str">
            <v>1Y-2Y</v>
          </cell>
          <cell r="Q105">
            <v>3000</v>
          </cell>
          <cell r="R105">
            <v>1</v>
          </cell>
          <cell r="S105">
            <v>0</v>
          </cell>
          <cell r="T105">
            <v>0</v>
          </cell>
          <cell r="U105">
            <v>0</v>
          </cell>
          <cell r="V105">
            <v>0</v>
          </cell>
          <cell r="W105">
            <v>0</v>
          </cell>
          <cell r="X105">
            <v>0</v>
          </cell>
          <cell r="Y105">
            <v>0</v>
          </cell>
          <cell r="Z105">
            <v>0</v>
          </cell>
          <cell r="AA105">
            <v>0</v>
          </cell>
          <cell r="AB105">
            <v>0</v>
          </cell>
        </row>
        <row r="106">
          <cell r="A106">
            <v>33571</v>
          </cell>
          <cell r="B106" t="str">
            <v>臺慶科一</v>
          </cell>
          <cell r="C106" t="str">
            <v>電子上游-連接元件</v>
          </cell>
          <cell r="D106" t="str">
            <v>4</v>
          </cell>
          <cell r="E106" t="str">
            <v>無</v>
          </cell>
          <cell r="F106" t="str">
            <v>4</v>
          </cell>
          <cell r="G106" t="str">
            <v>4</v>
          </cell>
          <cell r="H106" t="str">
            <v>bbb+</v>
          </cell>
          <cell r="I106" t="str">
            <v>II: a- ~ bbb+</v>
          </cell>
          <cell r="J106">
            <v>-5.9126435520601456E-2</v>
          </cell>
          <cell r="K106">
            <v>109.45</v>
          </cell>
          <cell r="L106">
            <v>97.796143250688701</v>
          </cell>
          <cell r="M106">
            <v>100</v>
          </cell>
          <cell r="N106">
            <v>46326</v>
          </cell>
          <cell r="O106">
            <v>1.4602739726027398</v>
          </cell>
          <cell r="P106" t="str">
            <v>1Y-2Y</v>
          </cell>
          <cell r="Q106">
            <v>10999</v>
          </cell>
          <cell r="R106">
            <v>0.99990909090909086</v>
          </cell>
          <cell r="S106">
            <v>152700000</v>
          </cell>
          <cell r="T106">
            <v>0</v>
          </cell>
          <cell r="U106">
            <v>55000000</v>
          </cell>
          <cell r="V106">
            <v>0</v>
          </cell>
          <cell r="W106">
            <v>23800000</v>
          </cell>
          <cell r="X106">
            <v>700000</v>
          </cell>
          <cell r="Y106">
            <v>7900000</v>
          </cell>
          <cell r="Z106">
            <v>128700000</v>
          </cell>
          <cell r="AA106">
            <v>9.643122063792961E-3</v>
          </cell>
          <cell r="AB106">
            <v>0</v>
          </cell>
        </row>
        <row r="107">
          <cell r="A107">
            <v>33621</v>
          </cell>
          <cell r="B107" t="str">
            <v>先進光一</v>
          </cell>
          <cell r="C107" t="str">
            <v>電子中游-光學鏡片</v>
          </cell>
          <cell r="D107" t="str">
            <v>6</v>
          </cell>
          <cell r="E107" t="str">
            <v>有，臺灣土地銀行股份有限公司</v>
          </cell>
          <cell r="F107" t="str">
            <v>有，臺灣土地銀行股份有限公司</v>
          </cell>
          <cell r="G107" t="str">
            <v>有擔</v>
          </cell>
          <cell r="H107" t="str">
            <v>有擔</v>
          </cell>
          <cell r="I107" t="str">
            <v>有擔</v>
          </cell>
          <cell r="J107">
            <v>-5.6549168339902131E-3</v>
          </cell>
          <cell r="K107">
            <v>102</v>
          </cell>
          <cell r="L107">
            <v>53.162055335968383</v>
          </cell>
          <cell r="M107">
            <v>100.75</v>
          </cell>
          <cell r="N107">
            <v>46584</v>
          </cell>
          <cell r="O107">
            <v>2.1671232876712327</v>
          </cell>
          <cell r="P107" t="str">
            <v>&gt;2Y</v>
          </cell>
          <cell r="Q107">
            <v>11999</v>
          </cell>
          <cell r="R107">
            <v>0.99991666666666668</v>
          </cell>
          <cell r="S107">
            <v>79100000</v>
          </cell>
          <cell r="T107">
            <v>0</v>
          </cell>
          <cell r="U107">
            <v>3700000</v>
          </cell>
          <cell r="V107">
            <v>0</v>
          </cell>
          <cell r="W107">
            <v>77000000</v>
          </cell>
          <cell r="X107">
            <v>4200000</v>
          </cell>
          <cell r="Y107">
            <v>29900000</v>
          </cell>
          <cell r="Z107">
            <v>178100000</v>
          </cell>
          <cell r="AA107">
            <v>1.3344522451915513E-2</v>
          </cell>
          <cell r="AB107">
            <v>0</v>
          </cell>
        </row>
        <row r="108">
          <cell r="A108">
            <v>33763</v>
          </cell>
          <cell r="B108" t="str">
            <v>新日興三</v>
          </cell>
          <cell r="C108" t="str">
            <v>電子中游-NB與手機零組件</v>
          </cell>
          <cell r="D108" t="str">
            <v>4</v>
          </cell>
          <cell r="E108" t="str">
            <v>無</v>
          </cell>
          <cell r="F108" t="str">
            <v>4</v>
          </cell>
          <cell r="G108" t="str">
            <v>4</v>
          </cell>
          <cell r="H108" t="str">
            <v>bbb+</v>
          </cell>
          <cell r="I108" t="str">
            <v>II: a- ~ bbb+</v>
          </cell>
          <cell r="J108">
            <v>-6.7996396756679039E-2</v>
          </cell>
          <cell r="K108">
            <v>120.05</v>
          </cell>
          <cell r="L108">
            <v>95.606590114827753</v>
          </cell>
          <cell r="M108">
            <v>101.51</v>
          </cell>
          <cell r="N108">
            <v>46622</v>
          </cell>
          <cell r="O108">
            <v>2.2712328767123289</v>
          </cell>
          <cell r="P108" t="str">
            <v>&gt;2Y</v>
          </cell>
          <cell r="Q108">
            <v>7969</v>
          </cell>
          <cell r="R108">
            <v>0.99612500000000004</v>
          </cell>
          <cell r="S108">
            <v>145200000</v>
          </cell>
          <cell r="T108">
            <v>0</v>
          </cell>
          <cell r="U108">
            <v>0</v>
          </cell>
          <cell r="V108">
            <v>0</v>
          </cell>
          <cell r="W108">
            <v>15400000</v>
          </cell>
          <cell r="X108">
            <v>0</v>
          </cell>
          <cell r="Y108">
            <v>3500000</v>
          </cell>
          <cell r="Z108">
            <v>164100000</v>
          </cell>
          <cell r="AA108">
            <v>1.2295542584836247E-2</v>
          </cell>
          <cell r="AB108">
            <v>0</v>
          </cell>
        </row>
        <row r="109">
          <cell r="A109">
            <v>33881</v>
          </cell>
          <cell r="B109" t="str">
            <v>崇越電一</v>
          </cell>
          <cell r="C109" t="str">
            <v>電子上游-PCB-製造</v>
          </cell>
          <cell r="D109" t="str">
            <v>4</v>
          </cell>
          <cell r="E109" t="str">
            <v>無</v>
          </cell>
          <cell r="F109" t="str">
            <v>4</v>
          </cell>
          <cell r="G109" t="str">
            <v>4</v>
          </cell>
          <cell r="H109" t="str">
            <v>bbb+</v>
          </cell>
          <cell r="I109" t="str">
            <v>II: a- ~ bbb+</v>
          </cell>
          <cell r="J109">
            <v>-9.4449475999482391E-2</v>
          </cell>
          <cell r="K109">
            <v>104.8</v>
          </cell>
          <cell r="L109">
            <v>97.740963855421697</v>
          </cell>
          <cell r="M109">
            <v>100</v>
          </cell>
          <cell r="N109">
            <v>45970</v>
          </cell>
          <cell r="O109">
            <v>0.48493150684931507</v>
          </cell>
          <cell r="P109" t="str">
            <v>&lt;1Y</v>
          </cell>
          <cell r="Q109">
            <v>6999</v>
          </cell>
          <cell r="R109">
            <v>0.99985714285714289</v>
          </cell>
          <cell r="S109">
            <v>21100000</v>
          </cell>
          <cell r="T109">
            <v>0</v>
          </cell>
          <cell r="U109">
            <v>10000000</v>
          </cell>
          <cell r="V109">
            <v>0</v>
          </cell>
          <cell r="W109">
            <v>48600000</v>
          </cell>
          <cell r="X109">
            <v>500000</v>
          </cell>
          <cell r="Y109">
            <v>6200000</v>
          </cell>
          <cell r="Z109">
            <v>65400000</v>
          </cell>
          <cell r="AA109">
            <v>4.9002345219274256E-3</v>
          </cell>
          <cell r="AB109">
            <v>0</v>
          </cell>
        </row>
        <row r="110">
          <cell r="A110">
            <v>33902</v>
          </cell>
          <cell r="B110" t="str">
            <v>旭軟二</v>
          </cell>
          <cell r="C110" t="str">
            <v>電子上游-PCB-製造</v>
          </cell>
          <cell r="D110" t="str">
            <v>7</v>
          </cell>
          <cell r="E110" t="str">
            <v>有，中國信託商業銀行股份有限公司</v>
          </cell>
          <cell r="F110" t="str">
            <v>有，中國信託商業銀行股份有限公司</v>
          </cell>
          <cell r="G110" t="str">
            <v>有擔</v>
          </cell>
          <cell r="H110" t="str">
            <v>有擔</v>
          </cell>
          <cell r="I110" t="str">
            <v>有擔</v>
          </cell>
          <cell r="J110">
            <v>-2.8283353161308554E-2</v>
          </cell>
          <cell r="K110">
            <v>108.5</v>
          </cell>
          <cell r="L110">
            <v>87.64705882352942</v>
          </cell>
          <cell r="M110">
            <v>100</v>
          </cell>
          <cell r="N110">
            <v>46804</v>
          </cell>
          <cell r="O110">
            <v>2.7698630136986302</v>
          </cell>
          <cell r="P110" t="str">
            <v>&gt;2Y</v>
          </cell>
          <cell r="Q110">
            <v>2000</v>
          </cell>
          <cell r="R110">
            <v>1</v>
          </cell>
          <cell r="S110">
            <v>28400000</v>
          </cell>
          <cell r="T110">
            <v>0</v>
          </cell>
          <cell r="U110">
            <v>0</v>
          </cell>
          <cell r="V110">
            <v>0</v>
          </cell>
          <cell r="W110">
            <v>2000000</v>
          </cell>
          <cell r="X110">
            <v>2000000</v>
          </cell>
          <cell r="Y110">
            <v>300000</v>
          </cell>
          <cell r="Z110">
            <v>28700000</v>
          </cell>
          <cell r="AA110">
            <v>2.1504087275124942E-3</v>
          </cell>
          <cell r="AB110">
            <v>0</v>
          </cell>
        </row>
        <row r="111">
          <cell r="A111">
            <v>34132</v>
          </cell>
          <cell r="B111" t="str">
            <v>京鼎二</v>
          </cell>
          <cell r="C111" t="str">
            <v>電子中游-儀器設備工程</v>
          </cell>
          <cell r="D111" t="str">
            <v>4</v>
          </cell>
          <cell r="E111" t="str">
            <v>無</v>
          </cell>
          <cell r="F111" t="str">
            <v>4</v>
          </cell>
          <cell r="G111" t="str">
            <v>4</v>
          </cell>
          <cell r="H111" t="str">
            <v>bbb+</v>
          </cell>
          <cell r="I111" t="str">
            <v>II: a- ~ bbb+</v>
          </cell>
          <cell r="J111">
            <v>-0.89375298614429033</v>
          </cell>
          <cell r="K111">
            <v>182</v>
          </cell>
          <cell r="L111">
            <v>183.71189116968299</v>
          </cell>
          <cell r="M111">
            <v>100</v>
          </cell>
          <cell r="N111">
            <v>45977</v>
          </cell>
          <cell r="O111">
            <v>0.50410958904109593</v>
          </cell>
          <cell r="P111" t="str">
            <v>&lt;1Y</v>
          </cell>
          <cell r="Q111">
            <v>3028</v>
          </cell>
          <cell r="R111">
            <v>0.15140000000000001</v>
          </cell>
          <cell r="S111">
            <v>33800000</v>
          </cell>
          <cell r="T111">
            <v>0</v>
          </cell>
          <cell r="U111">
            <v>33800000</v>
          </cell>
          <cell r="V111">
            <v>0</v>
          </cell>
          <cell r="W111">
            <v>1000000</v>
          </cell>
          <cell r="X111">
            <v>1000000</v>
          </cell>
          <cell r="Y111">
            <v>0</v>
          </cell>
          <cell r="Z111">
            <v>0</v>
          </cell>
          <cell r="AA111">
            <v>0</v>
          </cell>
          <cell r="AB111">
            <v>0</v>
          </cell>
        </row>
        <row r="112">
          <cell r="A112">
            <v>34163</v>
          </cell>
          <cell r="B112" t="str">
            <v>融程電三</v>
          </cell>
          <cell r="C112" t="str">
            <v>電子下游-工業電腦</v>
          </cell>
          <cell r="D112" t="str">
            <v>5</v>
          </cell>
          <cell r="E112" t="str">
            <v>無</v>
          </cell>
          <cell r="F112" t="str">
            <v>5</v>
          </cell>
          <cell r="G112" t="str">
            <v>5</v>
          </cell>
          <cell r="H112" t="str">
            <v>bbb</v>
          </cell>
          <cell r="I112" t="str">
            <v>III: bbb ~ bbb-</v>
          </cell>
          <cell r="J112">
            <v>-0.1920139831658973</v>
          </cell>
          <cell r="K112">
            <v>116</v>
          </cell>
          <cell r="L112">
            <v>102.79667422524565</v>
          </cell>
          <cell r="M112">
            <v>100.5</v>
          </cell>
          <cell r="N112">
            <v>46047</v>
          </cell>
          <cell r="O112">
            <v>0.69589041095890414</v>
          </cell>
          <cell r="P112" t="str">
            <v>&lt;1Y</v>
          </cell>
          <cell r="Q112">
            <v>5000</v>
          </cell>
          <cell r="R112">
            <v>1</v>
          </cell>
          <cell r="S112">
            <v>68600000</v>
          </cell>
          <cell r="T112">
            <v>0</v>
          </cell>
          <cell r="U112">
            <v>68600000</v>
          </cell>
          <cell r="V112">
            <v>8100000</v>
          </cell>
          <cell r="W112">
            <v>69700000</v>
          </cell>
          <cell r="X112">
            <v>61300000</v>
          </cell>
          <cell r="Y112">
            <v>0</v>
          </cell>
          <cell r="Z112">
            <v>300000</v>
          </cell>
          <cell r="AA112">
            <v>2.2478140008841401E-5</v>
          </cell>
          <cell r="AB112">
            <v>0</v>
          </cell>
        </row>
        <row r="113">
          <cell r="A113">
            <v>34341</v>
          </cell>
          <cell r="B113" t="str">
            <v>哲固一</v>
          </cell>
          <cell r="C113" t="str">
            <v>電子下游-安全監控</v>
          </cell>
          <cell r="D113" t="str">
            <v>7</v>
          </cell>
          <cell r="E113" t="str">
            <v>有，華南商業銀行股份有限公司</v>
          </cell>
          <cell r="F113" t="str">
            <v>有，華南商業銀行股份有限公司</v>
          </cell>
          <cell r="G113" t="str">
            <v>有擔</v>
          </cell>
          <cell r="H113" t="str">
            <v>有擔</v>
          </cell>
          <cell r="I113" t="str">
            <v>有擔</v>
          </cell>
          <cell r="J113">
            <v>-0.24880708929788684</v>
          </cell>
          <cell r="K113">
            <v>180</v>
          </cell>
          <cell r="L113">
            <v>193.39933993399342</v>
          </cell>
          <cell r="M113">
            <v>100</v>
          </cell>
          <cell r="N113">
            <v>46445</v>
          </cell>
          <cell r="O113">
            <v>1.7863013698630137</v>
          </cell>
          <cell r="P113" t="str">
            <v>1Y-2Y</v>
          </cell>
          <cell r="Q113">
            <v>1500</v>
          </cell>
          <cell r="R113">
            <v>1</v>
          </cell>
          <cell r="S113">
            <v>0</v>
          </cell>
          <cell r="T113">
            <v>0</v>
          </cell>
          <cell r="U113">
            <v>0</v>
          </cell>
          <cell r="V113">
            <v>0</v>
          </cell>
          <cell r="W113">
            <v>2500000</v>
          </cell>
          <cell r="X113">
            <v>600000</v>
          </cell>
          <cell r="Y113">
            <v>1500000</v>
          </cell>
          <cell r="Z113">
            <v>3400000</v>
          </cell>
          <cell r="AA113">
            <v>2.5475225343353589E-4</v>
          </cell>
          <cell r="AB113">
            <v>0</v>
          </cell>
        </row>
        <row r="114">
          <cell r="A114">
            <v>34793</v>
          </cell>
          <cell r="B114" t="str">
            <v>安勤三</v>
          </cell>
          <cell r="C114" t="str">
            <v>電子下游-工業電腦</v>
          </cell>
          <cell r="D114" t="str">
            <v>5</v>
          </cell>
          <cell r="E114" t="str">
            <v>無</v>
          </cell>
          <cell r="F114" t="str">
            <v>5</v>
          </cell>
          <cell r="G114" t="str">
            <v>5</v>
          </cell>
          <cell r="H114" t="str">
            <v>bbb</v>
          </cell>
          <cell r="I114" t="str">
            <v>III: bbb ~ bbb-</v>
          </cell>
          <cell r="J114">
            <v>-5.3866587957497068E-2</v>
          </cell>
          <cell r="K114">
            <v>110</v>
          </cell>
          <cell r="L114">
            <v>88.031222896790979</v>
          </cell>
          <cell r="M114">
            <v>100</v>
          </cell>
          <cell r="N114">
            <v>46409</v>
          </cell>
          <cell r="O114">
            <v>1.6876712328767123</v>
          </cell>
          <cell r="P114" t="str">
            <v>1Y-2Y</v>
          </cell>
          <cell r="Q114">
            <v>6500</v>
          </cell>
          <cell r="R114">
            <v>1</v>
          </cell>
          <cell r="S114">
            <v>11200000</v>
          </cell>
          <cell r="T114">
            <v>0</v>
          </cell>
          <cell r="U114">
            <v>10500000</v>
          </cell>
          <cell r="V114">
            <v>5000000</v>
          </cell>
          <cell r="W114">
            <v>19100000</v>
          </cell>
          <cell r="X114">
            <v>14800000</v>
          </cell>
          <cell r="Y114">
            <v>0</v>
          </cell>
          <cell r="Z114">
            <v>0</v>
          </cell>
          <cell r="AA114">
            <v>0</v>
          </cell>
          <cell r="AB114">
            <v>0</v>
          </cell>
        </row>
        <row r="115">
          <cell r="A115">
            <v>34834</v>
          </cell>
          <cell r="B115" t="str">
            <v>力致四</v>
          </cell>
          <cell r="C115" t="str">
            <v>電子中游-NB與手機零組件</v>
          </cell>
          <cell r="D115" t="str">
            <v>6</v>
          </cell>
          <cell r="E115" t="str">
            <v>無</v>
          </cell>
          <cell r="F115" t="str">
            <v>6</v>
          </cell>
          <cell r="G115" t="str">
            <v>6</v>
          </cell>
          <cell r="H115" t="str">
            <v>bb+</v>
          </cell>
          <cell r="I115" t="str">
            <v>IV: bb+ ~ bb</v>
          </cell>
          <cell r="J115">
            <v>5.0093324549846611E-3</v>
          </cell>
          <cell r="K115">
            <v>99</v>
          </cell>
          <cell r="L115">
            <v>69.254658385093165</v>
          </cell>
          <cell r="M115">
            <v>100</v>
          </cell>
          <cell r="N115">
            <v>46529</v>
          </cell>
          <cell r="O115">
            <v>2.0164383561643837</v>
          </cell>
          <cell r="P115" t="str">
            <v>&gt;2Y</v>
          </cell>
          <cell r="Q115">
            <v>2000</v>
          </cell>
          <cell r="R115">
            <v>1</v>
          </cell>
          <cell r="S115">
            <v>1100000</v>
          </cell>
          <cell r="T115">
            <v>0</v>
          </cell>
          <cell r="U115">
            <v>0</v>
          </cell>
          <cell r="V115">
            <v>1000000</v>
          </cell>
          <cell r="W115">
            <v>16000000</v>
          </cell>
          <cell r="X115">
            <v>16000000</v>
          </cell>
          <cell r="Y115">
            <v>0</v>
          </cell>
          <cell r="Z115">
            <v>100000</v>
          </cell>
          <cell r="AA115">
            <v>7.4927133362804674E-6</v>
          </cell>
          <cell r="AB115">
            <v>0</v>
          </cell>
        </row>
        <row r="116">
          <cell r="A116">
            <v>34843</v>
          </cell>
          <cell r="B116" t="str">
            <v>崧騰三</v>
          </cell>
          <cell r="C116" t="str">
            <v>電子上游-連接元件</v>
          </cell>
          <cell r="D116" t="str">
            <v>5</v>
          </cell>
          <cell r="E116" t="str">
            <v>無</v>
          </cell>
          <cell r="F116" t="str">
            <v>5</v>
          </cell>
          <cell r="G116" t="str">
            <v>5</v>
          </cell>
          <cell r="H116" t="str">
            <v>bbb</v>
          </cell>
          <cell r="I116" t="str">
            <v>III: bbb ~ bbb-</v>
          </cell>
          <cell r="J116">
            <v>-0.23303839808348581</v>
          </cell>
          <cell r="K116">
            <v>129</v>
          </cell>
          <cell r="L116">
            <v>119.23076923076923</v>
          </cell>
          <cell r="M116">
            <v>100.75</v>
          </cell>
          <cell r="N116">
            <v>46136</v>
          </cell>
          <cell r="O116">
            <v>0.9397260273972603</v>
          </cell>
          <cell r="P116" t="str">
            <v>&lt;1Y</v>
          </cell>
          <cell r="Q116">
            <v>2545</v>
          </cell>
          <cell r="R116">
            <v>0.63624999999999998</v>
          </cell>
          <cell r="S116">
            <v>26400000</v>
          </cell>
          <cell r="T116">
            <v>0</v>
          </cell>
          <cell r="U116">
            <v>26400000</v>
          </cell>
          <cell r="V116">
            <v>0</v>
          </cell>
          <cell r="W116">
            <v>13600000</v>
          </cell>
          <cell r="X116">
            <v>13600000</v>
          </cell>
          <cell r="Y116">
            <v>0</v>
          </cell>
          <cell r="Z116">
            <v>0</v>
          </cell>
          <cell r="AA116">
            <v>0</v>
          </cell>
          <cell r="AB116">
            <v>0</v>
          </cell>
        </row>
        <row r="117">
          <cell r="A117">
            <v>34912</v>
          </cell>
          <cell r="B117" t="str">
            <v>昇達科二</v>
          </cell>
          <cell r="C117" t="str">
            <v>電子中游-通訊設備</v>
          </cell>
          <cell r="D117" t="str">
            <v>5</v>
          </cell>
          <cell r="E117" t="str">
            <v>無</v>
          </cell>
          <cell r="F117" t="str">
            <v>5</v>
          </cell>
          <cell r="G117" t="str">
            <v>5</v>
          </cell>
          <cell r="H117" t="str">
            <v>bbb</v>
          </cell>
          <cell r="I117" t="str">
            <v>III: bbb ~ bbb-</v>
          </cell>
          <cell r="J117">
            <v>-9.7066315818940166E-2</v>
          </cell>
          <cell r="K117">
            <v>128.5</v>
          </cell>
          <cell r="L117">
            <v>122.99377661316737</v>
          </cell>
          <cell r="M117">
            <v>100</v>
          </cell>
          <cell r="N117">
            <v>46627</v>
          </cell>
          <cell r="O117">
            <v>2.2849315068493152</v>
          </cell>
          <cell r="P117" t="str">
            <v>&gt;2Y</v>
          </cell>
          <cell r="Q117">
            <v>6605</v>
          </cell>
          <cell r="R117">
            <v>0.66049999999999998</v>
          </cell>
          <cell r="S117">
            <v>19200000</v>
          </cell>
          <cell r="T117">
            <v>0</v>
          </cell>
          <cell r="U117">
            <v>19200000</v>
          </cell>
          <cell r="V117">
            <v>0</v>
          </cell>
          <cell r="W117">
            <v>8000000</v>
          </cell>
          <cell r="X117">
            <v>8000000</v>
          </cell>
          <cell r="Y117">
            <v>0</v>
          </cell>
          <cell r="Z117">
            <v>0</v>
          </cell>
          <cell r="AA117">
            <v>0</v>
          </cell>
          <cell r="AB117">
            <v>0</v>
          </cell>
        </row>
        <row r="118">
          <cell r="A118">
            <v>35161</v>
          </cell>
          <cell r="B118" t="str">
            <v>亞帝歐一</v>
          </cell>
          <cell r="C118" t="str">
            <v>電子中游-LCD-零組件</v>
          </cell>
          <cell r="D118" t="str">
            <v>7</v>
          </cell>
          <cell r="E118" t="str">
            <v>有，永豐商業銀行股份有限公司</v>
          </cell>
          <cell r="F118" t="str">
            <v>有，永豐商業銀行股份有限公司</v>
          </cell>
          <cell r="G118" t="str">
            <v>有擔</v>
          </cell>
          <cell r="H118" t="str">
            <v>有擔</v>
          </cell>
          <cell r="I118" t="str">
            <v>有擔</v>
          </cell>
          <cell r="J118">
            <v>-1.9639494215765423E-2</v>
          </cell>
          <cell r="K118">
            <v>105</v>
          </cell>
          <cell r="L118">
            <v>79.76281560826321</v>
          </cell>
          <cell r="M118">
            <v>100</v>
          </cell>
          <cell r="N118">
            <v>46678</v>
          </cell>
          <cell r="O118">
            <v>2.4246575342465753</v>
          </cell>
          <cell r="P118" t="str">
            <v>&gt;2Y</v>
          </cell>
          <cell r="Q118">
            <v>3500</v>
          </cell>
          <cell r="R118">
            <v>1</v>
          </cell>
          <cell r="S118">
            <v>12600000</v>
          </cell>
          <cell r="T118">
            <v>0</v>
          </cell>
          <cell r="U118">
            <v>0</v>
          </cell>
          <cell r="V118">
            <v>0</v>
          </cell>
          <cell r="W118">
            <v>5700000</v>
          </cell>
          <cell r="X118">
            <v>0</v>
          </cell>
          <cell r="Y118">
            <v>3300000</v>
          </cell>
          <cell r="Z118">
            <v>21600000</v>
          </cell>
          <cell r="AA118">
            <v>1.618426080636581E-3</v>
          </cell>
          <cell r="AB118">
            <v>0</v>
          </cell>
        </row>
        <row r="119">
          <cell r="A119">
            <v>35181</v>
          </cell>
          <cell r="B119" t="str">
            <v>柏騰一</v>
          </cell>
          <cell r="C119" t="str">
            <v>電子中游-NB與手機零組件</v>
          </cell>
          <cell r="D119" t="str">
            <v>8</v>
          </cell>
          <cell r="E119" t="str">
            <v>有，台新國際商業銀行股份有限公司</v>
          </cell>
          <cell r="F119" t="str">
            <v>有，台新國際商業銀行股份有限公司</v>
          </cell>
          <cell r="G119" t="str">
            <v>有擔</v>
          </cell>
          <cell r="H119" t="str">
            <v>有擔</v>
          </cell>
          <cell r="I119" t="str">
            <v>有擔</v>
          </cell>
          <cell r="J119">
            <v>-6.3542699072943023E-3</v>
          </cell>
          <cell r="K119">
            <v>101.45</v>
          </cell>
          <cell r="L119">
            <v>51.285714285714278</v>
          </cell>
          <cell r="M119">
            <v>100</v>
          </cell>
          <cell r="N119">
            <v>46614</v>
          </cell>
          <cell r="O119">
            <v>2.2493150684931509</v>
          </cell>
          <cell r="P119" t="str">
            <v>&gt;2Y</v>
          </cell>
          <cell r="Q119">
            <v>3000</v>
          </cell>
          <cell r="R119">
            <v>1</v>
          </cell>
          <cell r="S119">
            <v>24900000</v>
          </cell>
          <cell r="T119">
            <v>0</v>
          </cell>
          <cell r="U119">
            <v>0</v>
          </cell>
          <cell r="V119">
            <v>0</v>
          </cell>
          <cell r="W119">
            <v>3900000</v>
          </cell>
          <cell r="X119">
            <v>0</v>
          </cell>
          <cell r="Y119">
            <v>3200000</v>
          </cell>
          <cell r="Z119">
            <v>32000000</v>
          </cell>
          <cell r="AA119">
            <v>2.3976682676097494E-3</v>
          </cell>
          <cell r="AB119">
            <v>0</v>
          </cell>
        </row>
        <row r="120">
          <cell r="A120">
            <v>35221</v>
          </cell>
          <cell r="B120" t="str">
            <v>御嵿一</v>
          </cell>
          <cell r="C120" t="str">
            <v>傳產-觀光</v>
          </cell>
          <cell r="D120" t="str">
            <v>9</v>
          </cell>
          <cell r="E120" t="str">
            <v>有，兆豐國際商業銀行股份有限公司</v>
          </cell>
          <cell r="F120" t="str">
            <v>有，兆豐國際商業銀行股份有限公司</v>
          </cell>
          <cell r="G120" t="str">
            <v>有擔</v>
          </cell>
          <cell r="H120" t="str">
            <v>有擔</v>
          </cell>
          <cell r="I120" t="str">
            <v>有擔</v>
          </cell>
          <cell r="J120">
            <v>-4.0775966183574847E-2</v>
          </cell>
          <cell r="K120">
            <v>103.5</v>
          </cell>
          <cell r="L120">
            <v>88.440860215053746</v>
          </cell>
          <cell r="M120">
            <v>101.0025</v>
          </cell>
          <cell r="N120">
            <v>46009</v>
          </cell>
          <cell r="O120">
            <v>0.59178082191780823</v>
          </cell>
          <cell r="P120" t="str">
            <v>&lt;1Y</v>
          </cell>
          <cell r="Q120">
            <v>1231</v>
          </cell>
          <cell r="R120">
            <v>0.82066666666666666</v>
          </cell>
          <cell r="S120">
            <v>19600000</v>
          </cell>
          <cell r="T120">
            <v>0</v>
          </cell>
          <cell r="U120">
            <v>0</v>
          </cell>
          <cell r="V120">
            <v>0</v>
          </cell>
          <cell r="W120">
            <v>1900000</v>
          </cell>
          <cell r="X120">
            <v>0</v>
          </cell>
          <cell r="Y120">
            <v>0</v>
          </cell>
          <cell r="Z120">
            <v>21500000</v>
          </cell>
          <cell r="AA120">
            <v>1.6109333673003004E-3</v>
          </cell>
          <cell r="AB120">
            <v>0</v>
          </cell>
        </row>
        <row r="121">
          <cell r="A121">
            <v>35265</v>
          </cell>
          <cell r="B121" t="str">
            <v>凡甲五</v>
          </cell>
          <cell r="C121" t="str">
            <v>電子上游-連接元件</v>
          </cell>
          <cell r="D121" t="str">
            <v>5</v>
          </cell>
          <cell r="E121" t="str">
            <v>無</v>
          </cell>
          <cell r="F121" t="str">
            <v>5</v>
          </cell>
          <cell r="G121" t="str">
            <v>5</v>
          </cell>
          <cell r="H121" t="str">
            <v>bbb</v>
          </cell>
          <cell r="I121" t="str">
            <v>III: bbb ~ bbb-</v>
          </cell>
          <cell r="J121">
            <v>-0.41341555499622445</v>
          </cell>
          <cell r="K121">
            <v>145</v>
          </cell>
          <cell r="L121">
            <v>150.12406947890818</v>
          </cell>
          <cell r="M121">
            <v>100</v>
          </cell>
          <cell r="N121">
            <v>46067</v>
          </cell>
          <cell r="O121">
            <v>0.75068493150684934</v>
          </cell>
          <cell r="P121" t="str">
            <v>&lt;1Y</v>
          </cell>
          <cell r="Q121">
            <v>3177</v>
          </cell>
          <cell r="R121">
            <v>0.39712500000000001</v>
          </cell>
          <cell r="S121">
            <v>3000000</v>
          </cell>
          <cell r="T121">
            <v>0</v>
          </cell>
          <cell r="U121">
            <v>3000000</v>
          </cell>
          <cell r="V121">
            <v>0</v>
          </cell>
          <cell r="W121">
            <v>1100000</v>
          </cell>
          <cell r="X121">
            <v>1100000</v>
          </cell>
          <cell r="Y121">
            <v>0</v>
          </cell>
          <cell r="Z121">
            <v>0</v>
          </cell>
          <cell r="AA121">
            <v>0</v>
          </cell>
          <cell r="AB121">
            <v>0</v>
          </cell>
        </row>
        <row r="122">
          <cell r="A122">
            <v>35266</v>
          </cell>
          <cell r="B122" t="str">
            <v>凡甲六</v>
          </cell>
          <cell r="C122" t="str">
            <v>電子上游-連接元件</v>
          </cell>
          <cell r="D122" t="str">
            <v>5</v>
          </cell>
          <cell r="E122" t="str">
            <v>無</v>
          </cell>
          <cell r="F122" t="str">
            <v>5</v>
          </cell>
          <cell r="G122" t="str">
            <v>5</v>
          </cell>
          <cell r="H122" t="str">
            <v>bbb</v>
          </cell>
          <cell r="I122" t="str">
            <v>III: bbb ~ bbb-</v>
          </cell>
          <cell r="J122">
            <v>-0.13029563967058508</v>
          </cell>
          <cell r="K122">
            <v>128.6</v>
          </cell>
          <cell r="L122">
            <v>120.81877184223664</v>
          </cell>
          <cell r="M122">
            <v>100</v>
          </cell>
          <cell r="N122">
            <v>46416</v>
          </cell>
          <cell r="O122">
            <v>1.7068493150684931</v>
          </cell>
          <cell r="P122" t="str">
            <v>1Y-2Y</v>
          </cell>
          <cell r="Q122">
            <v>7913</v>
          </cell>
          <cell r="R122">
            <v>0.7913</v>
          </cell>
          <cell r="S122">
            <v>15900000</v>
          </cell>
          <cell r="T122">
            <v>0</v>
          </cell>
          <cell r="U122">
            <v>14500000</v>
          </cell>
          <cell r="V122">
            <v>6000000</v>
          </cell>
          <cell r="W122">
            <v>14900000</v>
          </cell>
          <cell r="X122">
            <v>10400000</v>
          </cell>
          <cell r="Y122">
            <v>500000</v>
          </cell>
          <cell r="Z122">
            <v>400000</v>
          </cell>
          <cell r="AA122">
            <v>2.997085334512187E-5</v>
          </cell>
          <cell r="AB122">
            <v>0</v>
          </cell>
        </row>
        <row r="123">
          <cell r="A123">
            <v>35482</v>
          </cell>
          <cell r="B123" t="str">
            <v>兆利二</v>
          </cell>
          <cell r="C123" t="str">
            <v>電子上游-連接元件</v>
          </cell>
          <cell r="D123" t="str">
            <v>4</v>
          </cell>
          <cell r="E123" t="str">
            <v>無</v>
          </cell>
          <cell r="F123" t="str">
            <v>4</v>
          </cell>
          <cell r="G123" t="str">
            <v>4</v>
          </cell>
          <cell r="H123" t="str">
            <v>bbb+</v>
          </cell>
          <cell r="I123" t="str">
            <v>II: a- ~ bbb+</v>
          </cell>
          <cell r="J123">
            <v>-2.0503314234355714E-2</v>
          </cell>
          <cell r="K123">
            <v>103.5</v>
          </cell>
          <cell r="L123">
            <v>66.426364572605564</v>
          </cell>
          <cell r="M123">
            <v>100</v>
          </cell>
          <cell r="N123">
            <v>46395</v>
          </cell>
          <cell r="O123">
            <v>1.6493150684931508</v>
          </cell>
          <cell r="P123" t="str">
            <v>1Y-2Y</v>
          </cell>
          <cell r="Q123">
            <v>7999</v>
          </cell>
          <cell r="R123">
            <v>0.99987499999999996</v>
          </cell>
          <cell r="S123">
            <v>34700000</v>
          </cell>
          <cell r="T123">
            <v>0</v>
          </cell>
          <cell r="U123">
            <v>23300000</v>
          </cell>
          <cell r="V123">
            <v>0</v>
          </cell>
          <cell r="W123">
            <v>53200000</v>
          </cell>
          <cell r="X123">
            <v>37200000</v>
          </cell>
          <cell r="Y123">
            <v>19600000</v>
          </cell>
          <cell r="Z123">
            <v>47000000</v>
          </cell>
          <cell r="AA123">
            <v>3.5215752680518198E-3</v>
          </cell>
          <cell r="AB123">
            <v>0</v>
          </cell>
        </row>
        <row r="124">
          <cell r="A124">
            <v>35483</v>
          </cell>
          <cell r="B124" t="str">
            <v>兆利三</v>
          </cell>
          <cell r="C124" t="str">
            <v>電子上游-連接元件</v>
          </cell>
          <cell r="D124" t="str">
            <v>4</v>
          </cell>
          <cell r="E124" t="str">
            <v>無</v>
          </cell>
          <cell r="F124" t="str">
            <v>4</v>
          </cell>
          <cell r="G124" t="str">
            <v>4</v>
          </cell>
          <cell r="H124" t="str">
            <v>bbb+</v>
          </cell>
          <cell r="I124" t="str">
            <v>II: a- ~ bbb+</v>
          </cell>
          <cell r="J124">
            <v>-1.3498200714024978E-2</v>
          </cell>
          <cell r="K124">
            <v>103.9</v>
          </cell>
          <cell r="L124">
            <v>75.882352941176464</v>
          </cell>
          <cell r="M124">
            <v>100</v>
          </cell>
          <cell r="N124">
            <v>46808</v>
          </cell>
          <cell r="O124">
            <v>2.7808219178082192</v>
          </cell>
          <cell r="P124" t="str">
            <v>&gt;2Y</v>
          </cell>
          <cell r="Q124">
            <v>15000</v>
          </cell>
          <cell r="R124">
            <v>1</v>
          </cell>
          <cell r="S124">
            <v>85500000</v>
          </cell>
          <cell r="T124">
            <v>0</v>
          </cell>
          <cell r="U124">
            <v>0</v>
          </cell>
          <cell r="V124">
            <v>0</v>
          </cell>
          <cell r="W124">
            <v>39800000</v>
          </cell>
          <cell r="X124">
            <v>0</v>
          </cell>
          <cell r="Y124">
            <v>33100000</v>
          </cell>
          <cell r="Z124">
            <v>158400000</v>
          </cell>
          <cell r="AA124">
            <v>1.1868457924668259E-2</v>
          </cell>
          <cell r="AB124">
            <v>0</v>
          </cell>
        </row>
        <row r="125">
          <cell r="A125">
            <v>35642</v>
          </cell>
          <cell r="B125" t="str">
            <v>其陽二</v>
          </cell>
          <cell r="C125" t="str">
            <v>電子下游-工業電腦</v>
          </cell>
          <cell r="D125" t="str">
            <v>6</v>
          </cell>
          <cell r="E125" t="str">
            <v>無</v>
          </cell>
          <cell r="F125" t="str">
            <v>6</v>
          </cell>
          <cell r="G125" t="str">
            <v>6</v>
          </cell>
          <cell r="H125" t="str">
            <v>bb+</v>
          </cell>
          <cell r="I125" t="str">
            <v>IV: bb+ ~ bb</v>
          </cell>
          <cell r="J125">
            <v>-5.7879343153146327E-3</v>
          </cell>
          <cell r="K125">
            <v>101.35</v>
          </cell>
          <cell r="L125">
            <v>70.588235294117652</v>
          </cell>
          <cell r="M125">
            <v>100</v>
          </cell>
          <cell r="N125">
            <v>46633</v>
          </cell>
          <cell r="O125">
            <v>2.3013698630136985</v>
          </cell>
          <cell r="P125" t="str">
            <v>&gt;2Y</v>
          </cell>
          <cell r="Q125">
            <v>5000</v>
          </cell>
          <cell r="R125">
            <v>1</v>
          </cell>
          <cell r="S125">
            <v>26000000</v>
          </cell>
          <cell r="T125">
            <v>0</v>
          </cell>
          <cell r="U125">
            <v>21000000</v>
          </cell>
          <cell r="V125">
            <v>5000000</v>
          </cell>
          <cell r="W125">
            <v>1500000</v>
          </cell>
          <cell r="X125">
            <v>1500000</v>
          </cell>
          <cell r="Y125">
            <v>0</v>
          </cell>
          <cell r="Z125">
            <v>0</v>
          </cell>
          <cell r="AA125">
            <v>0</v>
          </cell>
          <cell r="AB125">
            <v>0</v>
          </cell>
        </row>
        <row r="126">
          <cell r="A126">
            <v>35831</v>
          </cell>
          <cell r="B126" t="str">
            <v>辛耘一</v>
          </cell>
          <cell r="C126" t="str">
            <v>電子中游-儀器設備工程</v>
          </cell>
          <cell r="D126" t="str">
            <v>5</v>
          </cell>
          <cell r="E126" t="str">
            <v>無</v>
          </cell>
          <cell r="F126" t="str">
            <v>5</v>
          </cell>
          <cell r="G126" t="str">
            <v>5</v>
          </cell>
          <cell r="H126" t="str">
            <v>bbb</v>
          </cell>
          <cell r="I126" t="str">
            <v>III: bbb ~ bbb-</v>
          </cell>
          <cell r="J126">
            <v>-8.5351222601769958E-2</v>
          </cell>
          <cell r="K126">
            <v>109.95</v>
          </cell>
          <cell r="L126">
            <v>82.933709449929481</v>
          </cell>
          <cell r="M126">
            <v>100</v>
          </cell>
          <cell r="N126">
            <v>46180</v>
          </cell>
          <cell r="O126">
            <v>1.0602739726027397</v>
          </cell>
          <cell r="P126" t="str">
            <v>1Y-2Y</v>
          </cell>
          <cell r="Q126">
            <v>2000</v>
          </cell>
          <cell r="R126">
            <v>1</v>
          </cell>
          <cell r="S126">
            <v>3000000</v>
          </cell>
          <cell r="T126">
            <v>0</v>
          </cell>
          <cell r="U126">
            <v>0</v>
          </cell>
          <cell r="V126">
            <v>5000000</v>
          </cell>
          <cell r="W126">
            <v>11800000</v>
          </cell>
          <cell r="X126">
            <v>7100000</v>
          </cell>
          <cell r="Y126">
            <v>0</v>
          </cell>
          <cell r="Z126">
            <v>2700000</v>
          </cell>
          <cell r="AA126">
            <v>2.0230326007957263E-4</v>
          </cell>
          <cell r="AB126">
            <v>0</v>
          </cell>
        </row>
        <row r="127">
          <cell r="A127">
            <v>35832</v>
          </cell>
          <cell r="B127" t="str">
            <v>辛耘二</v>
          </cell>
          <cell r="C127" t="str">
            <v>電子中游-儀器設備工程</v>
          </cell>
          <cell r="D127" t="str">
            <v>5</v>
          </cell>
          <cell r="E127" t="str">
            <v>無</v>
          </cell>
          <cell r="F127" t="str">
            <v>5</v>
          </cell>
          <cell r="G127" t="str">
            <v>5</v>
          </cell>
          <cell r="H127" t="str">
            <v>bbb</v>
          </cell>
          <cell r="I127" t="str">
            <v>III: bbb ~ bbb-</v>
          </cell>
          <cell r="J127">
            <v>-9.7648095226901557E-2</v>
          </cell>
          <cell r="K127">
            <v>111.95</v>
          </cell>
          <cell r="L127">
            <v>85.839416058394164</v>
          </cell>
          <cell r="M127">
            <v>100</v>
          </cell>
          <cell r="N127">
            <v>46192</v>
          </cell>
          <cell r="O127">
            <v>1.0931506849315069</v>
          </cell>
          <cell r="P127" t="str">
            <v>1Y-2Y</v>
          </cell>
          <cell r="Q127">
            <v>10000</v>
          </cell>
          <cell r="R127">
            <v>1</v>
          </cell>
          <cell r="S127">
            <v>55900000</v>
          </cell>
          <cell r="T127">
            <v>0</v>
          </cell>
          <cell r="U127">
            <v>54500000</v>
          </cell>
          <cell r="V127">
            <v>10000000</v>
          </cell>
          <cell r="W127">
            <v>26000000</v>
          </cell>
          <cell r="X127">
            <v>17500000</v>
          </cell>
          <cell r="Y127">
            <v>0</v>
          </cell>
          <cell r="Z127">
            <v>-100000</v>
          </cell>
          <cell r="AA127">
            <v>-7.4927133362804674E-6</v>
          </cell>
          <cell r="AB127">
            <v>0</v>
          </cell>
        </row>
        <row r="128">
          <cell r="A128">
            <v>35871</v>
          </cell>
          <cell r="B128" t="str">
            <v>閎康一</v>
          </cell>
          <cell r="C128" t="str">
            <v>電子中游-其他</v>
          </cell>
          <cell r="D128" t="str">
            <v>4</v>
          </cell>
          <cell r="E128" t="str">
            <v>無</v>
          </cell>
          <cell r="F128" t="str">
            <v>4</v>
          </cell>
          <cell r="G128" t="str">
            <v>4</v>
          </cell>
          <cell r="H128" t="str">
            <v>bbb+</v>
          </cell>
          <cell r="I128" t="str">
            <v>II: a- ~ bbb+</v>
          </cell>
          <cell r="J128">
            <v>-7.5344036697247666E-2</v>
          </cell>
          <cell r="K128">
            <v>109</v>
          </cell>
          <cell r="L128">
            <v>77.72795216741406</v>
          </cell>
          <cell r="M128">
            <v>100</v>
          </cell>
          <cell r="N128">
            <v>46193</v>
          </cell>
          <cell r="O128">
            <v>1.095890410958904</v>
          </cell>
          <cell r="P128" t="str">
            <v>1Y-2Y</v>
          </cell>
          <cell r="Q128">
            <v>4507</v>
          </cell>
          <cell r="R128">
            <v>0.75116666666666665</v>
          </cell>
          <cell r="S128">
            <v>16500000</v>
          </cell>
          <cell r="T128">
            <v>0</v>
          </cell>
          <cell r="U128">
            <v>0</v>
          </cell>
          <cell r="V128">
            <v>0</v>
          </cell>
          <cell r="W128">
            <v>13600000</v>
          </cell>
          <cell r="X128">
            <v>1300000</v>
          </cell>
          <cell r="Y128">
            <v>400000</v>
          </cell>
          <cell r="Z128">
            <v>29200000</v>
          </cell>
          <cell r="AA128">
            <v>2.1878722941938962E-3</v>
          </cell>
          <cell r="AB128">
            <v>0</v>
          </cell>
        </row>
        <row r="129">
          <cell r="A129">
            <v>35914</v>
          </cell>
          <cell r="B129" t="str">
            <v>艾笛森四</v>
          </cell>
          <cell r="C129" t="str">
            <v>電子上游-LED及光元件</v>
          </cell>
          <cell r="D129" t="str">
            <v>6</v>
          </cell>
          <cell r="E129" t="str">
            <v>無</v>
          </cell>
          <cell r="F129" t="str">
            <v>6</v>
          </cell>
          <cell r="G129" t="str">
            <v>6</v>
          </cell>
          <cell r="H129" t="str">
            <v>bb+</v>
          </cell>
          <cell r="I129" t="str">
            <v>IV: bb+ ~ bb</v>
          </cell>
          <cell r="J129">
            <v>-1.7084460162263369E-2</v>
          </cell>
          <cell r="K129">
            <v>104.5</v>
          </cell>
          <cell r="L129">
            <v>80.392156862745097</v>
          </cell>
          <cell r="M129">
            <v>100</v>
          </cell>
          <cell r="N129">
            <v>46713</v>
          </cell>
          <cell r="O129">
            <v>2.5205479452054793</v>
          </cell>
          <cell r="P129" t="str">
            <v>&gt;2Y</v>
          </cell>
          <cell r="Q129">
            <v>3000</v>
          </cell>
          <cell r="R129">
            <v>1</v>
          </cell>
          <cell r="S129">
            <v>8400000</v>
          </cell>
          <cell r="T129">
            <v>0</v>
          </cell>
          <cell r="U129">
            <v>0</v>
          </cell>
          <cell r="V129">
            <v>8600000</v>
          </cell>
          <cell r="W129">
            <v>200000</v>
          </cell>
          <cell r="X129">
            <v>0</v>
          </cell>
          <cell r="Y129">
            <v>100000</v>
          </cell>
          <cell r="Z129">
            <v>100000</v>
          </cell>
          <cell r="AA129">
            <v>7.4927133362804674E-6</v>
          </cell>
          <cell r="AB129">
            <v>0</v>
          </cell>
        </row>
        <row r="130">
          <cell r="A130">
            <v>36053</v>
          </cell>
          <cell r="B130" t="str">
            <v>宏致三</v>
          </cell>
          <cell r="C130" t="str">
            <v>電子上游-連接元件</v>
          </cell>
          <cell r="D130" t="str">
            <v>5</v>
          </cell>
          <cell r="E130" t="str">
            <v>無</v>
          </cell>
          <cell r="F130" t="str">
            <v>5</v>
          </cell>
          <cell r="G130" t="str">
            <v>5</v>
          </cell>
          <cell r="H130" t="str">
            <v>bbb</v>
          </cell>
          <cell r="I130" t="str">
            <v>III: bbb ~ bbb-</v>
          </cell>
          <cell r="J130">
            <v>-5.9521309629068264E-2</v>
          </cell>
          <cell r="K130">
            <v>117</v>
          </cell>
          <cell r="L130">
            <v>112.94117647058823</v>
          </cell>
          <cell r="M130">
            <v>101.50749999999999</v>
          </cell>
          <cell r="N130">
            <v>46605</v>
          </cell>
          <cell r="O130">
            <v>2.2246575342465755</v>
          </cell>
          <cell r="P130" t="str">
            <v>&gt;2Y</v>
          </cell>
          <cell r="Q130">
            <v>7654</v>
          </cell>
          <cell r="R130">
            <v>0.76539999999999997</v>
          </cell>
          <cell r="S130">
            <v>61600000</v>
          </cell>
          <cell r="T130">
            <v>0</v>
          </cell>
          <cell r="U130">
            <v>17800000</v>
          </cell>
          <cell r="V130">
            <v>57200000</v>
          </cell>
          <cell r="W130">
            <v>4200000</v>
          </cell>
          <cell r="X130">
            <v>0</v>
          </cell>
          <cell r="Y130">
            <v>9000000</v>
          </cell>
          <cell r="Z130">
            <v>-200000</v>
          </cell>
          <cell r="AA130">
            <v>-1.4985426672560935E-5</v>
          </cell>
          <cell r="AB130">
            <v>0</v>
          </cell>
        </row>
        <row r="131">
          <cell r="A131">
            <v>36804</v>
          </cell>
          <cell r="B131" t="str">
            <v>家登四</v>
          </cell>
          <cell r="C131" t="str">
            <v>電子中游-儀器設備工程</v>
          </cell>
          <cell r="D131" t="str">
            <v>5</v>
          </cell>
          <cell r="E131" t="str">
            <v>無</v>
          </cell>
          <cell r="F131" t="str">
            <v>5</v>
          </cell>
          <cell r="G131" t="str">
            <v>5</v>
          </cell>
          <cell r="H131" t="str">
            <v>bbb</v>
          </cell>
          <cell r="I131" t="str">
            <v>III: bbb ~ bbb-</v>
          </cell>
          <cell r="J131">
            <v>-0.35921268452706406</v>
          </cell>
          <cell r="K131">
            <v>118</v>
          </cell>
          <cell r="L131">
            <v>106.78670360110803</v>
          </cell>
          <cell r="M131">
            <v>100</v>
          </cell>
          <cell r="N131">
            <v>45948</v>
          </cell>
          <cell r="O131">
            <v>0.42465753424657532</v>
          </cell>
          <cell r="P131" t="str">
            <v>&lt;1Y</v>
          </cell>
          <cell r="Q131">
            <v>3664</v>
          </cell>
          <cell r="R131">
            <v>0.3664</v>
          </cell>
          <cell r="S131">
            <v>0</v>
          </cell>
          <cell r="T131">
            <v>0</v>
          </cell>
          <cell r="U131">
            <v>0</v>
          </cell>
          <cell r="V131">
            <v>0</v>
          </cell>
          <cell r="W131">
            <v>19700000</v>
          </cell>
          <cell r="X131">
            <v>19700000</v>
          </cell>
          <cell r="Y131">
            <v>0</v>
          </cell>
          <cell r="Z131">
            <v>0</v>
          </cell>
          <cell r="AA131">
            <v>0</v>
          </cell>
          <cell r="AB131">
            <v>0</v>
          </cell>
        </row>
        <row r="132">
          <cell r="A132">
            <v>36894</v>
          </cell>
          <cell r="B132" t="str">
            <v>湧德四</v>
          </cell>
          <cell r="C132" t="str">
            <v>電子上游-連接元件</v>
          </cell>
          <cell r="D132" t="str">
            <v>6</v>
          </cell>
          <cell r="E132" t="str">
            <v>無</v>
          </cell>
          <cell r="F132" t="str">
            <v>6</v>
          </cell>
          <cell r="G132" t="str">
            <v>6</v>
          </cell>
          <cell r="H132" t="str">
            <v>bb+</v>
          </cell>
          <cell r="I132" t="str">
            <v>IV: bb+ ~ bb</v>
          </cell>
          <cell r="J132">
            <v>-0.38660703777803923</v>
          </cell>
          <cell r="K132">
            <v>145</v>
          </cell>
          <cell r="L132">
            <v>144.11302982731553</v>
          </cell>
          <cell r="M132">
            <v>100</v>
          </cell>
          <cell r="N132">
            <v>46086</v>
          </cell>
          <cell r="O132">
            <v>0.80273972602739729</v>
          </cell>
          <cell r="P132" t="str">
            <v>&lt;1Y</v>
          </cell>
          <cell r="Q132">
            <v>1740</v>
          </cell>
          <cell r="R132">
            <v>0.34799999999999998</v>
          </cell>
          <cell r="S132">
            <v>800000</v>
          </cell>
          <cell r="T132">
            <v>0</v>
          </cell>
          <cell r="U132">
            <v>400000</v>
          </cell>
          <cell r="V132">
            <v>0</v>
          </cell>
          <cell r="W132">
            <v>1900000</v>
          </cell>
          <cell r="X132">
            <v>1900000</v>
          </cell>
          <cell r="Y132">
            <v>0</v>
          </cell>
          <cell r="Z132">
            <v>400000</v>
          </cell>
          <cell r="AA132">
            <v>2.997085334512187E-5</v>
          </cell>
          <cell r="AB132">
            <v>0</v>
          </cell>
        </row>
        <row r="133">
          <cell r="A133">
            <v>36913</v>
          </cell>
          <cell r="B133" t="str">
            <v>碩禾三</v>
          </cell>
          <cell r="C133" t="str">
            <v>電子下游-太陽能</v>
          </cell>
          <cell r="D133" t="str">
            <v>7</v>
          </cell>
          <cell r="E133" t="str">
            <v>有，上海商業銀行、合作金庫商業銀行、彰化商業銀行</v>
          </cell>
          <cell r="F133" t="str">
            <v>有，上海商業銀行、合作金庫商業銀行、彰化商業銀行</v>
          </cell>
          <cell r="G133" t="str">
            <v>有擔</v>
          </cell>
          <cell r="H133" t="str">
            <v>有擔</v>
          </cell>
          <cell r="I133" t="str">
            <v>有擔</v>
          </cell>
          <cell r="J133">
            <v>5.30286887627608E-3</v>
          </cell>
          <cell r="K133">
            <v>98.8</v>
          </cell>
          <cell r="L133">
            <v>56.949152542372886</v>
          </cell>
          <cell r="M133">
            <v>100</v>
          </cell>
          <cell r="N133">
            <v>46629</v>
          </cell>
          <cell r="O133">
            <v>2.2904109589041095</v>
          </cell>
          <cell r="P133" t="str">
            <v>&gt;2Y</v>
          </cell>
          <cell r="Q133">
            <v>20000</v>
          </cell>
          <cell r="R133">
            <v>1</v>
          </cell>
          <cell r="S133">
            <v>76200000</v>
          </cell>
          <cell r="T133">
            <v>0</v>
          </cell>
          <cell r="U133">
            <v>2000000</v>
          </cell>
          <cell r="V133">
            <v>0</v>
          </cell>
          <cell r="W133">
            <v>25600000</v>
          </cell>
          <cell r="X133">
            <v>3500000</v>
          </cell>
          <cell r="Y133">
            <v>4500000</v>
          </cell>
          <cell r="Z133">
            <v>100800000</v>
          </cell>
          <cell r="AA133">
            <v>7.5526550429707113E-3</v>
          </cell>
          <cell r="AB133">
            <v>0</v>
          </cell>
        </row>
        <row r="134">
          <cell r="A134">
            <v>37012</v>
          </cell>
          <cell r="B134" t="str">
            <v>大眾控二</v>
          </cell>
          <cell r="C134" t="str">
            <v>電子中游-EMS</v>
          </cell>
          <cell r="D134" t="str">
            <v>6</v>
          </cell>
          <cell r="E134" t="str">
            <v>無</v>
          </cell>
          <cell r="F134" t="str">
            <v>6</v>
          </cell>
          <cell r="G134" t="str">
            <v>6</v>
          </cell>
          <cell r="H134" t="str">
            <v>bb+</v>
          </cell>
          <cell r="I134" t="str">
            <v>IV: bb+ ~ bb</v>
          </cell>
          <cell r="J134">
            <v>0.11022484818644289</v>
          </cell>
          <cell r="K134">
            <v>101.55</v>
          </cell>
          <cell r="L134">
            <v>53.765950824774343</v>
          </cell>
          <cell r="M134">
            <v>102.01</v>
          </cell>
          <cell r="N134">
            <v>45808</v>
          </cell>
          <cell r="O134">
            <v>4.1095890410958902E-2</v>
          </cell>
          <cell r="P134" t="str">
            <v>&lt;1Y</v>
          </cell>
          <cell r="Q134">
            <v>5841</v>
          </cell>
          <cell r="R134">
            <v>0.97350000000000003</v>
          </cell>
          <cell r="S134">
            <v>0</v>
          </cell>
          <cell r="T134">
            <v>0</v>
          </cell>
          <cell r="U134">
            <v>0</v>
          </cell>
          <cell r="V134">
            <v>0</v>
          </cell>
          <cell r="W134">
            <v>0</v>
          </cell>
          <cell r="X134">
            <v>0</v>
          </cell>
          <cell r="Y134">
            <v>0</v>
          </cell>
          <cell r="Z134">
            <v>0</v>
          </cell>
          <cell r="AA134">
            <v>0</v>
          </cell>
          <cell r="AB134">
            <v>0</v>
          </cell>
        </row>
        <row r="135">
          <cell r="A135">
            <v>37022</v>
          </cell>
          <cell r="B135" t="str">
            <v>大聯大二</v>
          </cell>
          <cell r="C135" t="str">
            <v>電子上游-IC-通路</v>
          </cell>
          <cell r="D135" t="str">
            <v>4</v>
          </cell>
          <cell r="E135" t="str">
            <v>無</v>
          </cell>
          <cell r="F135" t="str">
            <v>4</v>
          </cell>
          <cell r="G135" t="str">
            <v>4</v>
          </cell>
          <cell r="H135" t="str">
            <v>bbb</v>
          </cell>
          <cell r="I135" t="str">
            <v>III: bbb ~ bbb-</v>
          </cell>
          <cell r="J135">
            <v>-1.4004888281553458E-3</v>
          </cell>
          <cell r="K135">
            <v>100.35</v>
          </cell>
          <cell r="L135">
            <v>86.211180124223603</v>
          </cell>
          <cell r="M135">
            <v>100</v>
          </cell>
          <cell r="N135">
            <v>46702</v>
          </cell>
          <cell r="O135">
            <v>2.4904109589041097</v>
          </cell>
          <cell r="P135" t="str">
            <v>&gt;2Y</v>
          </cell>
          <cell r="Q135">
            <v>35000</v>
          </cell>
          <cell r="R135">
            <v>1</v>
          </cell>
          <cell r="S135">
            <v>316400000</v>
          </cell>
          <cell r="T135">
            <v>0</v>
          </cell>
          <cell r="U135">
            <v>85200000</v>
          </cell>
          <cell r="V135">
            <v>31500000</v>
          </cell>
          <cell r="W135">
            <v>70800000</v>
          </cell>
          <cell r="X135">
            <v>43100000</v>
          </cell>
          <cell r="Y135">
            <v>1900000</v>
          </cell>
          <cell r="Z135">
            <v>229300000</v>
          </cell>
          <cell r="AA135">
            <v>1.7180791680091113E-2</v>
          </cell>
          <cell r="AB135">
            <v>0</v>
          </cell>
        </row>
        <row r="136">
          <cell r="A136">
            <v>37023</v>
          </cell>
          <cell r="B136" t="str">
            <v>大聯大三</v>
          </cell>
          <cell r="C136" t="str">
            <v>電子上游-IC-通路</v>
          </cell>
          <cell r="D136" t="str">
            <v>4</v>
          </cell>
          <cell r="E136" t="str">
            <v>無</v>
          </cell>
          <cell r="F136" t="str">
            <v>4</v>
          </cell>
          <cell r="G136" t="str">
            <v>4</v>
          </cell>
          <cell r="H136" t="str">
            <v>bbb</v>
          </cell>
          <cell r="I136" t="str">
            <v>III: bbb ~ bbb-</v>
          </cell>
          <cell r="J136">
            <v>-7.7876634875930946E-3</v>
          </cell>
          <cell r="K136">
            <v>102</v>
          </cell>
          <cell r="L136">
            <v>88.974358974358978</v>
          </cell>
          <cell r="M136">
            <v>100</v>
          </cell>
          <cell r="N136">
            <v>46712</v>
          </cell>
          <cell r="O136">
            <v>2.5178082191780824</v>
          </cell>
          <cell r="P136" t="str">
            <v>&gt;2Y</v>
          </cell>
          <cell r="Q136">
            <v>20000</v>
          </cell>
          <cell r="R136">
            <v>1</v>
          </cell>
          <cell r="S136">
            <v>288900000</v>
          </cell>
          <cell r="T136">
            <v>0</v>
          </cell>
          <cell r="U136">
            <v>25000000</v>
          </cell>
          <cell r="V136">
            <v>0</v>
          </cell>
          <cell r="W136">
            <v>26800000</v>
          </cell>
          <cell r="X136">
            <v>19900000</v>
          </cell>
          <cell r="Y136">
            <v>1600000</v>
          </cell>
          <cell r="Z136">
            <v>272400000</v>
          </cell>
          <cell r="AA136">
            <v>2.0410151128027992E-2</v>
          </cell>
          <cell r="AB136">
            <v>0</v>
          </cell>
        </row>
        <row r="137">
          <cell r="A137">
            <v>37083</v>
          </cell>
          <cell r="B137" t="str">
            <v>上緯投控三</v>
          </cell>
          <cell r="C137" t="str">
            <v>傳產-化學工業</v>
          </cell>
          <cell r="D137" t="str">
            <v>6</v>
          </cell>
          <cell r="E137" t="str">
            <v>有，第一商業銀行股份有限公司</v>
          </cell>
          <cell r="F137" t="str">
            <v>有，第一商業銀行股份有限公司</v>
          </cell>
          <cell r="G137" t="str">
            <v>有擔</v>
          </cell>
          <cell r="H137" t="str">
            <v>有擔</v>
          </cell>
          <cell r="I137" t="str">
            <v>有擔</v>
          </cell>
          <cell r="J137">
            <v>-4.1403561840662448E-2</v>
          </cell>
          <cell r="K137">
            <v>106</v>
          </cell>
          <cell r="L137">
            <v>86.41975308641976</v>
          </cell>
          <cell r="M137">
            <v>100</v>
          </cell>
          <cell r="N137">
            <v>46292</v>
          </cell>
          <cell r="O137">
            <v>1.3671232876712329</v>
          </cell>
          <cell r="P137" t="str">
            <v>1Y-2Y</v>
          </cell>
          <cell r="Q137">
            <v>3365</v>
          </cell>
          <cell r="R137">
            <v>0.33650000000000002</v>
          </cell>
          <cell r="S137">
            <v>22000000</v>
          </cell>
          <cell r="T137">
            <v>0</v>
          </cell>
          <cell r="U137">
            <v>0</v>
          </cell>
          <cell r="V137">
            <v>0</v>
          </cell>
          <cell r="W137">
            <v>16600000</v>
          </cell>
          <cell r="X137">
            <v>200000</v>
          </cell>
          <cell r="Y137">
            <v>1100000</v>
          </cell>
          <cell r="Z137">
            <v>39500000</v>
          </cell>
          <cell r="AA137">
            <v>2.9596217678307846E-3</v>
          </cell>
          <cell r="AB137">
            <v>0</v>
          </cell>
        </row>
        <row r="138">
          <cell r="A138">
            <v>37084</v>
          </cell>
          <cell r="B138" t="str">
            <v>上緯投控四</v>
          </cell>
          <cell r="C138" t="str">
            <v>傳產-化學工業</v>
          </cell>
          <cell r="D138" t="str">
            <v>6</v>
          </cell>
          <cell r="E138" t="str">
            <v>無</v>
          </cell>
          <cell r="F138" t="str">
            <v>6</v>
          </cell>
          <cell r="G138" t="str">
            <v>6</v>
          </cell>
          <cell r="H138" t="str">
            <v>bb+</v>
          </cell>
          <cell r="I138" t="str">
            <v>IV: bb+ ~ bb</v>
          </cell>
          <cell r="J138">
            <v>-3.4761904761904799E-2</v>
          </cell>
          <cell r="K138">
            <v>105</v>
          </cell>
          <cell r="L138">
            <v>89.953271028037392</v>
          </cell>
          <cell r="M138">
            <v>100</v>
          </cell>
          <cell r="N138">
            <v>46293</v>
          </cell>
          <cell r="O138">
            <v>1.3698630136986301</v>
          </cell>
          <cell r="P138" t="str">
            <v>1Y-2Y</v>
          </cell>
          <cell r="Q138">
            <v>725</v>
          </cell>
          <cell r="R138">
            <v>7.2499999999999995E-2</v>
          </cell>
          <cell r="S138">
            <v>0</v>
          </cell>
          <cell r="T138">
            <v>0</v>
          </cell>
          <cell r="U138">
            <v>0</v>
          </cell>
          <cell r="V138">
            <v>0</v>
          </cell>
          <cell r="W138">
            <v>0</v>
          </cell>
          <cell r="X138">
            <v>0</v>
          </cell>
          <cell r="Y138">
            <v>0</v>
          </cell>
          <cell r="Z138">
            <v>0</v>
          </cell>
          <cell r="AA138">
            <v>0</v>
          </cell>
          <cell r="AB138">
            <v>0</v>
          </cell>
        </row>
        <row r="139">
          <cell r="A139">
            <v>37131</v>
          </cell>
          <cell r="B139" t="str">
            <v>新晶投控一</v>
          </cell>
          <cell r="C139" t="str">
            <v>電子下游-太陽能</v>
          </cell>
          <cell r="D139" t="str">
            <v>8</v>
          </cell>
          <cell r="E139" t="str">
            <v>有，永豐商業銀行股份有限公司</v>
          </cell>
          <cell r="F139" t="str">
            <v>有，永豐商業銀行股份有限公司</v>
          </cell>
          <cell r="G139" t="str">
            <v>有擔</v>
          </cell>
          <cell r="H139" t="str">
            <v>有擔</v>
          </cell>
          <cell r="I139" t="str">
            <v>有擔</v>
          </cell>
          <cell r="J139">
            <v>6.9232460105581345E-2</v>
          </cell>
          <cell r="K139">
            <v>94.65</v>
          </cell>
          <cell r="L139">
            <v>40.520446096654275</v>
          </cell>
          <cell r="M139">
            <v>100</v>
          </cell>
          <cell r="N139">
            <v>46091</v>
          </cell>
          <cell r="O139">
            <v>0.81643835616438354</v>
          </cell>
          <cell r="P139" t="str">
            <v>&lt;1Y</v>
          </cell>
          <cell r="Q139">
            <v>386</v>
          </cell>
          <cell r="R139">
            <v>7.7200000000000005E-2</v>
          </cell>
          <cell r="S139">
            <v>0</v>
          </cell>
          <cell r="T139">
            <v>0</v>
          </cell>
          <cell r="U139">
            <v>0</v>
          </cell>
          <cell r="V139">
            <v>0</v>
          </cell>
          <cell r="W139">
            <v>2400000</v>
          </cell>
          <cell r="X139">
            <v>700000</v>
          </cell>
          <cell r="Y139">
            <v>800000</v>
          </cell>
          <cell r="Z139">
            <v>2500000</v>
          </cell>
          <cell r="AA139">
            <v>1.8731783340701169E-4</v>
          </cell>
          <cell r="AB139">
            <v>0</v>
          </cell>
        </row>
        <row r="140">
          <cell r="A140">
            <v>41234</v>
          </cell>
          <cell r="B140" t="str">
            <v>晟德四</v>
          </cell>
          <cell r="C140" t="str">
            <v>傳產-生技</v>
          </cell>
          <cell r="D140" t="str">
            <v>6</v>
          </cell>
          <cell r="E140" t="str">
            <v>有，上海商業儲蓄銀行</v>
          </cell>
          <cell r="F140" t="str">
            <v>有，上海商業儲蓄銀行</v>
          </cell>
          <cell r="G140" t="str">
            <v>有擔</v>
          </cell>
          <cell r="H140" t="str">
            <v>有擔</v>
          </cell>
          <cell r="I140" t="str">
            <v>有擔</v>
          </cell>
          <cell r="J140">
            <v>1.6016780319986971E-3</v>
          </cell>
          <cell r="K140">
            <v>99.95</v>
          </cell>
          <cell r="L140">
            <v>64.665523156089193</v>
          </cell>
          <cell r="M140">
            <v>100</v>
          </cell>
          <cell r="N140">
            <v>45907</v>
          </cell>
          <cell r="O140">
            <v>0.31232876712328766</v>
          </cell>
          <cell r="P140" t="str">
            <v>&lt;1Y</v>
          </cell>
          <cell r="Q140">
            <v>4986</v>
          </cell>
          <cell r="R140">
            <v>0.99719999999999998</v>
          </cell>
          <cell r="S140">
            <v>38400000</v>
          </cell>
          <cell r="T140">
            <v>0</v>
          </cell>
          <cell r="U140">
            <v>0</v>
          </cell>
          <cell r="V140">
            <v>0</v>
          </cell>
          <cell r="W140">
            <v>32500000</v>
          </cell>
          <cell r="X140">
            <v>800000</v>
          </cell>
          <cell r="Y140">
            <v>1000000</v>
          </cell>
          <cell r="Z140">
            <v>71100000</v>
          </cell>
          <cell r="AA140">
            <v>5.3273191820954122E-3</v>
          </cell>
          <cell r="AB140">
            <v>0</v>
          </cell>
        </row>
        <row r="141">
          <cell r="A141">
            <v>41235</v>
          </cell>
          <cell r="B141" t="str">
            <v>晟德五</v>
          </cell>
          <cell r="C141" t="str">
            <v>傳產-生技</v>
          </cell>
          <cell r="D141" t="str">
            <v>6</v>
          </cell>
          <cell r="E141" t="str">
            <v>有，合庫銀、彰銀、土銀、華銀、元大銀</v>
          </cell>
          <cell r="F141" t="str">
            <v>有，合庫銀、彰銀、土銀、華銀、元大銀</v>
          </cell>
          <cell r="G141" t="str">
            <v>有擔</v>
          </cell>
          <cell r="H141" t="str">
            <v>有擔</v>
          </cell>
          <cell r="I141" t="str">
            <v>有擔</v>
          </cell>
          <cell r="J141">
            <v>3.1770901336114488E-3</v>
          </cell>
          <cell r="K141">
            <v>99.9</v>
          </cell>
          <cell r="L141">
            <v>65.4513888888889</v>
          </cell>
          <cell r="M141">
            <v>100</v>
          </cell>
          <cell r="N141">
            <v>45908</v>
          </cell>
          <cell r="O141">
            <v>0.31506849315068491</v>
          </cell>
          <cell r="P141" t="str">
            <v>&lt;1Y</v>
          </cell>
          <cell r="Q141">
            <v>14901</v>
          </cell>
          <cell r="R141">
            <v>0.99339999999999995</v>
          </cell>
          <cell r="S141">
            <v>217600000</v>
          </cell>
          <cell r="T141">
            <v>0</v>
          </cell>
          <cell r="U141">
            <v>160000000</v>
          </cell>
          <cell r="V141">
            <v>0</v>
          </cell>
          <cell r="W141">
            <v>147000000</v>
          </cell>
          <cell r="X141">
            <v>4900000</v>
          </cell>
          <cell r="Y141">
            <v>4600000</v>
          </cell>
          <cell r="Z141">
            <v>204300000</v>
          </cell>
          <cell r="AA141">
            <v>1.5307613346020994E-2</v>
          </cell>
          <cell r="AB141">
            <v>0</v>
          </cell>
        </row>
        <row r="142">
          <cell r="A142">
            <v>41236</v>
          </cell>
          <cell r="B142" t="str">
            <v>晟德六</v>
          </cell>
          <cell r="C142" t="str">
            <v>傳產-生技</v>
          </cell>
          <cell r="D142" t="str">
            <v>6</v>
          </cell>
          <cell r="E142" t="str">
            <v>有，永豐商業銀行股份有限公司忠孝分公司</v>
          </cell>
          <cell r="F142" t="str">
            <v>有，永豐商業銀行股份有限公司忠孝分公司</v>
          </cell>
          <cell r="G142" t="str">
            <v>有擔</v>
          </cell>
          <cell r="H142" t="str">
            <v>有擔</v>
          </cell>
          <cell r="I142" t="str">
            <v>有擔</v>
          </cell>
          <cell r="J142">
            <v>-2.2191918840982528E-2</v>
          </cell>
          <cell r="K142">
            <v>107</v>
          </cell>
          <cell r="L142">
            <v>91.283292978208237</v>
          </cell>
          <cell r="M142">
            <v>100</v>
          </cell>
          <cell r="N142">
            <v>46869</v>
          </cell>
          <cell r="O142">
            <v>2.9479452054794519</v>
          </cell>
          <cell r="P142" t="str">
            <v>&gt;2Y</v>
          </cell>
          <cell r="Q142">
            <v>6362</v>
          </cell>
          <cell r="R142">
            <v>0.90885714285714281</v>
          </cell>
          <cell r="S142">
            <v>91900000</v>
          </cell>
          <cell r="T142">
            <v>0</v>
          </cell>
          <cell r="U142">
            <v>0</v>
          </cell>
          <cell r="V142">
            <v>0</v>
          </cell>
          <cell r="W142">
            <v>87700000</v>
          </cell>
          <cell r="X142">
            <v>500000</v>
          </cell>
          <cell r="Y142">
            <v>59000000</v>
          </cell>
          <cell r="Z142">
            <v>238100000</v>
          </cell>
          <cell r="AA142">
            <v>1.7840150453683791E-2</v>
          </cell>
          <cell r="AB142">
            <v>0</v>
          </cell>
        </row>
        <row r="143">
          <cell r="A143">
            <v>41237</v>
          </cell>
          <cell r="B143" t="str">
            <v>晟德七</v>
          </cell>
          <cell r="C143" t="str">
            <v>傳產-生技</v>
          </cell>
          <cell r="D143" t="str">
            <v>6</v>
          </cell>
          <cell r="E143" t="str">
            <v>無</v>
          </cell>
          <cell r="F143" t="str">
            <v>6</v>
          </cell>
          <cell r="G143" t="str">
            <v>6</v>
          </cell>
          <cell r="H143" t="str">
            <v>bb</v>
          </cell>
          <cell r="I143" t="str">
            <v>IV: bb+ ~ bb</v>
          </cell>
          <cell r="J143">
            <v>2.6556523739683195E-2</v>
          </cell>
          <cell r="K143">
            <v>100.5</v>
          </cell>
          <cell r="L143">
            <v>89.548693586698334</v>
          </cell>
          <cell r="M143">
            <v>103.03</v>
          </cell>
          <cell r="N143">
            <v>46139</v>
          </cell>
          <cell r="O143">
            <v>0.94794520547945205</v>
          </cell>
          <cell r="P143" t="str">
            <v>&lt;1Y</v>
          </cell>
          <cell r="Q143">
            <v>19443</v>
          </cell>
          <cell r="R143">
            <v>0.77771999999999997</v>
          </cell>
          <cell r="S143">
            <v>86300000</v>
          </cell>
          <cell r="T143">
            <v>0</v>
          </cell>
          <cell r="U143">
            <v>33000000</v>
          </cell>
          <cell r="V143">
            <v>55900000</v>
          </cell>
          <cell r="W143">
            <v>2300000</v>
          </cell>
          <cell r="X143">
            <v>0</v>
          </cell>
          <cell r="Y143">
            <v>300000</v>
          </cell>
          <cell r="Z143">
            <v>0</v>
          </cell>
          <cell r="AA143">
            <v>0</v>
          </cell>
          <cell r="AB143">
            <v>0</v>
          </cell>
        </row>
        <row r="144">
          <cell r="A144">
            <v>41295</v>
          </cell>
          <cell r="B144" t="str">
            <v>聯合五</v>
          </cell>
          <cell r="C144" t="str">
            <v>傳產-生技</v>
          </cell>
          <cell r="D144" t="str">
            <v>6</v>
          </cell>
          <cell r="E144" t="str">
            <v>- -</v>
          </cell>
          <cell r="F144" t="str">
            <v>- -</v>
          </cell>
          <cell r="G144" t="str">
            <v>有擔</v>
          </cell>
          <cell r="H144" t="str">
            <v>有擔</v>
          </cell>
          <cell r="I144" t="str">
            <v>有擔</v>
          </cell>
          <cell r="J144" t="e">
            <v>#VALUE!</v>
          </cell>
          <cell r="K144" t="e">
            <v>#VALUE!</v>
          </cell>
          <cell r="L144" t="e">
            <v>#VALUE!</v>
          </cell>
          <cell r="M144" t="str">
            <v>- -</v>
          </cell>
          <cell r="N144" t="str">
            <v>- -</v>
          </cell>
          <cell r="O144" t="e">
            <v>#VALUE!</v>
          </cell>
          <cell r="P144" t="e">
            <v>#VALUE!</v>
          </cell>
          <cell r="Q144">
            <v>0</v>
          </cell>
          <cell r="R144" t="e">
            <v>#VALUE!</v>
          </cell>
          <cell r="S144">
            <v>0</v>
          </cell>
          <cell r="T144">
            <v>0</v>
          </cell>
          <cell r="U144">
            <v>0</v>
          </cell>
          <cell r="V144">
            <v>0</v>
          </cell>
          <cell r="W144">
            <v>0</v>
          </cell>
          <cell r="X144">
            <v>0</v>
          </cell>
          <cell r="Y144">
            <v>0</v>
          </cell>
          <cell r="Z144">
            <v>0</v>
          </cell>
          <cell r="AA144">
            <v>0</v>
          </cell>
          <cell r="AB144">
            <v>0</v>
          </cell>
        </row>
        <row r="145">
          <cell r="A145">
            <v>41372</v>
          </cell>
          <cell r="B145" t="str">
            <v>麗豐二KY</v>
          </cell>
          <cell r="C145" t="str">
            <v>傳產-生技</v>
          </cell>
          <cell r="D145" t="str">
            <v>4</v>
          </cell>
          <cell r="E145" t="str">
            <v>無</v>
          </cell>
          <cell r="F145" t="str">
            <v>4</v>
          </cell>
          <cell r="G145" t="str">
            <v>4</v>
          </cell>
          <cell r="H145" t="str">
            <v>bbb+</v>
          </cell>
          <cell r="I145" t="str">
            <v>II: a- ~ bbb+</v>
          </cell>
          <cell r="J145">
            <v>-2.3980342688951876E-3</v>
          </cell>
          <cell r="K145">
            <v>100.8</v>
          </cell>
          <cell r="L145">
            <v>76.002587322121613</v>
          </cell>
          <cell r="M145">
            <v>100.5</v>
          </cell>
          <cell r="N145">
            <v>46246</v>
          </cell>
          <cell r="O145">
            <v>1.2410958904109588</v>
          </cell>
          <cell r="P145" t="str">
            <v>1Y-2Y</v>
          </cell>
          <cell r="Q145">
            <v>11000</v>
          </cell>
          <cell r="R145">
            <v>1</v>
          </cell>
          <cell r="S145">
            <v>179100000</v>
          </cell>
          <cell r="T145">
            <v>0</v>
          </cell>
          <cell r="U145">
            <v>20000000</v>
          </cell>
          <cell r="V145">
            <v>0</v>
          </cell>
          <cell r="W145">
            <v>38200000</v>
          </cell>
          <cell r="X145">
            <v>3200000</v>
          </cell>
          <cell r="Y145">
            <v>60200000</v>
          </cell>
          <cell r="Z145">
            <v>254300000</v>
          </cell>
          <cell r="AA145">
            <v>1.9053970014161228E-2</v>
          </cell>
          <cell r="AB145">
            <v>0</v>
          </cell>
        </row>
        <row r="146">
          <cell r="A146">
            <v>41481</v>
          </cell>
          <cell r="B146" t="str">
            <v>全宇一KY</v>
          </cell>
          <cell r="C146" t="str">
            <v>傳產-生技</v>
          </cell>
          <cell r="D146" t="str">
            <v>6</v>
          </cell>
          <cell r="E146" t="str">
            <v>無</v>
          </cell>
          <cell r="F146" t="str">
            <v>6</v>
          </cell>
          <cell r="G146" t="str">
            <v>6</v>
          </cell>
          <cell r="H146" t="str">
            <v>bb+</v>
          </cell>
          <cell r="I146" t="str">
            <v>IV: bb+ ~ bb</v>
          </cell>
          <cell r="J146">
            <v>5.8195153061224553E-2</v>
          </cell>
          <cell r="K146">
            <v>98</v>
          </cell>
          <cell r="L146">
            <v>64.690026954177895</v>
          </cell>
          <cell r="M146">
            <v>100</v>
          </cell>
          <cell r="N146">
            <v>45921</v>
          </cell>
          <cell r="O146">
            <v>0.35068493150684932</v>
          </cell>
          <cell r="P146" t="str">
            <v>&lt;1Y</v>
          </cell>
          <cell r="Q146">
            <v>407</v>
          </cell>
          <cell r="R146">
            <v>8.14E-2</v>
          </cell>
          <cell r="S146">
            <v>0</v>
          </cell>
          <cell r="T146">
            <v>0</v>
          </cell>
          <cell r="U146">
            <v>0</v>
          </cell>
          <cell r="V146">
            <v>0</v>
          </cell>
          <cell r="W146">
            <v>0</v>
          </cell>
          <cell r="X146">
            <v>0</v>
          </cell>
          <cell r="Y146">
            <v>0</v>
          </cell>
          <cell r="Z146">
            <v>0</v>
          </cell>
          <cell r="AA146">
            <v>0</v>
          </cell>
          <cell r="AB146">
            <v>0</v>
          </cell>
        </row>
        <row r="147">
          <cell r="A147">
            <v>41553</v>
          </cell>
          <cell r="B147" t="str">
            <v>訊映三</v>
          </cell>
          <cell r="C147" t="str">
            <v>傳產-生技</v>
          </cell>
          <cell r="D147" t="str">
            <v>6</v>
          </cell>
          <cell r="E147" t="str">
            <v>無</v>
          </cell>
          <cell r="F147" t="str">
            <v>6</v>
          </cell>
          <cell r="G147" t="str">
            <v>6</v>
          </cell>
          <cell r="H147" t="str">
            <v>bb+</v>
          </cell>
          <cell r="I147" t="str">
            <v>IV: bb+ ~ bb</v>
          </cell>
          <cell r="J147">
            <v>5.5177626606198099E-2</v>
          </cell>
          <cell r="K147">
            <v>98</v>
          </cell>
          <cell r="L147">
            <v>78.315881326352525</v>
          </cell>
          <cell r="M147">
            <v>100</v>
          </cell>
          <cell r="N147">
            <v>45928</v>
          </cell>
          <cell r="O147">
            <v>0.36986301369863012</v>
          </cell>
          <cell r="P147" t="str">
            <v>&lt;1Y</v>
          </cell>
          <cell r="Q147">
            <v>462</v>
          </cell>
          <cell r="R147">
            <v>0.154</v>
          </cell>
          <cell r="S147">
            <v>0</v>
          </cell>
          <cell r="T147">
            <v>0</v>
          </cell>
          <cell r="U147">
            <v>0</v>
          </cell>
          <cell r="V147">
            <v>0</v>
          </cell>
          <cell r="W147">
            <v>0</v>
          </cell>
          <cell r="X147">
            <v>0</v>
          </cell>
          <cell r="Y147">
            <v>0</v>
          </cell>
          <cell r="Z147">
            <v>0</v>
          </cell>
          <cell r="AA147">
            <v>0</v>
          </cell>
          <cell r="AB147">
            <v>0</v>
          </cell>
        </row>
        <row r="148">
          <cell r="A148">
            <v>41644</v>
          </cell>
          <cell r="B148" t="str">
            <v>承業醫四</v>
          </cell>
          <cell r="C148" t="str">
            <v>傳產-生技</v>
          </cell>
          <cell r="D148" t="str">
            <v>6</v>
          </cell>
          <cell r="E148" t="str">
            <v>有，第一商業銀行、中國信託商業銀行、台北富邦商業銀行</v>
          </cell>
          <cell r="F148" t="str">
            <v>有，第一商業銀行、中國信託商業銀行、台北富邦商業銀行</v>
          </cell>
          <cell r="G148" t="str">
            <v>有擔</v>
          </cell>
          <cell r="H148" t="str">
            <v>有擔</v>
          </cell>
          <cell r="I148" t="str">
            <v>有擔</v>
          </cell>
          <cell r="J148">
            <v>-6.4708533653845671E-2</v>
          </cell>
          <cell r="K148">
            <v>104</v>
          </cell>
          <cell r="L148">
            <v>92.477876106194685</v>
          </cell>
          <cell r="M148">
            <v>102.52500000000001</v>
          </cell>
          <cell r="N148">
            <v>45873</v>
          </cell>
          <cell r="O148">
            <v>0.21917808219178081</v>
          </cell>
          <cell r="P148" t="str">
            <v>&lt;1Y</v>
          </cell>
          <cell r="Q148">
            <v>4287</v>
          </cell>
          <cell r="R148">
            <v>0.2858</v>
          </cell>
          <cell r="S148">
            <v>44100000</v>
          </cell>
          <cell r="T148">
            <v>0</v>
          </cell>
          <cell r="U148">
            <v>0</v>
          </cell>
          <cell r="V148">
            <v>0</v>
          </cell>
          <cell r="W148">
            <v>11900000</v>
          </cell>
          <cell r="X148">
            <v>900000</v>
          </cell>
          <cell r="Y148">
            <v>4200000</v>
          </cell>
          <cell r="Z148">
            <v>59300000</v>
          </cell>
          <cell r="AA148">
            <v>4.4431790084143172E-3</v>
          </cell>
          <cell r="AB148">
            <v>0</v>
          </cell>
        </row>
        <row r="149">
          <cell r="A149">
            <v>41645</v>
          </cell>
          <cell r="B149" t="str">
            <v>承業醫五</v>
          </cell>
          <cell r="C149" t="str">
            <v>傳產-生技</v>
          </cell>
          <cell r="D149" t="str">
            <v>6</v>
          </cell>
          <cell r="E149" t="e">
            <v>#N/A</v>
          </cell>
          <cell r="F149" t="e">
            <v>#N/A</v>
          </cell>
          <cell r="G149" t="e">
            <v>#N/A</v>
          </cell>
          <cell r="H149" t="e">
            <v>#N/A</v>
          </cell>
          <cell r="I149" t="e">
            <v>#N/A</v>
          </cell>
          <cell r="J149" t="e">
            <v>#N/A</v>
          </cell>
          <cell r="K149" t="e">
            <v>#VALUE!</v>
          </cell>
          <cell r="L149" t="e">
            <v>#N/A</v>
          </cell>
          <cell r="M149" t="e">
            <v>#N/A</v>
          </cell>
          <cell r="N149" t="e">
            <v>#N/A</v>
          </cell>
          <cell r="O149" t="e">
            <v>#N/A</v>
          </cell>
          <cell r="P149" t="e">
            <v>#N/A</v>
          </cell>
          <cell r="Q149" t="e">
            <v>#N/A</v>
          </cell>
          <cell r="R149" t="e">
            <v>#N/A</v>
          </cell>
          <cell r="S149">
            <v>0</v>
          </cell>
          <cell r="T149">
            <v>0</v>
          </cell>
          <cell r="U149">
            <v>0</v>
          </cell>
          <cell r="V149">
            <v>0</v>
          </cell>
          <cell r="W149">
            <v>0</v>
          </cell>
          <cell r="X149">
            <v>0</v>
          </cell>
          <cell r="Y149">
            <v>0</v>
          </cell>
          <cell r="Z149">
            <v>0</v>
          </cell>
          <cell r="AA149">
            <v>0</v>
          </cell>
          <cell r="AB149">
            <v>0</v>
          </cell>
        </row>
        <row r="150">
          <cell r="A150">
            <v>41683</v>
          </cell>
          <cell r="B150" t="str">
            <v>醣聯三</v>
          </cell>
          <cell r="C150" t="str">
            <v>傳產-生技</v>
          </cell>
          <cell r="D150" t="str">
            <v>7</v>
          </cell>
          <cell r="E150" t="str">
            <v>有，台新銀行</v>
          </cell>
          <cell r="F150" t="str">
            <v>有，台新銀行</v>
          </cell>
          <cell r="G150" t="str">
            <v>有擔</v>
          </cell>
          <cell r="H150" t="str">
            <v>有擔</v>
          </cell>
          <cell r="I150" t="str">
            <v>有擔</v>
          </cell>
          <cell r="J150">
            <v>-1.7346259861230378E-2</v>
          </cell>
          <cell r="K150">
            <v>100.2</v>
          </cell>
          <cell r="L150">
            <v>69.047619047619051</v>
          </cell>
          <cell r="M150">
            <v>100</v>
          </cell>
          <cell r="N150">
            <v>45835</v>
          </cell>
          <cell r="O150">
            <v>0.11506849315068493</v>
          </cell>
          <cell r="P150" t="str">
            <v>&lt;1Y</v>
          </cell>
          <cell r="Q150">
            <v>2179</v>
          </cell>
          <cell r="R150">
            <v>0.54474999999999996</v>
          </cell>
          <cell r="S150">
            <v>30600000</v>
          </cell>
          <cell r="T150">
            <v>0</v>
          </cell>
          <cell r="U150">
            <v>0</v>
          </cell>
          <cell r="V150">
            <v>0</v>
          </cell>
          <cell r="W150">
            <v>2800000</v>
          </cell>
          <cell r="X150">
            <v>2800000</v>
          </cell>
          <cell r="Y150">
            <v>0</v>
          </cell>
          <cell r="Z150">
            <v>30600000</v>
          </cell>
          <cell r="AA150">
            <v>2.292770280901823E-3</v>
          </cell>
          <cell r="AB150">
            <v>0</v>
          </cell>
        </row>
        <row r="151">
          <cell r="A151">
            <v>41903</v>
          </cell>
          <cell r="B151" t="str">
            <v>佐登三KY</v>
          </cell>
          <cell r="C151" t="str">
            <v>傳產-生技</v>
          </cell>
          <cell r="D151" t="str">
            <v>6</v>
          </cell>
          <cell r="E151" t="str">
            <v>無</v>
          </cell>
          <cell r="F151" t="str">
            <v>6</v>
          </cell>
          <cell r="G151" t="str">
            <v>6</v>
          </cell>
          <cell r="H151" t="str">
            <v>bb</v>
          </cell>
          <cell r="I151" t="str">
            <v>IV: bb+ ~ bb</v>
          </cell>
          <cell r="J151">
            <v>6.4585649668974565E-2</v>
          </cell>
          <cell r="K151">
            <v>94</v>
          </cell>
          <cell r="L151">
            <v>66.545454545454547</v>
          </cell>
          <cell r="M151">
            <v>101.0025</v>
          </cell>
          <cell r="N151">
            <v>46214</v>
          </cell>
          <cell r="O151">
            <v>1.1534246575342466</v>
          </cell>
          <cell r="P151" t="str">
            <v>1Y-2Y</v>
          </cell>
          <cell r="Q151">
            <v>6417</v>
          </cell>
          <cell r="R151">
            <v>0.9167142857142857</v>
          </cell>
          <cell r="S151">
            <v>60300000</v>
          </cell>
          <cell r="T151">
            <v>0</v>
          </cell>
          <cell r="U151">
            <v>20000000</v>
          </cell>
          <cell r="V151">
            <v>40300000</v>
          </cell>
          <cell r="W151">
            <v>0</v>
          </cell>
          <cell r="X151">
            <v>0</v>
          </cell>
          <cell r="Y151">
            <v>0</v>
          </cell>
          <cell r="Z151">
            <v>0</v>
          </cell>
          <cell r="AA151">
            <v>0</v>
          </cell>
          <cell r="AB151">
            <v>0</v>
          </cell>
        </row>
        <row r="152">
          <cell r="A152">
            <v>44163</v>
          </cell>
          <cell r="B152" t="str">
            <v>三圓三</v>
          </cell>
          <cell r="C152" t="str">
            <v>傳產-營建</v>
          </cell>
          <cell r="D152" t="str">
            <v>8</v>
          </cell>
          <cell r="E152" t="str">
            <v>有，第一商業銀行股份有限公司</v>
          </cell>
          <cell r="F152" t="str">
            <v>有，第一商業銀行股份有限公司</v>
          </cell>
          <cell r="G152" t="str">
            <v>有擔</v>
          </cell>
          <cell r="H152" t="str">
            <v>有擔</v>
          </cell>
          <cell r="I152" t="str">
            <v>有擔</v>
          </cell>
          <cell r="J152">
            <v>-0.16273294831688992</v>
          </cell>
          <cell r="K152">
            <v>109.2</v>
          </cell>
          <cell r="L152">
            <v>93.562874251497007</v>
          </cell>
          <cell r="M152">
            <v>102.53</v>
          </cell>
          <cell r="N152">
            <v>45930</v>
          </cell>
          <cell r="O152">
            <v>0.37534246575342467</v>
          </cell>
          <cell r="P152" t="str">
            <v>&lt;1Y</v>
          </cell>
          <cell r="Q152">
            <v>9559</v>
          </cell>
          <cell r="R152">
            <v>0.95589999999999997</v>
          </cell>
          <cell r="S152">
            <v>24700000</v>
          </cell>
          <cell r="T152">
            <v>0</v>
          </cell>
          <cell r="U152">
            <v>24700000</v>
          </cell>
          <cell r="V152">
            <v>0</v>
          </cell>
          <cell r="W152">
            <v>63500000</v>
          </cell>
          <cell r="X152">
            <v>9500000</v>
          </cell>
          <cell r="Y152">
            <v>23500000</v>
          </cell>
          <cell r="Z152">
            <v>77500000</v>
          </cell>
          <cell r="AA152">
            <v>5.8068528356173621E-3</v>
          </cell>
          <cell r="AB152">
            <v>0</v>
          </cell>
        </row>
        <row r="153">
          <cell r="A153">
            <v>44382</v>
          </cell>
          <cell r="B153" t="str">
            <v>廣越二</v>
          </cell>
          <cell r="C153" t="str">
            <v>傳產-紡織纖維</v>
          </cell>
          <cell r="D153" t="str">
            <v>4</v>
          </cell>
          <cell r="E153" t="str">
            <v>無</v>
          </cell>
          <cell r="F153" t="str">
            <v>4</v>
          </cell>
          <cell r="G153" t="str">
            <v>4</v>
          </cell>
          <cell r="H153" t="str">
            <v>bbb+</v>
          </cell>
          <cell r="I153" t="str">
            <v>II: a- ~ bbb+</v>
          </cell>
          <cell r="J153">
            <v>2.6097526097522616E-3</v>
          </cell>
          <cell r="K153">
            <v>99.9</v>
          </cell>
          <cell r="L153">
            <v>70.573969280517375</v>
          </cell>
          <cell r="M153">
            <v>100</v>
          </cell>
          <cell r="N153">
            <v>45933</v>
          </cell>
          <cell r="O153">
            <v>0.38356164383561642</v>
          </cell>
          <cell r="P153" t="str">
            <v>&lt;1Y</v>
          </cell>
          <cell r="Q153">
            <v>15000</v>
          </cell>
          <cell r="R153">
            <v>1</v>
          </cell>
          <cell r="S153">
            <v>23800000</v>
          </cell>
          <cell r="T153">
            <v>0</v>
          </cell>
          <cell r="U153">
            <v>20000000</v>
          </cell>
          <cell r="V153">
            <v>11400000</v>
          </cell>
          <cell r="W153">
            <v>101200000</v>
          </cell>
          <cell r="X153">
            <v>41000000</v>
          </cell>
          <cell r="Y153">
            <v>7900000</v>
          </cell>
          <cell r="Z153">
            <v>60500000</v>
          </cell>
          <cell r="AA153">
            <v>4.5330915684496827E-3</v>
          </cell>
          <cell r="AB153">
            <v>0</v>
          </cell>
        </row>
        <row r="154">
          <cell r="A154">
            <v>44391</v>
          </cell>
          <cell r="B154" t="str">
            <v>冠星一KY</v>
          </cell>
          <cell r="C154" t="str">
            <v>傳產-紡織纖維</v>
          </cell>
          <cell r="D154" t="str">
            <v>5</v>
          </cell>
          <cell r="E154" t="str">
            <v>無</v>
          </cell>
          <cell r="F154" t="str">
            <v>5</v>
          </cell>
          <cell r="G154" t="str">
            <v>5</v>
          </cell>
          <cell r="H154" t="str">
            <v>bbb</v>
          </cell>
          <cell r="I154" t="str">
            <v>III: bbb ~ bbb-</v>
          </cell>
          <cell r="J154">
            <v>5.4387237128353649E-3</v>
          </cell>
          <cell r="K154">
            <v>98.5</v>
          </cell>
          <cell r="L154">
            <v>84.660194174757279</v>
          </cell>
          <cell r="M154">
            <v>100</v>
          </cell>
          <cell r="N154">
            <v>46815</v>
          </cell>
          <cell r="O154">
            <v>2.8</v>
          </cell>
          <cell r="P154" t="str">
            <v>&gt;2Y</v>
          </cell>
          <cell r="Q154">
            <v>5000</v>
          </cell>
          <cell r="R154">
            <v>1</v>
          </cell>
          <cell r="S154">
            <v>154800000</v>
          </cell>
          <cell r="T154">
            <v>0</v>
          </cell>
          <cell r="U154">
            <v>3000000</v>
          </cell>
          <cell r="V154">
            <v>157900000</v>
          </cell>
          <cell r="W154">
            <v>3500000</v>
          </cell>
          <cell r="X154">
            <v>0</v>
          </cell>
          <cell r="Y154">
            <v>2600000</v>
          </cell>
          <cell r="Z154">
            <v>0</v>
          </cell>
          <cell r="AA154">
            <v>0</v>
          </cell>
          <cell r="AB154">
            <v>0</v>
          </cell>
        </row>
        <row r="155">
          <cell r="A155">
            <v>45102</v>
          </cell>
          <cell r="B155" t="str">
            <v>高鋒二</v>
          </cell>
          <cell r="C155" t="str">
            <v>傳產-電機</v>
          </cell>
          <cell r="D155" t="str">
            <v>7</v>
          </cell>
          <cell r="E155" t="str">
            <v>無</v>
          </cell>
          <cell r="F155" t="str">
            <v>7</v>
          </cell>
          <cell r="G155" t="str">
            <v>7</v>
          </cell>
          <cell r="H155" t="str">
            <v>bb</v>
          </cell>
          <cell r="I155" t="str">
            <v>IV: bb+ ~ bb</v>
          </cell>
          <cell r="J155">
            <v>-4.4666023460666331E-2</v>
          </cell>
          <cell r="K155">
            <v>109.2</v>
          </cell>
          <cell r="L155">
            <v>109.14634146341464</v>
          </cell>
          <cell r="M155">
            <v>100.500625</v>
          </cell>
          <cell r="N155">
            <v>46444</v>
          </cell>
          <cell r="O155">
            <v>1.7835616438356163</v>
          </cell>
          <cell r="P155" t="str">
            <v>1Y-2Y</v>
          </cell>
          <cell r="Q155">
            <v>9000</v>
          </cell>
          <cell r="R155">
            <v>1</v>
          </cell>
          <cell r="S155">
            <v>15000000</v>
          </cell>
          <cell r="T155">
            <v>0</v>
          </cell>
          <cell r="U155">
            <v>15000000</v>
          </cell>
          <cell r="V155">
            <v>0</v>
          </cell>
          <cell r="W155">
            <v>0</v>
          </cell>
          <cell r="X155">
            <v>0</v>
          </cell>
          <cell r="Y155">
            <v>0</v>
          </cell>
          <cell r="Z155">
            <v>0</v>
          </cell>
          <cell r="AA155">
            <v>0</v>
          </cell>
          <cell r="AB155">
            <v>0</v>
          </cell>
        </row>
        <row r="156">
          <cell r="A156">
            <v>45381</v>
          </cell>
          <cell r="B156" t="str">
            <v>大詠城一</v>
          </cell>
          <cell r="C156" t="str">
            <v>傳產-電機</v>
          </cell>
          <cell r="D156" t="str">
            <v>6</v>
          </cell>
          <cell r="E156" t="str">
            <v>無</v>
          </cell>
          <cell r="F156" t="str">
            <v>6</v>
          </cell>
          <cell r="G156" t="str">
            <v>6</v>
          </cell>
          <cell r="H156" t="str">
            <v>bb+</v>
          </cell>
          <cell r="I156" t="str">
            <v>IV: bb+ ~ bb</v>
          </cell>
          <cell r="J156">
            <v>0.13577440444878641</v>
          </cell>
          <cell r="K156">
            <v>95.05</v>
          </cell>
          <cell r="L156">
            <v>100.82417582417584</v>
          </cell>
          <cell r="M156">
            <v>100</v>
          </cell>
          <cell r="N156">
            <v>45933</v>
          </cell>
          <cell r="O156">
            <v>0.38356164383561642</v>
          </cell>
          <cell r="P156" t="str">
            <v>&lt;1Y</v>
          </cell>
          <cell r="Q156">
            <v>257</v>
          </cell>
          <cell r="R156">
            <v>0.17133333333333334</v>
          </cell>
          <cell r="S156">
            <v>0</v>
          </cell>
          <cell r="T156">
            <v>0</v>
          </cell>
          <cell r="U156">
            <v>0</v>
          </cell>
          <cell r="V156">
            <v>0</v>
          </cell>
          <cell r="W156">
            <v>0</v>
          </cell>
          <cell r="X156">
            <v>0</v>
          </cell>
          <cell r="Y156">
            <v>0</v>
          </cell>
          <cell r="Z156">
            <v>0</v>
          </cell>
          <cell r="AA156">
            <v>0</v>
          </cell>
          <cell r="AB156">
            <v>0</v>
          </cell>
        </row>
        <row r="157">
          <cell r="A157">
            <v>45401</v>
          </cell>
          <cell r="B157" t="str">
            <v>全球傳動一</v>
          </cell>
          <cell r="C157" t="str">
            <v>傳產-電機</v>
          </cell>
          <cell r="D157" t="str">
            <v>7</v>
          </cell>
          <cell r="E157" t="str">
            <v>有，第一商業銀行股份有限公司</v>
          </cell>
          <cell r="F157" t="str">
            <v>有，第一商業銀行股份有限公司</v>
          </cell>
          <cell r="G157" t="str">
            <v>有擔</v>
          </cell>
          <cell r="H157" t="str">
            <v>有擔</v>
          </cell>
          <cell r="I157" t="str">
            <v>有擔</v>
          </cell>
          <cell r="J157">
            <v>-0.29570618417499328</v>
          </cell>
          <cell r="K157">
            <v>115</v>
          </cell>
          <cell r="L157">
            <v>110.92544987146529</v>
          </cell>
          <cell r="M157">
            <v>100</v>
          </cell>
          <cell r="N157">
            <v>45954</v>
          </cell>
          <cell r="O157">
            <v>0.44109589041095892</v>
          </cell>
          <cell r="P157" t="str">
            <v>&lt;1Y</v>
          </cell>
          <cell r="Q157">
            <v>944</v>
          </cell>
          <cell r="R157">
            <v>0.1888</v>
          </cell>
          <cell r="S157">
            <v>100000</v>
          </cell>
          <cell r="T157">
            <v>0</v>
          </cell>
          <cell r="U157">
            <v>0</v>
          </cell>
          <cell r="V157">
            <v>0</v>
          </cell>
          <cell r="W157">
            <v>5400000</v>
          </cell>
          <cell r="X157">
            <v>500000</v>
          </cell>
          <cell r="Y157">
            <v>700000</v>
          </cell>
          <cell r="Z157">
            <v>5700000</v>
          </cell>
          <cell r="AA157">
            <v>4.2708466016798662E-4</v>
          </cell>
          <cell r="AB157">
            <v>0</v>
          </cell>
        </row>
        <row r="158">
          <cell r="A158">
            <v>45402</v>
          </cell>
          <cell r="B158" t="str">
            <v>全球傳動二</v>
          </cell>
          <cell r="C158" t="str">
            <v>傳產-電機</v>
          </cell>
          <cell r="D158" t="str">
            <v>7</v>
          </cell>
          <cell r="E158" t="str">
            <v>無</v>
          </cell>
          <cell r="F158" t="str">
            <v>7</v>
          </cell>
          <cell r="G158" t="str">
            <v>7</v>
          </cell>
          <cell r="H158" t="str">
            <v>bb-</v>
          </cell>
          <cell r="I158" t="str">
            <v>V: bb- ~ b+</v>
          </cell>
          <cell r="J158">
            <v>-0.32500967866821528</v>
          </cell>
          <cell r="K158">
            <v>123</v>
          </cell>
          <cell r="L158">
            <v>121.54929577464787</v>
          </cell>
          <cell r="M158">
            <v>100</v>
          </cell>
          <cell r="N158">
            <v>46003</v>
          </cell>
          <cell r="O158">
            <v>0.57534246575342463</v>
          </cell>
          <cell r="P158" t="str">
            <v>&lt;1Y</v>
          </cell>
          <cell r="Q158">
            <v>310</v>
          </cell>
          <cell r="R158">
            <v>0.10333333333333333</v>
          </cell>
          <cell r="S158">
            <v>0</v>
          </cell>
          <cell r="T158">
            <v>0</v>
          </cell>
          <cell r="U158">
            <v>0</v>
          </cell>
          <cell r="V158">
            <v>100000</v>
          </cell>
          <cell r="W158">
            <v>0</v>
          </cell>
          <cell r="X158">
            <v>0</v>
          </cell>
          <cell r="Y158">
            <v>100000</v>
          </cell>
          <cell r="Z158">
            <v>0</v>
          </cell>
          <cell r="AA158">
            <v>0</v>
          </cell>
          <cell r="AB158">
            <v>0</v>
          </cell>
        </row>
        <row r="159">
          <cell r="A159">
            <v>45421</v>
          </cell>
          <cell r="B159" t="str">
            <v>科嶠一</v>
          </cell>
          <cell r="C159" t="str">
            <v>電子中游-儀器設備工程</v>
          </cell>
          <cell r="D159" t="str">
            <v>7</v>
          </cell>
          <cell r="E159" t="str">
            <v>無</v>
          </cell>
          <cell r="F159" t="str">
            <v>7</v>
          </cell>
          <cell r="G159" t="str">
            <v>7</v>
          </cell>
          <cell r="H159" t="str">
            <v>bb</v>
          </cell>
          <cell r="I159" t="str">
            <v>IV: bb+ ~ bb</v>
          </cell>
          <cell r="J159">
            <v>4.2200462453204121E-2</v>
          </cell>
          <cell r="K159">
            <v>95</v>
          </cell>
          <cell r="L159">
            <v>71.362048894062852</v>
          </cell>
          <cell r="M159">
            <v>100.25020000000001</v>
          </cell>
          <cell r="N159">
            <v>46271</v>
          </cell>
          <cell r="O159">
            <v>1.3095890410958904</v>
          </cell>
          <cell r="P159" t="str">
            <v>1Y-2Y</v>
          </cell>
          <cell r="Q159">
            <v>2967</v>
          </cell>
          <cell r="R159">
            <v>0.98899999999999999</v>
          </cell>
          <cell r="S159">
            <v>0</v>
          </cell>
          <cell r="T159">
            <v>0</v>
          </cell>
          <cell r="U159">
            <v>0</v>
          </cell>
          <cell r="V159">
            <v>0</v>
          </cell>
          <cell r="W159">
            <v>0</v>
          </cell>
          <cell r="X159">
            <v>0</v>
          </cell>
          <cell r="Y159">
            <v>0</v>
          </cell>
          <cell r="Z159">
            <v>0</v>
          </cell>
          <cell r="AA159">
            <v>0</v>
          </cell>
          <cell r="AB159">
            <v>0</v>
          </cell>
        </row>
        <row r="160">
          <cell r="A160">
            <v>45491</v>
          </cell>
          <cell r="B160" t="str">
            <v>桓達一</v>
          </cell>
          <cell r="C160" t="str">
            <v>傳產-電機</v>
          </cell>
          <cell r="D160" t="str">
            <v>5</v>
          </cell>
          <cell r="E160" t="str">
            <v>無</v>
          </cell>
          <cell r="F160" t="str">
            <v>5</v>
          </cell>
          <cell r="G160" t="str">
            <v>5</v>
          </cell>
          <cell r="H160" t="str">
            <v>bbb</v>
          </cell>
          <cell r="I160" t="str">
            <v>III: bbb ~ bbb-</v>
          </cell>
          <cell r="J160">
            <v>-2.461546442559593E-2</v>
          </cell>
          <cell r="K160">
            <v>106.5</v>
          </cell>
          <cell r="L160">
            <v>76.828518746158579</v>
          </cell>
          <cell r="M160">
            <v>100</v>
          </cell>
          <cell r="N160">
            <v>46698</v>
          </cell>
          <cell r="O160">
            <v>2.4794520547945207</v>
          </cell>
          <cell r="P160" t="str">
            <v>&gt;2Y</v>
          </cell>
          <cell r="Q160">
            <v>5000</v>
          </cell>
          <cell r="R160">
            <v>1</v>
          </cell>
          <cell r="S160">
            <v>0</v>
          </cell>
          <cell r="T160">
            <v>0</v>
          </cell>
          <cell r="U160">
            <v>0</v>
          </cell>
          <cell r="V160">
            <v>0</v>
          </cell>
          <cell r="W160">
            <v>1700000</v>
          </cell>
          <cell r="X160">
            <v>1700000</v>
          </cell>
          <cell r="Y160">
            <v>0</v>
          </cell>
          <cell r="Z160">
            <v>0</v>
          </cell>
          <cell r="AA160">
            <v>0</v>
          </cell>
          <cell r="AB160">
            <v>0</v>
          </cell>
        </row>
        <row r="161">
          <cell r="A161">
            <v>45553</v>
          </cell>
          <cell r="B161" t="str">
            <v>氣立三</v>
          </cell>
          <cell r="C161" t="str">
            <v>傳產-電機</v>
          </cell>
          <cell r="D161" t="str">
            <v>6</v>
          </cell>
          <cell r="E161" t="str">
            <v>有，彰化商業銀行</v>
          </cell>
          <cell r="F161" t="str">
            <v>有，彰化商業銀行</v>
          </cell>
          <cell r="G161" t="str">
            <v>有擔</v>
          </cell>
          <cell r="H161" t="str">
            <v>有擔</v>
          </cell>
          <cell r="I161" t="str">
            <v>有擔</v>
          </cell>
          <cell r="J161">
            <v>4.2829792490118507E-2</v>
          </cell>
          <cell r="K161">
            <v>101.2</v>
          </cell>
          <cell r="L161">
            <v>74.553571428571431</v>
          </cell>
          <cell r="M161">
            <v>102.53</v>
          </cell>
          <cell r="N161">
            <v>45905</v>
          </cell>
          <cell r="O161">
            <v>0.30684931506849317</v>
          </cell>
          <cell r="P161" t="str">
            <v>&lt;1Y</v>
          </cell>
          <cell r="Q161">
            <v>5621</v>
          </cell>
          <cell r="R161">
            <v>0.9368333333333333</v>
          </cell>
          <cell r="S161">
            <v>1600000</v>
          </cell>
          <cell r="T161">
            <v>0</v>
          </cell>
          <cell r="U161">
            <v>0</v>
          </cell>
          <cell r="V161">
            <v>0</v>
          </cell>
          <cell r="W161">
            <v>34600000</v>
          </cell>
          <cell r="X161">
            <v>1000000</v>
          </cell>
          <cell r="Y161">
            <v>2400000</v>
          </cell>
          <cell r="Z161">
            <v>37600000</v>
          </cell>
          <cell r="AA161">
            <v>2.8172602144414557E-3</v>
          </cell>
          <cell r="AB161">
            <v>0</v>
          </cell>
        </row>
        <row r="162">
          <cell r="A162">
            <v>45641</v>
          </cell>
          <cell r="B162" t="str">
            <v>元翎一</v>
          </cell>
          <cell r="C162" t="str">
            <v>傳產-其他</v>
          </cell>
          <cell r="D162">
            <v>6</v>
          </cell>
          <cell r="E162" t="str">
            <v>無</v>
          </cell>
          <cell r="F162">
            <v>6</v>
          </cell>
          <cell r="G162">
            <v>6</v>
          </cell>
          <cell r="H162" t="str">
            <v>bbb</v>
          </cell>
          <cell r="I162" t="str">
            <v>III: bbb ~ bbb-</v>
          </cell>
          <cell r="J162">
            <v>7.0937179295246913E-2</v>
          </cell>
          <cell r="K162">
            <v>92.55</v>
          </cell>
          <cell r="L162">
            <v>68.560606060606062</v>
          </cell>
          <cell r="M162">
            <v>101.50749999999999</v>
          </cell>
          <cell r="N162">
            <v>46291</v>
          </cell>
          <cell r="O162">
            <v>1.3643835616438356</v>
          </cell>
          <cell r="P162" t="str">
            <v>1Y-2Y</v>
          </cell>
          <cell r="Q162">
            <v>5500</v>
          </cell>
          <cell r="R162">
            <v>1</v>
          </cell>
          <cell r="S162">
            <v>12000000</v>
          </cell>
          <cell r="T162">
            <v>0</v>
          </cell>
          <cell r="U162">
            <v>10000000</v>
          </cell>
          <cell r="V162">
            <v>2000000</v>
          </cell>
          <cell r="W162">
            <v>0</v>
          </cell>
          <cell r="X162">
            <v>0</v>
          </cell>
          <cell r="Y162">
            <v>0</v>
          </cell>
          <cell r="Z162">
            <v>0</v>
          </cell>
          <cell r="AA162">
            <v>0</v>
          </cell>
          <cell r="AB162">
            <v>0</v>
          </cell>
        </row>
        <row r="163">
          <cell r="A163">
            <v>45663</v>
          </cell>
          <cell r="B163" t="str">
            <v>時碩工業三</v>
          </cell>
          <cell r="C163" t="str">
            <v>傳產-汽車零組件</v>
          </cell>
          <cell r="D163" t="str">
            <v>5</v>
          </cell>
          <cell r="E163" t="str">
            <v>無</v>
          </cell>
          <cell r="F163" t="str">
            <v>5</v>
          </cell>
          <cell r="G163" t="str">
            <v>5</v>
          </cell>
          <cell r="H163" t="str">
            <v>bbb</v>
          </cell>
          <cell r="I163" t="str">
            <v>III: bbb ~ bbb-</v>
          </cell>
          <cell r="J163">
            <v>-0.13035714285714284</v>
          </cell>
          <cell r="K163">
            <v>125</v>
          </cell>
          <cell r="L163">
            <v>127.41935483870968</v>
          </cell>
          <cell r="M163">
            <v>100</v>
          </cell>
          <cell r="N163">
            <v>46353</v>
          </cell>
          <cell r="O163">
            <v>1.5342465753424657</v>
          </cell>
          <cell r="P163" t="str">
            <v>1Y-2Y</v>
          </cell>
          <cell r="Q163">
            <v>417</v>
          </cell>
          <cell r="R163">
            <v>5.2124999999999998E-2</v>
          </cell>
          <cell r="S163">
            <v>400000</v>
          </cell>
          <cell r="T163">
            <v>0</v>
          </cell>
          <cell r="U163">
            <v>0</v>
          </cell>
          <cell r="V163">
            <v>0</v>
          </cell>
          <cell r="W163">
            <v>4900000</v>
          </cell>
          <cell r="X163">
            <v>4900000</v>
          </cell>
          <cell r="Y163">
            <v>0</v>
          </cell>
          <cell r="Z163">
            <v>400000</v>
          </cell>
          <cell r="AA163">
            <v>2.997085334512187E-5</v>
          </cell>
          <cell r="AB163">
            <v>0</v>
          </cell>
        </row>
        <row r="164">
          <cell r="A164">
            <v>45691</v>
          </cell>
          <cell r="B164" t="str">
            <v>六方科二KY</v>
          </cell>
          <cell r="C164" t="e">
            <v>#N/A</v>
          </cell>
          <cell r="D164" t="str">
            <v>6</v>
          </cell>
          <cell r="E164" t="str">
            <v>無</v>
          </cell>
          <cell r="F164" t="str">
            <v>6</v>
          </cell>
          <cell r="G164" t="str">
            <v>6</v>
          </cell>
          <cell r="H164" t="str">
            <v>bb+</v>
          </cell>
          <cell r="I164" t="str">
            <v>IV: bb+ ~ bb</v>
          </cell>
          <cell r="J164">
            <v>0</v>
          </cell>
          <cell r="K164">
            <v>100</v>
          </cell>
          <cell r="L164">
            <v>69.339622641509436</v>
          </cell>
          <cell r="M164">
            <v>100</v>
          </cell>
          <cell r="N164">
            <v>46767</v>
          </cell>
          <cell r="O164">
            <v>2.6684931506849314</v>
          </cell>
          <cell r="P164" t="str">
            <v>&gt;2Y</v>
          </cell>
          <cell r="Q164">
            <v>5000</v>
          </cell>
          <cell r="R164">
            <v>1</v>
          </cell>
          <cell r="S164">
            <v>79400000</v>
          </cell>
          <cell r="T164">
            <v>0</v>
          </cell>
          <cell r="U164">
            <v>45800000</v>
          </cell>
          <cell r="V164">
            <v>33600000</v>
          </cell>
          <cell r="W164">
            <v>0</v>
          </cell>
          <cell r="X164">
            <v>0</v>
          </cell>
          <cell r="Y164">
            <v>0</v>
          </cell>
          <cell r="Z164">
            <v>0</v>
          </cell>
          <cell r="AA164">
            <v>0</v>
          </cell>
          <cell r="AB164">
            <v>0</v>
          </cell>
        </row>
        <row r="165">
          <cell r="A165">
            <v>45721</v>
          </cell>
          <cell r="B165" t="str">
            <v>駐龍一</v>
          </cell>
          <cell r="C165" t="str">
            <v>傳產-電機</v>
          </cell>
          <cell r="D165" t="str">
            <v>6</v>
          </cell>
          <cell r="E165" t="str">
            <v>無</v>
          </cell>
          <cell r="F165" t="str">
            <v>6</v>
          </cell>
          <cell r="G165" t="str">
            <v>6</v>
          </cell>
          <cell r="H165" t="str">
            <v>bb+</v>
          </cell>
          <cell r="I165" t="str">
            <v>IV: bb+ ~ bb</v>
          </cell>
          <cell r="J165">
            <v>-0.12135042011727011</v>
          </cell>
          <cell r="K165">
            <v>116.5</v>
          </cell>
          <cell r="L165">
            <v>108.78537735849056</v>
          </cell>
          <cell r="M165">
            <v>100</v>
          </cell>
          <cell r="N165">
            <v>46219</v>
          </cell>
          <cell r="O165">
            <v>1.167123287671233</v>
          </cell>
          <cell r="P165" t="str">
            <v>1Y-2Y</v>
          </cell>
          <cell r="Q165">
            <v>5000</v>
          </cell>
          <cell r="R165">
            <v>1</v>
          </cell>
          <cell r="S165">
            <v>70400000</v>
          </cell>
          <cell r="T165">
            <v>0</v>
          </cell>
          <cell r="U165">
            <v>66200000</v>
          </cell>
          <cell r="V165">
            <v>5000000</v>
          </cell>
          <cell r="W165">
            <v>13500000</v>
          </cell>
          <cell r="X165">
            <v>12200000</v>
          </cell>
          <cell r="Y165">
            <v>0</v>
          </cell>
          <cell r="Z165">
            <v>500000</v>
          </cell>
          <cell r="AA165">
            <v>3.7463566681402334E-5</v>
          </cell>
          <cell r="AB165">
            <v>0</v>
          </cell>
        </row>
        <row r="166">
          <cell r="A166">
            <v>47393</v>
          </cell>
          <cell r="B166" t="str">
            <v>康普三</v>
          </cell>
          <cell r="C166" t="str">
            <v>傳產-化學工業</v>
          </cell>
          <cell r="D166" t="str">
            <v>5</v>
          </cell>
          <cell r="E166" t="str">
            <v>有，彰化商業銀行股份有限公司</v>
          </cell>
          <cell r="F166" t="str">
            <v>有，彰化商業銀行股份有限公司</v>
          </cell>
          <cell r="G166" t="str">
            <v>有擔</v>
          </cell>
          <cell r="H166" t="str">
            <v>有擔</v>
          </cell>
          <cell r="I166" t="str">
            <v>有擔</v>
          </cell>
          <cell r="J166">
            <v>-4.445170058421731E-2</v>
          </cell>
          <cell r="K166">
            <v>106.9</v>
          </cell>
          <cell r="L166">
            <v>49.552238805970141</v>
          </cell>
          <cell r="M166">
            <v>100</v>
          </cell>
          <cell r="N166">
            <v>46323</v>
          </cell>
          <cell r="O166">
            <v>1.452054794520548</v>
          </cell>
          <cell r="P166" t="str">
            <v>1Y-2Y</v>
          </cell>
          <cell r="Q166">
            <v>6945</v>
          </cell>
          <cell r="R166">
            <v>0.9921428571428571</v>
          </cell>
          <cell r="S166">
            <v>158300000</v>
          </cell>
          <cell r="T166">
            <v>0</v>
          </cell>
          <cell r="U166">
            <v>11000000</v>
          </cell>
          <cell r="V166">
            <v>0</v>
          </cell>
          <cell r="W166">
            <v>12200000</v>
          </cell>
          <cell r="X166">
            <v>2000000</v>
          </cell>
          <cell r="Y166">
            <v>1600000</v>
          </cell>
          <cell r="Z166">
            <v>159100000</v>
          </cell>
          <cell r="AA166">
            <v>1.1920906918022223E-2</v>
          </cell>
          <cell r="AB166">
            <v>0</v>
          </cell>
        </row>
        <row r="167">
          <cell r="A167">
            <v>47442</v>
          </cell>
          <cell r="B167" t="str">
            <v>皇將二</v>
          </cell>
          <cell r="C167" t="str">
            <v>傳產-生技</v>
          </cell>
          <cell r="D167" t="str">
            <v>7</v>
          </cell>
          <cell r="E167" t="str">
            <v>有，臺灣土地銀行股份有限公司</v>
          </cell>
          <cell r="F167" t="str">
            <v>有，臺灣土地銀行股份有限公司</v>
          </cell>
          <cell r="G167" t="str">
            <v>有擔</v>
          </cell>
          <cell r="H167" t="str">
            <v>有擔</v>
          </cell>
          <cell r="I167" t="str">
            <v>有擔</v>
          </cell>
          <cell r="J167">
            <v>-8.8581482829753269E-3</v>
          </cell>
          <cell r="K167">
            <v>100.5</v>
          </cell>
          <cell r="L167">
            <v>83.593749999999986</v>
          </cell>
          <cell r="M167">
            <v>100</v>
          </cell>
          <cell r="N167">
            <v>45998</v>
          </cell>
          <cell r="O167">
            <v>0.56164383561643838</v>
          </cell>
          <cell r="P167" t="str">
            <v>&lt;1Y</v>
          </cell>
          <cell r="Q167">
            <v>497</v>
          </cell>
          <cell r="R167">
            <v>0.33133333333333331</v>
          </cell>
          <cell r="S167">
            <v>5200000</v>
          </cell>
          <cell r="T167">
            <v>0</v>
          </cell>
          <cell r="U167">
            <v>0</v>
          </cell>
          <cell r="V167">
            <v>0</v>
          </cell>
          <cell r="W167">
            <v>100000</v>
          </cell>
          <cell r="X167">
            <v>0</v>
          </cell>
          <cell r="Y167">
            <v>0</v>
          </cell>
          <cell r="Z167">
            <v>5300000</v>
          </cell>
          <cell r="AA167">
            <v>3.9711380682286475E-4</v>
          </cell>
          <cell r="AB167">
            <v>0</v>
          </cell>
        </row>
        <row r="168">
          <cell r="A168">
            <v>47471</v>
          </cell>
          <cell r="B168" t="str">
            <v>強生一</v>
          </cell>
          <cell r="C168" t="str">
            <v>傳產-生技</v>
          </cell>
          <cell r="D168" t="str">
            <v>6</v>
          </cell>
          <cell r="E168" t="str">
            <v>無</v>
          </cell>
          <cell r="F168" t="str">
            <v>6</v>
          </cell>
          <cell r="G168" t="str">
            <v>6</v>
          </cell>
          <cell r="H168" t="str">
            <v>bb+</v>
          </cell>
          <cell r="I168" t="str">
            <v>IV: bb+ ~ bb</v>
          </cell>
          <cell r="J168">
            <v>-0.2036830357142857</v>
          </cell>
          <cell r="K168">
            <v>128</v>
          </cell>
          <cell r="L168">
            <v>114.49133137062479</v>
          </cell>
          <cell r="M168">
            <v>100</v>
          </cell>
          <cell r="N168">
            <v>46185</v>
          </cell>
          <cell r="O168">
            <v>1.0739726027397261</v>
          </cell>
          <cell r="P168" t="str">
            <v>1Y-2Y</v>
          </cell>
          <cell r="Q168">
            <v>930</v>
          </cell>
          <cell r="R168">
            <v>0.23250000000000001</v>
          </cell>
          <cell r="S168">
            <v>0</v>
          </cell>
          <cell r="T168">
            <v>0</v>
          </cell>
          <cell r="U168">
            <v>0</v>
          </cell>
          <cell r="V168">
            <v>0</v>
          </cell>
          <cell r="W168">
            <v>0</v>
          </cell>
          <cell r="X168">
            <v>0</v>
          </cell>
          <cell r="Y168">
            <v>0</v>
          </cell>
          <cell r="Z168">
            <v>0</v>
          </cell>
          <cell r="AA168">
            <v>0</v>
          </cell>
          <cell r="AB168">
            <v>0</v>
          </cell>
        </row>
        <row r="169">
          <cell r="A169">
            <v>49066</v>
          </cell>
          <cell r="B169" t="str">
            <v>正文六</v>
          </cell>
          <cell r="C169" t="str">
            <v>電子中游-網通</v>
          </cell>
          <cell r="D169" t="str">
            <v>5</v>
          </cell>
          <cell r="E169" t="str">
            <v>無</v>
          </cell>
          <cell r="F169" t="str">
            <v>5</v>
          </cell>
          <cell r="G169" t="str">
            <v>5</v>
          </cell>
          <cell r="H169" t="str">
            <v>bbb</v>
          </cell>
          <cell r="I169" t="str">
            <v>III: bbb ~ bbb-</v>
          </cell>
          <cell r="J169">
            <v>-1.7382580420703317</v>
          </cell>
          <cell r="K169">
            <v>109.9</v>
          </cell>
          <cell r="L169">
            <v>97.517730496453908</v>
          </cell>
          <cell r="M169">
            <v>101.0025</v>
          </cell>
          <cell r="N169">
            <v>45810</v>
          </cell>
          <cell r="O169">
            <v>4.6575342465753428E-2</v>
          </cell>
          <cell r="P169" t="str">
            <v>&lt;1Y</v>
          </cell>
          <cell r="Q169">
            <v>6452</v>
          </cell>
          <cell r="R169">
            <v>0.43013333333333331</v>
          </cell>
          <cell r="S169">
            <v>35600000</v>
          </cell>
          <cell r="T169">
            <v>0</v>
          </cell>
          <cell r="U169">
            <v>35600000</v>
          </cell>
          <cell r="V169">
            <v>0</v>
          </cell>
          <cell r="W169">
            <v>5700000</v>
          </cell>
          <cell r="X169">
            <v>5700000</v>
          </cell>
          <cell r="Y169">
            <v>0</v>
          </cell>
          <cell r="Z169">
            <v>0</v>
          </cell>
          <cell r="AA169">
            <v>0</v>
          </cell>
          <cell r="AB169">
            <v>0</v>
          </cell>
        </row>
        <row r="170">
          <cell r="A170">
            <v>49163</v>
          </cell>
          <cell r="B170" t="str">
            <v>事欣科三</v>
          </cell>
          <cell r="C170" t="str">
            <v>電子下游-工業電腦</v>
          </cell>
          <cell r="D170" t="str">
            <v>7</v>
          </cell>
          <cell r="E170" t="str">
            <v>無</v>
          </cell>
          <cell r="F170" t="str">
            <v>7</v>
          </cell>
          <cell r="G170" t="str">
            <v>7</v>
          </cell>
          <cell r="H170" t="str">
            <v>bb</v>
          </cell>
          <cell r="I170" t="str">
            <v>IV: bb+ ~ bb</v>
          </cell>
          <cell r="J170">
            <v>-0.4380665340956168</v>
          </cell>
          <cell r="K170">
            <v>162</v>
          </cell>
          <cell r="L170">
            <v>160.93189964157705</v>
          </cell>
          <cell r="M170">
            <v>104.06</v>
          </cell>
          <cell r="N170">
            <v>46091</v>
          </cell>
          <cell r="O170">
            <v>0.81643835616438354</v>
          </cell>
          <cell r="P170" t="str">
            <v>&lt;1Y</v>
          </cell>
          <cell r="Q170">
            <v>127</v>
          </cell>
          <cell r="R170">
            <v>2.5399999999999999E-2</v>
          </cell>
          <cell r="S170">
            <v>0</v>
          </cell>
          <cell r="T170">
            <v>0</v>
          </cell>
          <cell r="U170">
            <v>0</v>
          </cell>
          <cell r="V170">
            <v>0</v>
          </cell>
          <cell r="W170">
            <v>0</v>
          </cell>
          <cell r="X170">
            <v>0</v>
          </cell>
          <cell r="Y170">
            <v>0</v>
          </cell>
          <cell r="Z170">
            <v>0</v>
          </cell>
          <cell r="AA170">
            <v>0</v>
          </cell>
          <cell r="AB170">
            <v>0</v>
          </cell>
        </row>
        <row r="171">
          <cell r="A171">
            <v>49164</v>
          </cell>
          <cell r="B171" t="str">
            <v>事欣科四</v>
          </cell>
          <cell r="C171" t="str">
            <v>電子下游-工業電腦</v>
          </cell>
          <cell r="D171" t="str">
            <v>7</v>
          </cell>
          <cell r="E171" t="str">
            <v>無</v>
          </cell>
          <cell r="F171" t="str">
            <v>7</v>
          </cell>
          <cell r="G171" t="str">
            <v>7</v>
          </cell>
          <cell r="H171" t="str">
            <v>bb</v>
          </cell>
          <cell r="I171" t="str">
            <v>IV: bb+ ~ bb</v>
          </cell>
          <cell r="J171">
            <v>-0.18343148802512754</v>
          </cell>
          <cell r="K171">
            <v>127.35</v>
          </cell>
          <cell r="L171">
            <v>130.29599535693558</v>
          </cell>
          <cell r="M171">
            <v>103.03</v>
          </cell>
          <cell r="N171">
            <v>46173</v>
          </cell>
          <cell r="O171">
            <v>1.0410958904109588</v>
          </cell>
          <cell r="P171" t="str">
            <v>1Y-2Y</v>
          </cell>
          <cell r="Q171">
            <v>469</v>
          </cell>
          <cell r="R171">
            <v>0.11724999999999999</v>
          </cell>
          <cell r="S171">
            <v>0</v>
          </cell>
          <cell r="T171">
            <v>0</v>
          </cell>
          <cell r="U171">
            <v>0</v>
          </cell>
          <cell r="V171">
            <v>0</v>
          </cell>
          <cell r="W171">
            <v>0</v>
          </cell>
          <cell r="X171">
            <v>0</v>
          </cell>
          <cell r="Y171">
            <v>0</v>
          </cell>
          <cell r="Z171">
            <v>0</v>
          </cell>
          <cell r="AA171">
            <v>0</v>
          </cell>
          <cell r="AB171">
            <v>0</v>
          </cell>
        </row>
        <row r="172">
          <cell r="A172">
            <v>49165</v>
          </cell>
          <cell r="B172" t="str">
            <v>事欣科五</v>
          </cell>
          <cell r="C172" t="str">
            <v>電子下游-工業電腦</v>
          </cell>
          <cell r="D172" t="str">
            <v>7</v>
          </cell>
          <cell r="E172" t="str">
            <v>無</v>
          </cell>
          <cell r="F172" t="str">
            <v>7</v>
          </cell>
          <cell r="G172" t="str">
            <v>7</v>
          </cell>
          <cell r="H172" t="str">
            <v>bb</v>
          </cell>
          <cell r="I172" t="str">
            <v>IV: bb+ ~ bb</v>
          </cell>
          <cell r="J172">
            <v>-3.6417957042957028E-2</v>
          </cell>
          <cell r="K172">
            <v>110</v>
          </cell>
          <cell r="L172">
            <v>103.69515011547345</v>
          </cell>
          <cell r="M172">
            <v>102.01</v>
          </cell>
          <cell r="N172">
            <v>46521</v>
          </cell>
          <cell r="O172">
            <v>1.9945205479452055</v>
          </cell>
          <cell r="P172" t="str">
            <v>1Y-2Y</v>
          </cell>
          <cell r="Q172">
            <v>0</v>
          </cell>
          <cell r="R172">
            <v>0</v>
          </cell>
          <cell r="S172">
            <v>0</v>
          </cell>
          <cell r="T172">
            <v>0</v>
          </cell>
          <cell r="U172">
            <v>0</v>
          </cell>
          <cell r="V172">
            <v>0</v>
          </cell>
          <cell r="W172">
            <v>0</v>
          </cell>
          <cell r="X172">
            <v>0</v>
          </cell>
          <cell r="Y172">
            <v>0</v>
          </cell>
          <cell r="Z172">
            <v>0</v>
          </cell>
          <cell r="AA172">
            <v>0</v>
          </cell>
          <cell r="AB172">
            <v>0</v>
          </cell>
        </row>
        <row r="173">
          <cell r="A173">
            <v>49681</v>
          </cell>
          <cell r="B173" t="str">
            <v>立積一</v>
          </cell>
          <cell r="C173" t="str">
            <v>電子上游-IC-設計</v>
          </cell>
          <cell r="D173" t="str">
            <v>5</v>
          </cell>
          <cell r="E173" t="str">
            <v>無</v>
          </cell>
          <cell r="F173" t="str">
            <v>5</v>
          </cell>
          <cell r="G173" t="str">
            <v>5</v>
          </cell>
          <cell r="H173" t="str">
            <v>bbb-</v>
          </cell>
          <cell r="I173" t="str">
            <v>III: bbb ~ bbb-</v>
          </cell>
          <cell r="J173">
            <v>-0.3205273997700368</v>
          </cell>
          <cell r="K173">
            <v>106.95</v>
          </cell>
          <cell r="L173">
            <v>98.53479853479854</v>
          </cell>
          <cell r="M173">
            <v>100</v>
          </cell>
          <cell r="N173">
            <v>45867</v>
          </cell>
          <cell r="O173">
            <v>0.20273972602739726</v>
          </cell>
          <cell r="P173" t="str">
            <v>&lt;1Y</v>
          </cell>
          <cell r="Q173">
            <v>214</v>
          </cell>
          <cell r="R173">
            <v>7.1333333333333332E-2</v>
          </cell>
          <cell r="S173">
            <v>0</v>
          </cell>
          <cell r="T173">
            <v>0</v>
          </cell>
          <cell r="U173">
            <v>0</v>
          </cell>
          <cell r="V173">
            <v>0</v>
          </cell>
          <cell r="W173">
            <v>200000</v>
          </cell>
          <cell r="X173">
            <v>200000</v>
          </cell>
          <cell r="Y173">
            <v>0</v>
          </cell>
          <cell r="Z173">
            <v>0</v>
          </cell>
          <cell r="AA173">
            <v>0</v>
          </cell>
          <cell r="AB173">
            <v>0</v>
          </cell>
        </row>
        <row r="174">
          <cell r="A174">
            <v>49793</v>
          </cell>
          <cell r="B174" t="str">
            <v>華星光三</v>
          </cell>
          <cell r="C174" t="str">
            <v>電子中游-通訊設備</v>
          </cell>
          <cell r="D174" t="str">
            <v>6</v>
          </cell>
          <cell r="E174" t="str">
            <v>無</v>
          </cell>
          <cell r="F174" t="str">
            <v>6</v>
          </cell>
          <cell r="G174" t="str">
            <v>6</v>
          </cell>
          <cell r="H174" t="str">
            <v>bb+</v>
          </cell>
          <cell r="I174" t="str">
            <v>IV: bb+ ~ bb</v>
          </cell>
          <cell r="J174">
            <v>-7.7669314381270949E-2</v>
          </cell>
          <cell r="K174">
            <v>115</v>
          </cell>
          <cell r="L174">
            <v>94.382022471910105</v>
          </cell>
          <cell r="M174">
            <v>101.0025</v>
          </cell>
          <cell r="N174">
            <v>46365</v>
          </cell>
          <cell r="O174">
            <v>1.5671232876712329</v>
          </cell>
          <cell r="P174" t="str">
            <v>1Y-2Y</v>
          </cell>
          <cell r="Q174">
            <v>6000</v>
          </cell>
          <cell r="R174">
            <v>1</v>
          </cell>
          <cell r="S174">
            <v>0</v>
          </cell>
          <cell r="T174">
            <v>0</v>
          </cell>
          <cell r="U174">
            <v>0</v>
          </cell>
          <cell r="V174">
            <v>1800000</v>
          </cell>
          <cell r="W174">
            <v>3100000</v>
          </cell>
          <cell r="X174">
            <v>1700000</v>
          </cell>
          <cell r="Y174">
            <v>400000</v>
          </cell>
          <cell r="Z174">
            <v>0</v>
          </cell>
          <cell r="AA174">
            <v>0</v>
          </cell>
          <cell r="AB174">
            <v>0</v>
          </cell>
        </row>
        <row r="175">
          <cell r="A175">
            <v>49794</v>
          </cell>
          <cell r="B175" t="str">
            <v>華星光四</v>
          </cell>
          <cell r="C175" t="str">
            <v>電子中游-通訊設備</v>
          </cell>
          <cell r="D175" t="str">
            <v>6</v>
          </cell>
          <cell r="E175" t="str">
            <v>無</v>
          </cell>
          <cell r="F175" t="str">
            <v>6</v>
          </cell>
          <cell r="G175" t="str">
            <v>6</v>
          </cell>
          <cell r="H175" t="str">
            <v>bb+</v>
          </cell>
          <cell r="I175" t="str">
            <v>IV: bb+ ~ bb</v>
          </cell>
          <cell r="J175">
            <v>-2.9559442824748979E-2</v>
          </cell>
          <cell r="K175">
            <v>105</v>
          </cell>
          <cell r="L175">
            <v>81.553398058252426</v>
          </cell>
          <cell r="M175">
            <v>100</v>
          </cell>
          <cell r="N175">
            <v>46381</v>
          </cell>
          <cell r="O175">
            <v>1.6109589041095891</v>
          </cell>
          <cell r="P175" t="str">
            <v>1Y-2Y</v>
          </cell>
          <cell r="Q175">
            <v>2000</v>
          </cell>
          <cell r="R175">
            <v>1</v>
          </cell>
          <cell r="S175">
            <v>13800000</v>
          </cell>
          <cell r="T175">
            <v>0</v>
          </cell>
          <cell r="U175">
            <v>0</v>
          </cell>
          <cell r="V175">
            <v>14200000</v>
          </cell>
          <cell r="W175">
            <v>1300000</v>
          </cell>
          <cell r="X175">
            <v>1100000</v>
          </cell>
          <cell r="Y175">
            <v>300000</v>
          </cell>
          <cell r="Z175">
            <v>100000</v>
          </cell>
          <cell r="AA175">
            <v>7.4927133362804674E-6</v>
          </cell>
          <cell r="AB175">
            <v>0</v>
          </cell>
        </row>
        <row r="176">
          <cell r="A176">
            <v>50097</v>
          </cell>
          <cell r="B176" t="str">
            <v>榮剛七</v>
          </cell>
          <cell r="C176" t="str">
            <v>傳產-鋼鐵</v>
          </cell>
          <cell r="D176" t="str">
            <v>4</v>
          </cell>
          <cell r="E176" t="str">
            <v>無</v>
          </cell>
          <cell r="F176" t="str">
            <v>4</v>
          </cell>
          <cell r="G176" t="str">
            <v>4</v>
          </cell>
          <cell r="H176" t="str">
            <v>bbb+</v>
          </cell>
          <cell r="I176" t="str">
            <v>II: a- ~ bbb+</v>
          </cell>
          <cell r="J176">
            <v>-1.9816195709052818E-2</v>
          </cell>
          <cell r="K176">
            <v>104</v>
          </cell>
          <cell r="L176">
            <v>84.823091247672238</v>
          </cell>
          <cell r="M176">
            <v>101.51</v>
          </cell>
          <cell r="N176">
            <v>46234</v>
          </cell>
          <cell r="O176">
            <v>1.2082191780821918</v>
          </cell>
          <cell r="P176" t="str">
            <v>1Y-2Y</v>
          </cell>
          <cell r="Q176">
            <v>49999</v>
          </cell>
          <cell r="R176">
            <v>0.99997999999999998</v>
          </cell>
          <cell r="S176">
            <v>196200000</v>
          </cell>
          <cell r="T176">
            <v>0</v>
          </cell>
          <cell r="U176">
            <v>194400000</v>
          </cell>
          <cell r="V176">
            <v>76800000</v>
          </cell>
          <cell r="W176">
            <v>120100000</v>
          </cell>
          <cell r="X176">
            <v>56000000</v>
          </cell>
          <cell r="Y176">
            <v>11900000</v>
          </cell>
          <cell r="Z176">
            <v>1000000</v>
          </cell>
          <cell r="AA176">
            <v>7.4927133362804669E-5</v>
          </cell>
          <cell r="AB176">
            <v>0</v>
          </cell>
        </row>
        <row r="177">
          <cell r="A177">
            <v>50114</v>
          </cell>
          <cell r="B177" t="str">
            <v>久陽四</v>
          </cell>
          <cell r="C177" t="str">
            <v>傳產-鋼鐵</v>
          </cell>
          <cell r="D177" t="str">
            <v>7</v>
          </cell>
          <cell r="E177" t="str">
            <v>無</v>
          </cell>
          <cell r="F177" t="str">
            <v>7</v>
          </cell>
          <cell r="G177" t="str">
            <v>7</v>
          </cell>
          <cell r="H177" t="str">
            <v>bb</v>
          </cell>
          <cell r="I177" t="str">
            <v>IV: bb+ ~ bb</v>
          </cell>
          <cell r="J177">
            <v>4.8189606624205641E-2</v>
          </cell>
          <cell r="K177">
            <v>100.45</v>
          </cell>
          <cell r="L177">
            <v>62.761506276150634</v>
          </cell>
          <cell r="M177">
            <v>102.26690000000001</v>
          </cell>
          <cell r="N177">
            <v>45930</v>
          </cell>
          <cell r="O177">
            <v>0.37534246575342467</v>
          </cell>
          <cell r="P177" t="str">
            <v>&lt;1Y</v>
          </cell>
          <cell r="Q177">
            <v>3464</v>
          </cell>
          <cell r="R177">
            <v>0.98971428571428577</v>
          </cell>
          <cell r="S177">
            <v>34000000</v>
          </cell>
          <cell r="T177">
            <v>0</v>
          </cell>
          <cell r="U177">
            <v>24000000</v>
          </cell>
          <cell r="V177">
            <v>10000000</v>
          </cell>
          <cell r="W177">
            <v>0</v>
          </cell>
          <cell r="X177">
            <v>0</v>
          </cell>
          <cell r="Y177">
            <v>0</v>
          </cell>
          <cell r="Z177">
            <v>0</v>
          </cell>
          <cell r="AA177">
            <v>0</v>
          </cell>
          <cell r="AB177">
            <v>0</v>
          </cell>
        </row>
        <row r="178">
          <cell r="A178">
            <v>52091</v>
          </cell>
          <cell r="B178" t="str">
            <v>新鼎一</v>
          </cell>
          <cell r="C178" t="str">
            <v>軟體-系統整合</v>
          </cell>
          <cell r="D178" t="str">
            <v>5</v>
          </cell>
          <cell r="E178" t="str">
            <v>無</v>
          </cell>
          <cell r="F178" t="str">
            <v>5</v>
          </cell>
          <cell r="G178" t="str">
            <v>5</v>
          </cell>
          <cell r="H178" t="str">
            <v>bbb</v>
          </cell>
          <cell r="I178" t="str">
            <v>III: bbb ~ bbb-</v>
          </cell>
          <cell r="J178">
            <v>1.5412239711098357E-2</v>
          </cell>
          <cell r="K178">
            <v>97.9</v>
          </cell>
          <cell r="L178">
            <v>79.057279236276855</v>
          </cell>
          <cell r="M178">
            <v>100</v>
          </cell>
          <cell r="N178">
            <v>46301</v>
          </cell>
          <cell r="O178">
            <v>1.3917808219178083</v>
          </cell>
          <cell r="P178" t="str">
            <v>1Y-2Y</v>
          </cell>
          <cell r="Q178">
            <v>2996</v>
          </cell>
          <cell r="R178">
            <v>0.9986666666666667</v>
          </cell>
          <cell r="S178">
            <v>1700000</v>
          </cell>
          <cell r="T178">
            <v>0</v>
          </cell>
          <cell r="U178">
            <v>0</v>
          </cell>
          <cell r="V178">
            <v>3000000</v>
          </cell>
          <cell r="W178">
            <v>11200000</v>
          </cell>
          <cell r="X178">
            <v>10300000</v>
          </cell>
          <cell r="Y178">
            <v>0</v>
          </cell>
          <cell r="Z178">
            <v>-400000</v>
          </cell>
          <cell r="AA178">
            <v>-2.997085334512187E-5</v>
          </cell>
          <cell r="AB178">
            <v>0</v>
          </cell>
        </row>
        <row r="179">
          <cell r="A179">
            <v>52121</v>
          </cell>
          <cell r="B179" t="str">
            <v>凌網一</v>
          </cell>
          <cell r="C179" t="str">
            <v>軟體-系統整合</v>
          </cell>
          <cell r="D179" t="str">
            <v>6</v>
          </cell>
          <cell r="E179" t="str">
            <v>無</v>
          </cell>
          <cell r="F179" t="str">
            <v>6</v>
          </cell>
          <cell r="G179" t="str">
            <v>6</v>
          </cell>
          <cell r="H179" t="str">
            <v>bb+</v>
          </cell>
          <cell r="I179" t="str">
            <v>IV: bb+ ~ bb</v>
          </cell>
          <cell r="J179">
            <v>2.0794043690082623E-3</v>
          </cell>
          <cell r="K179">
            <v>101</v>
          </cell>
          <cell r="L179">
            <v>76.3888888888889</v>
          </cell>
          <cell r="M179">
            <v>101.50749999999999</v>
          </cell>
          <cell r="N179">
            <v>46675</v>
          </cell>
          <cell r="O179">
            <v>2.4164383561643836</v>
          </cell>
          <cell r="P179" t="str">
            <v>&gt;2Y</v>
          </cell>
          <cell r="Q179">
            <v>4000</v>
          </cell>
          <cell r="R179">
            <v>1</v>
          </cell>
          <cell r="S179">
            <v>49100000</v>
          </cell>
          <cell r="T179">
            <v>0</v>
          </cell>
          <cell r="U179">
            <v>10000000</v>
          </cell>
          <cell r="V179">
            <v>44400000</v>
          </cell>
          <cell r="W179">
            <v>500000</v>
          </cell>
          <cell r="X179">
            <v>0</v>
          </cell>
          <cell r="Y179">
            <v>5200000</v>
          </cell>
          <cell r="Z179">
            <v>400000</v>
          </cell>
          <cell r="AA179">
            <v>2.997085334512187E-5</v>
          </cell>
          <cell r="AB179">
            <v>0</v>
          </cell>
        </row>
        <row r="180">
          <cell r="A180">
            <v>52251</v>
          </cell>
          <cell r="B180" t="str">
            <v>東科一KY</v>
          </cell>
          <cell r="C180" t="str">
            <v>電子下游-消費電子</v>
          </cell>
          <cell r="D180" t="str">
            <v>6</v>
          </cell>
          <cell r="E180" t="str">
            <v>有，中國信託商業銀行股份有限公司</v>
          </cell>
          <cell r="F180" t="str">
            <v>有，中國信託商業銀行股份有限公司</v>
          </cell>
          <cell r="G180" t="str">
            <v>有擔</v>
          </cell>
          <cell r="H180" t="str">
            <v>有擔</v>
          </cell>
          <cell r="I180" t="str">
            <v>有擔</v>
          </cell>
          <cell r="J180">
            <v>-1.3030121958693386</v>
          </cell>
          <cell r="K180">
            <v>333</v>
          </cell>
          <cell r="L180">
            <v>297.47634069400635</v>
          </cell>
          <cell r="M180">
            <v>100</v>
          </cell>
          <cell r="N180">
            <v>45989</v>
          </cell>
          <cell r="O180">
            <v>0.53698630136986303</v>
          </cell>
          <cell r="P180" t="str">
            <v>&lt;1Y</v>
          </cell>
          <cell r="Q180">
            <v>180</v>
          </cell>
          <cell r="R180">
            <v>5.1428571428571428E-2</v>
          </cell>
          <cell r="S180">
            <v>0</v>
          </cell>
          <cell r="T180">
            <v>0</v>
          </cell>
          <cell r="U180">
            <v>0</v>
          </cell>
          <cell r="V180">
            <v>0</v>
          </cell>
          <cell r="W180">
            <v>0</v>
          </cell>
          <cell r="X180">
            <v>0</v>
          </cell>
          <cell r="Y180">
            <v>0</v>
          </cell>
          <cell r="Z180">
            <v>0</v>
          </cell>
          <cell r="AA180">
            <v>0</v>
          </cell>
          <cell r="AB180">
            <v>0</v>
          </cell>
        </row>
        <row r="181">
          <cell r="A181">
            <v>52303</v>
          </cell>
          <cell r="B181" t="str">
            <v>雷笛克三</v>
          </cell>
          <cell r="C181" t="str">
            <v>電子上游-LED及光元件</v>
          </cell>
          <cell r="D181" t="str">
            <v>7</v>
          </cell>
          <cell r="E181" t="str">
            <v>有，台北富邦商業銀行</v>
          </cell>
          <cell r="F181" t="str">
            <v>有，台北富邦商業銀行</v>
          </cell>
          <cell r="G181" t="str">
            <v>有擔</v>
          </cell>
          <cell r="H181" t="str">
            <v>有擔</v>
          </cell>
          <cell r="I181" t="str">
            <v>有擔</v>
          </cell>
          <cell r="J181">
            <v>-7.6455802262253902E-2</v>
          </cell>
          <cell r="K181">
            <v>110</v>
          </cell>
          <cell r="L181">
            <v>93.555555555555557</v>
          </cell>
          <cell r="M181">
            <v>100</v>
          </cell>
          <cell r="N181">
            <v>46227</v>
          </cell>
          <cell r="O181">
            <v>1.189041095890411</v>
          </cell>
          <cell r="P181" t="str">
            <v>1Y-2Y</v>
          </cell>
          <cell r="Q181">
            <v>596</v>
          </cell>
          <cell r="R181">
            <v>0.19866666666666666</v>
          </cell>
          <cell r="S181">
            <v>4000000</v>
          </cell>
          <cell r="T181">
            <v>0</v>
          </cell>
          <cell r="U181">
            <v>0</v>
          </cell>
          <cell r="V181">
            <v>0</v>
          </cell>
          <cell r="W181">
            <v>200000</v>
          </cell>
          <cell r="X181">
            <v>0</v>
          </cell>
          <cell r="Y181">
            <v>300000</v>
          </cell>
          <cell r="Z181">
            <v>4500000</v>
          </cell>
          <cell r="AA181">
            <v>3.37172100132621E-4</v>
          </cell>
          <cell r="AB181">
            <v>0</v>
          </cell>
        </row>
        <row r="182">
          <cell r="A182">
            <v>52441</v>
          </cell>
          <cell r="B182" t="str">
            <v>弘凱一</v>
          </cell>
          <cell r="C182" t="str">
            <v>電子上游-LED及光元件</v>
          </cell>
          <cell r="D182" t="str">
            <v>6</v>
          </cell>
          <cell r="E182" t="str">
            <v>無</v>
          </cell>
          <cell r="F182" t="str">
            <v>6</v>
          </cell>
          <cell r="G182" t="str">
            <v>6</v>
          </cell>
          <cell r="H182" t="str">
            <v>bb+</v>
          </cell>
          <cell r="I182" t="str">
            <v>IV: bb+ ~ bb</v>
          </cell>
          <cell r="J182">
            <v>-2.0811494787257852E-2</v>
          </cell>
          <cell r="K182">
            <v>105.8</v>
          </cell>
          <cell r="L182">
            <v>98.478260869565219</v>
          </cell>
          <cell r="M182">
            <v>100.6</v>
          </cell>
          <cell r="N182">
            <v>46655</v>
          </cell>
          <cell r="O182">
            <v>2.3616438356164382</v>
          </cell>
          <cell r="P182" t="str">
            <v>&gt;2Y</v>
          </cell>
          <cell r="Q182">
            <v>4863</v>
          </cell>
          <cell r="R182">
            <v>0.97260000000000002</v>
          </cell>
          <cell r="S182">
            <v>16500000</v>
          </cell>
          <cell r="T182">
            <v>0</v>
          </cell>
          <cell r="U182">
            <v>9900000</v>
          </cell>
          <cell r="V182">
            <v>12100000</v>
          </cell>
          <cell r="W182">
            <v>3300000</v>
          </cell>
          <cell r="X182">
            <v>0</v>
          </cell>
          <cell r="Y182">
            <v>2200000</v>
          </cell>
          <cell r="Z182">
            <v>0</v>
          </cell>
          <cell r="AA182">
            <v>0</v>
          </cell>
          <cell r="AB182">
            <v>0</v>
          </cell>
        </row>
        <row r="183">
          <cell r="A183">
            <v>52451</v>
          </cell>
          <cell r="B183" t="str">
            <v>智晶一</v>
          </cell>
          <cell r="C183" t="str">
            <v>電子中游-LCD-TFT面板</v>
          </cell>
          <cell r="D183" t="str">
            <v>6</v>
          </cell>
          <cell r="E183" t="str">
            <v>有，合作金庫商業銀行股份有限公司</v>
          </cell>
          <cell r="F183" t="str">
            <v>有，合作金庫商業銀行股份有限公司</v>
          </cell>
          <cell r="G183" t="str">
            <v>有擔</v>
          </cell>
          <cell r="H183" t="str">
            <v>有擔</v>
          </cell>
          <cell r="I183" t="str">
            <v>有擔</v>
          </cell>
          <cell r="J183">
            <v>7.3752273186502418E-2</v>
          </cell>
          <cell r="K183">
            <v>98</v>
          </cell>
          <cell r="L183">
            <v>38.373983739837399</v>
          </cell>
          <cell r="M183">
            <v>100</v>
          </cell>
          <cell r="N183">
            <v>45894</v>
          </cell>
          <cell r="O183">
            <v>0.27671232876712326</v>
          </cell>
          <cell r="P183" t="str">
            <v>&lt;1Y</v>
          </cell>
          <cell r="Q183">
            <v>1549</v>
          </cell>
          <cell r="R183">
            <v>0.51633333333333331</v>
          </cell>
          <cell r="S183">
            <v>0</v>
          </cell>
          <cell r="T183">
            <v>0</v>
          </cell>
          <cell r="U183">
            <v>0</v>
          </cell>
          <cell r="V183">
            <v>0</v>
          </cell>
          <cell r="W183">
            <v>900000</v>
          </cell>
          <cell r="X183">
            <v>0</v>
          </cell>
          <cell r="Y183">
            <v>1700000</v>
          </cell>
          <cell r="Z183">
            <v>2600000</v>
          </cell>
          <cell r="AA183">
            <v>1.9481054674329215E-4</v>
          </cell>
          <cell r="AB183">
            <v>0</v>
          </cell>
        </row>
        <row r="184">
          <cell r="A184">
            <v>52452</v>
          </cell>
          <cell r="B184" t="str">
            <v>智晶二</v>
          </cell>
          <cell r="C184" t="str">
            <v>電子中游-LCD-TFT面板</v>
          </cell>
          <cell r="D184" t="str">
            <v>6</v>
          </cell>
          <cell r="E184" t="str">
            <v>無</v>
          </cell>
          <cell r="F184" t="str">
            <v>6</v>
          </cell>
          <cell r="G184" t="str">
            <v>6</v>
          </cell>
          <cell r="H184" t="str">
            <v>bb+</v>
          </cell>
          <cell r="I184" t="str">
            <v>IV: bb+ ~ bb</v>
          </cell>
          <cell r="J184">
            <v>5.8042729925914888E-2</v>
          </cell>
          <cell r="K184">
            <v>92</v>
          </cell>
          <cell r="L184">
            <v>67.428571428571445</v>
          </cell>
          <cell r="M184">
            <v>100.5</v>
          </cell>
          <cell r="N184">
            <v>46374</v>
          </cell>
          <cell r="O184">
            <v>1.5917808219178082</v>
          </cell>
          <cell r="P184" t="str">
            <v>1Y-2Y</v>
          </cell>
          <cell r="Q184">
            <v>3000</v>
          </cell>
          <cell r="R184">
            <v>1</v>
          </cell>
          <cell r="S184">
            <v>0</v>
          </cell>
          <cell r="T184">
            <v>0</v>
          </cell>
          <cell r="U184">
            <v>0</v>
          </cell>
          <cell r="V184">
            <v>0</v>
          </cell>
          <cell r="W184">
            <v>0</v>
          </cell>
          <cell r="X184">
            <v>0</v>
          </cell>
          <cell r="Y184">
            <v>0</v>
          </cell>
          <cell r="Z184">
            <v>0</v>
          </cell>
          <cell r="AA184">
            <v>0</v>
          </cell>
          <cell r="AB184">
            <v>0</v>
          </cell>
        </row>
        <row r="185">
          <cell r="A185">
            <v>52633</v>
          </cell>
          <cell r="B185" t="str">
            <v>智崴三</v>
          </cell>
          <cell r="C185" t="str">
            <v>軟體-其他</v>
          </cell>
          <cell r="D185" t="str">
            <v>7</v>
          </cell>
          <cell r="E185" t="str">
            <v>有，臺灣新光商業銀行股份有限公司</v>
          </cell>
          <cell r="F185" t="str">
            <v>有，臺灣新光商業銀行股份有限公司</v>
          </cell>
          <cell r="G185" t="str">
            <v>有擔</v>
          </cell>
          <cell r="H185" t="str">
            <v>有擔</v>
          </cell>
          <cell r="I185" t="str">
            <v>有擔</v>
          </cell>
          <cell r="J185">
            <v>-0.82932836111712493</v>
          </cell>
          <cell r="K185">
            <v>155</v>
          </cell>
          <cell r="L185">
            <v>106.7632850241546</v>
          </cell>
          <cell r="M185">
            <v>102.52509999999999</v>
          </cell>
          <cell r="N185">
            <v>45942</v>
          </cell>
          <cell r="O185">
            <v>0.40821917808219177</v>
          </cell>
          <cell r="P185" t="str">
            <v>&lt;1Y</v>
          </cell>
          <cell r="Q185">
            <v>122</v>
          </cell>
          <cell r="R185">
            <v>1.7428571428571429E-2</v>
          </cell>
          <cell r="S185">
            <v>0</v>
          </cell>
          <cell r="T185">
            <v>0</v>
          </cell>
          <cell r="U185">
            <v>0</v>
          </cell>
          <cell r="V185">
            <v>0</v>
          </cell>
          <cell r="W185">
            <v>0</v>
          </cell>
          <cell r="X185">
            <v>0</v>
          </cell>
          <cell r="Y185">
            <v>0</v>
          </cell>
          <cell r="Z185">
            <v>0</v>
          </cell>
          <cell r="AA185">
            <v>0</v>
          </cell>
          <cell r="AB185">
            <v>0</v>
          </cell>
        </row>
        <row r="186">
          <cell r="A186">
            <v>52635</v>
          </cell>
          <cell r="B186" t="str">
            <v>智崴五</v>
          </cell>
          <cell r="C186" t="str">
            <v>軟體-其他</v>
          </cell>
          <cell r="D186" t="str">
            <v>7</v>
          </cell>
          <cell r="E186" t="str">
            <v>有，台中商業銀行</v>
          </cell>
          <cell r="F186" t="str">
            <v>有，台中商業銀行</v>
          </cell>
          <cell r="G186" t="str">
            <v>有擔</v>
          </cell>
          <cell r="H186" t="str">
            <v>有擔</v>
          </cell>
          <cell r="I186" t="str">
            <v>有擔</v>
          </cell>
          <cell r="J186">
            <v>-0.14061005314437561</v>
          </cell>
          <cell r="K186">
            <v>112.9</v>
          </cell>
          <cell r="L186">
            <v>98.925693822739476</v>
          </cell>
          <cell r="M186">
            <v>100.20010000000001</v>
          </cell>
          <cell r="N186">
            <v>46085</v>
          </cell>
          <cell r="O186">
            <v>0.8</v>
          </cell>
          <cell r="P186" t="str">
            <v>&lt;1Y</v>
          </cell>
          <cell r="Q186">
            <v>4037</v>
          </cell>
          <cell r="R186">
            <v>0.50462499999999999</v>
          </cell>
          <cell r="S186">
            <v>4400000</v>
          </cell>
          <cell r="T186">
            <v>0</v>
          </cell>
          <cell r="U186">
            <v>0</v>
          </cell>
          <cell r="V186">
            <v>0</v>
          </cell>
          <cell r="W186">
            <v>6300000</v>
          </cell>
          <cell r="X186">
            <v>0</v>
          </cell>
          <cell r="Y186">
            <v>4300000</v>
          </cell>
          <cell r="Z186">
            <v>15000000</v>
          </cell>
          <cell r="AA186">
            <v>1.1239070004420702E-3</v>
          </cell>
          <cell r="AB186">
            <v>0</v>
          </cell>
        </row>
        <row r="187">
          <cell r="A187">
            <v>52843</v>
          </cell>
          <cell r="B187" t="str">
            <v>jpp三KY</v>
          </cell>
          <cell r="C187" t="str">
            <v>傳產-其他</v>
          </cell>
          <cell r="D187" t="str">
            <v>5</v>
          </cell>
          <cell r="E187" t="str">
            <v>無</v>
          </cell>
          <cell r="F187" t="str">
            <v>5</v>
          </cell>
          <cell r="G187" t="str">
            <v>5</v>
          </cell>
          <cell r="H187" t="str">
            <v>bbb</v>
          </cell>
          <cell r="I187" t="str">
            <v>III: bbb ~ bbb-</v>
          </cell>
          <cell r="J187">
            <v>-3.8782612879556373E-2</v>
          </cell>
          <cell r="K187">
            <v>110.6</v>
          </cell>
          <cell r="L187">
            <v>100.78277886497065</v>
          </cell>
          <cell r="M187">
            <v>100</v>
          </cell>
          <cell r="N187">
            <v>46695</v>
          </cell>
          <cell r="O187">
            <v>2.4712328767123286</v>
          </cell>
          <cell r="P187" t="str">
            <v>&gt;2Y</v>
          </cell>
          <cell r="Q187">
            <v>3000</v>
          </cell>
          <cell r="R187">
            <v>1</v>
          </cell>
          <cell r="S187">
            <v>5000000</v>
          </cell>
          <cell r="T187">
            <v>0</v>
          </cell>
          <cell r="U187">
            <v>5000000</v>
          </cell>
          <cell r="V187">
            <v>6000000</v>
          </cell>
          <cell r="W187">
            <v>4000000</v>
          </cell>
          <cell r="X187">
            <v>0</v>
          </cell>
          <cell r="Y187">
            <v>2500000</v>
          </cell>
          <cell r="Z187">
            <v>500000</v>
          </cell>
          <cell r="AA187">
            <v>3.7463566681402334E-5</v>
          </cell>
          <cell r="AB187">
            <v>0</v>
          </cell>
        </row>
        <row r="188">
          <cell r="A188">
            <v>52881</v>
          </cell>
          <cell r="B188" t="str">
            <v>豐祥一KY</v>
          </cell>
          <cell r="C188" t="str">
            <v>傳產-汽車零組件</v>
          </cell>
          <cell r="D188" t="str">
            <v>4</v>
          </cell>
          <cell r="E188" t="str">
            <v>無</v>
          </cell>
          <cell r="F188" t="str">
            <v>4</v>
          </cell>
          <cell r="G188" t="str">
            <v>4</v>
          </cell>
          <cell r="H188" t="str">
            <v>bbb+</v>
          </cell>
          <cell r="I188" t="str">
            <v>II: a- ~ bbb+</v>
          </cell>
          <cell r="J188">
            <v>-1.3768115942028993</v>
          </cell>
          <cell r="K188">
            <v>109.5</v>
          </cell>
          <cell r="L188">
            <v>110.26200873362444</v>
          </cell>
          <cell r="M188">
            <v>100</v>
          </cell>
          <cell r="N188">
            <v>45816</v>
          </cell>
          <cell r="O188">
            <v>6.3013698630136991E-2</v>
          </cell>
          <cell r="P188" t="str">
            <v>&lt;1Y</v>
          </cell>
          <cell r="Q188">
            <v>576</v>
          </cell>
          <cell r="R188">
            <v>0.1152</v>
          </cell>
          <cell r="S188">
            <v>0</v>
          </cell>
          <cell r="T188">
            <v>0</v>
          </cell>
          <cell r="U188">
            <v>0</v>
          </cell>
          <cell r="V188">
            <v>0</v>
          </cell>
          <cell r="W188">
            <v>0</v>
          </cell>
          <cell r="X188">
            <v>0</v>
          </cell>
          <cell r="Y188">
            <v>0</v>
          </cell>
          <cell r="Z188">
            <v>0</v>
          </cell>
          <cell r="AA188">
            <v>0</v>
          </cell>
          <cell r="AB188">
            <v>0</v>
          </cell>
        </row>
        <row r="189">
          <cell r="A189">
            <v>53064</v>
          </cell>
          <cell r="B189" t="str">
            <v>桂盟四</v>
          </cell>
          <cell r="C189" t="str">
            <v>傳產-自行車</v>
          </cell>
          <cell r="D189" t="str">
            <v>4</v>
          </cell>
          <cell r="E189" t="str">
            <v>有，日商瑞穗銀行</v>
          </cell>
          <cell r="F189" t="str">
            <v>有，日商瑞穗銀行</v>
          </cell>
          <cell r="G189" t="str">
            <v>有擔</v>
          </cell>
          <cell r="H189" t="str">
            <v>有擔</v>
          </cell>
          <cell r="I189" t="str">
            <v>有擔</v>
          </cell>
          <cell r="J189">
            <v>-2.6883414100415094E-2</v>
          </cell>
          <cell r="K189">
            <v>104.15</v>
          </cell>
          <cell r="L189">
            <v>84.467574059247397</v>
          </cell>
          <cell r="M189">
            <v>100</v>
          </cell>
          <cell r="N189">
            <v>46334</v>
          </cell>
          <cell r="O189">
            <v>1.4821917808219178</v>
          </cell>
          <cell r="P189" t="str">
            <v>1Y-2Y</v>
          </cell>
          <cell r="Q189">
            <v>9999</v>
          </cell>
          <cell r="R189">
            <v>0.99990000000000001</v>
          </cell>
          <cell r="S189">
            <v>32900000</v>
          </cell>
          <cell r="T189">
            <v>0</v>
          </cell>
          <cell r="U189">
            <v>0</v>
          </cell>
          <cell r="V189">
            <v>0</v>
          </cell>
          <cell r="W189">
            <v>57100000</v>
          </cell>
          <cell r="X189">
            <v>8400000</v>
          </cell>
          <cell r="Y189">
            <v>8800000</v>
          </cell>
          <cell r="Z189">
            <v>90400000</v>
          </cell>
          <cell r="AA189">
            <v>6.7734128559975423E-3</v>
          </cell>
          <cell r="AB189">
            <v>0</v>
          </cell>
        </row>
        <row r="190">
          <cell r="A190">
            <v>53095</v>
          </cell>
          <cell r="B190" t="str">
            <v>系統電五</v>
          </cell>
          <cell r="C190" t="str">
            <v>電子中游-變壓器與UPS</v>
          </cell>
          <cell r="D190" t="str">
            <v>6</v>
          </cell>
          <cell r="E190" t="str">
            <v>無</v>
          </cell>
          <cell r="F190" t="str">
            <v>6</v>
          </cell>
          <cell r="G190" t="str">
            <v>6</v>
          </cell>
          <cell r="H190" t="str">
            <v>bb+</v>
          </cell>
          <cell r="I190" t="str">
            <v>IV: bb+ ~ bb</v>
          </cell>
          <cell r="J190">
            <v>-0.22543587151841837</v>
          </cell>
          <cell r="K190">
            <v>106</v>
          </cell>
          <cell r="L190">
            <v>95.886889460154237</v>
          </cell>
          <cell r="M190">
            <v>100.50060000000001</v>
          </cell>
          <cell r="N190">
            <v>45877</v>
          </cell>
          <cell r="O190">
            <v>0.23013698630136986</v>
          </cell>
          <cell r="P190" t="str">
            <v>&lt;1Y</v>
          </cell>
          <cell r="Q190">
            <v>4914</v>
          </cell>
          <cell r="R190">
            <v>0.98280000000000001</v>
          </cell>
          <cell r="S190">
            <v>16600000</v>
          </cell>
          <cell r="T190">
            <v>0</v>
          </cell>
          <cell r="U190">
            <v>14000000</v>
          </cell>
          <cell r="V190">
            <v>7000000</v>
          </cell>
          <cell r="W190">
            <v>1800000</v>
          </cell>
          <cell r="X190">
            <v>0</v>
          </cell>
          <cell r="Y190">
            <v>2300000</v>
          </cell>
          <cell r="Z190">
            <v>-300000</v>
          </cell>
          <cell r="AA190">
            <v>-2.2478140008841401E-5</v>
          </cell>
          <cell r="AB190">
            <v>0</v>
          </cell>
        </row>
        <row r="191">
          <cell r="A191">
            <v>53211</v>
          </cell>
          <cell r="B191" t="str">
            <v>美而快一</v>
          </cell>
          <cell r="C191" t="str">
            <v>軟體-其他</v>
          </cell>
          <cell r="D191" t="str">
            <v>7</v>
          </cell>
          <cell r="E191" t="str">
            <v>無</v>
          </cell>
          <cell r="F191" t="str">
            <v>7</v>
          </cell>
          <cell r="G191" t="str">
            <v>7</v>
          </cell>
          <cell r="H191" t="str">
            <v>bb</v>
          </cell>
          <cell r="I191" t="str">
            <v>IV: bb+ ~ bb</v>
          </cell>
          <cell r="J191">
            <v>7.9680094786729883E-2</v>
          </cell>
          <cell r="K191">
            <v>94.95</v>
          </cell>
          <cell r="L191">
            <v>50.87924970691676</v>
          </cell>
          <cell r="M191">
            <v>101.0025</v>
          </cell>
          <cell r="N191">
            <v>46085</v>
          </cell>
          <cell r="O191">
            <v>0.8</v>
          </cell>
          <cell r="P191" t="str">
            <v>&lt;1Y</v>
          </cell>
          <cell r="Q191">
            <v>2000</v>
          </cell>
          <cell r="R191">
            <v>1</v>
          </cell>
          <cell r="S191">
            <v>1000000</v>
          </cell>
          <cell r="T191">
            <v>0</v>
          </cell>
          <cell r="U191">
            <v>0</v>
          </cell>
          <cell r="V191">
            <v>1000000</v>
          </cell>
          <cell r="W191">
            <v>0</v>
          </cell>
          <cell r="X191">
            <v>0</v>
          </cell>
          <cell r="Y191">
            <v>0</v>
          </cell>
          <cell r="Z191">
            <v>0</v>
          </cell>
          <cell r="AA191">
            <v>0</v>
          </cell>
          <cell r="AB191">
            <v>0</v>
          </cell>
        </row>
        <row r="192">
          <cell r="A192">
            <v>53513</v>
          </cell>
          <cell r="B192" t="str">
            <v>鈺創三</v>
          </cell>
          <cell r="C192" t="str">
            <v>電子上游-IC-設計</v>
          </cell>
          <cell r="D192" t="str">
            <v>8</v>
          </cell>
          <cell r="E192" t="str">
            <v>無</v>
          </cell>
          <cell r="F192" t="str">
            <v>8</v>
          </cell>
          <cell r="G192" t="str">
            <v>8</v>
          </cell>
          <cell r="H192" t="str">
            <v>b</v>
          </cell>
          <cell r="I192" t="str">
            <v>VI: b~c</v>
          </cell>
          <cell r="J192">
            <v>0.13712481333997398</v>
          </cell>
          <cell r="K192">
            <v>100.45</v>
          </cell>
          <cell r="L192">
            <v>48.362068965517238</v>
          </cell>
          <cell r="M192">
            <v>100.75190000000001</v>
          </cell>
          <cell r="N192">
            <v>45801</v>
          </cell>
          <cell r="O192">
            <v>2.1917808219178082E-2</v>
          </cell>
          <cell r="P192" t="str">
            <v>&lt;1Y</v>
          </cell>
          <cell r="Q192">
            <v>5769</v>
          </cell>
          <cell r="R192">
            <v>0.72112500000000002</v>
          </cell>
          <cell r="S192">
            <v>0</v>
          </cell>
          <cell r="T192">
            <v>0</v>
          </cell>
          <cell r="U192">
            <v>5000000</v>
          </cell>
          <cell r="V192">
            <v>0</v>
          </cell>
          <cell r="W192">
            <v>0</v>
          </cell>
          <cell r="X192">
            <v>0</v>
          </cell>
          <cell r="Y192">
            <v>0</v>
          </cell>
          <cell r="Z192">
            <v>-5000000</v>
          </cell>
          <cell r="AA192">
            <v>-3.7463566681402338E-4</v>
          </cell>
          <cell r="AB192">
            <v>5000000</v>
          </cell>
        </row>
        <row r="193">
          <cell r="A193">
            <v>53887</v>
          </cell>
          <cell r="B193" t="str">
            <v>中磊七</v>
          </cell>
          <cell r="C193" t="str">
            <v>電子中游-網通</v>
          </cell>
          <cell r="D193" t="str">
            <v>4</v>
          </cell>
          <cell r="E193" t="str">
            <v>無</v>
          </cell>
          <cell r="F193" t="str">
            <v>4</v>
          </cell>
          <cell r="G193" t="str">
            <v>4</v>
          </cell>
          <cell r="H193" t="str">
            <v>a-</v>
          </cell>
          <cell r="I193" t="str">
            <v>II: a- ~ bbb+</v>
          </cell>
          <cell r="J193">
            <v>-3.6309977782935959E-2</v>
          </cell>
          <cell r="K193">
            <v>106</v>
          </cell>
          <cell r="L193">
            <v>75.780089153046077</v>
          </cell>
          <cell r="M193">
            <v>100</v>
          </cell>
          <cell r="N193">
            <v>46362</v>
          </cell>
          <cell r="O193">
            <v>1.558904109589041</v>
          </cell>
          <cell r="P193" t="str">
            <v>1Y-2Y</v>
          </cell>
          <cell r="Q193">
            <v>30000</v>
          </cell>
          <cell r="R193">
            <v>1</v>
          </cell>
          <cell r="S193">
            <v>122600000</v>
          </cell>
          <cell r="T193">
            <v>0</v>
          </cell>
          <cell r="U193">
            <v>102500000</v>
          </cell>
          <cell r="V193">
            <v>0</v>
          </cell>
          <cell r="W193">
            <v>158800000</v>
          </cell>
          <cell r="X193">
            <v>1200000</v>
          </cell>
          <cell r="Y193">
            <v>42500000</v>
          </cell>
          <cell r="Z193">
            <v>220200000</v>
          </cell>
          <cell r="AA193">
            <v>1.649895476648959E-2</v>
          </cell>
          <cell r="AB193">
            <v>0</v>
          </cell>
        </row>
        <row r="194">
          <cell r="A194">
            <v>54342</v>
          </cell>
          <cell r="B194" t="str">
            <v>崇越二</v>
          </cell>
          <cell r="C194" t="str">
            <v>電子上游-IC-通路</v>
          </cell>
          <cell r="D194" t="str">
            <v>4</v>
          </cell>
          <cell r="E194" t="str">
            <v>無</v>
          </cell>
          <cell r="F194" t="str">
            <v>4</v>
          </cell>
          <cell r="G194" t="str">
            <v>4</v>
          </cell>
          <cell r="H194" t="str">
            <v>bbb+</v>
          </cell>
          <cell r="I194" t="str">
            <v>II: a- ~ bbb+</v>
          </cell>
          <cell r="J194">
            <v>-0.25497729654208873</v>
          </cell>
          <cell r="K194">
            <v>140</v>
          </cell>
          <cell r="L194">
            <v>133.24675324675326</v>
          </cell>
          <cell r="M194">
            <v>100</v>
          </cell>
          <cell r="N194">
            <v>46202</v>
          </cell>
          <cell r="O194">
            <v>1.1205479452054794</v>
          </cell>
          <cell r="P194" t="str">
            <v>1Y-2Y</v>
          </cell>
          <cell r="Q194">
            <v>4927</v>
          </cell>
          <cell r="R194">
            <v>0.49270000000000003</v>
          </cell>
          <cell r="S194">
            <v>19400000</v>
          </cell>
          <cell r="T194">
            <v>0</v>
          </cell>
          <cell r="U194">
            <v>18900000</v>
          </cell>
          <cell r="V194">
            <v>0</v>
          </cell>
          <cell r="W194">
            <v>13300000</v>
          </cell>
          <cell r="X194">
            <v>0</v>
          </cell>
          <cell r="Y194">
            <v>300000</v>
          </cell>
          <cell r="Z194">
            <v>14100000</v>
          </cell>
          <cell r="AA194">
            <v>1.0564725804155458E-3</v>
          </cell>
          <cell r="AB194">
            <v>0</v>
          </cell>
        </row>
        <row r="195">
          <cell r="A195">
            <v>54501</v>
          </cell>
          <cell r="B195" t="str">
            <v>南良一</v>
          </cell>
          <cell r="C195" t="str">
            <v>傳產-其他</v>
          </cell>
          <cell r="D195" t="str">
            <v>7</v>
          </cell>
          <cell r="E195" t="str">
            <v>有，臺灣土地銀行股份有限公司</v>
          </cell>
          <cell r="F195" t="str">
            <v>有，臺灣土地銀行股份有限公司</v>
          </cell>
          <cell r="G195" t="str">
            <v>有擔</v>
          </cell>
          <cell r="H195" t="str">
            <v>有擔</v>
          </cell>
          <cell r="I195" t="str">
            <v>有擔</v>
          </cell>
          <cell r="J195">
            <v>-5.5850107492330124E-2</v>
          </cell>
          <cell r="K195">
            <v>105.75</v>
          </cell>
          <cell r="L195">
            <v>91.666666666666657</v>
          </cell>
          <cell r="M195">
            <v>100.75</v>
          </cell>
          <cell r="N195">
            <v>46102</v>
          </cell>
          <cell r="O195">
            <v>0.84657534246575339</v>
          </cell>
          <cell r="P195" t="str">
            <v>&lt;1Y</v>
          </cell>
          <cell r="Q195">
            <v>4998</v>
          </cell>
          <cell r="R195">
            <v>0.99960000000000004</v>
          </cell>
          <cell r="S195">
            <v>47400000</v>
          </cell>
          <cell r="T195">
            <v>0</v>
          </cell>
          <cell r="U195">
            <v>46000000</v>
          </cell>
          <cell r="V195">
            <v>0</v>
          </cell>
          <cell r="W195">
            <v>28500000</v>
          </cell>
          <cell r="X195">
            <v>0</v>
          </cell>
          <cell r="Y195">
            <v>2300000</v>
          </cell>
          <cell r="Z195">
            <v>32200000</v>
          </cell>
          <cell r="AA195">
            <v>2.4126536942823103E-3</v>
          </cell>
          <cell r="AB195">
            <v>0</v>
          </cell>
        </row>
        <row r="196">
          <cell r="A196">
            <v>54573</v>
          </cell>
          <cell r="B196" t="str">
            <v>宣德三</v>
          </cell>
          <cell r="C196" t="str">
            <v>電子上游-連接元件</v>
          </cell>
          <cell r="D196" t="str">
            <v>5</v>
          </cell>
          <cell r="E196" t="str">
            <v>無</v>
          </cell>
          <cell r="F196" t="str">
            <v>5</v>
          </cell>
          <cell r="G196" t="str">
            <v>5</v>
          </cell>
          <cell r="H196" t="str">
            <v>bbb</v>
          </cell>
          <cell r="I196" t="str">
            <v>III: bbb ~ bbb-</v>
          </cell>
          <cell r="J196">
            <v>4.1689102093429235E-2</v>
          </cell>
          <cell r="K196">
            <v>93</v>
          </cell>
          <cell r="L196">
            <v>67.510853835021706</v>
          </cell>
          <cell r="M196">
            <v>100</v>
          </cell>
          <cell r="N196">
            <v>46452</v>
          </cell>
          <cell r="O196">
            <v>1.8054794520547945</v>
          </cell>
          <cell r="P196" t="str">
            <v>1Y-2Y</v>
          </cell>
          <cell r="Q196">
            <v>20000</v>
          </cell>
          <cell r="R196">
            <v>1</v>
          </cell>
          <cell r="S196">
            <v>24800000</v>
          </cell>
          <cell r="T196">
            <v>0</v>
          </cell>
          <cell r="U196">
            <v>18800000</v>
          </cell>
          <cell r="V196">
            <v>6000000</v>
          </cell>
          <cell r="W196">
            <v>0</v>
          </cell>
          <cell r="X196">
            <v>0</v>
          </cell>
          <cell r="Y196">
            <v>0</v>
          </cell>
          <cell r="Z196">
            <v>0</v>
          </cell>
          <cell r="AA196">
            <v>0</v>
          </cell>
          <cell r="AB196">
            <v>0</v>
          </cell>
        </row>
        <row r="197">
          <cell r="A197">
            <v>55433</v>
          </cell>
          <cell r="B197" t="str">
            <v>桓鼎三KY</v>
          </cell>
          <cell r="C197" t="str">
            <v>傳產-鋼鐵</v>
          </cell>
          <cell r="D197" t="str">
            <v>7</v>
          </cell>
          <cell r="E197" t="str">
            <v>無</v>
          </cell>
          <cell r="F197" t="str">
            <v>7</v>
          </cell>
          <cell r="G197" t="str">
            <v>7</v>
          </cell>
          <cell r="H197" t="str">
            <v>bb-</v>
          </cell>
          <cell r="I197" t="str">
            <v>V: bb- ~ b+</v>
          </cell>
          <cell r="J197">
            <v>-0.17131710176446091</v>
          </cell>
          <cell r="K197">
            <v>111.05</v>
          </cell>
          <cell r="L197">
            <v>34.95145631067961</v>
          </cell>
          <cell r="M197">
            <v>100</v>
          </cell>
          <cell r="N197">
            <v>46005</v>
          </cell>
          <cell r="O197">
            <v>0.58082191780821912</v>
          </cell>
          <cell r="P197" t="str">
            <v>&lt;1Y</v>
          </cell>
          <cell r="Q197">
            <v>1000</v>
          </cell>
          <cell r="R197">
            <v>1</v>
          </cell>
          <cell r="S197">
            <v>0</v>
          </cell>
          <cell r="T197">
            <v>0</v>
          </cell>
          <cell r="U197">
            <v>0</v>
          </cell>
          <cell r="V197">
            <v>0</v>
          </cell>
          <cell r="W197">
            <v>0</v>
          </cell>
          <cell r="X197">
            <v>0</v>
          </cell>
          <cell r="Y197">
            <v>0</v>
          </cell>
          <cell r="Z197">
            <v>0</v>
          </cell>
          <cell r="AA197">
            <v>0</v>
          </cell>
          <cell r="AB197">
            <v>0</v>
          </cell>
        </row>
        <row r="198">
          <cell r="A198">
            <v>55434</v>
          </cell>
          <cell r="B198" t="str">
            <v>桓鼎四KY</v>
          </cell>
          <cell r="C198" t="str">
            <v>傳產-鋼鐵</v>
          </cell>
          <cell r="D198" t="str">
            <v>7</v>
          </cell>
          <cell r="E198" t="str">
            <v>無</v>
          </cell>
          <cell r="F198" t="str">
            <v>7</v>
          </cell>
          <cell r="G198" t="str">
            <v>7</v>
          </cell>
          <cell r="H198" t="str">
            <v>bb-</v>
          </cell>
          <cell r="I198" t="str">
            <v>V: bb- ~ b+</v>
          </cell>
          <cell r="J198">
            <v>0.11400558970487799</v>
          </cell>
          <cell r="K198">
            <v>99</v>
          </cell>
          <cell r="L198">
            <v>34.416826003824092</v>
          </cell>
          <cell r="M198">
            <v>107.6891</v>
          </cell>
          <cell r="N198">
            <v>46074</v>
          </cell>
          <cell r="O198">
            <v>0.76986301369863008</v>
          </cell>
          <cell r="P198" t="str">
            <v>&lt;1Y</v>
          </cell>
          <cell r="Q198">
            <v>1000</v>
          </cell>
          <cell r="R198">
            <v>1</v>
          </cell>
          <cell r="S198">
            <v>0</v>
          </cell>
          <cell r="T198">
            <v>0</v>
          </cell>
          <cell r="U198">
            <v>0</v>
          </cell>
          <cell r="V198">
            <v>0</v>
          </cell>
          <cell r="W198">
            <v>0</v>
          </cell>
          <cell r="X198">
            <v>0</v>
          </cell>
          <cell r="Y198">
            <v>0</v>
          </cell>
          <cell r="Z198">
            <v>0</v>
          </cell>
          <cell r="AA198">
            <v>0</v>
          </cell>
          <cell r="AB198">
            <v>0</v>
          </cell>
        </row>
        <row r="199">
          <cell r="A199">
            <v>56086</v>
          </cell>
          <cell r="B199" t="str">
            <v>四維航六</v>
          </cell>
          <cell r="C199" t="str">
            <v>傳產-航運</v>
          </cell>
          <cell r="D199" t="str">
            <v>7</v>
          </cell>
          <cell r="E199" t="str">
            <v>有，陽信商業銀行</v>
          </cell>
          <cell r="F199" t="str">
            <v>有，陽信商業銀行</v>
          </cell>
          <cell r="G199" t="str">
            <v>有擔</v>
          </cell>
          <cell r="H199" t="str">
            <v>有擔</v>
          </cell>
          <cell r="I199" t="str">
            <v>有擔</v>
          </cell>
          <cell r="J199">
            <v>-4.8269477820599968E-2</v>
          </cell>
          <cell r="K199">
            <v>105.6</v>
          </cell>
          <cell r="L199">
            <v>82.805429864253384</v>
          </cell>
          <cell r="M199">
            <v>100</v>
          </cell>
          <cell r="N199">
            <v>46194</v>
          </cell>
          <cell r="O199">
            <v>1.0986301369863014</v>
          </cell>
          <cell r="P199" t="str">
            <v>1Y-2Y</v>
          </cell>
          <cell r="Q199">
            <v>4999</v>
          </cell>
          <cell r="R199">
            <v>0.99980000000000002</v>
          </cell>
          <cell r="S199">
            <v>28700000</v>
          </cell>
          <cell r="T199">
            <v>0</v>
          </cell>
          <cell r="U199">
            <v>20800000</v>
          </cell>
          <cell r="V199">
            <v>0</v>
          </cell>
          <cell r="W199">
            <v>42900000</v>
          </cell>
          <cell r="X199">
            <v>15800000</v>
          </cell>
          <cell r="Y199">
            <v>3700000</v>
          </cell>
          <cell r="Z199">
            <v>38700000</v>
          </cell>
          <cell r="AA199">
            <v>2.8996800611405409E-3</v>
          </cell>
          <cell r="AB199">
            <v>0</v>
          </cell>
        </row>
        <row r="200">
          <cell r="A200">
            <v>56087</v>
          </cell>
          <cell r="B200" t="str">
            <v>四維航七</v>
          </cell>
          <cell r="C200" t="str">
            <v>傳產-航運</v>
          </cell>
          <cell r="D200" t="str">
            <v>7</v>
          </cell>
          <cell r="E200" t="str">
            <v>有，第一商業銀行股份有限公司</v>
          </cell>
          <cell r="F200" t="str">
            <v>有，第一商業銀行股份有限公司</v>
          </cell>
          <cell r="G200" t="str">
            <v>有擔</v>
          </cell>
          <cell r="H200" t="str">
            <v>有擔</v>
          </cell>
          <cell r="I200" t="str">
            <v>有擔</v>
          </cell>
          <cell r="J200">
            <v>-3.9992031475671076E-2</v>
          </cell>
          <cell r="K200">
            <v>111.55</v>
          </cell>
          <cell r="L200">
            <v>94.818652849740943</v>
          </cell>
          <cell r="M200">
            <v>100</v>
          </cell>
          <cell r="N200">
            <v>46738</v>
          </cell>
          <cell r="O200">
            <v>2.5890410958904111</v>
          </cell>
          <cell r="P200" t="str">
            <v>&gt;2Y</v>
          </cell>
          <cell r="Q200">
            <v>6000</v>
          </cell>
          <cell r="R200">
            <v>1</v>
          </cell>
          <cell r="S200">
            <v>1400000</v>
          </cell>
          <cell r="T200">
            <v>0</v>
          </cell>
          <cell r="U200">
            <v>0</v>
          </cell>
          <cell r="V200">
            <v>0</v>
          </cell>
          <cell r="W200">
            <v>5400000</v>
          </cell>
          <cell r="X200">
            <v>300000</v>
          </cell>
          <cell r="Y200">
            <v>1800000</v>
          </cell>
          <cell r="Z200">
            <v>8300000</v>
          </cell>
          <cell r="AA200">
            <v>6.2189520691127882E-4</v>
          </cell>
          <cell r="AB200">
            <v>0</v>
          </cell>
        </row>
        <row r="201">
          <cell r="A201">
            <v>59055</v>
          </cell>
          <cell r="B201" t="str">
            <v>南仁湖四</v>
          </cell>
          <cell r="C201" t="str">
            <v>傳產-百貨</v>
          </cell>
          <cell r="D201" t="str">
            <v>7</v>
          </cell>
          <cell r="E201" t="str">
            <v>有，臺灣土地銀行股份有限公司大發分行</v>
          </cell>
          <cell r="F201" t="str">
            <v>有，臺灣土地銀行股份有限公司大發分行</v>
          </cell>
          <cell r="G201" t="str">
            <v>有擔</v>
          </cell>
          <cell r="H201" t="str">
            <v>有擔</v>
          </cell>
          <cell r="I201" t="str">
            <v>有擔</v>
          </cell>
          <cell r="J201">
            <v>-8.0932552693208404</v>
          </cell>
          <cell r="K201">
            <v>106.75</v>
          </cell>
          <cell r="L201">
            <v>95.087163232963562</v>
          </cell>
          <cell r="M201">
            <v>102.01600000000001</v>
          </cell>
          <cell r="N201">
            <v>45795</v>
          </cell>
          <cell r="O201">
            <v>5.4794520547945206E-3</v>
          </cell>
          <cell r="P201" t="str">
            <v>&lt;1Y</v>
          </cell>
          <cell r="Q201">
            <v>1986</v>
          </cell>
          <cell r="R201">
            <v>0.33100000000000002</v>
          </cell>
          <cell r="S201">
            <v>4500000</v>
          </cell>
          <cell r="T201">
            <v>0</v>
          </cell>
          <cell r="U201">
            <v>0</v>
          </cell>
          <cell r="V201">
            <v>0</v>
          </cell>
          <cell r="W201">
            <v>2400000</v>
          </cell>
          <cell r="X201">
            <v>0</v>
          </cell>
          <cell r="Y201">
            <v>800000</v>
          </cell>
          <cell r="Z201">
            <v>7700000</v>
          </cell>
          <cell r="AA201">
            <v>5.7693892689359599E-4</v>
          </cell>
          <cell r="AB201">
            <v>0</v>
          </cell>
        </row>
        <row r="202">
          <cell r="A202">
            <v>60151</v>
          </cell>
          <cell r="B202" t="str">
            <v>宏遠證一</v>
          </cell>
          <cell r="C202" t="str">
            <v>金融-證券</v>
          </cell>
          <cell r="D202" t="e">
            <v>#N/A</v>
          </cell>
          <cell r="E202" t="str">
            <v>無</v>
          </cell>
          <cell r="F202" t="e">
            <v>#N/A</v>
          </cell>
          <cell r="G202" t="e">
            <v>#N/A</v>
          </cell>
          <cell r="H202" t="str">
            <v>bbb</v>
          </cell>
          <cell r="I202" t="str">
            <v>III: bbb ~ bbb-</v>
          </cell>
          <cell r="J202">
            <v>3.1856904445155654E-2</v>
          </cell>
          <cell r="K202">
            <v>96.7</v>
          </cell>
          <cell r="L202">
            <v>73.246217331499324</v>
          </cell>
          <cell r="M202">
            <v>100</v>
          </cell>
          <cell r="N202">
            <v>46184</v>
          </cell>
          <cell r="O202">
            <v>1.0712328767123287</v>
          </cell>
          <cell r="P202" t="str">
            <v>1Y-2Y</v>
          </cell>
          <cell r="Q202">
            <v>1244</v>
          </cell>
          <cell r="R202">
            <v>0.17771428571428571</v>
          </cell>
          <cell r="S202">
            <v>0</v>
          </cell>
          <cell r="T202">
            <v>0</v>
          </cell>
          <cell r="U202">
            <v>0</v>
          </cell>
          <cell r="V202">
            <v>0</v>
          </cell>
          <cell r="W202">
            <v>0</v>
          </cell>
          <cell r="X202">
            <v>0</v>
          </cell>
          <cell r="Y202">
            <v>0</v>
          </cell>
          <cell r="Z202">
            <v>0</v>
          </cell>
          <cell r="AA202">
            <v>0</v>
          </cell>
          <cell r="AB202">
            <v>0</v>
          </cell>
        </row>
        <row r="203">
          <cell r="A203">
            <v>60152</v>
          </cell>
          <cell r="B203" t="str">
            <v>宏遠證二</v>
          </cell>
          <cell r="C203" t="str">
            <v>金融-證券</v>
          </cell>
          <cell r="D203" t="e">
            <v>#N/A</v>
          </cell>
          <cell r="E203" t="str">
            <v>無</v>
          </cell>
          <cell r="F203" t="e">
            <v>#N/A</v>
          </cell>
          <cell r="G203" t="e">
            <v>#N/A</v>
          </cell>
          <cell r="H203" t="str">
            <v>bbb</v>
          </cell>
          <cell r="I203" t="str">
            <v>III: bbb ~ bbb-</v>
          </cell>
          <cell r="J203">
            <v>-4.1885749950222907E-2</v>
          </cell>
          <cell r="K203">
            <v>109</v>
          </cell>
          <cell r="L203">
            <v>104.20743639921722</v>
          </cell>
          <cell r="M203">
            <v>101.50749999999999</v>
          </cell>
          <cell r="N203">
            <v>46392</v>
          </cell>
          <cell r="O203">
            <v>1.6410958904109589</v>
          </cell>
          <cell r="P203" t="str">
            <v>1Y-2Y</v>
          </cell>
          <cell r="Q203">
            <v>1650</v>
          </cell>
          <cell r="R203">
            <v>0.27500000000000002</v>
          </cell>
          <cell r="S203">
            <v>0</v>
          </cell>
          <cell r="T203">
            <v>0</v>
          </cell>
          <cell r="U203">
            <v>0</v>
          </cell>
          <cell r="V203">
            <v>0</v>
          </cell>
          <cell r="W203">
            <v>0</v>
          </cell>
          <cell r="X203">
            <v>0</v>
          </cell>
          <cell r="Y203">
            <v>0</v>
          </cell>
          <cell r="Z203">
            <v>0</v>
          </cell>
          <cell r="AA203">
            <v>0</v>
          </cell>
          <cell r="AB203">
            <v>0</v>
          </cell>
        </row>
        <row r="204">
          <cell r="A204">
            <v>61041</v>
          </cell>
          <cell r="B204" t="str">
            <v>創惟一</v>
          </cell>
          <cell r="C204" t="str">
            <v>電子上游-IC-設計</v>
          </cell>
          <cell r="D204" t="str">
            <v>5</v>
          </cell>
          <cell r="E204" t="str">
            <v>無</v>
          </cell>
          <cell r="F204" t="str">
            <v>5</v>
          </cell>
          <cell r="G204" t="str">
            <v>5</v>
          </cell>
          <cell r="H204" t="str">
            <v>bbb</v>
          </cell>
          <cell r="I204" t="str">
            <v>III: bbb ~ bbb-</v>
          </cell>
          <cell r="J204">
            <v>-1.0323370167275947</v>
          </cell>
          <cell r="K204">
            <v>141.6</v>
          </cell>
          <cell r="L204">
            <v>143.02884615384616</v>
          </cell>
          <cell r="M204">
            <v>100.75</v>
          </cell>
          <cell r="N204">
            <v>45895</v>
          </cell>
          <cell r="O204">
            <v>0.27945205479452057</v>
          </cell>
          <cell r="P204" t="str">
            <v>&lt;1Y</v>
          </cell>
          <cell r="Q204">
            <v>4556</v>
          </cell>
          <cell r="R204">
            <v>0.91120000000000001</v>
          </cell>
          <cell r="S204">
            <v>46300000</v>
          </cell>
          <cell r="T204">
            <v>0</v>
          </cell>
          <cell r="U204">
            <v>46000000</v>
          </cell>
          <cell r="V204">
            <v>5200000</v>
          </cell>
          <cell r="W204">
            <v>1800000</v>
          </cell>
          <cell r="X204">
            <v>400000</v>
          </cell>
          <cell r="Y204">
            <v>2800000</v>
          </cell>
          <cell r="Z204">
            <v>-700000</v>
          </cell>
          <cell r="AA204">
            <v>-5.2448993353963271E-5</v>
          </cell>
          <cell r="AB204">
            <v>0</v>
          </cell>
        </row>
        <row r="205">
          <cell r="A205">
            <v>61112</v>
          </cell>
          <cell r="B205" t="str">
            <v>大宇資二</v>
          </cell>
          <cell r="C205" t="str">
            <v>軟體-遊戲</v>
          </cell>
          <cell r="D205" t="str">
            <v>8</v>
          </cell>
          <cell r="E205" t="str">
            <v>無</v>
          </cell>
          <cell r="F205" t="str">
            <v>8</v>
          </cell>
          <cell r="G205" t="str">
            <v>8</v>
          </cell>
          <cell r="H205" t="str">
            <v>b+</v>
          </cell>
          <cell r="I205" t="str">
            <v>V: bb- ~ b+</v>
          </cell>
          <cell r="J205">
            <v>6.1069468611966223E-2</v>
          </cell>
          <cell r="K205">
            <v>93</v>
          </cell>
          <cell r="L205">
            <v>84.328358208955223</v>
          </cell>
          <cell r="M205">
            <v>100.5</v>
          </cell>
          <cell r="N205">
            <v>46275</v>
          </cell>
          <cell r="O205">
            <v>1.3205479452054794</v>
          </cell>
          <cell r="P205" t="str">
            <v>1Y-2Y</v>
          </cell>
          <cell r="Q205">
            <v>3000</v>
          </cell>
          <cell r="R205">
            <v>1</v>
          </cell>
          <cell r="S205">
            <v>13000000</v>
          </cell>
          <cell r="T205">
            <v>0</v>
          </cell>
          <cell r="U205">
            <v>10000000</v>
          </cell>
          <cell r="V205">
            <v>3000000</v>
          </cell>
          <cell r="W205">
            <v>0</v>
          </cell>
          <cell r="X205">
            <v>0</v>
          </cell>
          <cell r="Y205">
            <v>0</v>
          </cell>
          <cell r="Z205">
            <v>0</v>
          </cell>
          <cell r="AA205">
            <v>0</v>
          </cell>
          <cell r="AB205">
            <v>0</v>
          </cell>
        </row>
        <row r="206">
          <cell r="A206">
            <v>61171</v>
          </cell>
          <cell r="B206" t="str">
            <v>迎廣一</v>
          </cell>
          <cell r="C206" t="str">
            <v>電子中游-機殼</v>
          </cell>
          <cell r="D206" t="str">
            <v>7</v>
          </cell>
          <cell r="E206" t="str">
            <v>無</v>
          </cell>
          <cell r="F206" t="str">
            <v>7</v>
          </cell>
          <cell r="G206" t="str">
            <v>7</v>
          </cell>
          <cell r="H206" t="str">
            <v>bb</v>
          </cell>
          <cell r="I206" t="str">
            <v>IV: bb+ ~ bb</v>
          </cell>
          <cell r="J206">
            <v>-0.11368489389599772</v>
          </cell>
          <cell r="K206">
            <v>114.4</v>
          </cell>
          <cell r="L206">
            <v>108.80952380952382</v>
          </cell>
          <cell r="M206">
            <v>101.0025</v>
          </cell>
          <cell r="N206">
            <v>46169</v>
          </cell>
          <cell r="O206">
            <v>1.0301369863013699</v>
          </cell>
          <cell r="P206" t="str">
            <v>1Y-2Y</v>
          </cell>
          <cell r="Q206">
            <v>2592</v>
          </cell>
          <cell r="R206">
            <v>0.51839999999999997</v>
          </cell>
          <cell r="S206">
            <v>0</v>
          </cell>
          <cell r="T206">
            <v>0</v>
          </cell>
          <cell r="U206">
            <v>0</v>
          </cell>
          <cell r="V206">
            <v>0</v>
          </cell>
          <cell r="W206">
            <v>0</v>
          </cell>
          <cell r="X206">
            <v>0</v>
          </cell>
          <cell r="Y206">
            <v>0</v>
          </cell>
          <cell r="Z206">
            <v>0</v>
          </cell>
          <cell r="AA206">
            <v>0</v>
          </cell>
          <cell r="AB206">
            <v>0</v>
          </cell>
        </row>
        <row r="207">
          <cell r="A207">
            <v>61172</v>
          </cell>
          <cell r="B207" t="str">
            <v>迎廣二</v>
          </cell>
          <cell r="C207" t="str">
            <v>電子中游-機殼</v>
          </cell>
          <cell r="D207" t="str">
            <v>7</v>
          </cell>
          <cell r="E207" t="str">
            <v>- -</v>
          </cell>
          <cell r="F207" t="str">
            <v>- -</v>
          </cell>
          <cell r="G207" t="str">
            <v>有擔</v>
          </cell>
          <cell r="H207" t="str">
            <v>有擔</v>
          </cell>
          <cell r="I207" t="str">
            <v>有擔</v>
          </cell>
          <cell r="J207" t="e">
            <v>#VALUE!</v>
          </cell>
          <cell r="K207" t="e">
            <v>#VALUE!</v>
          </cell>
          <cell r="L207" t="e">
            <v>#VALUE!</v>
          </cell>
          <cell r="M207" t="str">
            <v>- -</v>
          </cell>
          <cell r="N207" t="str">
            <v>- -</v>
          </cell>
          <cell r="O207" t="e">
            <v>#VALUE!</v>
          </cell>
          <cell r="P207" t="e">
            <v>#VALUE!</v>
          </cell>
          <cell r="Q207">
            <v>0</v>
          </cell>
          <cell r="R207" t="e">
            <v>#VALUE!</v>
          </cell>
          <cell r="S207">
            <v>0</v>
          </cell>
          <cell r="T207">
            <v>0</v>
          </cell>
          <cell r="U207">
            <v>0</v>
          </cell>
          <cell r="V207">
            <v>0</v>
          </cell>
          <cell r="W207">
            <v>0</v>
          </cell>
          <cell r="X207">
            <v>0</v>
          </cell>
          <cell r="Y207">
            <v>0</v>
          </cell>
          <cell r="Z207">
            <v>0</v>
          </cell>
          <cell r="AA207">
            <v>0</v>
          </cell>
          <cell r="AB207">
            <v>0</v>
          </cell>
        </row>
        <row r="208">
          <cell r="A208">
            <v>61255</v>
          </cell>
          <cell r="B208" t="str">
            <v>廣運五</v>
          </cell>
          <cell r="C208" t="str">
            <v>電子中游-儀器設備工程</v>
          </cell>
          <cell r="D208" t="str">
            <v>6</v>
          </cell>
          <cell r="E208" t="str">
            <v>無</v>
          </cell>
          <cell r="F208" t="str">
            <v>6</v>
          </cell>
          <cell r="G208" t="str">
            <v>6</v>
          </cell>
          <cell r="H208" t="str">
            <v>bb+</v>
          </cell>
          <cell r="I208" t="str">
            <v>IV: bb+ ~ bb</v>
          </cell>
          <cell r="J208">
            <v>9.1249999999999543E-3</v>
          </cell>
          <cell r="K208">
            <v>100</v>
          </cell>
          <cell r="L208">
            <v>61.04240282685511</v>
          </cell>
          <cell r="M208">
            <v>101.0025</v>
          </cell>
          <cell r="N208">
            <v>46194</v>
          </cell>
          <cell r="O208">
            <v>1.0986301369863014</v>
          </cell>
          <cell r="P208" t="str">
            <v>1Y-2Y</v>
          </cell>
          <cell r="Q208">
            <v>5827</v>
          </cell>
          <cell r="R208">
            <v>0.97116666666666662</v>
          </cell>
          <cell r="S208">
            <v>48500000</v>
          </cell>
          <cell r="T208">
            <v>0</v>
          </cell>
          <cell r="U208">
            <v>19900000</v>
          </cell>
          <cell r="V208">
            <v>111100000</v>
          </cell>
          <cell r="W208">
            <v>42300000</v>
          </cell>
          <cell r="X208">
            <v>0</v>
          </cell>
          <cell r="Y208">
            <v>40200000</v>
          </cell>
          <cell r="Z208">
            <v>0</v>
          </cell>
          <cell r="AA208">
            <v>0</v>
          </cell>
          <cell r="AB208">
            <v>0</v>
          </cell>
        </row>
        <row r="209">
          <cell r="A209">
            <v>61263</v>
          </cell>
          <cell r="B209" t="str">
            <v>信音三</v>
          </cell>
          <cell r="C209" t="str">
            <v>電子上游-連接元件</v>
          </cell>
          <cell r="D209" t="str">
            <v>6</v>
          </cell>
          <cell r="E209" t="str">
            <v>無</v>
          </cell>
          <cell r="F209" t="str">
            <v>6</v>
          </cell>
          <cell r="G209" t="str">
            <v>6</v>
          </cell>
          <cell r="H209" t="str">
            <v>bb+</v>
          </cell>
          <cell r="I209" t="str">
            <v>IV: bb+ ~ bb</v>
          </cell>
          <cell r="J209">
            <v>-0.11724514517872459</v>
          </cell>
          <cell r="K209">
            <v>108.4</v>
          </cell>
          <cell r="L209">
            <v>89.673913043478265</v>
          </cell>
          <cell r="M209">
            <v>101.5056</v>
          </cell>
          <cell r="N209">
            <v>45991</v>
          </cell>
          <cell r="O209">
            <v>0.54246575342465753</v>
          </cell>
          <cell r="P209" t="str">
            <v>&lt;1Y</v>
          </cell>
          <cell r="Q209">
            <v>1990</v>
          </cell>
          <cell r="R209">
            <v>0.39800000000000002</v>
          </cell>
          <cell r="S209">
            <v>9000000</v>
          </cell>
          <cell r="T209">
            <v>0</v>
          </cell>
          <cell r="U209">
            <v>0</v>
          </cell>
          <cell r="V209">
            <v>9000000</v>
          </cell>
          <cell r="W209">
            <v>0</v>
          </cell>
          <cell r="X209">
            <v>0</v>
          </cell>
          <cell r="Y209">
            <v>0</v>
          </cell>
          <cell r="Z209">
            <v>0</v>
          </cell>
          <cell r="AA209">
            <v>0</v>
          </cell>
          <cell r="AB209">
            <v>0</v>
          </cell>
        </row>
        <row r="210">
          <cell r="A210">
            <v>61394</v>
          </cell>
          <cell r="B210" t="str">
            <v>亞翔四</v>
          </cell>
          <cell r="C210" t="str">
            <v>電子中游-儀器設備工程</v>
          </cell>
          <cell r="D210" t="str">
            <v>4</v>
          </cell>
          <cell r="E210" t="str">
            <v>無</v>
          </cell>
          <cell r="F210" t="str">
            <v>4</v>
          </cell>
          <cell r="G210" t="str">
            <v>4</v>
          </cell>
          <cell r="H210" t="str">
            <v>bbb+</v>
          </cell>
          <cell r="I210" t="str">
            <v>II: a- ~ bbb+</v>
          </cell>
          <cell r="J210">
            <v>-0.48837135247799907</v>
          </cell>
          <cell r="K210">
            <v>153</v>
          </cell>
          <cell r="L210">
            <v>155.22478736330498</v>
          </cell>
          <cell r="M210">
            <v>101.0025</v>
          </cell>
          <cell r="N210">
            <v>46047</v>
          </cell>
          <cell r="O210">
            <v>0.69589041095890414</v>
          </cell>
          <cell r="P210" t="str">
            <v>&lt;1Y</v>
          </cell>
          <cell r="Q210">
            <v>3689</v>
          </cell>
          <cell r="R210">
            <v>0.73780000000000001</v>
          </cell>
          <cell r="S210">
            <v>10300000</v>
          </cell>
          <cell r="T210">
            <v>0</v>
          </cell>
          <cell r="U210">
            <v>7900000</v>
          </cell>
          <cell r="V210">
            <v>0</v>
          </cell>
          <cell r="W210">
            <v>19700000</v>
          </cell>
          <cell r="X210">
            <v>19700000</v>
          </cell>
          <cell r="Y210">
            <v>0</v>
          </cell>
          <cell r="Z210">
            <v>2400000</v>
          </cell>
          <cell r="AA210">
            <v>1.7982512007073121E-4</v>
          </cell>
          <cell r="AB210">
            <v>0</v>
          </cell>
        </row>
        <row r="211">
          <cell r="A211">
            <v>61506</v>
          </cell>
          <cell r="B211" t="str">
            <v>撼訊六</v>
          </cell>
          <cell r="C211" t="str">
            <v>電子中游-PC介面卡</v>
          </cell>
          <cell r="D211" t="str">
            <v>8</v>
          </cell>
          <cell r="E211" t="str">
            <v>無</v>
          </cell>
          <cell r="F211" t="str">
            <v>8</v>
          </cell>
          <cell r="G211" t="str">
            <v>8</v>
          </cell>
          <cell r="H211" t="str">
            <v>b+</v>
          </cell>
          <cell r="I211" t="str">
            <v>V: bb- ~ b+</v>
          </cell>
          <cell r="J211">
            <v>4.6036674104977193E-2</v>
          </cell>
          <cell r="K211">
            <v>93.7</v>
          </cell>
          <cell r="L211">
            <v>79.822616407982267</v>
          </cell>
          <cell r="M211">
            <v>101.5</v>
          </cell>
          <cell r="N211">
            <v>46453</v>
          </cell>
          <cell r="O211">
            <v>1.8082191780821917</v>
          </cell>
          <cell r="P211" t="str">
            <v>1Y-2Y</v>
          </cell>
          <cell r="Q211">
            <v>4000</v>
          </cell>
          <cell r="R211">
            <v>1</v>
          </cell>
          <cell r="S211">
            <v>0</v>
          </cell>
          <cell r="T211">
            <v>0</v>
          </cell>
          <cell r="U211">
            <v>0</v>
          </cell>
          <cell r="V211">
            <v>0</v>
          </cell>
          <cell r="W211">
            <v>0</v>
          </cell>
          <cell r="X211">
            <v>0</v>
          </cell>
          <cell r="Y211">
            <v>0</v>
          </cell>
          <cell r="Z211">
            <v>0</v>
          </cell>
          <cell r="AA211">
            <v>0</v>
          </cell>
          <cell r="AB211">
            <v>0</v>
          </cell>
        </row>
        <row r="212">
          <cell r="A212">
            <v>61793</v>
          </cell>
          <cell r="B212" t="str">
            <v>亞通三</v>
          </cell>
          <cell r="C212" t="str">
            <v>傳產-其他</v>
          </cell>
          <cell r="D212">
            <v>7</v>
          </cell>
          <cell r="E212" t="str">
            <v>無</v>
          </cell>
          <cell r="F212">
            <v>7</v>
          </cell>
          <cell r="G212">
            <v>7</v>
          </cell>
          <cell r="H212" t="str">
            <v>bb-</v>
          </cell>
          <cell r="I212" t="str">
            <v>V: bb- ~ b+</v>
          </cell>
          <cell r="J212">
            <v>6.8120432726750946E-2</v>
          </cell>
          <cell r="K212">
            <v>99.7</v>
          </cell>
          <cell r="L212">
            <v>65.966386554621849</v>
          </cell>
          <cell r="M212">
            <v>101.0025</v>
          </cell>
          <cell r="N212">
            <v>45863</v>
          </cell>
          <cell r="O212">
            <v>0.19178082191780821</v>
          </cell>
          <cell r="P212" t="str">
            <v>&lt;1Y</v>
          </cell>
          <cell r="Q212">
            <v>3000</v>
          </cell>
          <cell r="R212">
            <v>1</v>
          </cell>
          <cell r="S212">
            <v>15000000</v>
          </cell>
          <cell r="T212">
            <v>0</v>
          </cell>
          <cell r="U212">
            <v>14900000</v>
          </cell>
          <cell r="V212">
            <v>0</v>
          </cell>
          <cell r="W212">
            <v>0</v>
          </cell>
          <cell r="X212">
            <v>0</v>
          </cell>
          <cell r="Y212">
            <v>0</v>
          </cell>
          <cell r="Z212">
            <v>100000</v>
          </cell>
          <cell r="AA212">
            <v>7.4927133362804674E-6</v>
          </cell>
          <cell r="AB212">
            <v>0</v>
          </cell>
        </row>
        <row r="213">
          <cell r="A213">
            <v>61794</v>
          </cell>
          <cell r="B213" t="str">
            <v>亞通四</v>
          </cell>
          <cell r="C213" t="str">
            <v>傳產-其他</v>
          </cell>
          <cell r="D213">
            <v>7</v>
          </cell>
          <cell r="E213" t="str">
            <v>無</v>
          </cell>
          <cell r="F213">
            <v>7</v>
          </cell>
          <cell r="G213">
            <v>7</v>
          </cell>
          <cell r="H213" t="str">
            <v>bb-</v>
          </cell>
          <cell r="I213" t="str">
            <v>V: bb- ~ b+</v>
          </cell>
          <cell r="J213">
            <v>4.0473708722361305E-4</v>
          </cell>
          <cell r="K213">
            <v>100.95</v>
          </cell>
          <cell r="L213">
            <v>77.980132450331126</v>
          </cell>
          <cell r="M213">
            <v>101.0025</v>
          </cell>
          <cell r="N213">
            <v>46262</v>
          </cell>
          <cell r="O213">
            <v>1.284931506849315</v>
          </cell>
          <cell r="P213" t="str">
            <v>1Y-2Y</v>
          </cell>
          <cell r="Q213">
            <v>6000</v>
          </cell>
          <cell r="R213">
            <v>1</v>
          </cell>
          <cell r="S213">
            <v>48000000</v>
          </cell>
          <cell r="T213">
            <v>0</v>
          </cell>
          <cell r="U213">
            <v>28000000</v>
          </cell>
          <cell r="V213">
            <v>20000000</v>
          </cell>
          <cell r="W213">
            <v>0</v>
          </cell>
          <cell r="X213">
            <v>0</v>
          </cell>
          <cell r="Y213">
            <v>0</v>
          </cell>
          <cell r="Z213">
            <v>0</v>
          </cell>
          <cell r="AA213">
            <v>0</v>
          </cell>
          <cell r="AB213">
            <v>0</v>
          </cell>
        </row>
        <row r="214">
          <cell r="A214">
            <v>61827</v>
          </cell>
          <cell r="B214" t="str">
            <v>合晶七</v>
          </cell>
          <cell r="C214" t="str">
            <v>電子上游-IC-製造</v>
          </cell>
          <cell r="D214" t="str">
            <v>6</v>
          </cell>
          <cell r="E214" t="str">
            <v>無</v>
          </cell>
          <cell r="F214" t="str">
            <v>6</v>
          </cell>
          <cell r="G214" t="str">
            <v>6</v>
          </cell>
          <cell r="H214" t="str">
            <v>bb+</v>
          </cell>
          <cell r="I214" t="str">
            <v>IV: bb+ ~ bb</v>
          </cell>
          <cell r="J214">
            <v>4.7742853416487832E-2</v>
          </cell>
          <cell r="K214">
            <v>96.5</v>
          </cell>
          <cell r="L214">
            <v>36.601307189542482</v>
          </cell>
          <cell r="M214">
            <v>102.01600000000001</v>
          </cell>
          <cell r="N214">
            <v>46230</v>
          </cell>
          <cell r="O214">
            <v>1.1972602739726028</v>
          </cell>
          <cell r="P214" t="str">
            <v>1Y-2Y</v>
          </cell>
          <cell r="Q214">
            <v>2976</v>
          </cell>
          <cell r="R214">
            <v>0.99199999999999999</v>
          </cell>
          <cell r="S214">
            <v>7600000</v>
          </cell>
          <cell r="T214">
            <v>0</v>
          </cell>
          <cell r="U214">
            <v>7300000</v>
          </cell>
          <cell r="V214">
            <v>0</v>
          </cell>
          <cell r="W214">
            <v>0</v>
          </cell>
          <cell r="X214">
            <v>0</v>
          </cell>
          <cell r="Y214">
            <v>0</v>
          </cell>
          <cell r="Z214">
            <v>300000</v>
          </cell>
          <cell r="AA214">
            <v>2.2478140008841401E-5</v>
          </cell>
          <cell r="AB214">
            <v>0</v>
          </cell>
        </row>
        <row r="215">
          <cell r="A215">
            <v>61828</v>
          </cell>
          <cell r="B215" t="str">
            <v>合晶八</v>
          </cell>
          <cell r="C215" t="str">
            <v>電子上游-IC-製造</v>
          </cell>
          <cell r="D215" t="str">
            <v>6</v>
          </cell>
          <cell r="E215" t="str">
            <v>無</v>
          </cell>
          <cell r="F215" t="str">
            <v>6</v>
          </cell>
          <cell r="G215" t="str">
            <v>6</v>
          </cell>
          <cell r="H215" t="str">
            <v>bb+</v>
          </cell>
          <cell r="I215" t="str">
            <v>IV: bb+ ~ bb</v>
          </cell>
          <cell r="J215">
            <v>4.4604011833834972E-2</v>
          </cell>
          <cell r="K215">
            <v>90.45</v>
          </cell>
          <cell r="L215">
            <v>66.865671641791039</v>
          </cell>
          <cell r="M215">
            <v>100</v>
          </cell>
          <cell r="N215">
            <v>46657</v>
          </cell>
          <cell r="O215">
            <v>2.3671232876712329</v>
          </cell>
          <cell r="P215" t="str">
            <v>&gt;2Y</v>
          </cell>
          <cell r="Q215">
            <v>15000</v>
          </cell>
          <cell r="R215">
            <v>1</v>
          </cell>
          <cell r="S215">
            <v>64800000</v>
          </cell>
          <cell r="T215">
            <v>0</v>
          </cell>
          <cell r="U215">
            <v>33800000</v>
          </cell>
          <cell r="V215">
            <v>31000000</v>
          </cell>
          <cell r="W215">
            <v>0</v>
          </cell>
          <cell r="X215">
            <v>0</v>
          </cell>
          <cell r="Y215">
            <v>0</v>
          </cell>
          <cell r="Z215">
            <v>0</v>
          </cell>
          <cell r="AA215">
            <v>0</v>
          </cell>
          <cell r="AB215">
            <v>0</v>
          </cell>
        </row>
        <row r="216">
          <cell r="A216">
            <v>61843</v>
          </cell>
          <cell r="B216" t="str">
            <v>大豐電三</v>
          </cell>
          <cell r="C216" t="str">
            <v>電子中游-通訊設備</v>
          </cell>
          <cell r="D216">
            <v>6</v>
          </cell>
          <cell r="E216" t="str">
            <v>無</v>
          </cell>
          <cell r="F216">
            <v>6</v>
          </cell>
          <cell r="G216">
            <v>6</v>
          </cell>
          <cell r="H216" t="str">
            <v>bb+</v>
          </cell>
          <cell r="I216" t="str">
            <v>IV: bb+ ~ bb</v>
          </cell>
          <cell r="J216">
            <v>8.6072467814995318E-4</v>
          </cell>
          <cell r="K216">
            <v>101.35</v>
          </cell>
          <cell r="L216">
            <v>102.85714285714285</v>
          </cell>
          <cell r="M216">
            <v>101.50749999999999</v>
          </cell>
          <cell r="N216">
            <v>46452</v>
          </cell>
          <cell r="O216">
            <v>1.8054794520547945</v>
          </cell>
          <cell r="P216" t="str">
            <v>1Y-2Y</v>
          </cell>
          <cell r="Q216">
            <v>14984</v>
          </cell>
          <cell r="R216">
            <v>0.99893333333333334</v>
          </cell>
          <cell r="S216">
            <v>57100000</v>
          </cell>
          <cell r="T216">
            <v>0</v>
          </cell>
          <cell r="U216">
            <v>56600000</v>
          </cell>
          <cell r="V216">
            <v>32000000</v>
          </cell>
          <cell r="W216">
            <v>42200000</v>
          </cell>
          <cell r="X216">
            <v>12700000</v>
          </cell>
          <cell r="Y216">
            <v>1700000</v>
          </cell>
          <cell r="Z216">
            <v>-300000</v>
          </cell>
          <cell r="AA216">
            <v>-2.2478140008841401E-5</v>
          </cell>
          <cell r="AB216">
            <v>0</v>
          </cell>
        </row>
        <row r="217">
          <cell r="A217">
            <v>61875</v>
          </cell>
          <cell r="B217" t="str">
            <v>萬潤五</v>
          </cell>
          <cell r="C217" t="str">
            <v>電子上游-IC-其他</v>
          </cell>
          <cell r="D217" t="str">
            <v>5</v>
          </cell>
          <cell r="E217" t="str">
            <v>無</v>
          </cell>
          <cell r="F217" t="str">
            <v>5</v>
          </cell>
          <cell r="G217" t="str">
            <v>5</v>
          </cell>
          <cell r="H217" t="str">
            <v>bbb</v>
          </cell>
          <cell r="I217" t="str">
            <v>III: bbb ~ bbb-</v>
          </cell>
          <cell r="J217">
            <v>-6.4133538326378234E-2</v>
          </cell>
          <cell r="K217">
            <v>116</v>
          </cell>
          <cell r="L217">
            <v>106.69014084507043</v>
          </cell>
          <cell r="M217">
            <v>100</v>
          </cell>
          <cell r="N217">
            <v>46578</v>
          </cell>
          <cell r="O217">
            <v>2.1506849315068495</v>
          </cell>
          <cell r="P217" t="str">
            <v>&gt;2Y</v>
          </cell>
          <cell r="Q217">
            <v>2897</v>
          </cell>
          <cell r="R217">
            <v>0.57940000000000003</v>
          </cell>
          <cell r="S217">
            <v>10900000</v>
          </cell>
          <cell r="T217">
            <v>0</v>
          </cell>
          <cell r="U217">
            <v>10900000</v>
          </cell>
          <cell r="V217">
            <v>0</v>
          </cell>
          <cell r="W217">
            <v>7600000</v>
          </cell>
          <cell r="X217">
            <v>7600000</v>
          </cell>
          <cell r="Y217">
            <v>0</v>
          </cell>
          <cell r="Z217">
            <v>0</v>
          </cell>
          <cell r="AA217">
            <v>0</v>
          </cell>
          <cell r="AB217">
            <v>0</v>
          </cell>
        </row>
        <row r="218">
          <cell r="A218">
            <v>61894</v>
          </cell>
          <cell r="B218" t="str">
            <v>豐藝四</v>
          </cell>
          <cell r="C218" t="str">
            <v>電子上游-IC-通路</v>
          </cell>
          <cell r="D218" t="str">
            <v>4</v>
          </cell>
          <cell r="E218" t="str">
            <v>無</v>
          </cell>
          <cell r="F218" t="str">
            <v>4</v>
          </cell>
          <cell r="G218" t="str">
            <v>4</v>
          </cell>
          <cell r="H218" t="str">
            <v>bbb+</v>
          </cell>
          <cell r="I218" t="str">
            <v>II: a- ~ bbb+</v>
          </cell>
          <cell r="J218">
            <v>-0.17385029480836436</v>
          </cell>
          <cell r="K218">
            <v>135.9</v>
          </cell>
          <cell r="L218">
            <v>136.18035190615834</v>
          </cell>
          <cell r="M218">
            <v>100.75190000000001</v>
          </cell>
          <cell r="N218">
            <v>46336</v>
          </cell>
          <cell r="O218">
            <v>1.4876712328767123</v>
          </cell>
          <cell r="P218" t="str">
            <v>1Y-2Y</v>
          </cell>
          <cell r="Q218">
            <v>1290</v>
          </cell>
          <cell r="R218">
            <v>0.25800000000000001</v>
          </cell>
          <cell r="S218">
            <v>0</v>
          </cell>
          <cell r="T218">
            <v>0</v>
          </cell>
          <cell r="U218">
            <v>0</v>
          </cell>
          <cell r="V218">
            <v>0</v>
          </cell>
          <cell r="W218">
            <v>500000</v>
          </cell>
          <cell r="X218">
            <v>0</v>
          </cell>
          <cell r="Y218">
            <v>0</v>
          </cell>
          <cell r="Z218">
            <v>500000</v>
          </cell>
          <cell r="AA218">
            <v>3.7463566681402334E-5</v>
          </cell>
          <cell r="AB218">
            <v>0</v>
          </cell>
        </row>
        <row r="219">
          <cell r="A219">
            <v>61906</v>
          </cell>
          <cell r="B219" t="str">
            <v>萬泰科六</v>
          </cell>
          <cell r="C219" t="str">
            <v>電子上游-連接元件</v>
          </cell>
          <cell r="D219" t="str">
            <v>6</v>
          </cell>
          <cell r="E219" t="str">
            <v>無</v>
          </cell>
          <cell r="F219" t="str">
            <v>6</v>
          </cell>
          <cell r="G219" t="str">
            <v>6</v>
          </cell>
          <cell r="H219" t="str">
            <v>bb+</v>
          </cell>
          <cell r="I219" t="str">
            <v>IV: bb+ ~ bb</v>
          </cell>
          <cell r="J219">
            <v>-0.33297548485948142</v>
          </cell>
          <cell r="K219">
            <v>118.1</v>
          </cell>
          <cell r="L219">
            <v>118.27794561933533</v>
          </cell>
          <cell r="M219">
            <v>100</v>
          </cell>
          <cell r="N219">
            <v>45961</v>
          </cell>
          <cell r="O219">
            <v>0.46027397260273972</v>
          </cell>
          <cell r="P219" t="str">
            <v>&lt;1Y</v>
          </cell>
          <cell r="Q219">
            <v>5035</v>
          </cell>
          <cell r="R219">
            <v>0.62937500000000002</v>
          </cell>
          <cell r="S219">
            <v>56700000</v>
          </cell>
          <cell r="T219">
            <v>0</v>
          </cell>
          <cell r="U219">
            <v>15000000</v>
          </cell>
          <cell r="V219">
            <v>43800000</v>
          </cell>
          <cell r="W219">
            <v>12600000</v>
          </cell>
          <cell r="X219">
            <v>12600000</v>
          </cell>
          <cell r="Y219">
            <v>2100000</v>
          </cell>
          <cell r="Z219">
            <v>0</v>
          </cell>
          <cell r="AA219">
            <v>0</v>
          </cell>
          <cell r="AB219">
            <v>0</v>
          </cell>
        </row>
        <row r="220">
          <cell r="A220">
            <v>61965</v>
          </cell>
          <cell r="B220" t="str">
            <v>帆宣五</v>
          </cell>
          <cell r="C220" t="str">
            <v>電子中游-儀器設備工程</v>
          </cell>
          <cell r="D220" t="str">
            <v>4</v>
          </cell>
          <cell r="E220" t="str">
            <v>無</v>
          </cell>
          <cell r="F220" t="str">
            <v>4</v>
          </cell>
          <cell r="G220" t="str">
            <v>4</v>
          </cell>
          <cell r="H220" t="str">
            <v>bbb+</v>
          </cell>
          <cell r="I220" t="str">
            <v>II: a- ~ bbb+</v>
          </cell>
          <cell r="J220">
            <v>-0.17705798604675008</v>
          </cell>
          <cell r="K220">
            <v>124.6</v>
          </cell>
          <cell r="L220">
            <v>126.84911242603552</v>
          </cell>
          <cell r="M220">
            <v>100</v>
          </cell>
          <cell r="N220">
            <v>46200</v>
          </cell>
          <cell r="O220">
            <v>1.1150684931506849</v>
          </cell>
          <cell r="P220" t="str">
            <v>1Y-2Y</v>
          </cell>
          <cell r="Q220">
            <v>23797</v>
          </cell>
          <cell r="R220">
            <v>0.95187999999999995</v>
          </cell>
          <cell r="S220">
            <v>264800000</v>
          </cell>
          <cell r="T220">
            <v>0</v>
          </cell>
          <cell r="U220">
            <v>262800000</v>
          </cell>
          <cell r="V220">
            <v>3000000</v>
          </cell>
          <cell r="W220">
            <v>45600000</v>
          </cell>
          <cell r="X220">
            <v>44600000</v>
          </cell>
          <cell r="Y220">
            <v>0</v>
          </cell>
          <cell r="Z220">
            <v>0</v>
          </cell>
          <cell r="AA220">
            <v>0</v>
          </cell>
          <cell r="AB220">
            <v>0</v>
          </cell>
        </row>
        <row r="221">
          <cell r="A221">
            <v>61973</v>
          </cell>
          <cell r="B221" t="str">
            <v>佳必琪三</v>
          </cell>
          <cell r="C221" t="str">
            <v>電子上游-連接元件</v>
          </cell>
          <cell r="D221">
            <v>6</v>
          </cell>
          <cell r="E221" t="str">
            <v>無</v>
          </cell>
          <cell r="F221">
            <v>6</v>
          </cell>
          <cell r="G221">
            <v>6</v>
          </cell>
          <cell r="H221" t="str">
            <v>bbb</v>
          </cell>
          <cell r="I221" t="str">
            <v>III: bbb ~ bbb-</v>
          </cell>
          <cell r="J221">
            <v>-4.598135550516505E-2</v>
          </cell>
          <cell r="K221">
            <v>112.5</v>
          </cell>
          <cell r="L221">
            <v>86.875</v>
          </cell>
          <cell r="M221">
            <v>100</v>
          </cell>
          <cell r="N221">
            <v>46675</v>
          </cell>
          <cell r="O221">
            <v>2.4164383561643836</v>
          </cell>
          <cell r="P221" t="str">
            <v>&gt;2Y</v>
          </cell>
          <cell r="Q221">
            <v>10000</v>
          </cell>
          <cell r="R221">
            <v>1</v>
          </cell>
          <cell r="S221">
            <v>53200000</v>
          </cell>
          <cell r="T221">
            <v>0</v>
          </cell>
          <cell r="U221">
            <v>52200000</v>
          </cell>
          <cell r="V221">
            <v>3000000</v>
          </cell>
          <cell r="W221">
            <v>17300000</v>
          </cell>
          <cell r="X221">
            <v>16100000</v>
          </cell>
          <cell r="Y221">
            <v>800000</v>
          </cell>
          <cell r="Z221">
            <v>0</v>
          </cell>
          <cell r="AA221">
            <v>0</v>
          </cell>
          <cell r="AB221">
            <v>0</v>
          </cell>
        </row>
        <row r="222">
          <cell r="A222">
            <v>62235</v>
          </cell>
          <cell r="B222" t="str">
            <v>旺矽五</v>
          </cell>
          <cell r="C222" t="str">
            <v>電子上游-IC-其他</v>
          </cell>
          <cell r="D222" t="str">
            <v>4</v>
          </cell>
          <cell r="E222" t="str">
            <v>無</v>
          </cell>
          <cell r="F222" t="str">
            <v>4</v>
          </cell>
          <cell r="G222" t="str">
            <v>4</v>
          </cell>
          <cell r="H222" t="str">
            <v>bbb+</v>
          </cell>
          <cell r="I222" t="str">
            <v>II: a- ~ bbb+</v>
          </cell>
          <cell r="J222">
            <v>-2.2036040562673713E-2</v>
          </cell>
          <cell r="K222">
            <v>106.2</v>
          </cell>
          <cell r="L222">
            <v>73.870967741935488</v>
          </cell>
          <cell r="M222">
            <v>100</v>
          </cell>
          <cell r="N222">
            <v>46760</v>
          </cell>
          <cell r="O222">
            <v>2.6493150684931508</v>
          </cell>
          <cell r="P222" t="str">
            <v>&gt;2Y</v>
          </cell>
          <cell r="Q222">
            <v>35000</v>
          </cell>
          <cell r="R222">
            <v>1</v>
          </cell>
          <cell r="S222">
            <v>254200000</v>
          </cell>
          <cell r="T222">
            <v>0</v>
          </cell>
          <cell r="U222">
            <v>0</v>
          </cell>
          <cell r="V222">
            <v>0</v>
          </cell>
          <cell r="W222">
            <v>47600000</v>
          </cell>
          <cell r="X222">
            <v>0</v>
          </cell>
          <cell r="Y222">
            <v>68700000</v>
          </cell>
          <cell r="Z222">
            <v>370500000</v>
          </cell>
          <cell r="AA222">
            <v>2.7760502910919131E-2</v>
          </cell>
          <cell r="AB222">
            <v>0</v>
          </cell>
        </row>
        <row r="223">
          <cell r="A223">
            <v>62433</v>
          </cell>
          <cell r="B223" t="str">
            <v>迅杰三</v>
          </cell>
          <cell r="C223" t="str">
            <v>電子上游-IC-設計</v>
          </cell>
          <cell r="D223" t="str">
            <v>7</v>
          </cell>
          <cell r="E223" t="str">
            <v>無</v>
          </cell>
          <cell r="F223" t="str">
            <v>7</v>
          </cell>
          <cell r="G223" t="str">
            <v>7</v>
          </cell>
          <cell r="H223" t="str">
            <v>bb</v>
          </cell>
          <cell r="I223" t="str">
            <v>IV: bb+ ~ bb</v>
          </cell>
          <cell r="J223">
            <v>4.802906344756571E-2</v>
          </cell>
          <cell r="K223">
            <v>90.8</v>
          </cell>
          <cell r="L223">
            <v>62.158054711246201</v>
          </cell>
          <cell r="M223">
            <v>100</v>
          </cell>
          <cell r="N223">
            <v>46563</v>
          </cell>
          <cell r="O223">
            <v>2.1095890410958904</v>
          </cell>
          <cell r="P223" t="str">
            <v>&gt;2Y</v>
          </cell>
          <cell r="Q223">
            <v>3000</v>
          </cell>
          <cell r="R223">
            <v>1</v>
          </cell>
          <cell r="S223">
            <v>0</v>
          </cell>
          <cell r="T223">
            <v>0</v>
          </cell>
          <cell r="U223">
            <v>0</v>
          </cell>
          <cell r="V223">
            <v>0</v>
          </cell>
          <cell r="W223">
            <v>0</v>
          </cell>
          <cell r="X223">
            <v>0</v>
          </cell>
          <cell r="Y223">
            <v>0</v>
          </cell>
          <cell r="Z223">
            <v>0</v>
          </cell>
          <cell r="AA223">
            <v>0</v>
          </cell>
          <cell r="AB223">
            <v>0</v>
          </cell>
        </row>
        <row r="224">
          <cell r="A224">
            <v>62695</v>
          </cell>
          <cell r="B224" t="str">
            <v>台郡五</v>
          </cell>
          <cell r="C224" t="str">
            <v>電子上游-PCB-製造</v>
          </cell>
          <cell r="D224" t="str">
            <v>4</v>
          </cell>
          <cell r="E224" t="str">
            <v>無</v>
          </cell>
          <cell r="F224" t="str">
            <v>4</v>
          </cell>
          <cell r="G224" t="str">
            <v>4</v>
          </cell>
          <cell r="H224" t="str">
            <v>bbb+</v>
          </cell>
          <cell r="I224" t="str">
            <v>II: a- ~ bbb+</v>
          </cell>
          <cell r="J224">
            <v>4.5629562956295928E-3</v>
          </cell>
          <cell r="K224">
            <v>99</v>
          </cell>
          <cell r="L224">
            <v>64.408602150537632</v>
          </cell>
          <cell r="M224">
            <v>100</v>
          </cell>
          <cell r="N224">
            <v>46601</v>
          </cell>
          <cell r="O224">
            <v>2.2136986301369861</v>
          </cell>
          <cell r="P224" t="str">
            <v>&gt;2Y</v>
          </cell>
          <cell r="Q224">
            <v>20000</v>
          </cell>
          <cell r="R224">
            <v>1</v>
          </cell>
          <cell r="S224">
            <v>175000000</v>
          </cell>
          <cell r="T224">
            <v>0</v>
          </cell>
          <cell r="U224">
            <v>5000000</v>
          </cell>
          <cell r="V224">
            <v>0</v>
          </cell>
          <cell r="W224">
            <v>81200000</v>
          </cell>
          <cell r="X224">
            <v>500000</v>
          </cell>
          <cell r="Y224">
            <v>32100000</v>
          </cell>
          <cell r="Z224">
            <v>282800000</v>
          </cell>
          <cell r="AA224">
            <v>2.1189393315001161E-2</v>
          </cell>
          <cell r="AB224">
            <v>0</v>
          </cell>
        </row>
        <row r="225">
          <cell r="A225">
            <v>62696</v>
          </cell>
          <cell r="B225" t="str">
            <v>台郡六</v>
          </cell>
          <cell r="C225" t="str">
            <v>電子上游-PCB-製造</v>
          </cell>
          <cell r="D225" t="str">
            <v>4</v>
          </cell>
          <cell r="E225" t="str">
            <v>無</v>
          </cell>
          <cell r="F225" t="str">
            <v>4</v>
          </cell>
          <cell r="G225" t="str">
            <v>4</v>
          </cell>
          <cell r="H225" t="str">
            <v>bbb+</v>
          </cell>
          <cell r="I225" t="str">
            <v>II: a- ~ bbb+</v>
          </cell>
          <cell r="J225">
            <v>4.7935250826750386E-3</v>
          </cell>
          <cell r="K225">
            <v>98.95</v>
          </cell>
          <cell r="L225">
            <v>59.306930693069305</v>
          </cell>
          <cell r="M225">
            <v>100</v>
          </cell>
          <cell r="N225">
            <v>46601</v>
          </cell>
          <cell r="O225">
            <v>2.2136986301369861</v>
          </cell>
          <cell r="P225" t="str">
            <v>&gt;2Y</v>
          </cell>
          <cell r="Q225">
            <v>10000</v>
          </cell>
          <cell r="R225">
            <v>1</v>
          </cell>
          <cell r="S225">
            <v>123200000</v>
          </cell>
          <cell r="T225">
            <v>0</v>
          </cell>
          <cell r="U225">
            <v>50000000</v>
          </cell>
          <cell r="V225">
            <v>0</v>
          </cell>
          <cell r="W225">
            <v>30400000</v>
          </cell>
          <cell r="X225">
            <v>1500000</v>
          </cell>
          <cell r="Y225">
            <v>15700000</v>
          </cell>
          <cell r="Z225">
            <v>117800000</v>
          </cell>
          <cell r="AA225">
            <v>8.8264163101383908E-3</v>
          </cell>
          <cell r="AB225">
            <v>0</v>
          </cell>
        </row>
        <row r="226">
          <cell r="A226">
            <v>62744</v>
          </cell>
          <cell r="B226" t="str">
            <v>台燿四</v>
          </cell>
          <cell r="C226" t="str">
            <v>電子上游-PCB-材料設備</v>
          </cell>
          <cell r="D226" t="str">
            <v>4</v>
          </cell>
          <cell r="E226" t="str">
            <v>無</v>
          </cell>
          <cell r="F226" t="str">
            <v>4</v>
          </cell>
          <cell r="G226" t="str">
            <v>4</v>
          </cell>
          <cell r="H226" t="str">
            <v>bbb+</v>
          </cell>
          <cell r="I226" t="str">
            <v>II: a- ~ bbb+</v>
          </cell>
          <cell r="J226">
            <v>-6.4584545278262559E-2</v>
          </cell>
          <cell r="K226">
            <v>114.6</v>
          </cell>
          <cell r="L226">
            <v>97.799511002445001</v>
          </cell>
          <cell r="M226">
            <v>100</v>
          </cell>
          <cell r="N226">
            <v>46513</v>
          </cell>
          <cell r="O226">
            <v>1.9726027397260273</v>
          </cell>
          <cell r="P226" t="str">
            <v>1Y-2Y</v>
          </cell>
          <cell r="Q226">
            <v>20000</v>
          </cell>
          <cell r="R226">
            <v>1</v>
          </cell>
          <cell r="S226">
            <v>280700000</v>
          </cell>
          <cell r="T226">
            <v>0</v>
          </cell>
          <cell r="U226">
            <v>100000000</v>
          </cell>
          <cell r="V226">
            <v>0</v>
          </cell>
          <cell r="W226">
            <v>78300000</v>
          </cell>
          <cell r="X226">
            <v>500000</v>
          </cell>
          <cell r="Y226">
            <v>32500000</v>
          </cell>
          <cell r="Z226">
            <v>291000000</v>
          </cell>
          <cell r="AA226">
            <v>2.1803795808576158E-2</v>
          </cell>
          <cell r="AB226">
            <v>0</v>
          </cell>
        </row>
        <row r="227">
          <cell r="A227">
            <v>62756</v>
          </cell>
          <cell r="B227" t="str">
            <v>元山六</v>
          </cell>
          <cell r="C227" t="str">
            <v>電子下游-其他</v>
          </cell>
          <cell r="D227" t="str">
            <v>6</v>
          </cell>
          <cell r="E227" t="str">
            <v>有，第一商業銀行</v>
          </cell>
          <cell r="F227" t="str">
            <v>有，第一商業銀行</v>
          </cell>
          <cell r="G227" t="str">
            <v>有擔</v>
          </cell>
          <cell r="H227" t="str">
            <v>有擔</v>
          </cell>
          <cell r="I227" t="str">
            <v>有擔</v>
          </cell>
          <cell r="J227">
            <v>-0.29145618708597565</v>
          </cell>
          <cell r="K227">
            <v>169</v>
          </cell>
          <cell r="L227">
            <v>177.47035573122528</v>
          </cell>
          <cell r="M227">
            <v>101.256</v>
          </cell>
          <cell r="N227">
            <v>46295</v>
          </cell>
          <cell r="O227">
            <v>1.3753424657534246</v>
          </cell>
          <cell r="P227" t="str">
            <v>1Y-2Y</v>
          </cell>
          <cell r="Q227">
            <v>553</v>
          </cell>
          <cell r="R227">
            <v>0.18433333333333332</v>
          </cell>
          <cell r="S227">
            <v>0</v>
          </cell>
          <cell r="T227">
            <v>0</v>
          </cell>
          <cell r="U227">
            <v>0</v>
          </cell>
          <cell r="V227">
            <v>0</v>
          </cell>
          <cell r="W227">
            <v>0</v>
          </cell>
          <cell r="X227">
            <v>0</v>
          </cell>
          <cell r="Y227">
            <v>0</v>
          </cell>
          <cell r="Z227">
            <v>0</v>
          </cell>
          <cell r="AA227">
            <v>0</v>
          </cell>
          <cell r="AB227">
            <v>0</v>
          </cell>
        </row>
        <row r="228">
          <cell r="A228">
            <v>62822</v>
          </cell>
          <cell r="B228" t="str">
            <v>康舒二</v>
          </cell>
          <cell r="C228" t="str">
            <v>電子中游-電源供應器</v>
          </cell>
          <cell r="D228" t="str">
            <v>5</v>
          </cell>
          <cell r="E228" t="str">
            <v>無</v>
          </cell>
          <cell r="F228" t="str">
            <v>5</v>
          </cell>
          <cell r="G228" t="str">
            <v>5</v>
          </cell>
          <cell r="H228" t="str">
            <v>bbb</v>
          </cell>
          <cell r="I228" t="str">
            <v>III: bbb ~ bbb-</v>
          </cell>
          <cell r="J228">
            <v>8.4346908435460784E-3</v>
          </cell>
          <cell r="K228">
            <v>99.1</v>
          </cell>
          <cell r="L228">
            <v>59.381663113006397</v>
          </cell>
          <cell r="M228">
            <v>100</v>
          </cell>
          <cell r="N228">
            <v>46186</v>
          </cell>
          <cell r="O228">
            <v>1.0767123287671232</v>
          </cell>
          <cell r="P228" t="str">
            <v>1Y-2Y</v>
          </cell>
          <cell r="Q228">
            <v>40000</v>
          </cell>
          <cell r="R228">
            <v>1</v>
          </cell>
          <cell r="S228">
            <v>393100000</v>
          </cell>
          <cell r="T228">
            <v>0</v>
          </cell>
          <cell r="U228">
            <v>284600000</v>
          </cell>
          <cell r="V228">
            <v>20000000</v>
          </cell>
          <cell r="W228">
            <v>213600000</v>
          </cell>
          <cell r="X228">
            <v>14000000</v>
          </cell>
          <cell r="Y228">
            <v>41200000</v>
          </cell>
          <cell r="Z228">
            <v>329300000</v>
          </cell>
          <cell r="AA228">
            <v>2.467350501637158E-2</v>
          </cell>
          <cell r="AB228">
            <v>0</v>
          </cell>
        </row>
        <row r="229">
          <cell r="A229">
            <v>62843</v>
          </cell>
          <cell r="B229" t="str">
            <v>佳邦三</v>
          </cell>
          <cell r="C229" t="str">
            <v>電子中游-通訊設備</v>
          </cell>
          <cell r="D229" t="str">
            <v>4</v>
          </cell>
          <cell r="E229" t="str">
            <v>無</v>
          </cell>
          <cell r="F229" t="str">
            <v>4</v>
          </cell>
          <cell r="G229" t="str">
            <v>4</v>
          </cell>
          <cell r="H229" t="str">
            <v>bbb+</v>
          </cell>
          <cell r="I229" t="str">
            <v>II: a- ~ bbb+</v>
          </cell>
          <cell r="J229">
            <v>-0.15580624125889139</v>
          </cell>
          <cell r="K229">
            <v>109.95</v>
          </cell>
          <cell r="L229">
            <v>82.777777777777771</v>
          </cell>
          <cell r="M229">
            <v>100</v>
          </cell>
          <cell r="N229">
            <v>46005</v>
          </cell>
          <cell r="O229">
            <v>0.58082191780821912</v>
          </cell>
          <cell r="P229" t="str">
            <v>&lt;1Y</v>
          </cell>
          <cell r="Q229">
            <v>7000</v>
          </cell>
          <cell r="R229">
            <v>1</v>
          </cell>
          <cell r="S229">
            <v>77400000</v>
          </cell>
          <cell r="T229">
            <v>0</v>
          </cell>
          <cell r="U229">
            <v>30000000</v>
          </cell>
          <cell r="V229">
            <v>0</v>
          </cell>
          <cell r="W229">
            <v>13700000</v>
          </cell>
          <cell r="X229">
            <v>900000</v>
          </cell>
          <cell r="Y229">
            <v>600000</v>
          </cell>
          <cell r="Z229">
            <v>60800000</v>
          </cell>
          <cell r="AA229">
            <v>4.5555697084585242E-3</v>
          </cell>
          <cell r="AB229">
            <v>0</v>
          </cell>
        </row>
        <row r="230">
          <cell r="A230">
            <v>62884</v>
          </cell>
          <cell r="B230" t="str">
            <v>聯嘉四</v>
          </cell>
          <cell r="C230" t="str">
            <v>電子上游-LED及光元件</v>
          </cell>
          <cell r="D230" t="str">
            <v>7</v>
          </cell>
          <cell r="E230" t="str">
            <v>無</v>
          </cell>
          <cell r="F230" t="str">
            <v>7</v>
          </cell>
          <cell r="G230" t="str">
            <v>7</v>
          </cell>
          <cell r="H230" t="str">
            <v>bb-</v>
          </cell>
          <cell r="I230" t="str">
            <v>V: bb- ~ b+</v>
          </cell>
          <cell r="J230">
            <v>4.8466864490603521E-2</v>
          </cell>
          <cell r="K230">
            <v>101.1</v>
          </cell>
          <cell r="L230">
            <v>64.501510574018127</v>
          </cell>
          <cell r="M230">
            <v>104.04</v>
          </cell>
          <cell r="N230">
            <v>46012</v>
          </cell>
          <cell r="O230">
            <v>0.6</v>
          </cell>
          <cell r="P230" t="str">
            <v>&lt;1Y</v>
          </cell>
          <cell r="Q230">
            <v>5000</v>
          </cell>
          <cell r="R230">
            <v>1</v>
          </cell>
          <cell r="S230">
            <v>14900000</v>
          </cell>
          <cell r="T230">
            <v>0</v>
          </cell>
          <cell r="U230">
            <v>14900000</v>
          </cell>
          <cell r="V230">
            <v>0</v>
          </cell>
          <cell r="W230">
            <v>0</v>
          </cell>
          <cell r="X230">
            <v>0</v>
          </cell>
          <cell r="Y230">
            <v>0</v>
          </cell>
          <cell r="Z230">
            <v>0</v>
          </cell>
          <cell r="AA230">
            <v>0</v>
          </cell>
          <cell r="AB230">
            <v>0</v>
          </cell>
        </row>
        <row r="231">
          <cell r="A231">
            <v>62909</v>
          </cell>
          <cell r="B231" t="str">
            <v>良維九</v>
          </cell>
          <cell r="C231" t="str">
            <v>電子上游-連接元件</v>
          </cell>
          <cell r="D231" t="str">
            <v>5</v>
          </cell>
          <cell r="E231" t="str">
            <v>無</v>
          </cell>
          <cell r="F231" t="str">
            <v>5</v>
          </cell>
          <cell r="G231" t="str">
            <v>5</v>
          </cell>
          <cell r="H231" t="str">
            <v>bbb</v>
          </cell>
          <cell r="I231" t="str">
            <v>III: bbb ~ bbb-</v>
          </cell>
          <cell r="J231">
            <v>-0.26499368686868685</v>
          </cell>
          <cell r="K231">
            <v>192</v>
          </cell>
          <cell r="L231">
            <v>195.4</v>
          </cell>
          <cell r="M231">
            <v>100</v>
          </cell>
          <cell r="N231">
            <v>46453</v>
          </cell>
          <cell r="O231">
            <v>1.8082191780821917</v>
          </cell>
          <cell r="P231" t="str">
            <v>1Y-2Y</v>
          </cell>
          <cell r="Q231">
            <v>51</v>
          </cell>
          <cell r="R231">
            <v>8.5000000000000006E-3</v>
          </cell>
          <cell r="S231">
            <v>0</v>
          </cell>
          <cell r="T231">
            <v>0</v>
          </cell>
          <cell r="U231">
            <v>0</v>
          </cell>
          <cell r="V231">
            <v>0</v>
          </cell>
          <cell r="W231">
            <v>0</v>
          </cell>
          <cell r="X231">
            <v>0</v>
          </cell>
          <cell r="Y231">
            <v>0</v>
          </cell>
          <cell r="Z231">
            <v>0</v>
          </cell>
          <cell r="AA231">
            <v>0</v>
          </cell>
          <cell r="AB231">
            <v>0</v>
          </cell>
        </row>
        <row r="232">
          <cell r="A232">
            <v>629010</v>
          </cell>
          <cell r="B232" t="str">
            <v>良維十</v>
          </cell>
          <cell r="C232" t="str">
            <v>電子上游-連接元件</v>
          </cell>
          <cell r="D232" t="str">
            <v>5</v>
          </cell>
          <cell r="E232" t="str">
            <v>無</v>
          </cell>
          <cell r="F232" t="str">
            <v>5</v>
          </cell>
          <cell r="G232" t="str">
            <v>5</v>
          </cell>
          <cell r="H232" t="str">
            <v>bbb</v>
          </cell>
          <cell r="I232" t="str">
            <v>III: bbb ~ bbb-</v>
          </cell>
          <cell r="J232">
            <v>-8.6089054443437701E-2</v>
          </cell>
          <cell r="K232">
            <v>121.3</v>
          </cell>
          <cell r="L232">
            <v>121.9725343320849</v>
          </cell>
          <cell r="M232">
            <v>100.500625</v>
          </cell>
          <cell r="N232">
            <v>46520</v>
          </cell>
          <cell r="O232">
            <v>1.9917808219178081</v>
          </cell>
          <cell r="P232" t="str">
            <v>1Y-2Y</v>
          </cell>
          <cell r="Q232">
            <v>0</v>
          </cell>
          <cell r="R232">
            <v>0</v>
          </cell>
          <cell r="S232">
            <v>0</v>
          </cell>
          <cell r="T232">
            <v>0</v>
          </cell>
          <cell r="U232">
            <v>0</v>
          </cell>
          <cell r="V232">
            <v>0</v>
          </cell>
          <cell r="W232">
            <v>0</v>
          </cell>
          <cell r="X232">
            <v>0</v>
          </cell>
          <cell r="Y232">
            <v>0</v>
          </cell>
          <cell r="Z232">
            <v>0</v>
          </cell>
          <cell r="AA232">
            <v>0</v>
          </cell>
          <cell r="AB232">
            <v>0</v>
          </cell>
        </row>
        <row r="233">
          <cell r="A233">
            <v>64144</v>
          </cell>
          <cell r="B233" t="str">
            <v>樺漢四</v>
          </cell>
          <cell r="C233" t="str">
            <v>電子下游-工業電腦</v>
          </cell>
          <cell r="D233" t="str">
            <v>4</v>
          </cell>
          <cell r="E233" t="str">
            <v>無</v>
          </cell>
          <cell r="F233" t="str">
            <v>4</v>
          </cell>
          <cell r="G233" t="str">
            <v>4</v>
          </cell>
          <cell r="H233" t="str">
            <v>bbb+</v>
          </cell>
          <cell r="I233" t="str">
            <v>II: a- ~ bbb+</v>
          </cell>
          <cell r="J233">
            <v>-0.20947176684881608</v>
          </cell>
          <cell r="K233">
            <v>146</v>
          </cell>
          <cell r="L233">
            <v>151.76290240163516</v>
          </cell>
          <cell r="M233">
            <v>100</v>
          </cell>
          <cell r="N233">
            <v>46342</v>
          </cell>
          <cell r="O233">
            <v>1.5041095890410958</v>
          </cell>
          <cell r="P233" t="str">
            <v>1Y-2Y</v>
          </cell>
          <cell r="Q233">
            <v>231</v>
          </cell>
          <cell r="R233">
            <v>2.3099999999999999E-2</v>
          </cell>
          <cell r="S233">
            <v>0</v>
          </cell>
          <cell r="T233">
            <v>0</v>
          </cell>
          <cell r="U233">
            <v>0</v>
          </cell>
          <cell r="V233">
            <v>0</v>
          </cell>
          <cell r="W233">
            <v>0</v>
          </cell>
          <cell r="X233">
            <v>0</v>
          </cell>
          <cell r="Y233">
            <v>0</v>
          </cell>
          <cell r="Z233">
            <v>0</v>
          </cell>
          <cell r="AA233">
            <v>0</v>
          </cell>
          <cell r="AB233">
            <v>0</v>
          </cell>
        </row>
        <row r="234">
          <cell r="A234">
            <v>64145</v>
          </cell>
          <cell r="B234" t="str">
            <v>樺漢五</v>
          </cell>
          <cell r="C234" t="str">
            <v>電子下游-工業電腦</v>
          </cell>
          <cell r="D234" t="str">
            <v>4</v>
          </cell>
          <cell r="E234" t="str">
            <v>無</v>
          </cell>
          <cell r="F234" t="str">
            <v>4</v>
          </cell>
          <cell r="G234" t="str">
            <v>4</v>
          </cell>
          <cell r="H234" t="str">
            <v>bbb+</v>
          </cell>
          <cell r="I234" t="str">
            <v>II: a- ~ bbb+</v>
          </cell>
          <cell r="J234">
            <v>-9.8698404601131093E-2</v>
          </cell>
          <cell r="K234">
            <v>114.1</v>
          </cell>
          <cell r="L234">
            <v>104.17397404419502</v>
          </cell>
          <cell r="M234">
            <v>100</v>
          </cell>
          <cell r="N234">
            <v>46250</v>
          </cell>
          <cell r="O234">
            <v>1.252054794520548</v>
          </cell>
          <cell r="P234" t="str">
            <v>1Y-2Y</v>
          </cell>
          <cell r="Q234">
            <v>29997</v>
          </cell>
          <cell r="R234">
            <v>0.99990000000000001</v>
          </cell>
          <cell r="S234">
            <v>113800000</v>
          </cell>
          <cell r="T234">
            <v>0</v>
          </cell>
          <cell r="U234">
            <v>113100000</v>
          </cell>
          <cell r="V234">
            <v>3000000</v>
          </cell>
          <cell r="W234">
            <v>141800000</v>
          </cell>
          <cell r="X234">
            <v>139500000</v>
          </cell>
          <cell r="Y234">
            <v>0</v>
          </cell>
          <cell r="Z234">
            <v>0</v>
          </cell>
          <cell r="AA234">
            <v>0</v>
          </cell>
          <cell r="AB234">
            <v>0</v>
          </cell>
        </row>
        <row r="235">
          <cell r="A235">
            <v>64251</v>
          </cell>
          <cell r="B235" t="str">
            <v>易發一</v>
          </cell>
          <cell r="C235" t="str">
            <v>電子上游-IC-其他</v>
          </cell>
          <cell r="D235" t="str">
            <v>8</v>
          </cell>
          <cell r="E235" t="str">
            <v>有，上海商業儲蓄銀行股份有限公司</v>
          </cell>
          <cell r="F235" t="str">
            <v>有，上海商業儲蓄銀行股份有限公司</v>
          </cell>
          <cell r="G235" t="str">
            <v>有擔</v>
          </cell>
          <cell r="H235" t="str">
            <v>有擔</v>
          </cell>
          <cell r="I235" t="str">
            <v>有擔</v>
          </cell>
          <cell r="J235">
            <v>-8.5393945938163643E-2</v>
          </cell>
          <cell r="K235">
            <v>126</v>
          </cell>
          <cell r="L235">
            <v>84.166666666666671</v>
          </cell>
          <cell r="M235">
            <v>100</v>
          </cell>
          <cell r="N235">
            <v>46675</v>
          </cell>
          <cell r="O235">
            <v>2.4164383561643836</v>
          </cell>
          <cell r="P235" t="str">
            <v>&gt;2Y</v>
          </cell>
          <cell r="Q235">
            <v>2000</v>
          </cell>
          <cell r="R235">
            <v>1</v>
          </cell>
          <cell r="S235">
            <v>0</v>
          </cell>
          <cell r="T235">
            <v>0</v>
          </cell>
          <cell r="U235">
            <v>0</v>
          </cell>
          <cell r="V235">
            <v>0</v>
          </cell>
          <cell r="W235">
            <v>100000</v>
          </cell>
          <cell r="X235">
            <v>0</v>
          </cell>
          <cell r="Y235">
            <v>0</v>
          </cell>
          <cell r="Z235">
            <v>100000</v>
          </cell>
          <cell r="AA235">
            <v>7.4927133362804674E-6</v>
          </cell>
          <cell r="AB235">
            <v>0</v>
          </cell>
        </row>
        <row r="236">
          <cell r="A236">
            <v>64324</v>
          </cell>
          <cell r="B236" t="str">
            <v>今展科四</v>
          </cell>
          <cell r="C236" t="str">
            <v>電子上游-被動元件</v>
          </cell>
          <cell r="D236" t="str">
            <v>6</v>
          </cell>
          <cell r="E236" t="str">
            <v>無</v>
          </cell>
          <cell r="F236" t="str">
            <v>6</v>
          </cell>
          <cell r="G236" t="str">
            <v>6</v>
          </cell>
          <cell r="H236" t="str">
            <v>bb+</v>
          </cell>
          <cell r="I236" t="str">
            <v>IV: bb+ ~ bb</v>
          </cell>
          <cell r="J236">
            <v>7.9868708971553674E-3</v>
          </cell>
          <cell r="K236">
            <v>100</v>
          </cell>
          <cell r="L236">
            <v>83.563748079877115</v>
          </cell>
          <cell r="M236">
            <v>101</v>
          </cell>
          <cell r="N236">
            <v>46250</v>
          </cell>
          <cell r="O236">
            <v>1.252054794520548</v>
          </cell>
          <cell r="P236" t="str">
            <v>1Y-2Y</v>
          </cell>
          <cell r="Q236">
            <v>2500</v>
          </cell>
          <cell r="R236">
            <v>1</v>
          </cell>
          <cell r="S236">
            <v>20000000</v>
          </cell>
          <cell r="T236">
            <v>0</v>
          </cell>
          <cell r="U236">
            <v>10000000</v>
          </cell>
          <cell r="V236">
            <v>10000000</v>
          </cell>
          <cell r="W236">
            <v>0</v>
          </cell>
          <cell r="X236">
            <v>0</v>
          </cell>
          <cell r="Y236">
            <v>0</v>
          </cell>
          <cell r="Z236">
            <v>0</v>
          </cell>
          <cell r="AA236">
            <v>0</v>
          </cell>
          <cell r="AB236">
            <v>0</v>
          </cell>
        </row>
        <row r="237">
          <cell r="A237">
            <v>64421</v>
          </cell>
          <cell r="B237" t="str">
            <v>光聖一</v>
          </cell>
          <cell r="C237" t="str">
            <v>電子中游-通訊設備</v>
          </cell>
          <cell r="D237" t="str">
            <v>5</v>
          </cell>
          <cell r="E237" t="str">
            <v>無</v>
          </cell>
          <cell r="F237" t="str">
            <v>5</v>
          </cell>
          <cell r="G237" t="str">
            <v>5</v>
          </cell>
          <cell r="H237" t="str">
            <v>bbb</v>
          </cell>
          <cell r="I237" t="str">
            <v>III: bbb ~ bbb-</v>
          </cell>
          <cell r="J237">
            <v>-6.6491123476417585E-2</v>
          </cell>
          <cell r="K237">
            <v>111</v>
          </cell>
          <cell r="L237">
            <v>92.407897415021367</v>
          </cell>
          <cell r="M237">
            <v>100</v>
          </cell>
          <cell r="N237">
            <v>46337</v>
          </cell>
          <cell r="O237">
            <v>1.4904109589041097</v>
          </cell>
          <cell r="P237" t="str">
            <v>1Y-2Y</v>
          </cell>
          <cell r="Q237">
            <v>9999</v>
          </cell>
          <cell r="R237">
            <v>0.99990000000000001</v>
          </cell>
          <cell r="S237">
            <v>53300000</v>
          </cell>
          <cell r="T237">
            <v>0</v>
          </cell>
          <cell r="U237">
            <v>30200000</v>
          </cell>
          <cell r="V237">
            <v>28300000</v>
          </cell>
          <cell r="W237">
            <v>6400000</v>
          </cell>
          <cell r="X237">
            <v>2400000</v>
          </cell>
          <cell r="Y237">
            <v>1200000</v>
          </cell>
          <cell r="Z237">
            <v>0</v>
          </cell>
          <cell r="AA237">
            <v>0</v>
          </cell>
          <cell r="AB237">
            <v>0</v>
          </cell>
        </row>
        <row r="238">
          <cell r="A238">
            <v>64512</v>
          </cell>
          <cell r="B238" t="str">
            <v>訊芯二KY</v>
          </cell>
          <cell r="C238" t="str">
            <v>電子上游-IC-封測</v>
          </cell>
          <cell r="D238" t="str">
            <v>5</v>
          </cell>
          <cell r="E238" t="str">
            <v>無</v>
          </cell>
          <cell r="F238" t="str">
            <v>5</v>
          </cell>
          <cell r="G238" t="str">
            <v>5</v>
          </cell>
          <cell r="H238" t="str">
            <v>bbb-</v>
          </cell>
          <cell r="I238" t="str">
            <v>III: bbb ~ bbb-</v>
          </cell>
          <cell r="J238">
            <v>-3.5534526904017864E-3</v>
          </cell>
          <cell r="K238">
            <v>101</v>
          </cell>
          <cell r="L238">
            <v>58.457711442786078</v>
          </cell>
          <cell r="M238">
            <v>100</v>
          </cell>
          <cell r="N238">
            <v>46810</v>
          </cell>
          <cell r="O238">
            <v>2.7863013698630139</v>
          </cell>
          <cell r="P238" t="str">
            <v>&gt;2Y</v>
          </cell>
          <cell r="Q238">
            <v>25000</v>
          </cell>
          <cell r="R238">
            <v>1</v>
          </cell>
          <cell r="S238">
            <v>228100000</v>
          </cell>
          <cell r="T238">
            <v>0</v>
          </cell>
          <cell r="U238">
            <v>44700000</v>
          </cell>
          <cell r="V238">
            <v>190000000</v>
          </cell>
          <cell r="W238">
            <v>2100000</v>
          </cell>
          <cell r="X238">
            <v>0</v>
          </cell>
          <cell r="Y238">
            <v>4500000</v>
          </cell>
          <cell r="Z238">
            <v>0</v>
          </cell>
          <cell r="AA238">
            <v>0</v>
          </cell>
          <cell r="AB238">
            <v>0</v>
          </cell>
        </row>
        <row r="239">
          <cell r="A239">
            <v>64692</v>
          </cell>
          <cell r="B239" t="str">
            <v>大樹二</v>
          </cell>
          <cell r="C239" t="str">
            <v>傳產-生技</v>
          </cell>
          <cell r="D239" t="str">
            <v>4</v>
          </cell>
          <cell r="E239" t="str">
            <v>無</v>
          </cell>
          <cell r="F239" t="str">
            <v>4</v>
          </cell>
          <cell r="G239" t="str">
            <v>4</v>
          </cell>
          <cell r="H239" t="str">
            <v>bbb+</v>
          </cell>
          <cell r="I239" t="str">
            <v>II: a- ~ bbb+</v>
          </cell>
          <cell r="J239">
            <v>-0.1320815407502714</v>
          </cell>
          <cell r="K239">
            <v>104.5</v>
          </cell>
          <cell r="L239">
            <v>77.935908606835127</v>
          </cell>
          <cell r="M239">
            <v>100</v>
          </cell>
          <cell r="N239">
            <v>45912</v>
          </cell>
          <cell r="O239">
            <v>0.32602739726027397</v>
          </cell>
          <cell r="P239" t="str">
            <v>&lt;1Y</v>
          </cell>
          <cell r="Q239">
            <v>5915</v>
          </cell>
          <cell r="R239">
            <v>0.59150000000000003</v>
          </cell>
          <cell r="S239">
            <v>355700000</v>
          </cell>
          <cell r="T239">
            <v>0</v>
          </cell>
          <cell r="U239">
            <v>0</v>
          </cell>
          <cell r="V239">
            <v>1000000</v>
          </cell>
          <cell r="W239">
            <v>14500000</v>
          </cell>
          <cell r="X239">
            <v>900000</v>
          </cell>
          <cell r="Y239">
            <v>9500000</v>
          </cell>
          <cell r="Z239">
            <v>377800000</v>
          </cell>
          <cell r="AA239">
            <v>2.8307470984467606E-2</v>
          </cell>
          <cell r="AB239">
            <v>0</v>
          </cell>
        </row>
        <row r="240">
          <cell r="A240">
            <v>64723</v>
          </cell>
          <cell r="B240" t="str">
            <v>保瑞三</v>
          </cell>
          <cell r="C240" t="str">
            <v>傳產-生技</v>
          </cell>
          <cell r="D240" t="str">
            <v>5</v>
          </cell>
          <cell r="E240" t="str">
            <v>無</v>
          </cell>
          <cell r="F240" t="str">
            <v>5</v>
          </cell>
          <cell r="G240" t="str">
            <v>5</v>
          </cell>
          <cell r="H240" t="str">
            <v>bbb</v>
          </cell>
          <cell r="I240" t="str">
            <v>III: bbb ~ bbb-</v>
          </cell>
          <cell r="J240">
            <v>-0.16952236574360788</v>
          </cell>
          <cell r="K240">
            <v>127</v>
          </cell>
          <cell r="L240">
            <v>117.39559355475171</v>
          </cell>
          <cell r="M240">
            <v>100.75190000000001</v>
          </cell>
          <cell r="N240">
            <v>46238</v>
          </cell>
          <cell r="O240">
            <v>1.2191780821917808</v>
          </cell>
          <cell r="P240" t="str">
            <v>1Y-2Y</v>
          </cell>
          <cell r="Q240">
            <v>13713</v>
          </cell>
          <cell r="R240">
            <v>0.80664705882352938</v>
          </cell>
          <cell r="S240">
            <v>128100000</v>
          </cell>
          <cell r="T240">
            <v>0</v>
          </cell>
          <cell r="U240">
            <v>0</v>
          </cell>
          <cell r="V240">
            <v>134500000</v>
          </cell>
          <cell r="W240">
            <v>4900000</v>
          </cell>
          <cell r="X240">
            <v>0</v>
          </cell>
          <cell r="Y240">
            <v>2000000</v>
          </cell>
          <cell r="Z240">
            <v>500000</v>
          </cell>
          <cell r="AA240">
            <v>3.7463566681402334E-5</v>
          </cell>
          <cell r="AB240">
            <v>0</v>
          </cell>
        </row>
        <row r="241">
          <cell r="A241">
            <v>64773</v>
          </cell>
          <cell r="B241" t="str">
            <v>安集三</v>
          </cell>
          <cell r="C241" t="str">
            <v>電子下游-太陽能</v>
          </cell>
          <cell r="D241" t="str">
            <v>7</v>
          </cell>
          <cell r="E241" t="str">
            <v>無</v>
          </cell>
          <cell r="F241" t="str">
            <v>7</v>
          </cell>
          <cell r="G241" t="str">
            <v>7</v>
          </cell>
          <cell r="H241" t="str">
            <v>bb-</v>
          </cell>
          <cell r="I241" t="str">
            <v>V: bb- ~ b+</v>
          </cell>
          <cell r="J241">
            <v>6.9697402056952573E-2</v>
          </cell>
          <cell r="K241">
            <v>94.5</v>
          </cell>
          <cell r="L241">
            <v>75.059101654846344</v>
          </cell>
          <cell r="M241">
            <v>102.53</v>
          </cell>
          <cell r="N241">
            <v>46238</v>
          </cell>
          <cell r="O241">
            <v>1.2191780821917808</v>
          </cell>
          <cell r="P241" t="str">
            <v>1Y-2Y</v>
          </cell>
          <cell r="Q241">
            <v>1931</v>
          </cell>
          <cell r="R241">
            <v>0.38619999999999999</v>
          </cell>
          <cell r="S241">
            <v>0</v>
          </cell>
          <cell r="T241">
            <v>0</v>
          </cell>
          <cell r="U241">
            <v>0</v>
          </cell>
          <cell r="V241">
            <v>0</v>
          </cell>
          <cell r="W241">
            <v>0</v>
          </cell>
          <cell r="X241">
            <v>0</v>
          </cell>
          <cell r="Y241">
            <v>0</v>
          </cell>
          <cell r="Z241">
            <v>0</v>
          </cell>
          <cell r="AA241">
            <v>0</v>
          </cell>
          <cell r="AB241">
            <v>0</v>
          </cell>
        </row>
        <row r="242">
          <cell r="A242">
            <v>64774</v>
          </cell>
          <cell r="B242" t="str">
            <v>安集四</v>
          </cell>
          <cell r="C242" t="str">
            <v>電子下游-太陽能</v>
          </cell>
          <cell r="D242" t="str">
            <v>7</v>
          </cell>
          <cell r="E242" t="str">
            <v>無</v>
          </cell>
          <cell r="F242" t="str">
            <v>7</v>
          </cell>
          <cell r="G242" t="str">
            <v>7</v>
          </cell>
          <cell r="H242" t="str">
            <v>bb-</v>
          </cell>
          <cell r="I242" t="str">
            <v>V: bb- ~ b+</v>
          </cell>
          <cell r="J242">
            <v>5.8242910549830704E-2</v>
          </cell>
          <cell r="K242">
            <v>99.7</v>
          </cell>
          <cell r="L242">
            <v>62.377210216110022</v>
          </cell>
          <cell r="M242">
            <v>100.75</v>
          </cell>
          <cell r="N242">
            <v>45859</v>
          </cell>
          <cell r="O242">
            <v>0.18082191780821918</v>
          </cell>
          <cell r="P242" t="str">
            <v>&lt;1Y</v>
          </cell>
          <cell r="Q242">
            <v>9999</v>
          </cell>
          <cell r="R242">
            <v>0.99990000000000001</v>
          </cell>
          <cell r="S242">
            <v>44800000</v>
          </cell>
          <cell r="T242">
            <v>0</v>
          </cell>
          <cell r="U242">
            <v>30000000</v>
          </cell>
          <cell r="V242">
            <v>14800000</v>
          </cell>
          <cell r="W242">
            <v>0</v>
          </cell>
          <cell r="X242">
            <v>0</v>
          </cell>
          <cell r="Y242">
            <v>0</v>
          </cell>
          <cell r="Z242">
            <v>0</v>
          </cell>
          <cell r="AA242">
            <v>0</v>
          </cell>
          <cell r="AB242">
            <v>0</v>
          </cell>
        </row>
        <row r="243">
          <cell r="A243">
            <v>65096</v>
          </cell>
          <cell r="B243" t="str">
            <v>聚和六</v>
          </cell>
          <cell r="C243" t="str">
            <v>傳產-化學工業</v>
          </cell>
          <cell r="D243" t="str">
            <v>5</v>
          </cell>
          <cell r="E243" t="str">
            <v>無</v>
          </cell>
          <cell r="F243" t="str">
            <v>5</v>
          </cell>
          <cell r="G243" t="str">
            <v>5</v>
          </cell>
          <cell r="H243" t="str">
            <v>bbb</v>
          </cell>
          <cell r="I243" t="str">
            <v>III: bbb ~ bbb-</v>
          </cell>
          <cell r="J243">
            <v>-4.2485245697598116E-2</v>
          </cell>
          <cell r="K243">
            <v>105.05</v>
          </cell>
          <cell r="L243">
            <v>92.091836734693871</v>
          </cell>
          <cell r="M243">
            <v>100</v>
          </cell>
          <cell r="N243">
            <v>46206</v>
          </cell>
          <cell r="O243">
            <v>1.1315068493150684</v>
          </cell>
          <cell r="P243" t="str">
            <v>1Y-2Y</v>
          </cell>
          <cell r="Q243">
            <v>5000</v>
          </cell>
          <cell r="R243">
            <v>1</v>
          </cell>
          <cell r="S243">
            <v>66000000</v>
          </cell>
          <cell r="T243">
            <v>0</v>
          </cell>
          <cell r="U243">
            <v>66000000</v>
          </cell>
          <cell r="V243">
            <v>0</v>
          </cell>
          <cell r="W243">
            <v>16500000</v>
          </cell>
          <cell r="X243">
            <v>16500000</v>
          </cell>
          <cell r="Y243">
            <v>0</v>
          </cell>
          <cell r="Z243">
            <v>0</v>
          </cell>
          <cell r="AA243">
            <v>0</v>
          </cell>
          <cell r="AB243">
            <v>0</v>
          </cell>
        </row>
        <row r="244">
          <cell r="A244">
            <v>65461</v>
          </cell>
          <cell r="B244" t="str">
            <v>正基一</v>
          </cell>
          <cell r="C244" t="str">
            <v>電子下游-其他</v>
          </cell>
          <cell r="D244" t="str">
            <v>6</v>
          </cell>
          <cell r="E244" t="str">
            <v>無</v>
          </cell>
          <cell r="F244" t="str">
            <v>6</v>
          </cell>
          <cell r="G244" t="str">
            <v>6</v>
          </cell>
          <cell r="H244" t="str">
            <v>bb+</v>
          </cell>
          <cell r="I244" t="str">
            <v>IV: bb+ ~ bb</v>
          </cell>
          <cell r="J244">
            <v>1.9347998939835697E-2</v>
          </cell>
          <cell r="K244">
            <v>98</v>
          </cell>
          <cell r="L244">
            <v>62.282398452611218</v>
          </cell>
          <cell r="M244">
            <v>100</v>
          </cell>
          <cell r="N244">
            <v>46178</v>
          </cell>
          <cell r="O244">
            <v>1.0547945205479452</v>
          </cell>
          <cell r="P244" t="str">
            <v>1Y-2Y</v>
          </cell>
          <cell r="Q244">
            <v>5036</v>
          </cell>
          <cell r="R244">
            <v>0.83933333333333338</v>
          </cell>
          <cell r="S244">
            <v>10200000</v>
          </cell>
          <cell r="T244">
            <v>0</v>
          </cell>
          <cell r="U244">
            <v>6400000</v>
          </cell>
          <cell r="V244">
            <v>7000000</v>
          </cell>
          <cell r="W244">
            <v>1900000</v>
          </cell>
          <cell r="X244">
            <v>0</v>
          </cell>
          <cell r="Y244">
            <v>1300000</v>
          </cell>
          <cell r="Z244">
            <v>0</v>
          </cell>
          <cell r="AA244">
            <v>0</v>
          </cell>
          <cell r="AB244">
            <v>0</v>
          </cell>
        </row>
        <row r="245">
          <cell r="A245">
            <v>65521</v>
          </cell>
          <cell r="B245" t="str">
            <v>易華電一</v>
          </cell>
          <cell r="C245" t="str">
            <v>電子上游-IC-封測</v>
          </cell>
          <cell r="D245" t="str">
            <v>6</v>
          </cell>
          <cell r="E245" t="str">
            <v>有，台新國際商業銀行股份有限公司</v>
          </cell>
          <cell r="F245" t="str">
            <v>有，台新國際商業銀行股份有限公司</v>
          </cell>
          <cell r="G245" t="str">
            <v>有擔</v>
          </cell>
          <cell r="H245" t="str">
            <v>有擔</v>
          </cell>
          <cell r="I245" t="str">
            <v>有擔</v>
          </cell>
          <cell r="J245">
            <v>6.9329291340667286E-4</v>
          </cell>
          <cell r="K245">
            <v>99.9</v>
          </cell>
          <cell r="L245">
            <v>46.452702702702702</v>
          </cell>
          <cell r="M245">
            <v>100</v>
          </cell>
          <cell r="N245">
            <v>46320</v>
          </cell>
          <cell r="O245">
            <v>1.4438356164383561</v>
          </cell>
          <cell r="P245" t="str">
            <v>1Y-2Y</v>
          </cell>
          <cell r="Q245">
            <v>5000</v>
          </cell>
          <cell r="R245">
            <v>1</v>
          </cell>
          <cell r="S245">
            <v>8000000</v>
          </cell>
          <cell r="T245">
            <v>0</v>
          </cell>
          <cell r="U245">
            <v>0</v>
          </cell>
          <cell r="V245">
            <v>0</v>
          </cell>
          <cell r="W245">
            <v>28100000</v>
          </cell>
          <cell r="X245">
            <v>200000</v>
          </cell>
          <cell r="Y245">
            <v>900000</v>
          </cell>
          <cell r="Z245">
            <v>36800000</v>
          </cell>
          <cell r="AA245">
            <v>2.7573185077512121E-3</v>
          </cell>
          <cell r="AB245">
            <v>0</v>
          </cell>
        </row>
        <row r="246">
          <cell r="A246">
            <v>65841</v>
          </cell>
          <cell r="B246" t="str">
            <v>南俊國際一</v>
          </cell>
          <cell r="C246" t="str">
            <v>傳產-鋼鐵</v>
          </cell>
          <cell r="D246" t="str">
            <v>7</v>
          </cell>
          <cell r="E246" t="str">
            <v>有，彰化商業銀行股份有限公司</v>
          </cell>
          <cell r="F246" t="str">
            <v>有，彰化商業銀行股份有限公司</v>
          </cell>
          <cell r="G246" t="str">
            <v>有擔</v>
          </cell>
          <cell r="H246" t="str">
            <v>有擔</v>
          </cell>
          <cell r="I246" t="str">
            <v>有擔</v>
          </cell>
          <cell r="J246">
            <v>-4.1546664914816324E-2</v>
          </cell>
          <cell r="K246">
            <v>107.5</v>
          </cell>
          <cell r="L246">
            <v>80.257270693512297</v>
          </cell>
          <cell r="M246">
            <v>101.0025</v>
          </cell>
          <cell r="N246">
            <v>46324</v>
          </cell>
          <cell r="O246">
            <v>1.4547945205479451</v>
          </cell>
          <cell r="P246" t="str">
            <v>1Y-2Y</v>
          </cell>
          <cell r="Q246">
            <v>7000</v>
          </cell>
          <cell r="R246">
            <v>1</v>
          </cell>
          <cell r="S246">
            <v>13400000</v>
          </cell>
          <cell r="T246">
            <v>0</v>
          </cell>
          <cell r="U246">
            <v>10000000</v>
          </cell>
          <cell r="V246">
            <v>0</v>
          </cell>
          <cell r="W246">
            <v>11400000</v>
          </cell>
          <cell r="X246">
            <v>3200000</v>
          </cell>
          <cell r="Y246">
            <v>1700000</v>
          </cell>
          <cell r="Z246">
            <v>13300000</v>
          </cell>
          <cell r="AA246">
            <v>9.9653087372530221E-4</v>
          </cell>
          <cell r="AB246">
            <v>0</v>
          </cell>
        </row>
        <row r="247">
          <cell r="A247">
            <v>65842</v>
          </cell>
          <cell r="B247" t="str">
            <v>南俊國際二</v>
          </cell>
          <cell r="C247" t="str">
            <v>傳產-鋼鐵</v>
          </cell>
          <cell r="D247" t="str">
            <v>7</v>
          </cell>
          <cell r="E247" t="str">
            <v>無</v>
          </cell>
          <cell r="F247" t="str">
            <v>7</v>
          </cell>
          <cell r="G247" t="str">
            <v>7</v>
          </cell>
          <cell r="H247" t="str">
            <v>bb</v>
          </cell>
          <cell r="I247" t="str">
            <v>IV: bb+ ~ bb</v>
          </cell>
          <cell r="J247">
            <v>5.0718153038097673E-2</v>
          </cell>
          <cell r="K247">
            <v>94.05</v>
          </cell>
          <cell r="L247">
            <v>74.352331606217618</v>
          </cell>
          <cell r="M247">
            <v>101.0025</v>
          </cell>
          <cell r="N247">
            <v>46325</v>
          </cell>
          <cell r="O247">
            <v>1.4575342465753425</v>
          </cell>
          <cell r="P247" t="str">
            <v>1Y-2Y</v>
          </cell>
          <cell r="Q247">
            <v>2982</v>
          </cell>
          <cell r="R247">
            <v>0.99399999999999999</v>
          </cell>
          <cell r="S247">
            <v>0</v>
          </cell>
          <cell r="T247">
            <v>0</v>
          </cell>
          <cell r="U247">
            <v>0</v>
          </cell>
          <cell r="V247">
            <v>0</v>
          </cell>
          <cell r="W247">
            <v>0</v>
          </cell>
          <cell r="X247">
            <v>0</v>
          </cell>
          <cell r="Y247">
            <v>0</v>
          </cell>
          <cell r="Z247">
            <v>0</v>
          </cell>
          <cell r="AA247">
            <v>0</v>
          </cell>
          <cell r="AB247">
            <v>0</v>
          </cell>
        </row>
        <row r="248">
          <cell r="A248">
            <v>65851</v>
          </cell>
          <cell r="B248" t="str">
            <v>鼎基一</v>
          </cell>
          <cell r="C248" t="str">
            <v>傳產-塑膠</v>
          </cell>
          <cell r="D248" t="str">
            <v>5</v>
          </cell>
          <cell r="E248" t="str">
            <v>有，第一商業銀行股份有限公司</v>
          </cell>
          <cell r="F248" t="str">
            <v>有，第一商業銀行股份有限公司</v>
          </cell>
          <cell r="G248" t="str">
            <v>有擔</v>
          </cell>
          <cell r="H248" t="str">
            <v>有擔</v>
          </cell>
          <cell r="I248" t="str">
            <v>有擔</v>
          </cell>
          <cell r="J248">
            <v>-9.9938110791404203E-2</v>
          </cell>
          <cell r="K248">
            <v>116.9</v>
          </cell>
          <cell r="L248">
            <v>111.81434599156117</v>
          </cell>
          <cell r="M248">
            <v>100</v>
          </cell>
          <cell r="N248">
            <v>46321</v>
          </cell>
          <cell r="O248">
            <v>1.4465753424657535</v>
          </cell>
          <cell r="P248" t="str">
            <v>1Y-2Y</v>
          </cell>
          <cell r="Q248">
            <v>2731</v>
          </cell>
          <cell r="R248">
            <v>0.54620000000000002</v>
          </cell>
          <cell r="S248">
            <v>9200000</v>
          </cell>
          <cell r="T248">
            <v>0</v>
          </cell>
          <cell r="U248">
            <v>0</v>
          </cell>
          <cell r="V248">
            <v>0</v>
          </cell>
          <cell r="W248">
            <v>600000</v>
          </cell>
          <cell r="X248">
            <v>0</v>
          </cell>
          <cell r="Y248">
            <v>0</v>
          </cell>
          <cell r="Z248">
            <v>9800000</v>
          </cell>
          <cell r="AA248">
            <v>7.3428590695548575E-4</v>
          </cell>
          <cell r="AB248">
            <v>0</v>
          </cell>
        </row>
        <row r="249">
          <cell r="A249">
            <v>65852</v>
          </cell>
          <cell r="B249" t="str">
            <v>鼎基二</v>
          </cell>
          <cell r="C249" t="str">
            <v>傳產-塑膠</v>
          </cell>
          <cell r="D249" t="str">
            <v>5</v>
          </cell>
          <cell r="E249" t="str">
            <v>無</v>
          </cell>
          <cell r="F249" t="str">
            <v>5</v>
          </cell>
          <cell r="G249" t="str">
            <v>5</v>
          </cell>
          <cell r="H249" t="str">
            <v>bbb</v>
          </cell>
          <cell r="I249" t="str">
            <v>III: bbb ~ bbb-</v>
          </cell>
          <cell r="J249">
            <v>-9.5169806401147292E-2</v>
          </cell>
          <cell r="K249">
            <v>116</v>
          </cell>
          <cell r="L249">
            <v>112.09813874788495</v>
          </cell>
          <cell r="M249">
            <v>100</v>
          </cell>
          <cell r="N249">
            <v>46322</v>
          </cell>
          <cell r="O249">
            <v>1.4493150684931506</v>
          </cell>
          <cell r="P249" t="str">
            <v>1Y-2Y</v>
          </cell>
          <cell r="Q249">
            <v>806</v>
          </cell>
          <cell r="R249">
            <v>0.40300000000000002</v>
          </cell>
          <cell r="S249">
            <v>0</v>
          </cell>
          <cell r="T249">
            <v>0</v>
          </cell>
          <cell r="U249">
            <v>0</v>
          </cell>
          <cell r="V249">
            <v>0</v>
          </cell>
          <cell r="W249">
            <v>0</v>
          </cell>
          <cell r="X249">
            <v>0</v>
          </cell>
          <cell r="Y249">
            <v>0</v>
          </cell>
          <cell r="Z249">
            <v>0</v>
          </cell>
          <cell r="AA249">
            <v>0</v>
          </cell>
          <cell r="AB249">
            <v>0</v>
          </cell>
        </row>
        <row r="250">
          <cell r="A250">
            <v>65913</v>
          </cell>
          <cell r="B250" t="str">
            <v>動力三KY</v>
          </cell>
          <cell r="C250" t="str">
            <v>電子中游-NB與手機零組件</v>
          </cell>
          <cell r="D250" t="str">
            <v>7</v>
          </cell>
          <cell r="E250" t="str">
            <v>無</v>
          </cell>
          <cell r="F250" t="str">
            <v>7</v>
          </cell>
          <cell r="G250" t="str">
            <v>7</v>
          </cell>
          <cell r="H250" t="str">
            <v>bb</v>
          </cell>
          <cell r="I250" t="str">
            <v>IV: bb+ ~ bb</v>
          </cell>
          <cell r="J250">
            <v>-1.5874017957351292</v>
          </cell>
          <cell r="K250">
            <v>162</v>
          </cell>
          <cell r="L250">
            <v>167.25642840292522</v>
          </cell>
          <cell r="M250">
            <v>100</v>
          </cell>
          <cell r="N250">
            <v>45881</v>
          </cell>
          <cell r="O250">
            <v>0.24109589041095891</v>
          </cell>
          <cell r="P250" t="str">
            <v>&lt;1Y</v>
          </cell>
          <cell r="Q250">
            <v>395</v>
          </cell>
          <cell r="R250">
            <v>0.19750000000000001</v>
          </cell>
          <cell r="S250">
            <v>0</v>
          </cell>
          <cell r="T250">
            <v>0</v>
          </cell>
          <cell r="U250">
            <v>0</v>
          </cell>
          <cell r="V250">
            <v>0</v>
          </cell>
          <cell r="W250">
            <v>0</v>
          </cell>
          <cell r="X250">
            <v>0</v>
          </cell>
          <cell r="Y250">
            <v>0</v>
          </cell>
          <cell r="Z250">
            <v>0</v>
          </cell>
          <cell r="AA250">
            <v>0</v>
          </cell>
          <cell r="AB250">
            <v>0</v>
          </cell>
        </row>
        <row r="251">
          <cell r="A251">
            <v>65931</v>
          </cell>
          <cell r="B251" t="str">
            <v>台灣銘板一</v>
          </cell>
          <cell r="C251" t="str">
            <v>軟體-系統整合</v>
          </cell>
          <cell r="D251" t="str">
            <v>7</v>
          </cell>
          <cell r="E251" t="str">
            <v>有，台新國際商業銀行股份有限公司</v>
          </cell>
          <cell r="F251" t="str">
            <v>有，台新國際商業銀行股份有限公司</v>
          </cell>
          <cell r="G251" t="str">
            <v>有擔</v>
          </cell>
          <cell r="H251" t="str">
            <v>有擔</v>
          </cell>
          <cell r="I251" t="str">
            <v>有擔</v>
          </cell>
          <cell r="J251">
            <v>-1.1439470685070281</v>
          </cell>
          <cell r="K251">
            <v>298</v>
          </cell>
          <cell r="L251">
            <v>117.09286675639301</v>
          </cell>
          <cell r="M251">
            <v>100</v>
          </cell>
          <cell r="N251">
            <v>46005</v>
          </cell>
          <cell r="O251">
            <v>0.58082191780821912</v>
          </cell>
          <cell r="P251" t="str">
            <v>&lt;1Y</v>
          </cell>
          <cell r="Q251">
            <v>1283</v>
          </cell>
          <cell r="R251">
            <v>0.42766666666666664</v>
          </cell>
          <cell r="S251">
            <v>0</v>
          </cell>
          <cell r="T251">
            <v>0</v>
          </cell>
          <cell r="U251">
            <v>0</v>
          </cell>
          <cell r="V251">
            <v>0</v>
          </cell>
          <cell r="W251">
            <v>0</v>
          </cell>
          <cell r="X251">
            <v>0</v>
          </cell>
          <cell r="Y251">
            <v>0</v>
          </cell>
          <cell r="Z251">
            <v>0</v>
          </cell>
          <cell r="AA251">
            <v>0</v>
          </cell>
          <cell r="AB251">
            <v>0</v>
          </cell>
        </row>
        <row r="252">
          <cell r="A252">
            <v>66033</v>
          </cell>
          <cell r="B252" t="str">
            <v>富強鑫三</v>
          </cell>
          <cell r="C252" t="str">
            <v>傳產-電機</v>
          </cell>
          <cell r="D252" t="str">
            <v>6</v>
          </cell>
          <cell r="E252" t="str">
            <v>無</v>
          </cell>
          <cell r="F252" t="str">
            <v>6</v>
          </cell>
          <cell r="G252" t="str">
            <v>6</v>
          </cell>
          <cell r="H252" t="str">
            <v>bb</v>
          </cell>
          <cell r="I252" t="str">
            <v>IV: bb+ ~ bb</v>
          </cell>
          <cell r="J252">
            <v>-0.20660377358490561</v>
          </cell>
          <cell r="K252">
            <v>106</v>
          </cell>
          <cell r="L252">
            <v>101.56249999999997</v>
          </cell>
          <cell r="M252">
            <v>100</v>
          </cell>
          <cell r="N252">
            <v>45893</v>
          </cell>
          <cell r="O252">
            <v>0.27397260273972601</v>
          </cell>
          <cell r="P252" t="str">
            <v>&lt;1Y</v>
          </cell>
          <cell r="Q252">
            <v>3286</v>
          </cell>
          <cell r="R252">
            <v>0.65720000000000001</v>
          </cell>
          <cell r="S252">
            <v>0</v>
          </cell>
          <cell r="T252">
            <v>0</v>
          </cell>
          <cell r="U252">
            <v>0</v>
          </cell>
          <cell r="V252">
            <v>0</v>
          </cell>
          <cell r="W252">
            <v>0</v>
          </cell>
          <cell r="X252">
            <v>0</v>
          </cell>
          <cell r="Y252">
            <v>0</v>
          </cell>
          <cell r="Z252">
            <v>0</v>
          </cell>
          <cell r="AA252">
            <v>0</v>
          </cell>
          <cell r="AB252">
            <v>0</v>
          </cell>
        </row>
        <row r="253">
          <cell r="A253">
            <v>66163</v>
          </cell>
          <cell r="B253" t="str">
            <v>特昇三KY</v>
          </cell>
          <cell r="C253" t="str">
            <v>傳產-其他</v>
          </cell>
          <cell r="D253" t="str">
            <v>6</v>
          </cell>
          <cell r="E253" t="str">
            <v>無</v>
          </cell>
          <cell r="F253" t="str">
            <v>6</v>
          </cell>
          <cell r="G253" t="str">
            <v>6</v>
          </cell>
          <cell r="H253" t="str">
            <v>bb+</v>
          </cell>
          <cell r="I253" t="str">
            <v>IV: bb+ ~ bb</v>
          </cell>
          <cell r="J253">
            <v>6.1407046070460727E-2</v>
          </cell>
          <cell r="K253">
            <v>93.75</v>
          </cell>
          <cell r="L253">
            <v>72.068965517241381</v>
          </cell>
          <cell r="M253">
            <v>101.51</v>
          </cell>
          <cell r="N253">
            <v>46285</v>
          </cell>
          <cell r="O253">
            <v>1.3479452054794521</v>
          </cell>
          <cell r="P253" t="str">
            <v>1Y-2Y</v>
          </cell>
          <cell r="Q253">
            <v>1070</v>
          </cell>
          <cell r="R253">
            <v>0.89166666666666672</v>
          </cell>
          <cell r="S253">
            <v>0</v>
          </cell>
          <cell r="T253">
            <v>0</v>
          </cell>
          <cell r="U253">
            <v>0</v>
          </cell>
          <cell r="V253">
            <v>0</v>
          </cell>
          <cell r="W253">
            <v>0</v>
          </cell>
          <cell r="X253">
            <v>0</v>
          </cell>
          <cell r="Y253">
            <v>0</v>
          </cell>
          <cell r="Z253">
            <v>0</v>
          </cell>
          <cell r="AA253">
            <v>0</v>
          </cell>
          <cell r="AB253">
            <v>0</v>
          </cell>
        </row>
        <row r="254">
          <cell r="A254">
            <v>66241</v>
          </cell>
          <cell r="B254" t="str">
            <v>萬年清一</v>
          </cell>
          <cell r="C254" t="str">
            <v>傳產-其他</v>
          </cell>
          <cell r="D254" t="str">
            <v>7</v>
          </cell>
          <cell r="E254" t="str">
            <v>有，臺灣土地銀行股份有限公司</v>
          </cell>
          <cell r="F254" t="str">
            <v>有，臺灣土地銀行股份有限公司</v>
          </cell>
          <cell r="G254" t="str">
            <v>有擔</v>
          </cell>
          <cell r="H254" t="str">
            <v>有擔</v>
          </cell>
          <cell r="I254" t="str">
            <v>有擔</v>
          </cell>
          <cell r="J254">
            <v>-1.8940781440781426E-2</v>
          </cell>
          <cell r="K254">
            <v>105</v>
          </cell>
          <cell r="L254">
            <v>91.019417475728147</v>
          </cell>
          <cell r="M254">
            <v>100.75</v>
          </cell>
          <cell r="N254">
            <v>46573</v>
          </cell>
          <cell r="O254">
            <v>2.1369863013698631</v>
          </cell>
          <cell r="P254" t="str">
            <v>&gt;2Y</v>
          </cell>
          <cell r="Q254">
            <v>1000</v>
          </cell>
          <cell r="R254">
            <v>1</v>
          </cell>
          <cell r="S254">
            <v>25900000</v>
          </cell>
          <cell r="T254">
            <v>0</v>
          </cell>
          <cell r="U254">
            <v>0</v>
          </cell>
          <cell r="V254">
            <v>0</v>
          </cell>
          <cell r="W254">
            <v>2500000</v>
          </cell>
          <cell r="X254">
            <v>0</v>
          </cell>
          <cell r="Y254">
            <v>400000</v>
          </cell>
          <cell r="Z254">
            <v>28800000</v>
          </cell>
          <cell r="AA254">
            <v>2.1579014408487744E-3</v>
          </cell>
          <cell r="AB254">
            <v>0</v>
          </cell>
        </row>
        <row r="255">
          <cell r="A255">
            <v>66292</v>
          </cell>
          <cell r="B255" t="str">
            <v>泰金二KY</v>
          </cell>
          <cell r="C255" t="str">
            <v>傳產-其他</v>
          </cell>
          <cell r="D255" t="str">
            <v>6</v>
          </cell>
          <cell r="E255" t="str">
            <v>無</v>
          </cell>
          <cell r="F255" t="str">
            <v>6</v>
          </cell>
          <cell r="G255" t="str">
            <v>6</v>
          </cell>
          <cell r="H255" t="str">
            <v>bb+</v>
          </cell>
          <cell r="I255" t="str">
            <v>IV: bb+ ~ bb</v>
          </cell>
          <cell r="J255">
            <v>1.1364295705330756E-2</v>
          </cell>
          <cell r="K255">
            <v>99.5</v>
          </cell>
          <cell r="L255">
            <v>78.125</v>
          </cell>
          <cell r="M255">
            <v>101.0025</v>
          </cell>
          <cell r="N255">
            <v>46278</v>
          </cell>
          <cell r="O255">
            <v>1.3287671232876712</v>
          </cell>
          <cell r="P255" t="str">
            <v>1Y-2Y</v>
          </cell>
          <cell r="Q255">
            <v>3000</v>
          </cell>
          <cell r="R255">
            <v>1</v>
          </cell>
          <cell r="S255">
            <v>49700000</v>
          </cell>
          <cell r="T255">
            <v>0</v>
          </cell>
          <cell r="U255">
            <v>24000000</v>
          </cell>
          <cell r="V255">
            <v>28600000</v>
          </cell>
          <cell r="W255">
            <v>1900000</v>
          </cell>
          <cell r="X255">
            <v>0</v>
          </cell>
          <cell r="Y255">
            <v>1000000</v>
          </cell>
          <cell r="Z255">
            <v>0</v>
          </cell>
          <cell r="AA255">
            <v>0</v>
          </cell>
          <cell r="AB255">
            <v>0</v>
          </cell>
        </row>
        <row r="256">
          <cell r="A256">
            <v>66411</v>
          </cell>
          <cell r="B256" t="str">
            <v>基士德一KY</v>
          </cell>
          <cell r="C256" t="str">
            <v>傳產-其他</v>
          </cell>
          <cell r="D256" t="str">
            <v>6</v>
          </cell>
          <cell r="E256" t="str">
            <v>無</v>
          </cell>
          <cell r="F256" t="str">
            <v>6</v>
          </cell>
          <cell r="G256" t="str">
            <v>6</v>
          </cell>
          <cell r="H256" t="str">
            <v>bb+</v>
          </cell>
          <cell r="I256" t="str">
            <v>IV: bb+ ~ bb</v>
          </cell>
          <cell r="J256">
            <v>3.5635150393493478E-2</v>
          </cell>
          <cell r="K256">
            <v>96.55</v>
          </cell>
          <cell r="L256">
            <v>39.864864864864863</v>
          </cell>
          <cell r="M256">
            <v>100</v>
          </cell>
          <cell r="N256">
            <v>46159</v>
          </cell>
          <cell r="O256">
            <v>1.0027397260273974</v>
          </cell>
          <cell r="P256" t="str">
            <v>1Y-2Y</v>
          </cell>
          <cell r="Q256">
            <v>814</v>
          </cell>
          <cell r="R256">
            <v>0.27133333333333332</v>
          </cell>
          <cell r="S256">
            <v>0</v>
          </cell>
          <cell r="T256">
            <v>0</v>
          </cell>
          <cell r="U256">
            <v>0</v>
          </cell>
          <cell r="V256">
            <v>0</v>
          </cell>
          <cell r="W256">
            <v>0</v>
          </cell>
          <cell r="X256">
            <v>0</v>
          </cell>
          <cell r="Y256">
            <v>0</v>
          </cell>
          <cell r="Z256">
            <v>0</v>
          </cell>
          <cell r="AA256">
            <v>0</v>
          </cell>
          <cell r="AB256">
            <v>0</v>
          </cell>
        </row>
        <row r="257">
          <cell r="A257">
            <v>66451</v>
          </cell>
          <cell r="B257" t="str">
            <v>金萬林一創</v>
          </cell>
          <cell r="C257" t="e">
            <v>#N/A</v>
          </cell>
          <cell r="D257" t="str">
            <v>8</v>
          </cell>
          <cell r="E257" t="str">
            <v>有，華南商業銀行</v>
          </cell>
          <cell r="F257" t="str">
            <v>有，華南商業銀行</v>
          </cell>
          <cell r="G257" t="str">
            <v>有擔</v>
          </cell>
          <cell r="H257" t="str">
            <v>有擔</v>
          </cell>
          <cell r="I257" t="str">
            <v>有擔</v>
          </cell>
          <cell r="J257">
            <v>-1.958141375124901E-2</v>
          </cell>
          <cell r="K257">
            <v>105.2</v>
          </cell>
          <cell r="L257">
            <v>75.170434158593466</v>
          </cell>
          <cell r="M257">
            <v>102</v>
          </cell>
          <cell r="N257">
            <v>46360</v>
          </cell>
          <cell r="O257">
            <v>1.5534246575342465</v>
          </cell>
          <cell r="P257" t="str">
            <v>1Y-2Y</v>
          </cell>
          <cell r="Q257">
            <v>700</v>
          </cell>
          <cell r="R257">
            <v>1</v>
          </cell>
          <cell r="S257">
            <v>0</v>
          </cell>
          <cell r="T257">
            <v>0</v>
          </cell>
          <cell r="U257">
            <v>0</v>
          </cell>
          <cell r="V257">
            <v>0</v>
          </cell>
          <cell r="W257">
            <v>3300000</v>
          </cell>
          <cell r="X257">
            <v>3300000</v>
          </cell>
          <cell r="Y257">
            <v>0</v>
          </cell>
          <cell r="Z257">
            <v>0</v>
          </cell>
          <cell r="AA257">
            <v>0</v>
          </cell>
          <cell r="AB257">
            <v>0</v>
          </cell>
        </row>
        <row r="258">
          <cell r="A258">
            <v>66641</v>
          </cell>
          <cell r="B258" t="str">
            <v>群翊一</v>
          </cell>
          <cell r="C258" t="str">
            <v>電子上游-PCB-材料設備</v>
          </cell>
          <cell r="D258" t="str">
            <v>6</v>
          </cell>
          <cell r="E258" t="str">
            <v>無</v>
          </cell>
          <cell r="F258" t="str">
            <v>6</v>
          </cell>
          <cell r="G258" t="str">
            <v>6</v>
          </cell>
          <cell r="H258" t="str">
            <v>bb+</v>
          </cell>
          <cell r="I258" t="str">
            <v>IV: bb+ ~ bb</v>
          </cell>
          <cell r="J258">
            <v>-14.881974248927037</v>
          </cell>
          <cell r="K258">
            <v>233</v>
          </cell>
          <cell r="L258">
            <v>243.4052757793765</v>
          </cell>
          <cell r="M258">
            <v>100</v>
          </cell>
          <cell r="N258">
            <v>45807</v>
          </cell>
          <cell r="O258">
            <v>3.8356164383561646E-2</v>
          </cell>
          <cell r="P258" t="str">
            <v>&lt;1Y</v>
          </cell>
          <cell r="Q258">
            <v>11</v>
          </cell>
          <cell r="R258">
            <v>2.2000000000000001E-3</v>
          </cell>
          <cell r="S258">
            <v>0</v>
          </cell>
          <cell r="T258">
            <v>0</v>
          </cell>
          <cell r="U258">
            <v>0</v>
          </cell>
          <cell r="V258">
            <v>0</v>
          </cell>
          <cell r="W258">
            <v>0</v>
          </cell>
          <cell r="X258">
            <v>0</v>
          </cell>
          <cell r="Y258">
            <v>0</v>
          </cell>
          <cell r="Z258">
            <v>0</v>
          </cell>
          <cell r="AA258">
            <v>0</v>
          </cell>
          <cell r="AB258">
            <v>0</v>
          </cell>
        </row>
        <row r="259">
          <cell r="A259">
            <v>66642</v>
          </cell>
          <cell r="B259" t="str">
            <v>群翊二</v>
          </cell>
          <cell r="C259" t="str">
            <v>電子上游-PCB-材料設備</v>
          </cell>
          <cell r="D259" t="str">
            <v>6</v>
          </cell>
          <cell r="E259" t="str">
            <v>無</v>
          </cell>
          <cell r="F259" t="str">
            <v>6</v>
          </cell>
          <cell r="G259" t="str">
            <v>6</v>
          </cell>
          <cell r="H259" t="str">
            <v>bb+</v>
          </cell>
          <cell r="I259" t="str">
            <v>IV: bb+ ~ bb</v>
          </cell>
          <cell r="J259">
            <v>9.9758666021649515E-4</v>
          </cell>
          <cell r="K259">
            <v>99.75</v>
          </cell>
          <cell r="L259">
            <v>66.33986928104575</v>
          </cell>
          <cell r="M259">
            <v>100</v>
          </cell>
          <cell r="N259">
            <v>46710</v>
          </cell>
          <cell r="O259">
            <v>2.5123287671232877</v>
          </cell>
          <cell r="P259" t="str">
            <v>&gt;2Y</v>
          </cell>
          <cell r="Q259">
            <v>12500</v>
          </cell>
          <cell r="R259">
            <v>1</v>
          </cell>
          <cell r="S259">
            <v>70400000</v>
          </cell>
          <cell r="T259">
            <v>0</v>
          </cell>
          <cell r="U259">
            <v>46400000</v>
          </cell>
          <cell r="V259">
            <v>33600000</v>
          </cell>
          <cell r="W259">
            <v>11500000</v>
          </cell>
          <cell r="X259">
            <v>5000000</v>
          </cell>
          <cell r="Y259">
            <v>2600000</v>
          </cell>
          <cell r="Z259">
            <v>-500000</v>
          </cell>
          <cell r="AA259">
            <v>-3.7463566681402334E-5</v>
          </cell>
          <cell r="AB259">
            <v>0</v>
          </cell>
        </row>
        <row r="260">
          <cell r="A260">
            <v>66801</v>
          </cell>
          <cell r="B260" t="str">
            <v>鑫創電子一</v>
          </cell>
          <cell r="C260" t="str">
            <v>電子下游-工業電腦</v>
          </cell>
          <cell r="D260" t="str">
            <v>6</v>
          </cell>
          <cell r="E260" t="str">
            <v>無</v>
          </cell>
          <cell r="F260" t="str">
            <v>6</v>
          </cell>
          <cell r="G260" t="str">
            <v>6</v>
          </cell>
          <cell r="H260" t="str">
            <v>bb+</v>
          </cell>
          <cell r="I260" t="str">
            <v>IV: bb+ ~ bb</v>
          </cell>
          <cell r="J260">
            <v>-4.7673321414382214E-2</v>
          </cell>
          <cell r="K260">
            <v>114</v>
          </cell>
          <cell r="L260">
            <v>109.58005249343832</v>
          </cell>
          <cell r="M260">
            <v>101.50749999999999</v>
          </cell>
          <cell r="N260">
            <v>46632</v>
          </cell>
          <cell r="O260">
            <v>2.2986301369863016</v>
          </cell>
          <cell r="P260" t="str">
            <v>&gt;2Y</v>
          </cell>
          <cell r="Q260">
            <v>3122</v>
          </cell>
          <cell r="R260">
            <v>0.89200000000000002</v>
          </cell>
          <cell r="S260">
            <v>5500000</v>
          </cell>
          <cell r="T260">
            <v>0</v>
          </cell>
          <cell r="U260">
            <v>4600000</v>
          </cell>
          <cell r="V260">
            <v>2800000</v>
          </cell>
          <cell r="W260">
            <v>300000</v>
          </cell>
          <cell r="X260">
            <v>0</v>
          </cell>
          <cell r="Y260">
            <v>1600000</v>
          </cell>
          <cell r="Z260">
            <v>0</v>
          </cell>
          <cell r="AA260">
            <v>0</v>
          </cell>
          <cell r="AB260">
            <v>0</v>
          </cell>
        </row>
        <row r="261">
          <cell r="A261">
            <v>67062</v>
          </cell>
          <cell r="B261" t="str">
            <v>惠特二</v>
          </cell>
          <cell r="C261" t="str">
            <v>電子上游-LED及光元件</v>
          </cell>
          <cell r="D261" t="str">
            <v>7</v>
          </cell>
          <cell r="E261" t="str">
            <v>無</v>
          </cell>
          <cell r="F261" t="str">
            <v>7</v>
          </cell>
          <cell r="G261" t="str">
            <v>7</v>
          </cell>
          <cell r="H261" t="str">
            <v>bb-</v>
          </cell>
          <cell r="I261" t="str">
            <v>V: bb- ~ b+</v>
          </cell>
          <cell r="J261">
            <v>4.1956926940932691E-2</v>
          </cell>
          <cell r="K261">
            <v>90.7</v>
          </cell>
          <cell r="L261">
            <v>41.079545454545453</v>
          </cell>
          <cell r="M261">
            <v>100</v>
          </cell>
          <cell r="N261">
            <v>46685</v>
          </cell>
          <cell r="O261">
            <v>2.4438356164383563</v>
          </cell>
          <cell r="P261" t="str">
            <v>&gt;2Y</v>
          </cell>
          <cell r="Q261">
            <v>5000</v>
          </cell>
          <cell r="R261">
            <v>1</v>
          </cell>
          <cell r="S261">
            <v>1000000</v>
          </cell>
          <cell r="T261">
            <v>0</v>
          </cell>
          <cell r="U261">
            <v>0</v>
          </cell>
          <cell r="V261">
            <v>1000000</v>
          </cell>
          <cell r="W261">
            <v>0</v>
          </cell>
          <cell r="X261">
            <v>0</v>
          </cell>
          <cell r="Y261">
            <v>0</v>
          </cell>
          <cell r="Z261">
            <v>0</v>
          </cell>
          <cell r="AA261">
            <v>0</v>
          </cell>
          <cell r="AB261">
            <v>0</v>
          </cell>
        </row>
        <row r="262">
          <cell r="A262">
            <v>67152</v>
          </cell>
          <cell r="B262" t="str">
            <v>嘉基二</v>
          </cell>
          <cell r="C262" t="str">
            <v>電子上游-連接元件</v>
          </cell>
          <cell r="D262" t="str">
            <v>5</v>
          </cell>
          <cell r="E262" t="str">
            <v>無</v>
          </cell>
          <cell r="F262" t="str">
            <v>5</v>
          </cell>
          <cell r="G262" t="str">
            <v>5</v>
          </cell>
          <cell r="H262" t="str">
            <v>bbb</v>
          </cell>
          <cell r="I262" t="str">
            <v>III: bbb ~ bbb-</v>
          </cell>
          <cell r="J262">
            <v>-2.7858776176501798E-2</v>
          </cell>
          <cell r="K262">
            <v>104.9</v>
          </cell>
          <cell r="L262">
            <v>78.882750153468379</v>
          </cell>
          <cell r="M262">
            <v>100</v>
          </cell>
          <cell r="N262">
            <v>46405</v>
          </cell>
          <cell r="O262">
            <v>1.6767123287671233</v>
          </cell>
          <cell r="P262" t="str">
            <v>1Y-2Y</v>
          </cell>
          <cell r="Q262">
            <v>3000</v>
          </cell>
          <cell r="R262">
            <v>1</v>
          </cell>
          <cell r="S262">
            <v>15000000</v>
          </cell>
          <cell r="T262">
            <v>0</v>
          </cell>
          <cell r="U262">
            <v>13000000</v>
          </cell>
          <cell r="V262">
            <v>4600000</v>
          </cell>
          <cell r="W262">
            <v>4600000</v>
          </cell>
          <cell r="X262">
            <v>1700000</v>
          </cell>
          <cell r="Y262">
            <v>0</v>
          </cell>
          <cell r="Z262">
            <v>300000</v>
          </cell>
          <cell r="AA262">
            <v>2.2478140008841401E-5</v>
          </cell>
          <cell r="AB262">
            <v>0</v>
          </cell>
        </row>
        <row r="263">
          <cell r="A263">
            <v>67531</v>
          </cell>
          <cell r="B263" t="str">
            <v>龍德造船一</v>
          </cell>
          <cell r="C263" t="str">
            <v>傳產-航運</v>
          </cell>
          <cell r="D263" t="str">
            <v>5</v>
          </cell>
          <cell r="E263" t="str">
            <v>無</v>
          </cell>
          <cell r="F263" t="str">
            <v>5</v>
          </cell>
          <cell r="G263" t="str">
            <v>5</v>
          </cell>
          <cell r="H263" t="str">
            <v>bbb</v>
          </cell>
          <cell r="I263" t="str">
            <v>III: bbb ~ bbb-</v>
          </cell>
          <cell r="J263">
            <v>-3.511303511303511E-2</v>
          </cell>
          <cell r="K263">
            <v>108</v>
          </cell>
          <cell r="L263">
            <v>91.178965224766756</v>
          </cell>
          <cell r="M263">
            <v>100</v>
          </cell>
          <cell r="N263">
            <v>46563</v>
          </cell>
          <cell r="O263">
            <v>2.1095890410958904</v>
          </cell>
          <cell r="P263" t="str">
            <v>&gt;2Y</v>
          </cell>
          <cell r="Q263">
            <v>10000</v>
          </cell>
          <cell r="R263">
            <v>1</v>
          </cell>
          <cell r="S263">
            <v>108500000</v>
          </cell>
          <cell r="T263">
            <v>0</v>
          </cell>
          <cell r="U263">
            <v>106500000</v>
          </cell>
          <cell r="V263">
            <v>14900000</v>
          </cell>
          <cell r="W263">
            <v>36600000</v>
          </cell>
          <cell r="X263">
            <v>27700000</v>
          </cell>
          <cell r="Y263">
            <v>4000000</v>
          </cell>
          <cell r="Z263">
            <v>0</v>
          </cell>
          <cell r="AA263">
            <v>0</v>
          </cell>
          <cell r="AB263">
            <v>0</v>
          </cell>
        </row>
        <row r="264">
          <cell r="A264">
            <v>67611</v>
          </cell>
          <cell r="B264" t="str">
            <v>穩得一</v>
          </cell>
          <cell r="C264" t="str">
            <v>電子上游-連接元件</v>
          </cell>
          <cell r="D264" t="str">
            <v>5</v>
          </cell>
          <cell r="E264" t="str">
            <v>無</v>
          </cell>
          <cell r="F264" t="str">
            <v>5</v>
          </cell>
          <cell r="G264" t="str">
            <v>5</v>
          </cell>
          <cell r="H264" t="str">
            <v>bbb</v>
          </cell>
          <cell r="I264" t="str">
            <v>III: bbb ~ bbb-</v>
          </cell>
          <cell r="J264">
            <v>-3.1789892738556746</v>
          </cell>
          <cell r="K264">
            <v>125.05</v>
          </cell>
          <cell r="L264">
            <v>126.52068126520682</v>
          </cell>
          <cell r="M264">
            <v>100</v>
          </cell>
          <cell r="N264">
            <v>45816</v>
          </cell>
          <cell r="O264">
            <v>6.3013698630136991E-2</v>
          </cell>
          <cell r="P264" t="str">
            <v>&lt;1Y</v>
          </cell>
          <cell r="Q264">
            <v>703</v>
          </cell>
          <cell r="R264">
            <v>0.17574999999999999</v>
          </cell>
          <cell r="S264">
            <v>0</v>
          </cell>
          <cell r="T264">
            <v>0</v>
          </cell>
          <cell r="U264">
            <v>0</v>
          </cell>
          <cell r="V264">
            <v>0</v>
          </cell>
          <cell r="W264">
            <v>0</v>
          </cell>
          <cell r="X264">
            <v>0</v>
          </cell>
          <cell r="Y264">
            <v>0</v>
          </cell>
          <cell r="Z264">
            <v>0</v>
          </cell>
          <cell r="AA264">
            <v>0</v>
          </cell>
          <cell r="AB264">
            <v>0</v>
          </cell>
        </row>
        <row r="265">
          <cell r="A265">
            <v>67681</v>
          </cell>
          <cell r="B265" t="str">
            <v>志強一KY</v>
          </cell>
          <cell r="C265" t="str">
            <v>傳產-其他</v>
          </cell>
          <cell r="D265" t="str">
            <v>4</v>
          </cell>
          <cell r="E265" t="str">
            <v>無</v>
          </cell>
          <cell r="F265" t="str">
            <v>4</v>
          </cell>
          <cell r="G265" t="str">
            <v>4</v>
          </cell>
          <cell r="H265" t="str">
            <v>bbb+</v>
          </cell>
          <cell r="I265" t="str">
            <v>II: a- ~ bbb+</v>
          </cell>
          <cell r="J265">
            <v>-8.1291759465478827E-2</v>
          </cell>
          <cell r="K265">
            <v>125</v>
          </cell>
          <cell r="L265">
            <v>111.88118811881189</v>
          </cell>
          <cell r="M265">
            <v>100</v>
          </cell>
          <cell r="N265">
            <v>46691</v>
          </cell>
          <cell r="O265">
            <v>2.4602739726027396</v>
          </cell>
          <cell r="P265" t="str">
            <v>&gt;2Y</v>
          </cell>
          <cell r="Q265">
            <v>5910</v>
          </cell>
          <cell r="R265">
            <v>0.59099999999999997</v>
          </cell>
          <cell r="S265">
            <v>56000000</v>
          </cell>
          <cell r="T265">
            <v>0</v>
          </cell>
          <cell r="U265">
            <v>0</v>
          </cell>
          <cell r="V265">
            <v>0</v>
          </cell>
          <cell r="W265">
            <v>2900000</v>
          </cell>
          <cell r="X265">
            <v>500000</v>
          </cell>
          <cell r="Y265">
            <v>4300000</v>
          </cell>
          <cell r="Z265">
            <v>62700000</v>
          </cell>
          <cell r="AA265">
            <v>4.6979312618478531E-3</v>
          </cell>
          <cell r="AB265">
            <v>0</v>
          </cell>
        </row>
        <row r="266">
          <cell r="A266">
            <v>67711</v>
          </cell>
          <cell r="B266" t="str">
            <v>平和環保一創</v>
          </cell>
          <cell r="C266" t="e">
            <v>#N/A</v>
          </cell>
          <cell r="D266" t="str">
            <v>6</v>
          </cell>
          <cell r="E266" t="str">
            <v>有，台中商業銀行</v>
          </cell>
          <cell r="F266" t="str">
            <v>有，台中商業銀行</v>
          </cell>
          <cell r="G266" t="str">
            <v>有擔</v>
          </cell>
          <cell r="H266" t="str">
            <v>有擔</v>
          </cell>
          <cell r="I266" t="str">
            <v>有擔</v>
          </cell>
          <cell r="J266">
            <v>-5.9594134439753713E-2</v>
          </cell>
          <cell r="K266">
            <v>114.5</v>
          </cell>
          <cell r="L266">
            <v>111.81818181818181</v>
          </cell>
          <cell r="M266">
            <v>101.0025</v>
          </cell>
          <cell r="N266">
            <v>46515</v>
          </cell>
          <cell r="O266">
            <v>1.978082191780822</v>
          </cell>
          <cell r="P266" t="str">
            <v>1Y-2Y</v>
          </cell>
          <cell r="Q266">
            <v>3500</v>
          </cell>
          <cell r="R266">
            <v>1</v>
          </cell>
          <cell r="S266">
            <v>37500000</v>
          </cell>
          <cell r="T266">
            <v>0</v>
          </cell>
          <cell r="U266">
            <v>0</v>
          </cell>
          <cell r="V266">
            <v>0</v>
          </cell>
          <cell r="W266">
            <v>800000</v>
          </cell>
          <cell r="X266">
            <v>500000</v>
          </cell>
          <cell r="Y266">
            <v>4700000</v>
          </cell>
          <cell r="Z266">
            <v>42500000</v>
          </cell>
          <cell r="AA266">
            <v>3.1844031679191987E-3</v>
          </cell>
          <cell r="AB266">
            <v>1000000</v>
          </cell>
        </row>
        <row r="267">
          <cell r="A267">
            <v>67961</v>
          </cell>
          <cell r="B267" t="str">
            <v>晉弘一</v>
          </cell>
          <cell r="C267" t="str">
            <v>傳產-生技</v>
          </cell>
          <cell r="D267" t="str">
            <v>7</v>
          </cell>
          <cell r="E267" t="str">
            <v>無</v>
          </cell>
          <cell r="F267" t="str">
            <v>7</v>
          </cell>
          <cell r="G267" t="str">
            <v>7</v>
          </cell>
          <cell r="H267" t="str">
            <v>bb</v>
          </cell>
          <cell r="I267" t="str">
            <v>IV: bb+ ~ bb</v>
          </cell>
          <cell r="J267">
            <v>3.9492191726476028E-2</v>
          </cell>
          <cell r="K267">
            <v>95.2</v>
          </cell>
          <cell r="L267">
            <v>65.271966527196653</v>
          </cell>
          <cell r="M267">
            <v>100</v>
          </cell>
          <cell r="N267">
            <v>46259</v>
          </cell>
          <cell r="O267">
            <v>1.2767123287671234</v>
          </cell>
          <cell r="P267" t="str">
            <v>1Y-2Y</v>
          </cell>
          <cell r="Q267">
            <v>2000</v>
          </cell>
          <cell r="R267">
            <v>1</v>
          </cell>
          <cell r="S267">
            <v>0</v>
          </cell>
          <cell r="T267">
            <v>0</v>
          </cell>
          <cell r="U267">
            <v>0</v>
          </cell>
          <cell r="V267">
            <v>0</v>
          </cell>
          <cell r="W267">
            <v>0</v>
          </cell>
          <cell r="X267">
            <v>0</v>
          </cell>
          <cell r="Y267">
            <v>0</v>
          </cell>
          <cell r="Z267">
            <v>0</v>
          </cell>
          <cell r="AA267">
            <v>0</v>
          </cell>
          <cell r="AB267">
            <v>0</v>
          </cell>
        </row>
        <row r="268">
          <cell r="A268">
            <v>68041</v>
          </cell>
          <cell r="B268" t="str">
            <v>明係一</v>
          </cell>
          <cell r="C268" t="str">
            <v>傳產-自行車</v>
          </cell>
          <cell r="D268" t="str">
            <v>6</v>
          </cell>
          <cell r="E268" t="str">
            <v>無</v>
          </cell>
          <cell r="F268" t="str">
            <v>6</v>
          </cell>
          <cell r="G268" t="str">
            <v>6</v>
          </cell>
          <cell r="H268" t="str">
            <v>bb+</v>
          </cell>
          <cell r="I268" t="str">
            <v>IV: bb+ ~ bb</v>
          </cell>
          <cell r="J268">
            <v>3.7820649815753782E-2</v>
          </cell>
          <cell r="K268">
            <v>96.75</v>
          </cell>
          <cell r="L268">
            <v>38.966049382716051</v>
          </cell>
          <cell r="M268">
            <v>100.75</v>
          </cell>
          <cell r="N268">
            <v>46192</v>
          </cell>
          <cell r="O268">
            <v>1.0931506849315069</v>
          </cell>
          <cell r="P268" t="str">
            <v>1Y-2Y</v>
          </cell>
          <cell r="Q268">
            <v>1991</v>
          </cell>
          <cell r="R268">
            <v>0.99550000000000005</v>
          </cell>
          <cell r="S268">
            <v>3000000</v>
          </cell>
          <cell r="T268">
            <v>0</v>
          </cell>
          <cell r="U268">
            <v>0</v>
          </cell>
          <cell r="V268">
            <v>3000000</v>
          </cell>
          <cell r="W268">
            <v>0</v>
          </cell>
          <cell r="X268">
            <v>0</v>
          </cell>
          <cell r="Y268">
            <v>0</v>
          </cell>
          <cell r="Z268">
            <v>0</v>
          </cell>
          <cell r="AA268">
            <v>0</v>
          </cell>
          <cell r="AB268">
            <v>0</v>
          </cell>
        </row>
        <row r="269">
          <cell r="A269">
            <v>68061</v>
          </cell>
          <cell r="B269" t="str">
            <v>森崴能源一</v>
          </cell>
          <cell r="C269" t="str">
            <v>電子下游-太陽能</v>
          </cell>
          <cell r="D269" t="str">
            <v>7</v>
          </cell>
          <cell r="E269" t="str">
            <v>有，臺灣銀行股份有限公司土城分行等</v>
          </cell>
          <cell r="F269" t="str">
            <v>有，臺灣銀行股份有限公司土城分行等</v>
          </cell>
          <cell r="G269" t="str">
            <v>有擔</v>
          </cell>
          <cell r="H269" t="str">
            <v>有擔</v>
          </cell>
          <cell r="I269" t="str">
            <v>有擔</v>
          </cell>
          <cell r="J269">
            <v>-4.8715382048715374E-2</v>
          </cell>
          <cell r="K269">
            <v>108</v>
          </cell>
          <cell r="L269">
            <v>85.741088180112584</v>
          </cell>
          <cell r="M269">
            <v>100</v>
          </cell>
          <cell r="N269">
            <v>46348</v>
          </cell>
          <cell r="O269">
            <v>1.5205479452054795</v>
          </cell>
          <cell r="P269" t="str">
            <v>1Y-2Y</v>
          </cell>
          <cell r="Q269">
            <v>20318</v>
          </cell>
          <cell r="R269">
            <v>0.67726666666666668</v>
          </cell>
          <cell r="S269">
            <v>72300000</v>
          </cell>
          <cell r="T269">
            <v>0</v>
          </cell>
          <cell r="U269">
            <v>51300000</v>
          </cell>
          <cell r="V269">
            <v>0</v>
          </cell>
          <cell r="W269">
            <v>113300000</v>
          </cell>
          <cell r="X269">
            <v>7600000</v>
          </cell>
          <cell r="Y269">
            <v>17200000</v>
          </cell>
          <cell r="Z269">
            <v>143900000</v>
          </cell>
          <cell r="AA269">
            <v>1.0782014490907592E-2</v>
          </cell>
          <cell r="AB269">
            <v>0</v>
          </cell>
        </row>
        <row r="270">
          <cell r="A270">
            <v>68231</v>
          </cell>
          <cell r="B270" t="str">
            <v>濾能一</v>
          </cell>
          <cell r="C270" t="str">
            <v>傳產-化學工業</v>
          </cell>
          <cell r="D270" t="str">
            <v>7</v>
          </cell>
          <cell r="E270" t="str">
            <v>無</v>
          </cell>
          <cell r="F270" t="str">
            <v>7</v>
          </cell>
          <cell r="G270" t="str">
            <v>7</v>
          </cell>
          <cell r="H270" t="str">
            <v>bb-</v>
          </cell>
          <cell r="I270" t="str">
            <v>V: bb- ~ b+</v>
          </cell>
          <cell r="J270">
            <v>9.2058316929137241E-2</v>
          </cell>
          <cell r="K270">
            <v>101.6</v>
          </cell>
          <cell r="L270">
            <v>60.241730279898221</v>
          </cell>
          <cell r="M270">
            <v>102.01</v>
          </cell>
          <cell r="N270">
            <v>45809</v>
          </cell>
          <cell r="O270">
            <v>4.3835616438356165E-2</v>
          </cell>
          <cell r="P270" t="str">
            <v>&lt;1Y</v>
          </cell>
          <cell r="Q270">
            <v>2454</v>
          </cell>
          <cell r="R270">
            <v>0.98160000000000003</v>
          </cell>
          <cell r="S270">
            <v>1600000</v>
          </cell>
          <cell r="T270">
            <v>0</v>
          </cell>
          <cell r="U270">
            <v>0</v>
          </cell>
          <cell r="V270">
            <v>1600000</v>
          </cell>
          <cell r="W270">
            <v>0</v>
          </cell>
          <cell r="X270">
            <v>0</v>
          </cell>
          <cell r="Y270">
            <v>0</v>
          </cell>
          <cell r="Z270">
            <v>0</v>
          </cell>
          <cell r="AA270">
            <v>0</v>
          </cell>
          <cell r="AB270">
            <v>0</v>
          </cell>
        </row>
        <row r="271">
          <cell r="A271">
            <v>68301</v>
          </cell>
          <cell r="B271" t="str">
            <v>汎銓一</v>
          </cell>
          <cell r="C271" t="str">
            <v>電子上游-IC-封測</v>
          </cell>
          <cell r="D271" t="str">
            <v>5</v>
          </cell>
          <cell r="E271" t="str">
            <v>無</v>
          </cell>
          <cell r="F271" t="str">
            <v>5</v>
          </cell>
          <cell r="G271" t="str">
            <v>5</v>
          </cell>
          <cell r="H271" t="str">
            <v>bbb-</v>
          </cell>
          <cell r="I271" t="str">
            <v>III: bbb ~ bbb-</v>
          </cell>
          <cell r="J271">
            <v>-9.8299476762080687E-2</v>
          </cell>
          <cell r="K271">
            <v>114</v>
          </cell>
          <cell r="L271">
            <v>88.590604026845639</v>
          </cell>
          <cell r="M271">
            <v>100</v>
          </cell>
          <cell r="N271">
            <v>46249</v>
          </cell>
          <cell r="O271">
            <v>1.2493150684931507</v>
          </cell>
          <cell r="P271" t="str">
            <v>1Y-2Y</v>
          </cell>
          <cell r="Q271">
            <v>4999</v>
          </cell>
          <cell r="R271">
            <v>0.99980000000000002</v>
          </cell>
          <cell r="S271">
            <v>11200000</v>
          </cell>
          <cell r="T271">
            <v>0</v>
          </cell>
          <cell r="U271">
            <v>8500000</v>
          </cell>
          <cell r="V271">
            <v>3000000</v>
          </cell>
          <cell r="W271">
            <v>5500000</v>
          </cell>
          <cell r="X271">
            <v>5200000</v>
          </cell>
          <cell r="Y271">
            <v>0</v>
          </cell>
          <cell r="Z271">
            <v>0</v>
          </cell>
          <cell r="AA271">
            <v>0</v>
          </cell>
          <cell r="AB271">
            <v>0</v>
          </cell>
        </row>
        <row r="272">
          <cell r="A272">
            <v>68351</v>
          </cell>
          <cell r="B272" t="str">
            <v>圓裕一</v>
          </cell>
          <cell r="C272" t="str">
            <v>電子上游-連接元件</v>
          </cell>
          <cell r="D272" t="str">
            <v>6</v>
          </cell>
          <cell r="E272" t="str">
            <v>無</v>
          </cell>
          <cell r="F272" t="str">
            <v>6</v>
          </cell>
          <cell r="G272" t="str">
            <v>6</v>
          </cell>
          <cell r="H272" t="str">
            <v>bb+</v>
          </cell>
          <cell r="I272" t="str">
            <v>IV: bb+ ~ bb</v>
          </cell>
          <cell r="J272">
            <v>3.5218201223234449E-2</v>
          </cell>
          <cell r="K272">
            <v>95.1</v>
          </cell>
          <cell r="L272">
            <v>85.348360655737707</v>
          </cell>
          <cell r="M272">
            <v>100</v>
          </cell>
          <cell r="N272">
            <v>46327</v>
          </cell>
          <cell r="O272">
            <v>1.463013698630137</v>
          </cell>
          <cell r="P272" t="str">
            <v>1Y-2Y</v>
          </cell>
          <cell r="Q272">
            <v>5910</v>
          </cell>
          <cell r="R272">
            <v>0.98499999999999999</v>
          </cell>
          <cell r="S272">
            <v>63700000</v>
          </cell>
          <cell r="T272">
            <v>0</v>
          </cell>
          <cell r="U272">
            <v>22000000</v>
          </cell>
          <cell r="V272">
            <v>58000000</v>
          </cell>
          <cell r="W272">
            <v>9400000</v>
          </cell>
          <cell r="X272">
            <v>0</v>
          </cell>
          <cell r="Y272">
            <v>6900000</v>
          </cell>
          <cell r="Z272">
            <v>0</v>
          </cell>
          <cell r="AA272">
            <v>0</v>
          </cell>
          <cell r="AB272">
            <v>0</v>
          </cell>
        </row>
        <row r="273">
          <cell r="A273">
            <v>68401</v>
          </cell>
          <cell r="B273" t="str">
            <v>東研信超一</v>
          </cell>
          <cell r="C273" t="str">
            <v>電子中游-儀器設備工程</v>
          </cell>
          <cell r="D273" t="str">
            <v>6</v>
          </cell>
          <cell r="E273" t="str">
            <v>無</v>
          </cell>
          <cell r="F273" t="str">
            <v>6</v>
          </cell>
          <cell r="G273" t="str">
            <v>6</v>
          </cell>
          <cell r="H273" t="str">
            <v>bb+</v>
          </cell>
          <cell r="I273" t="str">
            <v>IV: bb+ ~ bb</v>
          </cell>
          <cell r="J273">
            <v>8.547502593745375E-2</v>
          </cell>
          <cell r="K273">
            <v>86.5</v>
          </cell>
          <cell r="L273">
            <v>60.741301059001515</v>
          </cell>
          <cell r="M273">
            <v>101.51</v>
          </cell>
          <cell r="N273">
            <v>46534</v>
          </cell>
          <cell r="O273">
            <v>2.0301369863013701</v>
          </cell>
          <cell r="P273" t="str">
            <v>&gt;2Y</v>
          </cell>
          <cell r="Q273">
            <v>2000</v>
          </cell>
          <cell r="R273">
            <v>1</v>
          </cell>
          <cell r="S273">
            <v>18300000</v>
          </cell>
          <cell r="T273">
            <v>0</v>
          </cell>
          <cell r="U273">
            <v>0</v>
          </cell>
          <cell r="V273">
            <v>25000000</v>
          </cell>
          <cell r="W273">
            <v>1700000</v>
          </cell>
          <cell r="X273">
            <v>0</v>
          </cell>
          <cell r="Y273">
            <v>6600000</v>
          </cell>
          <cell r="Z273">
            <v>1600000</v>
          </cell>
          <cell r="AA273">
            <v>1.1988341338048748E-4</v>
          </cell>
          <cell r="AB273">
            <v>0</v>
          </cell>
        </row>
        <row r="274">
          <cell r="A274">
            <v>68461</v>
          </cell>
          <cell r="B274" t="str">
            <v>綠茵一</v>
          </cell>
          <cell r="C274" t="e">
            <v>#N/A</v>
          </cell>
          <cell r="D274" t="str">
            <v>6</v>
          </cell>
          <cell r="E274" t="str">
            <v>無</v>
          </cell>
          <cell r="F274" t="str">
            <v>6</v>
          </cell>
          <cell r="G274" t="str">
            <v>6</v>
          </cell>
          <cell r="H274" t="str">
            <v>bb+</v>
          </cell>
          <cell r="I274" t="str">
            <v>IV: bb+ ~ bb</v>
          </cell>
          <cell r="J274">
            <v>2.4227228682170546E-2</v>
          </cell>
          <cell r="K274">
            <v>95</v>
          </cell>
          <cell r="L274">
            <v>90.298507462686544</v>
          </cell>
          <cell r="M274">
            <v>101.50749999999999</v>
          </cell>
          <cell r="N274">
            <v>46825</v>
          </cell>
          <cell r="O274">
            <v>2.8273972602739725</v>
          </cell>
          <cell r="P274" t="str">
            <v>&gt;2Y</v>
          </cell>
          <cell r="Q274">
            <v>3500</v>
          </cell>
          <cell r="R274">
            <v>1</v>
          </cell>
          <cell r="S274">
            <v>27700000</v>
          </cell>
          <cell r="T274">
            <v>0</v>
          </cell>
          <cell r="U274">
            <v>0</v>
          </cell>
          <cell r="V274">
            <v>34000000</v>
          </cell>
          <cell r="W274">
            <v>2300000</v>
          </cell>
          <cell r="X274">
            <v>0</v>
          </cell>
          <cell r="Y274">
            <v>4000000</v>
          </cell>
          <cell r="Z274">
            <v>0</v>
          </cell>
          <cell r="AA274">
            <v>0</v>
          </cell>
          <cell r="AB274">
            <v>0</v>
          </cell>
        </row>
        <row r="275">
          <cell r="A275">
            <v>68462</v>
          </cell>
          <cell r="B275" t="str">
            <v>綠茵二</v>
          </cell>
          <cell r="C275" t="e">
            <v>#N/A</v>
          </cell>
          <cell r="D275" t="str">
            <v>6</v>
          </cell>
          <cell r="E275" t="str">
            <v>無</v>
          </cell>
          <cell r="F275" t="str">
            <v>6</v>
          </cell>
          <cell r="G275" t="str">
            <v>6</v>
          </cell>
          <cell r="H275" t="str">
            <v>bb+</v>
          </cell>
          <cell r="I275" t="str">
            <v>IV: bb+ ~ bb</v>
          </cell>
          <cell r="J275">
            <v>1.2513072757838759E-2</v>
          </cell>
          <cell r="K275">
            <v>98</v>
          </cell>
          <cell r="L275">
            <v>93.076923076923066</v>
          </cell>
          <cell r="M275">
            <v>101.50749999999999</v>
          </cell>
          <cell r="N275">
            <v>46837</v>
          </cell>
          <cell r="O275">
            <v>2.8602739726027395</v>
          </cell>
          <cell r="P275" t="str">
            <v>&gt;2Y</v>
          </cell>
          <cell r="Q275">
            <v>3500</v>
          </cell>
          <cell r="R275">
            <v>1</v>
          </cell>
          <cell r="S275">
            <v>7500000</v>
          </cell>
          <cell r="T275">
            <v>0</v>
          </cell>
          <cell r="U275">
            <v>5000000</v>
          </cell>
          <cell r="V275">
            <v>0</v>
          </cell>
          <cell r="W275">
            <v>0</v>
          </cell>
          <cell r="X275">
            <v>0</v>
          </cell>
          <cell r="Y275">
            <v>0</v>
          </cell>
          <cell r="Z275">
            <v>2500000</v>
          </cell>
          <cell r="AA275">
            <v>1.8731783340701169E-4</v>
          </cell>
          <cell r="AB275">
            <v>0</v>
          </cell>
        </row>
        <row r="276">
          <cell r="A276">
            <v>68541</v>
          </cell>
          <cell r="B276" t="str">
            <v>錼創科技一KY創</v>
          </cell>
          <cell r="C276" t="e">
            <v>#N/A</v>
          </cell>
          <cell r="D276" t="str">
            <v>7</v>
          </cell>
          <cell r="E276" t="str">
            <v>有，中國信託商業銀行</v>
          </cell>
          <cell r="F276" t="str">
            <v>有，中國信託商業銀行</v>
          </cell>
          <cell r="G276" t="str">
            <v>有擔</v>
          </cell>
          <cell r="H276" t="str">
            <v>有擔</v>
          </cell>
          <cell r="I276" t="str">
            <v>有擔</v>
          </cell>
          <cell r="J276">
            <v>-2.1312992988606526E-2</v>
          </cell>
          <cell r="K276">
            <v>105</v>
          </cell>
          <cell r="L276">
            <v>60.813532017720497</v>
          </cell>
          <cell r="M276">
            <v>101.0025</v>
          </cell>
          <cell r="N276">
            <v>46445</v>
          </cell>
          <cell r="O276">
            <v>1.7863013698630137</v>
          </cell>
          <cell r="P276" t="str">
            <v>1Y-2Y</v>
          </cell>
          <cell r="Q276">
            <v>8000</v>
          </cell>
          <cell r="R276">
            <v>1</v>
          </cell>
          <cell r="S276">
            <v>143500000</v>
          </cell>
          <cell r="T276">
            <v>0</v>
          </cell>
          <cell r="U276">
            <v>0</v>
          </cell>
          <cell r="V276">
            <v>0</v>
          </cell>
          <cell r="W276">
            <v>41300000</v>
          </cell>
          <cell r="X276">
            <v>4900000</v>
          </cell>
          <cell r="Y276">
            <v>4000000</v>
          </cell>
          <cell r="Z276">
            <v>183900000</v>
          </cell>
          <cell r="AA276">
            <v>1.3779099825419779E-2</v>
          </cell>
          <cell r="AB276">
            <v>0</v>
          </cell>
        </row>
        <row r="277">
          <cell r="A277">
            <v>68631</v>
          </cell>
          <cell r="B277" t="str">
            <v>永道一KY</v>
          </cell>
          <cell r="C277" t="str">
            <v>電子下游-掃描器</v>
          </cell>
          <cell r="D277" t="str">
            <v>5</v>
          </cell>
          <cell r="E277" t="str">
            <v>無</v>
          </cell>
          <cell r="F277" t="str">
            <v>5</v>
          </cell>
          <cell r="G277" t="str">
            <v>5</v>
          </cell>
          <cell r="H277" t="str">
            <v>bbb</v>
          </cell>
          <cell r="I277" t="str">
            <v>III: bbb ~ bbb-</v>
          </cell>
          <cell r="J277">
            <v>1.7243008314436915E-2</v>
          </cell>
          <cell r="K277">
            <v>96</v>
          </cell>
          <cell r="L277">
            <v>59.901800327332246</v>
          </cell>
          <cell r="M277">
            <v>100</v>
          </cell>
          <cell r="N277">
            <v>46675</v>
          </cell>
          <cell r="O277">
            <v>2.4164383561643836</v>
          </cell>
          <cell r="P277" t="str">
            <v>&gt;2Y</v>
          </cell>
          <cell r="Q277">
            <v>10000</v>
          </cell>
          <cell r="R277">
            <v>1</v>
          </cell>
          <cell r="S277">
            <v>76100000</v>
          </cell>
          <cell r="T277">
            <v>0</v>
          </cell>
          <cell r="U277">
            <v>40000000</v>
          </cell>
          <cell r="V277">
            <v>65000000</v>
          </cell>
          <cell r="W277">
            <v>21900000</v>
          </cell>
          <cell r="X277">
            <v>7200000</v>
          </cell>
          <cell r="Y277">
            <v>14200000</v>
          </cell>
          <cell r="Z277">
            <v>0</v>
          </cell>
          <cell r="AA277">
            <v>0</v>
          </cell>
          <cell r="AB277">
            <v>0</v>
          </cell>
        </row>
        <row r="278">
          <cell r="A278">
            <v>68701</v>
          </cell>
          <cell r="B278" t="str">
            <v>騰雲一</v>
          </cell>
          <cell r="C278" t="e">
            <v>#N/A</v>
          </cell>
          <cell r="D278" t="str">
            <v>6</v>
          </cell>
          <cell r="E278" t="str">
            <v>無</v>
          </cell>
          <cell r="F278" t="str">
            <v>6</v>
          </cell>
          <cell r="G278" t="str">
            <v>6</v>
          </cell>
          <cell r="H278" t="str">
            <v>bb+</v>
          </cell>
          <cell r="I278" t="str">
            <v>IV: bb+ ~ bb</v>
          </cell>
          <cell r="J278">
            <v>1.9078467045594419E-2</v>
          </cell>
          <cell r="K278">
            <v>95.35</v>
          </cell>
          <cell r="L278">
            <v>75.65392354124748</v>
          </cell>
          <cell r="M278">
            <v>100</v>
          </cell>
          <cell r="N278">
            <v>46726</v>
          </cell>
          <cell r="O278">
            <v>2.5561643835616437</v>
          </cell>
          <cell r="P278" t="str">
            <v>&gt;2Y</v>
          </cell>
          <cell r="Q278">
            <v>3500</v>
          </cell>
          <cell r="R278">
            <v>1</v>
          </cell>
          <cell r="S278">
            <v>39800000</v>
          </cell>
          <cell r="T278">
            <v>0</v>
          </cell>
          <cell r="U278">
            <v>35000000</v>
          </cell>
          <cell r="V278">
            <v>9200000</v>
          </cell>
          <cell r="W278">
            <v>1600000</v>
          </cell>
          <cell r="X278">
            <v>0</v>
          </cell>
          <cell r="Y278">
            <v>2700000</v>
          </cell>
          <cell r="Z278">
            <v>-100000</v>
          </cell>
          <cell r="AA278">
            <v>-7.4927133362804674E-6</v>
          </cell>
          <cell r="AB278">
            <v>0</v>
          </cell>
        </row>
        <row r="279">
          <cell r="A279">
            <v>68702</v>
          </cell>
          <cell r="B279" t="str">
            <v>騰雲二</v>
          </cell>
          <cell r="C279" t="e">
            <v>#N/A</v>
          </cell>
          <cell r="D279" t="str">
            <v>6</v>
          </cell>
          <cell r="E279" t="str">
            <v>無</v>
          </cell>
          <cell r="F279" t="str">
            <v>6</v>
          </cell>
          <cell r="G279" t="str">
            <v>6</v>
          </cell>
          <cell r="H279" t="str">
            <v>bb+</v>
          </cell>
          <cell r="I279" t="str">
            <v>IV: bb+ ~ bb</v>
          </cell>
          <cell r="J279">
            <v>1.9658851599907014E-3</v>
          </cell>
          <cell r="K279">
            <v>99.5</v>
          </cell>
          <cell r="L279">
            <v>79.45900253592562</v>
          </cell>
          <cell r="M279">
            <v>100</v>
          </cell>
          <cell r="N279">
            <v>46726</v>
          </cell>
          <cell r="O279">
            <v>2.5561643835616437</v>
          </cell>
          <cell r="P279" t="str">
            <v>&gt;2Y</v>
          </cell>
          <cell r="Q279">
            <v>3500</v>
          </cell>
          <cell r="R279">
            <v>1</v>
          </cell>
          <cell r="S279">
            <v>85700000</v>
          </cell>
          <cell r="T279">
            <v>0</v>
          </cell>
          <cell r="U279">
            <v>65100000</v>
          </cell>
          <cell r="V279">
            <v>25800000</v>
          </cell>
          <cell r="W279">
            <v>2800000</v>
          </cell>
          <cell r="X279">
            <v>0</v>
          </cell>
          <cell r="Y279">
            <v>4300000</v>
          </cell>
          <cell r="Z279">
            <v>1900000</v>
          </cell>
          <cell r="AA279">
            <v>1.4236155338932888E-4</v>
          </cell>
          <cell r="AB279">
            <v>0</v>
          </cell>
        </row>
        <row r="280">
          <cell r="A280">
            <v>68731</v>
          </cell>
          <cell r="B280" t="str">
            <v>泓德能源一</v>
          </cell>
          <cell r="C280" t="str">
            <v>電子下游-太陽能</v>
          </cell>
          <cell r="D280" t="str">
            <v>5</v>
          </cell>
          <cell r="E280" t="str">
            <v>無</v>
          </cell>
          <cell r="F280" t="str">
            <v>5</v>
          </cell>
          <cell r="G280" t="str">
            <v>5</v>
          </cell>
          <cell r="H280" t="str">
            <v>bbb</v>
          </cell>
          <cell r="I280" t="str">
            <v>III: bbb ~ bbb-</v>
          </cell>
          <cell r="J280">
            <v>-1.3903474426807758</v>
          </cell>
          <cell r="K280">
            <v>210</v>
          </cell>
          <cell r="L280">
            <v>210.28466483011937</v>
          </cell>
          <cell r="M280">
            <v>102.01</v>
          </cell>
          <cell r="N280">
            <v>45928</v>
          </cell>
          <cell r="O280">
            <v>0.36986301369863012</v>
          </cell>
          <cell r="P280" t="str">
            <v>&lt;1Y</v>
          </cell>
          <cell r="Q280">
            <v>2836</v>
          </cell>
          <cell r="R280">
            <v>0.28360000000000002</v>
          </cell>
          <cell r="S280">
            <v>32900000</v>
          </cell>
          <cell r="T280">
            <v>0</v>
          </cell>
          <cell r="U280">
            <v>27400000</v>
          </cell>
          <cell r="V280">
            <v>5600000</v>
          </cell>
          <cell r="W280">
            <v>0</v>
          </cell>
          <cell r="X280">
            <v>0</v>
          </cell>
          <cell r="Y280">
            <v>0</v>
          </cell>
          <cell r="Z280">
            <v>-100000</v>
          </cell>
          <cell r="AA280">
            <v>-7.4927133362804674E-6</v>
          </cell>
          <cell r="AB280">
            <v>0</v>
          </cell>
        </row>
        <row r="281">
          <cell r="A281">
            <v>68732</v>
          </cell>
          <cell r="B281" t="str">
            <v>泓德能源二</v>
          </cell>
          <cell r="C281" t="str">
            <v>電子下游-太陽能</v>
          </cell>
          <cell r="D281" t="str">
            <v>5</v>
          </cell>
          <cell r="E281" t="str">
            <v>- -</v>
          </cell>
          <cell r="F281" t="str">
            <v>- -</v>
          </cell>
          <cell r="G281" t="str">
            <v>有擔</v>
          </cell>
          <cell r="H281" t="str">
            <v>有擔</v>
          </cell>
          <cell r="I281" t="str">
            <v>有擔</v>
          </cell>
          <cell r="J281" t="e">
            <v>#VALUE!</v>
          </cell>
          <cell r="K281" t="e">
            <v>#VALUE!</v>
          </cell>
          <cell r="L281" t="e">
            <v>#VALUE!</v>
          </cell>
          <cell r="M281" t="str">
            <v>- -</v>
          </cell>
          <cell r="N281" t="str">
            <v>- -</v>
          </cell>
          <cell r="O281" t="e">
            <v>#VALUE!</v>
          </cell>
          <cell r="P281" t="e">
            <v>#VALUE!</v>
          </cell>
          <cell r="Q281">
            <v>0</v>
          </cell>
          <cell r="R281" t="e">
            <v>#VALUE!</v>
          </cell>
          <cell r="S281">
            <v>0</v>
          </cell>
          <cell r="T281">
            <v>0</v>
          </cell>
          <cell r="U281">
            <v>0</v>
          </cell>
          <cell r="V281">
            <v>0</v>
          </cell>
          <cell r="W281">
            <v>0</v>
          </cell>
          <cell r="X281">
            <v>0</v>
          </cell>
          <cell r="Y281">
            <v>0</v>
          </cell>
          <cell r="Z281">
            <v>0</v>
          </cell>
          <cell r="AA281">
            <v>0</v>
          </cell>
          <cell r="AB281">
            <v>0</v>
          </cell>
        </row>
        <row r="282">
          <cell r="A282">
            <v>68741</v>
          </cell>
          <cell r="B282" t="str">
            <v>倍力一</v>
          </cell>
          <cell r="C282" t="str">
            <v>軟體-系統整合</v>
          </cell>
          <cell r="D282" t="str">
            <v>6</v>
          </cell>
          <cell r="E282" t="str">
            <v>無</v>
          </cell>
          <cell r="F282" t="str">
            <v>6</v>
          </cell>
          <cell r="G282" t="str">
            <v>6</v>
          </cell>
          <cell r="H282" t="str">
            <v>bb+</v>
          </cell>
          <cell r="I282" t="str">
            <v>IV: bb+ ~ bb</v>
          </cell>
          <cell r="J282">
            <v>-6.3964036255203657E-3</v>
          </cell>
          <cell r="K282">
            <v>100.95</v>
          </cell>
          <cell r="L282">
            <v>78.148148148148152</v>
          </cell>
          <cell r="M282">
            <v>100</v>
          </cell>
          <cell r="N282">
            <v>46330</v>
          </cell>
          <cell r="O282">
            <v>1.4712328767123288</v>
          </cell>
          <cell r="P282" t="str">
            <v>1Y-2Y</v>
          </cell>
          <cell r="Q282">
            <v>3000</v>
          </cell>
          <cell r="R282">
            <v>1</v>
          </cell>
          <cell r="S282">
            <v>13400000</v>
          </cell>
          <cell r="T282">
            <v>0</v>
          </cell>
          <cell r="U282">
            <v>13300000</v>
          </cell>
          <cell r="V282">
            <v>0</v>
          </cell>
          <cell r="W282">
            <v>0</v>
          </cell>
          <cell r="X282">
            <v>0</v>
          </cell>
          <cell r="Y282">
            <v>0</v>
          </cell>
          <cell r="Z282">
            <v>100000</v>
          </cell>
          <cell r="AA282">
            <v>7.4927133362804674E-6</v>
          </cell>
          <cell r="AB282">
            <v>0</v>
          </cell>
        </row>
        <row r="283">
          <cell r="A283">
            <v>80273</v>
          </cell>
          <cell r="B283" t="str">
            <v>鈦昇三</v>
          </cell>
          <cell r="C283" t="str">
            <v>傳產-電機</v>
          </cell>
          <cell r="D283" t="str">
            <v>6</v>
          </cell>
          <cell r="E283" t="str">
            <v>無</v>
          </cell>
          <cell r="F283" t="str">
            <v>6</v>
          </cell>
          <cell r="G283" t="str">
            <v>6</v>
          </cell>
          <cell r="H283" t="str">
            <v>bb+</v>
          </cell>
          <cell r="I283" t="str">
            <v>IV: bb+ ~ bb</v>
          </cell>
          <cell r="J283">
            <v>-1.2829293441514538</v>
          </cell>
          <cell r="K283">
            <v>127.5</v>
          </cell>
          <cell r="L283">
            <v>130.05869632375658</v>
          </cell>
          <cell r="M283">
            <v>101.50749999999999</v>
          </cell>
          <cell r="N283">
            <v>45851</v>
          </cell>
          <cell r="O283">
            <v>0.15890410958904111</v>
          </cell>
          <cell r="P283" t="str">
            <v>&lt;1Y</v>
          </cell>
          <cell r="Q283">
            <v>3813</v>
          </cell>
          <cell r="R283">
            <v>0.38129999999999997</v>
          </cell>
          <cell r="S283">
            <v>0</v>
          </cell>
          <cell r="T283">
            <v>0</v>
          </cell>
          <cell r="U283">
            <v>0</v>
          </cell>
          <cell r="V283">
            <v>0</v>
          </cell>
          <cell r="W283">
            <v>0</v>
          </cell>
          <cell r="X283">
            <v>0</v>
          </cell>
          <cell r="Y283">
            <v>0</v>
          </cell>
          <cell r="Z283">
            <v>0</v>
          </cell>
          <cell r="AA283">
            <v>0</v>
          </cell>
          <cell r="AB283">
            <v>0</v>
          </cell>
        </row>
        <row r="284">
          <cell r="A284">
            <v>80282</v>
          </cell>
          <cell r="B284" t="str">
            <v>昇陽半導體二</v>
          </cell>
          <cell r="C284" t="str">
            <v>電子上游-IC-代工</v>
          </cell>
          <cell r="D284" t="str">
            <v>6</v>
          </cell>
          <cell r="E284" t="str">
            <v>無</v>
          </cell>
          <cell r="F284" t="str">
            <v>6</v>
          </cell>
          <cell r="G284" t="str">
            <v>6</v>
          </cell>
          <cell r="H284" t="str">
            <v>bb+</v>
          </cell>
          <cell r="I284" t="str">
            <v>IV: bb+ ~ bb</v>
          </cell>
          <cell r="J284">
            <v>-1.3012263612829623E-2</v>
          </cell>
          <cell r="K284">
            <v>106.5</v>
          </cell>
          <cell r="L284">
            <v>98.004276550249458</v>
          </cell>
          <cell r="M284">
            <v>100</v>
          </cell>
          <cell r="N284">
            <v>47505</v>
          </cell>
          <cell r="O284">
            <v>4.6904109589041099</v>
          </cell>
          <cell r="P284" t="str">
            <v>&gt;2Y</v>
          </cell>
          <cell r="Q284">
            <v>20000</v>
          </cell>
          <cell r="R284">
            <v>1</v>
          </cell>
          <cell r="S284">
            <v>113000000</v>
          </cell>
          <cell r="T284">
            <v>0</v>
          </cell>
          <cell r="U284">
            <v>55000000</v>
          </cell>
          <cell r="V284">
            <v>58000000</v>
          </cell>
          <cell r="W284">
            <v>0</v>
          </cell>
          <cell r="X284">
            <v>0</v>
          </cell>
          <cell r="Y284">
            <v>0</v>
          </cell>
          <cell r="Z284">
            <v>0</v>
          </cell>
          <cell r="AA284">
            <v>0</v>
          </cell>
          <cell r="AB284">
            <v>0</v>
          </cell>
        </row>
        <row r="285">
          <cell r="A285">
            <v>80506</v>
          </cell>
          <cell r="B285" t="str">
            <v>廣積六</v>
          </cell>
          <cell r="C285" t="str">
            <v>電子下游-工業電腦</v>
          </cell>
          <cell r="D285" t="str">
            <v>5</v>
          </cell>
          <cell r="E285" t="str">
            <v>無</v>
          </cell>
          <cell r="F285" t="str">
            <v>5</v>
          </cell>
          <cell r="G285" t="str">
            <v>5</v>
          </cell>
          <cell r="H285" t="str">
            <v>bbb</v>
          </cell>
          <cell r="I285" t="str">
            <v>III: bbb ~ bbb-</v>
          </cell>
          <cell r="J285">
            <v>-0.13061736209163038</v>
          </cell>
          <cell r="K285">
            <v>108.1</v>
          </cell>
          <cell r="L285">
            <v>93.871449925261572</v>
          </cell>
          <cell r="M285">
            <v>100.75</v>
          </cell>
          <cell r="N285">
            <v>45983</v>
          </cell>
          <cell r="O285">
            <v>0.52054794520547942</v>
          </cell>
          <cell r="P285" t="str">
            <v>&lt;1Y</v>
          </cell>
          <cell r="Q285">
            <v>7594</v>
          </cell>
          <cell r="R285">
            <v>0.47462500000000002</v>
          </cell>
          <cell r="S285">
            <v>61200000</v>
          </cell>
          <cell r="T285">
            <v>0</v>
          </cell>
          <cell r="U285">
            <v>56800000</v>
          </cell>
          <cell r="V285">
            <v>4000000</v>
          </cell>
          <cell r="W285">
            <v>13100000</v>
          </cell>
          <cell r="X285">
            <v>13100000</v>
          </cell>
          <cell r="Y285">
            <v>0</v>
          </cell>
          <cell r="Z285">
            <v>400000</v>
          </cell>
          <cell r="AA285">
            <v>2.997085334512187E-5</v>
          </cell>
          <cell r="AB285">
            <v>0</v>
          </cell>
        </row>
        <row r="286">
          <cell r="A286">
            <v>80872</v>
          </cell>
          <cell r="B286" t="str">
            <v>麗升能源二</v>
          </cell>
          <cell r="C286" t="str">
            <v>電子下游-光碟片</v>
          </cell>
          <cell r="D286" t="str">
            <v>7</v>
          </cell>
          <cell r="E286" t="str">
            <v>無</v>
          </cell>
          <cell r="F286" t="str">
            <v>7</v>
          </cell>
          <cell r="G286" t="str">
            <v>7</v>
          </cell>
          <cell r="H286" t="str">
            <v>bb</v>
          </cell>
          <cell r="I286" t="str">
            <v>IV: bb+ ~ bb</v>
          </cell>
          <cell r="J286">
            <v>1.0767051968169265E-2</v>
          </cell>
          <cell r="K286">
            <v>99.9</v>
          </cell>
          <cell r="L286">
            <v>106.93069306930694</v>
          </cell>
          <cell r="M286">
            <v>102.01</v>
          </cell>
          <cell r="N286">
            <v>46509</v>
          </cell>
          <cell r="O286">
            <v>1.9616438356164383</v>
          </cell>
          <cell r="P286" t="str">
            <v>1Y-2Y</v>
          </cell>
          <cell r="Q286">
            <v>5000</v>
          </cell>
          <cell r="R286">
            <v>1</v>
          </cell>
          <cell r="S286">
            <v>0</v>
          </cell>
          <cell r="T286">
            <v>0</v>
          </cell>
          <cell r="U286">
            <v>0</v>
          </cell>
          <cell r="V286">
            <v>0</v>
          </cell>
          <cell r="W286">
            <v>0</v>
          </cell>
          <cell r="X286">
            <v>0</v>
          </cell>
          <cell r="Y286">
            <v>0</v>
          </cell>
          <cell r="Z286">
            <v>0</v>
          </cell>
          <cell r="AA286">
            <v>0</v>
          </cell>
          <cell r="AB286">
            <v>0</v>
          </cell>
        </row>
        <row r="287">
          <cell r="A287">
            <v>80914</v>
          </cell>
          <cell r="B287" t="str">
            <v>翔名四</v>
          </cell>
          <cell r="C287" t="str">
            <v>電子上游-IC-製造</v>
          </cell>
          <cell r="D287" t="str">
            <v>5</v>
          </cell>
          <cell r="E287" t="str">
            <v>無</v>
          </cell>
          <cell r="F287" t="str">
            <v>5</v>
          </cell>
          <cell r="G287" t="str">
            <v>5</v>
          </cell>
          <cell r="H287" t="str">
            <v>bbb</v>
          </cell>
          <cell r="I287" t="str">
            <v>III: bbb ~ bbb-</v>
          </cell>
          <cell r="J287">
            <v>-8.269289614913844E-2</v>
          </cell>
          <cell r="K287">
            <v>111.8</v>
          </cell>
          <cell r="L287">
            <v>87.795275590551185</v>
          </cell>
          <cell r="M287">
            <v>100.25</v>
          </cell>
          <cell r="N287">
            <v>46249</v>
          </cell>
          <cell r="O287">
            <v>1.2493150684931507</v>
          </cell>
          <cell r="P287" t="str">
            <v>1Y-2Y</v>
          </cell>
          <cell r="Q287">
            <v>5500</v>
          </cell>
          <cell r="R287">
            <v>1</v>
          </cell>
          <cell r="S287">
            <v>8300000</v>
          </cell>
          <cell r="T287">
            <v>0</v>
          </cell>
          <cell r="U287">
            <v>8100000</v>
          </cell>
          <cell r="V287">
            <v>0</v>
          </cell>
          <cell r="W287">
            <v>4700000</v>
          </cell>
          <cell r="X287">
            <v>4700000</v>
          </cell>
          <cell r="Y287">
            <v>0</v>
          </cell>
          <cell r="Z287">
            <v>200000</v>
          </cell>
          <cell r="AA287">
            <v>1.4985426672560935E-5</v>
          </cell>
          <cell r="AB287">
            <v>0</v>
          </cell>
        </row>
        <row r="288">
          <cell r="A288">
            <v>80924</v>
          </cell>
          <cell r="B288" t="str">
            <v>建暐四</v>
          </cell>
          <cell r="C288" t="str">
            <v>電子中游-儀器設備工程</v>
          </cell>
          <cell r="D288" t="str">
            <v>9</v>
          </cell>
          <cell r="E288" t="str">
            <v>有，陽信商業銀行</v>
          </cell>
          <cell r="F288" t="str">
            <v>有，陽信商業銀行</v>
          </cell>
          <cell r="G288" t="str">
            <v>有擔</v>
          </cell>
          <cell r="H288" t="str">
            <v>有擔</v>
          </cell>
          <cell r="I288" t="str">
            <v>有擔</v>
          </cell>
          <cell r="J288">
            <v>-0.35244447453954503</v>
          </cell>
          <cell r="K288">
            <v>142</v>
          </cell>
          <cell r="L288">
            <v>141.37931034482759</v>
          </cell>
          <cell r="M288">
            <v>101.0025</v>
          </cell>
          <cell r="N288">
            <v>46092</v>
          </cell>
          <cell r="O288">
            <v>0.81917808219178079</v>
          </cell>
          <cell r="P288" t="str">
            <v>&lt;1Y</v>
          </cell>
          <cell r="Q288">
            <v>924</v>
          </cell>
          <cell r="R288">
            <v>0.54352941176470593</v>
          </cell>
          <cell r="S288">
            <v>0</v>
          </cell>
          <cell r="T288">
            <v>0</v>
          </cell>
          <cell r="U288">
            <v>0</v>
          </cell>
          <cell r="V288">
            <v>0</v>
          </cell>
          <cell r="W288">
            <v>0</v>
          </cell>
          <cell r="X288">
            <v>0</v>
          </cell>
          <cell r="Y288">
            <v>0</v>
          </cell>
          <cell r="Z288">
            <v>0</v>
          </cell>
          <cell r="AA288">
            <v>0</v>
          </cell>
          <cell r="AB288">
            <v>0</v>
          </cell>
        </row>
        <row r="289">
          <cell r="A289">
            <v>81042</v>
          </cell>
          <cell r="B289" t="str">
            <v>錸寶二</v>
          </cell>
          <cell r="C289" t="str">
            <v>電子中游-LCD-TFT面板</v>
          </cell>
          <cell r="D289" t="str">
            <v>7</v>
          </cell>
          <cell r="E289" t="str">
            <v>無</v>
          </cell>
          <cell r="F289" t="str">
            <v>7</v>
          </cell>
          <cell r="G289" t="str">
            <v>7</v>
          </cell>
          <cell r="H289" t="str">
            <v>bb</v>
          </cell>
          <cell r="I289" t="str">
            <v>IV: bb+ ~ bb</v>
          </cell>
          <cell r="J289">
            <v>1.2312362961713626E-2</v>
          </cell>
          <cell r="K289">
            <v>98</v>
          </cell>
          <cell r="L289">
            <v>52.303860523038601</v>
          </cell>
          <cell r="M289">
            <v>100</v>
          </cell>
          <cell r="N289">
            <v>46398</v>
          </cell>
          <cell r="O289">
            <v>1.6575342465753424</v>
          </cell>
          <cell r="P289" t="str">
            <v>1Y-2Y</v>
          </cell>
          <cell r="Q289">
            <v>839</v>
          </cell>
          <cell r="R289">
            <v>0.13983333333333334</v>
          </cell>
          <cell r="S289">
            <v>0</v>
          </cell>
          <cell r="T289">
            <v>0</v>
          </cell>
          <cell r="U289">
            <v>0</v>
          </cell>
          <cell r="V289">
            <v>0</v>
          </cell>
          <cell r="W289">
            <v>0</v>
          </cell>
          <cell r="X289">
            <v>0</v>
          </cell>
          <cell r="Y289">
            <v>0</v>
          </cell>
          <cell r="Z289">
            <v>0</v>
          </cell>
          <cell r="AA289">
            <v>0</v>
          </cell>
          <cell r="AB289">
            <v>0</v>
          </cell>
        </row>
        <row r="290">
          <cell r="A290">
            <v>811210</v>
          </cell>
          <cell r="B290" t="str">
            <v>至上十</v>
          </cell>
          <cell r="C290" t="str">
            <v>電子上游-IC-通路</v>
          </cell>
          <cell r="D290" t="str">
            <v>6</v>
          </cell>
          <cell r="E290" t="str">
            <v>無</v>
          </cell>
          <cell r="F290" t="str">
            <v>6</v>
          </cell>
          <cell r="G290" t="str">
            <v>6</v>
          </cell>
          <cell r="H290" t="str">
            <v>bb+</v>
          </cell>
          <cell r="I290" t="str">
            <v>IV: bb+ ~ bb</v>
          </cell>
          <cell r="J290">
            <v>3.4864648747192301E-3</v>
          </cell>
          <cell r="K290">
            <v>99.3</v>
          </cell>
          <cell r="L290">
            <v>66.073697585768741</v>
          </cell>
          <cell r="M290">
            <v>100</v>
          </cell>
          <cell r="N290">
            <v>46531</v>
          </cell>
          <cell r="O290">
            <v>2.021917808219178</v>
          </cell>
          <cell r="P290" t="str">
            <v>&gt;2Y</v>
          </cell>
          <cell r="Q290">
            <v>30000</v>
          </cell>
          <cell r="R290">
            <v>1</v>
          </cell>
          <cell r="S290">
            <v>323300000</v>
          </cell>
          <cell r="T290">
            <v>0</v>
          </cell>
          <cell r="U290">
            <v>277800000</v>
          </cell>
          <cell r="V290">
            <v>113100000</v>
          </cell>
          <cell r="W290">
            <v>70000000</v>
          </cell>
          <cell r="X290">
            <v>19000000</v>
          </cell>
          <cell r="Y290">
            <v>16600000</v>
          </cell>
          <cell r="Z290">
            <v>0</v>
          </cell>
          <cell r="AA290">
            <v>0</v>
          </cell>
          <cell r="AB290">
            <v>0</v>
          </cell>
        </row>
        <row r="291">
          <cell r="A291">
            <v>81473</v>
          </cell>
          <cell r="B291" t="str">
            <v>正淩三</v>
          </cell>
          <cell r="C291" t="str">
            <v>電子上游-連接元件</v>
          </cell>
          <cell r="D291" t="str">
            <v>6</v>
          </cell>
          <cell r="E291" t="str">
            <v>無</v>
          </cell>
          <cell r="F291" t="str">
            <v>6</v>
          </cell>
          <cell r="G291" t="str">
            <v>6</v>
          </cell>
          <cell r="H291" t="str">
            <v>bb+</v>
          </cell>
          <cell r="I291" t="str">
            <v>IV: bb+ ~ bb</v>
          </cell>
          <cell r="J291">
            <v>0</v>
          </cell>
          <cell r="K291">
            <v>100</v>
          </cell>
          <cell r="L291">
            <v>78.380386329866269</v>
          </cell>
          <cell r="M291">
            <v>100</v>
          </cell>
          <cell r="N291">
            <v>46663</v>
          </cell>
          <cell r="O291">
            <v>2.3835616438356166</v>
          </cell>
          <cell r="P291" t="str">
            <v>&gt;2Y</v>
          </cell>
          <cell r="Q291">
            <v>2988</v>
          </cell>
          <cell r="R291">
            <v>0.996</v>
          </cell>
          <cell r="S291">
            <v>17700000</v>
          </cell>
          <cell r="T291">
            <v>0</v>
          </cell>
          <cell r="U291">
            <v>10000000</v>
          </cell>
          <cell r="V291">
            <v>12200000</v>
          </cell>
          <cell r="W291">
            <v>900000</v>
          </cell>
          <cell r="X291">
            <v>0</v>
          </cell>
          <cell r="Y291">
            <v>3600000</v>
          </cell>
          <cell r="Z291">
            <v>0</v>
          </cell>
          <cell r="AA291">
            <v>0</v>
          </cell>
          <cell r="AB291">
            <v>0</v>
          </cell>
        </row>
        <row r="292">
          <cell r="A292">
            <v>81551</v>
          </cell>
          <cell r="B292" t="str">
            <v>博智一</v>
          </cell>
          <cell r="C292" t="str">
            <v>電子上游-PCB-製造</v>
          </cell>
          <cell r="D292" t="str">
            <v>4</v>
          </cell>
          <cell r="E292" t="str">
            <v>無</v>
          </cell>
          <cell r="F292" t="str">
            <v>4</v>
          </cell>
          <cell r="G292" t="str">
            <v>4</v>
          </cell>
          <cell r="H292" t="str">
            <v>bbb+</v>
          </cell>
          <cell r="I292" t="str">
            <v>II: a- ~ bbb+</v>
          </cell>
          <cell r="J292">
            <v>-4.3923464866698049E-2</v>
          </cell>
          <cell r="K292">
            <v>113.2</v>
          </cell>
          <cell r="L292">
            <v>100.71942446043165</v>
          </cell>
          <cell r="M292">
            <v>100</v>
          </cell>
          <cell r="N292">
            <v>46762</v>
          </cell>
          <cell r="O292">
            <v>2.6547945205479451</v>
          </cell>
          <cell r="P292" t="str">
            <v>&gt;2Y</v>
          </cell>
          <cell r="Q292">
            <v>10000</v>
          </cell>
          <cell r="R292">
            <v>1</v>
          </cell>
          <cell r="S292">
            <v>34500000</v>
          </cell>
          <cell r="T292">
            <v>0</v>
          </cell>
          <cell r="U292">
            <v>0</v>
          </cell>
          <cell r="V292">
            <v>0</v>
          </cell>
          <cell r="W292">
            <v>18400000</v>
          </cell>
          <cell r="X292">
            <v>0</v>
          </cell>
          <cell r="Y292">
            <v>20700000</v>
          </cell>
          <cell r="Z292">
            <v>73600000</v>
          </cell>
          <cell r="AA292">
            <v>5.5146370155024242E-3</v>
          </cell>
          <cell r="AB292">
            <v>0</v>
          </cell>
        </row>
        <row r="293">
          <cell r="A293">
            <v>81714</v>
          </cell>
          <cell r="B293" t="str">
            <v>天宇四</v>
          </cell>
          <cell r="C293" t="str">
            <v>電子中游-NB與手機零組件</v>
          </cell>
          <cell r="D293" t="str">
            <v>7</v>
          </cell>
          <cell r="E293" t="str">
            <v>有，板信商業銀行、台中商業銀行</v>
          </cell>
          <cell r="F293" t="str">
            <v>有，板信商業銀行、台中商業銀行</v>
          </cell>
          <cell r="G293" t="str">
            <v>有擔</v>
          </cell>
          <cell r="H293" t="str">
            <v>有擔</v>
          </cell>
          <cell r="I293" t="str">
            <v>有擔</v>
          </cell>
          <cell r="J293">
            <v>-5.2317247969421887E-2</v>
          </cell>
          <cell r="K293">
            <v>115</v>
          </cell>
          <cell r="L293">
            <v>107.54437869822486</v>
          </cell>
          <cell r="M293">
            <v>100</v>
          </cell>
          <cell r="N293">
            <v>46703</v>
          </cell>
          <cell r="O293">
            <v>2.493150684931507</v>
          </cell>
          <cell r="P293" t="str">
            <v>&gt;2Y</v>
          </cell>
          <cell r="Q293">
            <v>2500</v>
          </cell>
          <cell r="R293">
            <v>1</v>
          </cell>
          <cell r="S293">
            <v>49500000</v>
          </cell>
          <cell r="T293">
            <v>0</v>
          </cell>
          <cell r="U293">
            <v>0</v>
          </cell>
          <cell r="V293">
            <v>0</v>
          </cell>
          <cell r="W293">
            <v>2300000</v>
          </cell>
          <cell r="X293">
            <v>0</v>
          </cell>
          <cell r="Y293">
            <v>1300000</v>
          </cell>
          <cell r="Z293">
            <v>53100000</v>
          </cell>
          <cell r="AA293">
            <v>3.9786307815649277E-3</v>
          </cell>
          <cell r="AB293">
            <v>0</v>
          </cell>
        </row>
        <row r="294">
          <cell r="A294">
            <v>81715</v>
          </cell>
          <cell r="B294" t="str">
            <v>天宇五</v>
          </cell>
          <cell r="C294" t="str">
            <v>電子中游-NB與手機零組件</v>
          </cell>
          <cell r="D294" t="str">
            <v>7</v>
          </cell>
          <cell r="E294" t="str">
            <v>無</v>
          </cell>
          <cell r="F294" t="str">
            <v>7</v>
          </cell>
          <cell r="G294" t="str">
            <v>7</v>
          </cell>
          <cell r="H294" t="str">
            <v>bb</v>
          </cell>
          <cell r="I294" t="str">
            <v>IV: bb+ ~ bb</v>
          </cell>
          <cell r="J294">
            <v>-2.7339441277585946E-2</v>
          </cell>
          <cell r="K294">
            <v>108.95</v>
          </cell>
          <cell r="L294">
            <v>101.25348189415043</v>
          </cell>
          <cell r="M294">
            <v>101.50749999999999</v>
          </cell>
          <cell r="N294">
            <v>46705</v>
          </cell>
          <cell r="O294">
            <v>2.4986301369863013</v>
          </cell>
          <cell r="P294" t="str">
            <v>&gt;2Y</v>
          </cell>
          <cell r="Q294">
            <v>2439</v>
          </cell>
          <cell r="R294">
            <v>0.97560000000000002</v>
          </cell>
          <cell r="S294">
            <v>10000000</v>
          </cell>
          <cell r="T294">
            <v>0</v>
          </cell>
          <cell r="U294">
            <v>0</v>
          </cell>
          <cell r="V294">
            <v>10000000</v>
          </cell>
          <cell r="W294">
            <v>0</v>
          </cell>
          <cell r="X294">
            <v>0</v>
          </cell>
          <cell r="Y294">
            <v>0</v>
          </cell>
          <cell r="Z294">
            <v>0</v>
          </cell>
          <cell r="AA294">
            <v>0</v>
          </cell>
          <cell r="AB294">
            <v>0</v>
          </cell>
        </row>
        <row r="295">
          <cell r="A295">
            <v>82101</v>
          </cell>
          <cell r="B295" t="str">
            <v>勤誠一</v>
          </cell>
          <cell r="C295" t="str">
            <v>電子中游-機殼</v>
          </cell>
          <cell r="D295" t="str">
            <v>4</v>
          </cell>
          <cell r="E295" t="str">
            <v>無</v>
          </cell>
          <cell r="F295" t="str">
            <v>4</v>
          </cell>
          <cell r="G295" t="str">
            <v>4</v>
          </cell>
          <cell r="H295" t="str">
            <v>bbb</v>
          </cell>
          <cell r="I295" t="str">
            <v>III: bbb ~ bbb-</v>
          </cell>
          <cell r="J295">
            <v>-9.2745681198900726E-2</v>
          </cell>
          <cell r="K295">
            <v>118.45</v>
          </cell>
          <cell r="L295">
            <v>108.9647411852963</v>
          </cell>
          <cell r="M295">
            <v>100</v>
          </cell>
          <cell r="N295">
            <v>46406</v>
          </cell>
          <cell r="O295">
            <v>1.6794520547945206</v>
          </cell>
          <cell r="P295" t="str">
            <v>1Y-2Y</v>
          </cell>
          <cell r="Q295">
            <v>9998</v>
          </cell>
          <cell r="R295">
            <v>0.99980000000000002</v>
          </cell>
          <cell r="S295">
            <v>76200000</v>
          </cell>
          <cell r="T295">
            <v>0</v>
          </cell>
          <cell r="U295">
            <v>62400000</v>
          </cell>
          <cell r="V295">
            <v>0</v>
          </cell>
          <cell r="W295">
            <v>84400000</v>
          </cell>
          <cell r="X295">
            <v>400000</v>
          </cell>
          <cell r="Y295">
            <v>16000000</v>
          </cell>
          <cell r="Z295">
            <v>113800000</v>
          </cell>
          <cell r="AA295">
            <v>8.5267077766871709E-3</v>
          </cell>
          <cell r="AB295">
            <v>0</v>
          </cell>
        </row>
        <row r="296">
          <cell r="A296">
            <v>82551</v>
          </cell>
          <cell r="B296" t="str">
            <v>朋程一</v>
          </cell>
          <cell r="C296" t="str">
            <v>傳產-汽車零組件</v>
          </cell>
          <cell r="D296" t="str">
            <v>4</v>
          </cell>
          <cell r="E296" t="str">
            <v>無</v>
          </cell>
          <cell r="F296" t="str">
            <v>4</v>
          </cell>
          <cell r="G296" t="str">
            <v>4</v>
          </cell>
          <cell r="H296" t="str">
            <v>bbb+</v>
          </cell>
          <cell r="I296" t="str">
            <v>II: a- ~ bbb+</v>
          </cell>
          <cell r="J296">
            <v>-3.5670278308901585E-2</v>
          </cell>
          <cell r="K296">
            <v>104.6</v>
          </cell>
          <cell r="L296">
            <v>65.388397246804317</v>
          </cell>
          <cell r="M296">
            <v>100</v>
          </cell>
          <cell r="N296">
            <v>46243</v>
          </cell>
          <cell r="O296">
            <v>1.2328767123287672</v>
          </cell>
          <cell r="P296" t="str">
            <v>1Y-2Y</v>
          </cell>
          <cell r="Q296">
            <v>7999</v>
          </cell>
          <cell r="R296">
            <v>0.99987499999999996</v>
          </cell>
          <cell r="S296">
            <v>54500000</v>
          </cell>
          <cell r="T296">
            <v>0</v>
          </cell>
          <cell r="U296">
            <v>0</v>
          </cell>
          <cell r="V296">
            <v>0</v>
          </cell>
          <cell r="W296">
            <v>36800000</v>
          </cell>
          <cell r="X296">
            <v>7600000</v>
          </cell>
          <cell r="Y296">
            <v>10200000</v>
          </cell>
          <cell r="Z296">
            <v>93900000</v>
          </cell>
          <cell r="AA296">
            <v>7.0356578227673584E-3</v>
          </cell>
          <cell r="AB296">
            <v>0</v>
          </cell>
        </row>
        <row r="297">
          <cell r="A297">
            <v>82992</v>
          </cell>
          <cell r="B297" t="str">
            <v>群聯二</v>
          </cell>
          <cell r="C297" t="str">
            <v>電子上游-IC-設計</v>
          </cell>
          <cell r="D297" t="str">
            <v>3</v>
          </cell>
          <cell r="E297" t="str">
            <v>無</v>
          </cell>
          <cell r="F297" t="str">
            <v>3</v>
          </cell>
          <cell r="G297" t="str">
            <v>3</v>
          </cell>
          <cell r="H297" t="str">
            <v>a</v>
          </cell>
          <cell r="I297" t="str">
            <v>I: aaa ~ a</v>
          </cell>
          <cell r="J297">
            <v>-5.0087342236925521E-2</v>
          </cell>
          <cell r="K297">
            <v>109.25</v>
          </cell>
          <cell r="L297">
            <v>87.519971595952427</v>
          </cell>
          <cell r="M297">
            <v>100</v>
          </cell>
          <cell r="N297">
            <v>46410</v>
          </cell>
          <cell r="O297">
            <v>1.6904109589041096</v>
          </cell>
          <cell r="P297" t="str">
            <v>1Y-2Y</v>
          </cell>
          <cell r="Q297">
            <v>60000</v>
          </cell>
          <cell r="R297">
            <v>1</v>
          </cell>
          <cell r="S297">
            <v>837500000</v>
          </cell>
          <cell r="T297">
            <v>0</v>
          </cell>
          <cell r="U297">
            <v>340500000</v>
          </cell>
          <cell r="V297">
            <v>3000000</v>
          </cell>
          <cell r="W297">
            <v>212000000</v>
          </cell>
          <cell r="X297">
            <v>128900000</v>
          </cell>
          <cell r="Y297">
            <v>15000000</v>
          </cell>
          <cell r="Z297">
            <v>592100000</v>
          </cell>
          <cell r="AA297">
            <v>4.4364355664116645E-2</v>
          </cell>
          <cell r="AB297">
            <v>0</v>
          </cell>
        </row>
        <row r="298">
          <cell r="A298">
            <v>83742</v>
          </cell>
          <cell r="B298" t="str">
            <v>羅昇二</v>
          </cell>
          <cell r="C298" t="str">
            <v>傳產-電機</v>
          </cell>
          <cell r="D298" t="str">
            <v>6</v>
          </cell>
          <cell r="E298" t="str">
            <v>無</v>
          </cell>
          <cell r="F298" t="str">
            <v>6</v>
          </cell>
          <cell r="G298" t="str">
            <v>6</v>
          </cell>
          <cell r="H298" t="str">
            <v>bb+</v>
          </cell>
          <cell r="I298" t="str">
            <v>IV: bb+ ~ bb</v>
          </cell>
          <cell r="J298">
            <v>1.9999046620794246E-4</v>
          </cell>
          <cell r="K298">
            <v>99.95</v>
          </cell>
          <cell r="L298">
            <v>80.015026296018036</v>
          </cell>
          <cell r="M298">
            <v>100</v>
          </cell>
          <cell r="N298">
            <v>46706</v>
          </cell>
          <cell r="O298">
            <v>2.5013698630136987</v>
          </cell>
          <cell r="P298" t="str">
            <v>&gt;2Y</v>
          </cell>
          <cell r="Q298">
            <v>5000</v>
          </cell>
          <cell r="R298">
            <v>1</v>
          </cell>
          <cell r="S298">
            <v>10000000</v>
          </cell>
          <cell r="T298">
            <v>0</v>
          </cell>
          <cell r="U298">
            <v>0</v>
          </cell>
          <cell r="V298">
            <v>10000000</v>
          </cell>
          <cell r="W298">
            <v>0</v>
          </cell>
          <cell r="X298">
            <v>0</v>
          </cell>
          <cell r="Y298">
            <v>0</v>
          </cell>
          <cell r="Z298">
            <v>0</v>
          </cell>
          <cell r="AA298">
            <v>0</v>
          </cell>
          <cell r="AB298">
            <v>0</v>
          </cell>
        </row>
        <row r="299">
          <cell r="A299">
            <v>84112</v>
          </cell>
          <cell r="B299" t="str">
            <v>福貞二KY</v>
          </cell>
          <cell r="C299" t="str">
            <v>傳產-其他</v>
          </cell>
          <cell r="D299" t="str">
            <v>6</v>
          </cell>
          <cell r="E299" t="str">
            <v>無</v>
          </cell>
          <cell r="F299" t="str">
            <v>6</v>
          </cell>
          <cell r="G299" t="str">
            <v>6</v>
          </cell>
          <cell r="H299" t="str">
            <v>bb+</v>
          </cell>
          <cell r="I299" t="str">
            <v>IV: bb+ ~ bb</v>
          </cell>
          <cell r="J299">
            <v>2.4579124579124739E-2</v>
          </cell>
          <cell r="K299">
            <v>99</v>
          </cell>
          <cell r="L299">
            <v>79.012345679012356</v>
          </cell>
          <cell r="M299">
            <v>100</v>
          </cell>
          <cell r="N299">
            <v>45943</v>
          </cell>
          <cell r="O299">
            <v>0.41095890410958902</v>
          </cell>
          <cell r="P299" t="str">
            <v>&lt;1Y</v>
          </cell>
          <cell r="Q299">
            <v>2860</v>
          </cell>
          <cell r="R299">
            <v>0.71499999999999997</v>
          </cell>
          <cell r="S299">
            <v>55500000</v>
          </cell>
          <cell r="T299">
            <v>0</v>
          </cell>
          <cell r="U299">
            <v>55500000</v>
          </cell>
          <cell r="V299">
            <v>0</v>
          </cell>
          <cell r="W299">
            <v>0</v>
          </cell>
          <cell r="X299">
            <v>0</v>
          </cell>
          <cell r="Y299">
            <v>0</v>
          </cell>
          <cell r="Z299">
            <v>0</v>
          </cell>
          <cell r="AA299">
            <v>0</v>
          </cell>
          <cell r="AB299">
            <v>0</v>
          </cell>
        </row>
        <row r="300">
          <cell r="A300">
            <v>84221</v>
          </cell>
          <cell r="B300" t="str">
            <v>可寧衛一</v>
          </cell>
          <cell r="C300" t="str">
            <v>傳產-其他</v>
          </cell>
          <cell r="D300" t="str">
            <v>4</v>
          </cell>
          <cell r="E300" t="str">
            <v>無</v>
          </cell>
          <cell r="F300" t="str">
            <v>4</v>
          </cell>
          <cell r="G300" t="str">
            <v>4</v>
          </cell>
          <cell r="H300" t="str">
            <v>bbb+</v>
          </cell>
          <cell r="I300" t="str">
            <v>II: a- ~ bbb+</v>
          </cell>
          <cell r="J300">
            <v>-0.35384856168761986</v>
          </cell>
          <cell r="K300">
            <v>123.5</v>
          </cell>
          <cell r="L300">
            <v>123.20730117340287</v>
          </cell>
          <cell r="M300">
            <v>100.75190000000001</v>
          </cell>
          <cell r="N300">
            <v>45983</v>
          </cell>
          <cell r="O300">
            <v>0.52054794520547942</v>
          </cell>
          <cell r="P300" t="str">
            <v>&lt;1Y</v>
          </cell>
          <cell r="Q300">
            <v>20068</v>
          </cell>
          <cell r="R300">
            <v>0.80271999999999999</v>
          </cell>
          <cell r="S300">
            <v>8400000</v>
          </cell>
          <cell r="T300">
            <v>0</v>
          </cell>
          <cell r="U300">
            <v>4000000</v>
          </cell>
          <cell r="V300">
            <v>0</v>
          </cell>
          <cell r="W300">
            <v>18900000</v>
          </cell>
          <cell r="X300">
            <v>100000</v>
          </cell>
          <cell r="Y300">
            <v>23300000</v>
          </cell>
          <cell r="Z300">
            <v>46500000</v>
          </cell>
          <cell r="AA300">
            <v>3.4841117013704173E-3</v>
          </cell>
          <cell r="AB300">
            <v>0</v>
          </cell>
        </row>
        <row r="301">
          <cell r="A301">
            <v>84222</v>
          </cell>
          <cell r="B301" t="str">
            <v>可寧衛二</v>
          </cell>
          <cell r="C301" t="str">
            <v>傳產-其他</v>
          </cell>
          <cell r="D301" t="str">
            <v>4</v>
          </cell>
          <cell r="E301" t="str">
            <v>無</v>
          </cell>
          <cell r="F301" t="str">
            <v>4</v>
          </cell>
          <cell r="G301" t="str">
            <v>4</v>
          </cell>
          <cell r="H301" t="str">
            <v>bbb+</v>
          </cell>
          <cell r="I301" t="str">
            <v>II: a- ~ bbb+</v>
          </cell>
          <cell r="J301">
            <v>-1.8621632241335645E-2</v>
          </cell>
          <cell r="K301">
            <v>105.7</v>
          </cell>
          <cell r="L301">
            <v>94.5</v>
          </cell>
          <cell r="M301">
            <v>100</v>
          </cell>
          <cell r="N301">
            <v>46850</v>
          </cell>
          <cell r="O301">
            <v>2.8958904109589043</v>
          </cell>
          <cell r="P301" t="str">
            <v>&gt;2Y</v>
          </cell>
          <cell r="Q301">
            <v>20000</v>
          </cell>
          <cell r="R301">
            <v>1</v>
          </cell>
          <cell r="S301">
            <v>348100000</v>
          </cell>
          <cell r="T301">
            <v>0</v>
          </cell>
          <cell r="U301">
            <v>36100000</v>
          </cell>
          <cell r="V301">
            <v>0</v>
          </cell>
          <cell r="W301">
            <v>2000000</v>
          </cell>
          <cell r="X301">
            <v>0</v>
          </cell>
          <cell r="Y301">
            <v>18600000</v>
          </cell>
          <cell r="Z301">
            <v>332600000</v>
          </cell>
          <cell r="AA301">
            <v>2.4920764556468834E-2</v>
          </cell>
          <cell r="AB301">
            <v>0</v>
          </cell>
        </row>
        <row r="302">
          <cell r="A302">
            <v>84331</v>
          </cell>
          <cell r="B302" t="str">
            <v>弘帆一</v>
          </cell>
          <cell r="C302" t="str">
            <v>傳產-百貨</v>
          </cell>
          <cell r="D302" t="str">
            <v>6</v>
          </cell>
          <cell r="E302" t="str">
            <v>無</v>
          </cell>
          <cell r="F302" t="str">
            <v>6</v>
          </cell>
          <cell r="G302" t="str">
            <v>6</v>
          </cell>
          <cell r="H302" t="str">
            <v>bb+</v>
          </cell>
          <cell r="I302" t="str">
            <v>IV: bb+ ~ bb</v>
          </cell>
          <cell r="J302">
            <v>-0.17111998773176373</v>
          </cell>
          <cell r="K302">
            <v>116.05</v>
          </cell>
          <cell r="L302">
            <v>109.96835443037973</v>
          </cell>
          <cell r="M302">
            <v>100</v>
          </cell>
          <cell r="N302">
            <v>46088</v>
          </cell>
          <cell r="O302">
            <v>0.80821917808219179</v>
          </cell>
          <cell r="P302" t="str">
            <v>&lt;1Y</v>
          </cell>
          <cell r="Q302">
            <v>1271</v>
          </cell>
          <cell r="R302">
            <v>0.42366666666666669</v>
          </cell>
          <cell r="S302">
            <v>1500000</v>
          </cell>
          <cell r="T302">
            <v>0</v>
          </cell>
          <cell r="U302">
            <v>0</v>
          </cell>
          <cell r="V302">
            <v>5700000</v>
          </cell>
          <cell r="W302">
            <v>300000</v>
          </cell>
          <cell r="X302">
            <v>0</v>
          </cell>
          <cell r="Y302">
            <v>3900000</v>
          </cell>
          <cell r="Z302">
            <v>0</v>
          </cell>
          <cell r="AA302">
            <v>0</v>
          </cell>
          <cell r="AB302">
            <v>0</v>
          </cell>
        </row>
        <row r="303">
          <cell r="A303">
            <v>84332</v>
          </cell>
          <cell r="B303" t="str">
            <v>弘帆二</v>
          </cell>
          <cell r="C303" t="str">
            <v>傳產-百貨</v>
          </cell>
          <cell r="D303" t="str">
            <v>6</v>
          </cell>
          <cell r="E303" t="str">
            <v>無</v>
          </cell>
          <cell r="F303" t="str">
            <v>6</v>
          </cell>
          <cell r="G303" t="str">
            <v>6</v>
          </cell>
          <cell r="H303" t="str">
            <v>bb+</v>
          </cell>
          <cell r="I303" t="str">
            <v>IV: bb+ ~ bb</v>
          </cell>
          <cell r="J303">
            <v>-6.3719683272024472E-2</v>
          </cell>
          <cell r="K303">
            <v>107.5</v>
          </cell>
          <cell r="L303">
            <v>73.936170212765958</v>
          </cell>
          <cell r="M303">
            <v>100.5</v>
          </cell>
          <cell r="N303">
            <v>46166</v>
          </cell>
          <cell r="O303">
            <v>1.021917808219178</v>
          </cell>
          <cell r="P303" t="str">
            <v>1Y-2Y</v>
          </cell>
          <cell r="Q303">
            <v>1000</v>
          </cell>
          <cell r="R303">
            <v>1</v>
          </cell>
          <cell r="S303">
            <v>0</v>
          </cell>
          <cell r="T303">
            <v>0</v>
          </cell>
          <cell r="U303">
            <v>0</v>
          </cell>
          <cell r="V303">
            <v>0</v>
          </cell>
          <cell r="W303">
            <v>1600000</v>
          </cell>
          <cell r="X303">
            <v>1600000</v>
          </cell>
          <cell r="Y303">
            <v>0</v>
          </cell>
          <cell r="Z303">
            <v>0</v>
          </cell>
          <cell r="AA303">
            <v>0</v>
          </cell>
          <cell r="AB303">
            <v>0</v>
          </cell>
        </row>
        <row r="304">
          <cell r="A304">
            <v>84333</v>
          </cell>
          <cell r="B304" t="str">
            <v>弘帆三</v>
          </cell>
          <cell r="C304" t="str">
            <v>傳產-百貨</v>
          </cell>
          <cell r="D304" t="str">
            <v>6</v>
          </cell>
          <cell r="E304" t="str">
            <v>無</v>
          </cell>
          <cell r="F304" t="str">
            <v>6</v>
          </cell>
          <cell r="G304" t="str">
            <v>6</v>
          </cell>
          <cell r="H304" t="str">
            <v>bb+</v>
          </cell>
          <cell r="I304" t="str">
            <v>IV: bb+ ~ bb</v>
          </cell>
          <cell r="J304">
            <v>2.7309952658214003E-2</v>
          </cell>
          <cell r="K304">
            <v>97.75</v>
          </cell>
          <cell r="L304">
            <v>71.063394683026587</v>
          </cell>
          <cell r="M304">
            <v>100.5</v>
          </cell>
          <cell r="N304">
            <v>46169</v>
          </cell>
          <cell r="O304">
            <v>1.0301369863013699</v>
          </cell>
          <cell r="P304" t="str">
            <v>1Y-2Y</v>
          </cell>
          <cell r="Q304">
            <v>4000</v>
          </cell>
          <cell r="R304">
            <v>1</v>
          </cell>
          <cell r="S304">
            <v>25000000</v>
          </cell>
          <cell r="T304">
            <v>0</v>
          </cell>
          <cell r="U304">
            <v>10000000</v>
          </cell>
          <cell r="V304">
            <v>35200000</v>
          </cell>
          <cell r="W304">
            <v>13300000</v>
          </cell>
          <cell r="X304">
            <v>2600000</v>
          </cell>
          <cell r="Y304">
            <v>9500000</v>
          </cell>
          <cell r="Z304">
            <v>0</v>
          </cell>
          <cell r="AA304">
            <v>0</v>
          </cell>
          <cell r="AB304">
            <v>0</v>
          </cell>
        </row>
        <row r="305">
          <cell r="A305">
            <v>84421</v>
          </cell>
          <cell r="B305" t="str">
            <v>威宏一KY</v>
          </cell>
          <cell r="C305" t="str">
            <v>傳產-其他</v>
          </cell>
          <cell r="D305" t="str">
            <v>6</v>
          </cell>
          <cell r="E305" t="str">
            <v>有，玉山商業銀行股份有限公司</v>
          </cell>
          <cell r="F305" t="str">
            <v>有，玉山商業銀行股份有限公司</v>
          </cell>
          <cell r="G305" t="str">
            <v>有擔</v>
          </cell>
          <cell r="H305" t="str">
            <v>有擔</v>
          </cell>
          <cell r="I305" t="str">
            <v>有擔</v>
          </cell>
          <cell r="J305">
            <v>-1.2976646915301497</v>
          </cell>
          <cell r="K305">
            <v>151</v>
          </cell>
          <cell r="L305">
            <v>155.32286212914485</v>
          </cell>
          <cell r="M305">
            <v>100</v>
          </cell>
          <cell r="N305">
            <v>45888</v>
          </cell>
          <cell r="O305">
            <v>0.26027397260273971</v>
          </cell>
          <cell r="P305" t="str">
            <v>&lt;1Y</v>
          </cell>
          <cell r="Q305">
            <v>1465</v>
          </cell>
          <cell r="R305">
            <v>0.48833333333333334</v>
          </cell>
          <cell r="S305">
            <v>18000000</v>
          </cell>
          <cell r="T305">
            <v>0</v>
          </cell>
          <cell r="U305">
            <v>0</v>
          </cell>
          <cell r="V305">
            <v>0</v>
          </cell>
          <cell r="W305">
            <v>0</v>
          </cell>
          <cell r="X305">
            <v>0</v>
          </cell>
          <cell r="Y305">
            <v>500000</v>
          </cell>
          <cell r="Z305">
            <v>18500000</v>
          </cell>
          <cell r="AA305">
            <v>1.3861519672118865E-3</v>
          </cell>
          <cell r="AB305">
            <v>0</v>
          </cell>
        </row>
        <row r="306">
          <cell r="A306">
            <v>84422</v>
          </cell>
          <cell r="B306" t="str">
            <v>威宏二KY</v>
          </cell>
          <cell r="C306" t="str">
            <v>傳產-其他</v>
          </cell>
          <cell r="D306" t="str">
            <v>6</v>
          </cell>
          <cell r="E306" t="str">
            <v>有，台北富邦商業銀行股份有限公司</v>
          </cell>
          <cell r="F306" t="str">
            <v>有，台北富邦商業銀行股份有限公司</v>
          </cell>
          <cell r="G306" t="str">
            <v>有擔</v>
          </cell>
          <cell r="H306" t="str">
            <v>有擔</v>
          </cell>
          <cell r="I306" t="str">
            <v>有擔</v>
          </cell>
          <cell r="J306">
            <v>-0.11160917787518587</v>
          </cell>
          <cell r="K306">
            <v>118.95</v>
          </cell>
          <cell r="L306">
            <v>111.3892365456821</v>
          </cell>
          <cell r="M306">
            <v>100</v>
          </cell>
          <cell r="N306">
            <v>46314</v>
          </cell>
          <cell r="O306">
            <v>1.4273972602739726</v>
          </cell>
          <cell r="P306" t="str">
            <v>1Y-2Y</v>
          </cell>
          <cell r="Q306">
            <v>3615</v>
          </cell>
          <cell r="R306">
            <v>0.90375000000000005</v>
          </cell>
          <cell r="S306">
            <v>54200000</v>
          </cell>
          <cell r="T306">
            <v>0</v>
          </cell>
          <cell r="U306">
            <v>0</v>
          </cell>
          <cell r="V306">
            <v>0</v>
          </cell>
          <cell r="W306">
            <v>3900000</v>
          </cell>
          <cell r="X306">
            <v>0</v>
          </cell>
          <cell r="Y306">
            <v>100000</v>
          </cell>
          <cell r="Z306">
            <v>58200000</v>
          </cell>
          <cell r="AA306">
            <v>4.360759161715232E-3</v>
          </cell>
          <cell r="AB306">
            <v>0</v>
          </cell>
        </row>
        <row r="307">
          <cell r="A307">
            <v>84623</v>
          </cell>
          <cell r="B307" t="str">
            <v>柏文三</v>
          </cell>
          <cell r="C307" t="str">
            <v>傳產-觀光</v>
          </cell>
          <cell r="D307">
            <v>5</v>
          </cell>
          <cell r="E307" t="str">
            <v>無</v>
          </cell>
          <cell r="F307">
            <v>5</v>
          </cell>
          <cell r="G307">
            <v>5</v>
          </cell>
          <cell r="H307" t="str">
            <v>bbb</v>
          </cell>
          <cell r="I307" t="str">
            <v>III: bbb ~ bbb-</v>
          </cell>
          <cell r="J307">
            <v>-5.2195052195052251E-2</v>
          </cell>
          <cell r="K307">
            <v>105</v>
          </cell>
          <cell r="L307">
            <v>89.444825222755313</v>
          </cell>
          <cell r="M307">
            <v>100</v>
          </cell>
          <cell r="N307">
            <v>46126</v>
          </cell>
          <cell r="O307">
            <v>0.9123287671232877</v>
          </cell>
          <cell r="P307" t="str">
            <v>&lt;1Y</v>
          </cell>
          <cell r="Q307">
            <v>2670</v>
          </cell>
          <cell r="R307">
            <v>0.89</v>
          </cell>
          <cell r="S307">
            <v>0</v>
          </cell>
          <cell r="T307">
            <v>0</v>
          </cell>
          <cell r="U307">
            <v>0</v>
          </cell>
          <cell r="V307">
            <v>0</v>
          </cell>
          <cell r="W307">
            <v>0</v>
          </cell>
          <cell r="X307">
            <v>0</v>
          </cell>
          <cell r="Y307">
            <v>0</v>
          </cell>
          <cell r="Z307">
            <v>0</v>
          </cell>
          <cell r="AA307">
            <v>0</v>
          </cell>
          <cell r="AB307">
            <v>0</v>
          </cell>
        </row>
        <row r="308">
          <cell r="A308">
            <v>84662</v>
          </cell>
          <cell r="B308" t="str">
            <v>美喆二KY</v>
          </cell>
          <cell r="C308" t="str">
            <v>傳產-其他</v>
          </cell>
          <cell r="D308" t="str">
            <v>6</v>
          </cell>
          <cell r="E308" t="str">
            <v>無</v>
          </cell>
          <cell r="F308" t="str">
            <v>6</v>
          </cell>
          <cell r="G308" t="str">
            <v>6</v>
          </cell>
          <cell r="H308" t="str">
            <v>bb</v>
          </cell>
          <cell r="I308" t="str">
            <v>IV: bb+ ~ bb</v>
          </cell>
          <cell r="J308">
            <v>5.4134461596995635E-2</v>
          </cell>
          <cell r="K308">
            <v>99.95</v>
          </cell>
          <cell r="L308">
            <v>56.746031746031754</v>
          </cell>
          <cell r="M308">
            <v>101.0025</v>
          </cell>
          <cell r="N308">
            <v>45864</v>
          </cell>
          <cell r="O308">
            <v>0.19452054794520549</v>
          </cell>
          <cell r="P308" t="str">
            <v>&lt;1Y</v>
          </cell>
          <cell r="Q308">
            <v>3087</v>
          </cell>
          <cell r="R308">
            <v>0.61739999999999995</v>
          </cell>
          <cell r="S308">
            <v>0</v>
          </cell>
          <cell r="T308">
            <v>0</v>
          </cell>
          <cell r="U308">
            <v>0</v>
          </cell>
          <cell r="V308">
            <v>0</v>
          </cell>
          <cell r="W308">
            <v>0</v>
          </cell>
          <cell r="X308">
            <v>0</v>
          </cell>
          <cell r="Y308">
            <v>0</v>
          </cell>
          <cell r="Z308">
            <v>0</v>
          </cell>
          <cell r="AA308">
            <v>0</v>
          </cell>
          <cell r="AB308">
            <v>0</v>
          </cell>
        </row>
        <row r="309">
          <cell r="A309">
            <v>84672</v>
          </cell>
          <cell r="B309" t="str">
            <v>波力二KY</v>
          </cell>
          <cell r="C309" t="str">
            <v>傳產-其他</v>
          </cell>
          <cell r="D309" t="str">
            <v>6</v>
          </cell>
          <cell r="E309" t="str">
            <v>有，台北富邦商業銀行股份有限公司</v>
          </cell>
          <cell r="F309" t="str">
            <v>有，台北富邦商業銀行股份有限公司</v>
          </cell>
          <cell r="G309" t="str">
            <v>有擔</v>
          </cell>
          <cell r="H309" t="str">
            <v>有擔</v>
          </cell>
          <cell r="I309" t="str">
            <v>有擔</v>
          </cell>
          <cell r="J309">
            <v>-4.8617165552649416E-2</v>
          </cell>
          <cell r="K309">
            <v>111</v>
          </cell>
          <cell r="L309">
            <v>93.75</v>
          </cell>
          <cell r="M309">
            <v>100</v>
          </cell>
          <cell r="N309">
            <v>46537</v>
          </cell>
          <cell r="O309">
            <v>2.0383561643835617</v>
          </cell>
          <cell r="P309" t="str">
            <v>&gt;2Y</v>
          </cell>
          <cell r="Q309">
            <v>1160</v>
          </cell>
          <cell r="R309">
            <v>0.55238095238095242</v>
          </cell>
          <cell r="S309">
            <v>21400000</v>
          </cell>
          <cell r="T309">
            <v>0</v>
          </cell>
          <cell r="U309">
            <v>0</v>
          </cell>
          <cell r="V309">
            <v>0</v>
          </cell>
          <cell r="W309">
            <v>2000000</v>
          </cell>
          <cell r="X309">
            <v>900000</v>
          </cell>
          <cell r="Y309">
            <v>100000</v>
          </cell>
          <cell r="Z309">
            <v>22600000</v>
          </cell>
          <cell r="AA309">
            <v>1.6933532139993856E-3</v>
          </cell>
          <cell r="AB309">
            <v>0</v>
          </cell>
        </row>
        <row r="310">
          <cell r="A310">
            <v>84673</v>
          </cell>
          <cell r="B310" t="str">
            <v>波力三KY</v>
          </cell>
          <cell r="C310" t="str">
            <v>傳產-其他</v>
          </cell>
          <cell r="D310" t="str">
            <v>6</v>
          </cell>
          <cell r="E310" t="str">
            <v>無</v>
          </cell>
          <cell r="F310" t="str">
            <v>6</v>
          </cell>
          <cell r="G310" t="str">
            <v>6</v>
          </cell>
          <cell r="H310" t="str">
            <v>bb+</v>
          </cell>
          <cell r="I310" t="str">
            <v>IV: bb+ ~ bb</v>
          </cell>
          <cell r="J310">
            <v>-4.8944344246356004E-4</v>
          </cell>
          <cell r="K310">
            <v>100.1</v>
          </cell>
          <cell r="L310">
            <v>76.874205844980949</v>
          </cell>
          <cell r="M310">
            <v>100</v>
          </cell>
          <cell r="N310">
            <v>46538</v>
          </cell>
          <cell r="O310">
            <v>2.0410958904109591</v>
          </cell>
          <cell r="P310" t="str">
            <v>&gt;2Y</v>
          </cell>
          <cell r="Q310">
            <v>3633</v>
          </cell>
          <cell r="R310">
            <v>0.93153846153846154</v>
          </cell>
          <cell r="S310">
            <v>2500000</v>
          </cell>
          <cell r="T310">
            <v>0</v>
          </cell>
          <cell r="U310">
            <v>0</v>
          </cell>
          <cell r="V310">
            <v>4800000</v>
          </cell>
          <cell r="W310">
            <v>3900000</v>
          </cell>
          <cell r="X310">
            <v>2600000</v>
          </cell>
          <cell r="Y310">
            <v>1000000</v>
          </cell>
          <cell r="Z310">
            <v>0</v>
          </cell>
          <cell r="AA310">
            <v>0</v>
          </cell>
          <cell r="AB310">
            <v>0</v>
          </cell>
        </row>
        <row r="311">
          <cell r="A311">
            <v>84732</v>
          </cell>
          <cell r="B311" t="str">
            <v>山林水二</v>
          </cell>
          <cell r="C311" t="str">
            <v>傳產-其他</v>
          </cell>
          <cell r="D311" t="str">
            <v>6</v>
          </cell>
          <cell r="E311" t="str">
            <v>無</v>
          </cell>
          <cell r="F311" t="str">
            <v>6</v>
          </cell>
          <cell r="G311" t="str">
            <v>6</v>
          </cell>
          <cell r="H311" t="str">
            <v>bb</v>
          </cell>
          <cell r="I311" t="str">
            <v>IV: bb+ ~ bb</v>
          </cell>
          <cell r="J311">
            <v>-5.1836697247706384E-2</v>
          </cell>
          <cell r="K311">
            <v>109</v>
          </cell>
          <cell r="L311">
            <v>95.128939828080235</v>
          </cell>
          <cell r="M311">
            <v>101.26</v>
          </cell>
          <cell r="N311">
            <v>46293</v>
          </cell>
          <cell r="O311">
            <v>1.3698630136986301</v>
          </cell>
          <cell r="P311" t="str">
            <v>1Y-2Y</v>
          </cell>
          <cell r="Q311">
            <v>2558</v>
          </cell>
          <cell r="R311">
            <v>0.25580000000000003</v>
          </cell>
          <cell r="S311">
            <v>45500000</v>
          </cell>
          <cell r="T311">
            <v>0</v>
          </cell>
          <cell r="U311">
            <v>45500000</v>
          </cell>
          <cell r="V311">
            <v>0</v>
          </cell>
          <cell r="W311">
            <v>0</v>
          </cell>
          <cell r="X311">
            <v>0</v>
          </cell>
          <cell r="Y311">
            <v>0</v>
          </cell>
          <cell r="Z311">
            <v>0</v>
          </cell>
          <cell r="AA311">
            <v>0</v>
          </cell>
          <cell r="AB311">
            <v>0</v>
          </cell>
        </row>
        <row r="312">
          <cell r="A312">
            <v>84781</v>
          </cell>
          <cell r="B312" t="str">
            <v>東哥遊艇一</v>
          </cell>
          <cell r="C312" t="str">
            <v>傳產-其他</v>
          </cell>
          <cell r="D312" t="str">
            <v>5</v>
          </cell>
          <cell r="E312" t="str">
            <v>無</v>
          </cell>
          <cell r="F312" t="str">
            <v>5</v>
          </cell>
          <cell r="G312" t="str">
            <v>5</v>
          </cell>
          <cell r="H312" t="str">
            <v>bbb</v>
          </cell>
          <cell r="I312" t="str">
            <v>III: bbb ~ bbb-</v>
          </cell>
          <cell r="J312">
            <v>4.5694811517596363E-2</v>
          </cell>
          <cell r="K312">
            <v>91</v>
          </cell>
          <cell r="L312">
            <v>42.626423087106168</v>
          </cell>
          <cell r="M312">
            <v>100</v>
          </cell>
          <cell r="N312">
            <v>46583</v>
          </cell>
          <cell r="O312">
            <v>2.1643835616438358</v>
          </cell>
          <cell r="P312" t="str">
            <v>&gt;2Y</v>
          </cell>
          <cell r="Q312">
            <v>15000</v>
          </cell>
          <cell r="R312">
            <v>1</v>
          </cell>
          <cell r="S312">
            <v>81600000</v>
          </cell>
          <cell r="T312">
            <v>0</v>
          </cell>
          <cell r="U312">
            <v>81600000</v>
          </cell>
          <cell r="V312">
            <v>0</v>
          </cell>
          <cell r="W312">
            <v>44400000</v>
          </cell>
          <cell r="X312">
            <v>44400000</v>
          </cell>
          <cell r="Y312">
            <v>0</v>
          </cell>
          <cell r="Z312">
            <v>0</v>
          </cell>
          <cell r="AA312">
            <v>0</v>
          </cell>
          <cell r="AB312">
            <v>0</v>
          </cell>
        </row>
        <row r="313">
          <cell r="A313">
            <v>84881</v>
          </cell>
          <cell r="B313" t="str">
            <v>吉源一KY</v>
          </cell>
          <cell r="C313" t="str">
            <v>傳產-其他</v>
          </cell>
          <cell r="D313" t="str">
            <v>7</v>
          </cell>
          <cell r="E313" t="str">
            <v>有，玉山銀行、王道銀行</v>
          </cell>
          <cell r="F313" t="str">
            <v>有，玉山銀行、王道銀行</v>
          </cell>
          <cell r="G313" t="str">
            <v>有擔</v>
          </cell>
          <cell r="H313" t="str">
            <v>有擔</v>
          </cell>
          <cell r="I313" t="str">
            <v>有擔</v>
          </cell>
          <cell r="J313">
            <v>0</v>
          </cell>
          <cell r="K313">
            <v>100</v>
          </cell>
          <cell r="L313">
            <v>64.130434782608702</v>
          </cell>
          <cell r="M313">
            <v>100</v>
          </cell>
          <cell r="N313">
            <v>46375</v>
          </cell>
          <cell r="O313">
            <v>1.5945205479452054</v>
          </cell>
          <cell r="P313" t="str">
            <v>1Y-2Y</v>
          </cell>
          <cell r="Q313">
            <v>3000</v>
          </cell>
          <cell r="R313">
            <v>1</v>
          </cell>
          <cell r="S313">
            <v>34400000</v>
          </cell>
          <cell r="T313">
            <v>0</v>
          </cell>
          <cell r="U313">
            <v>0</v>
          </cell>
          <cell r="V313">
            <v>0</v>
          </cell>
          <cell r="W313">
            <v>12700000</v>
          </cell>
          <cell r="X313">
            <v>700000</v>
          </cell>
          <cell r="Y313">
            <v>3300000</v>
          </cell>
          <cell r="Z313">
            <v>49700000</v>
          </cell>
          <cell r="AA313">
            <v>3.7238785281313923E-3</v>
          </cell>
          <cell r="AB313">
            <v>0</v>
          </cell>
        </row>
        <row r="314">
          <cell r="A314">
            <v>84891</v>
          </cell>
          <cell r="B314" t="str">
            <v>三貝德一</v>
          </cell>
          <cell r="C314" t="str">
            <v>軟體-其他</v>
          </cell>
          <cell r="D314" t="str">
            <v>6</v>
          </cell>
          <cell r="E314" t="str">
            <v>有，上海商業儲蓄銀行股分有限公司竹科分公司</v>
          </cell>
          <cell r="F314" t="str">
            <v>有，上海商業儲蓄銀行股分有限公司竹科分公司</v>
          </cell>
          <cell r="G314" t="str">
            <v>有擔</v>
          </cell>
          <cell r="H314" t="str">
            <v>有擔</v>
          </cell>
          <cell r="I314" t="str">
            <v>有擔</v>
          </cell>
          <cell r="J314">
            <v>-0.15002887284471253</v>
          </cell>
          <cell r="K314">
            <v>131</v>
          </cell>
          <cell r="L314">
            <v>132.98611111111109</v>
          </cell>
          <cell r="M314">
            <v>100.20010000000001</v>
          </cell>
          <cell r="N314">
            <v>46365</v>
          </cell>
          <cell r="O314">
            <v>1.5671232876712329</v>
          </cell>
          <cell r="P314" t="str">
            <v>1Y-2Y</v>
          </cell>
          <cell r="Q314">
            <v>2936</v>
          </cell>
          <cell r="R314">
            <v>0.8817025989505457</v>
          </cell>
          <cell r="S314">
            <v>0</v>
          </cell>
          <cell r="T314">
            <v>0</v>
          </cell>
          <cell r="U314">
            <v>0</v>
          </cell>
          <cell r="V314">
            <v>0</v>
          </cell>
          <cell r="W314">
            <v>1800000</v>
          </cell>
          <cell r="X314">
            <v>1300000</v>
          </cell>
          <cell r="Y314">
            <v>900000</v>
          </cell>
          <cell r="Z314">
            <v>1400000</v>
          </cell>
          <cell r="AA314">
            <v>1.0489798670792654E-4</v>
          </cell>
          <cell r="AB314">
            <v>0</v>
          </cell>
        </row>
        <row r="315">
          <cell r="A315">
            <v>89277</v>
          </cell>
          <cell r="B315" t="str">
            <v>北基七</v>
          </cell>
          <cell r="C315" t="str">
            <v>傳產-其他</v>
          </cell>
          <cell r="D315" t="str">
            <v>7</v>
          </cell>
          <cell r="E315" t="str">
            <v>有，合作金庫商業銀行股份有限公司</v>
          </cell>
          <cell r="F315" t="str">
            <v>有，合作金庫商業銀行股份有限公司</v>
          </cell>
          <cell r="G315" t="str">
            <v>有擔</v>
          </cell>
          <cell r="H315" t="str">
            <v>有擔</v>
          </cell>
          <cell r="I315" t="str">
            <v>有擔</v>
          </cell>
          <cell r="J315">
            <v>-3.961289417641161E-2</v>
          </cell>
          <cell r="K315">
            <v>111.45</v>
          </cell>
          <cell r="L315">
            <v>79.110219100183983</v>
          </cell>
          <cell r="M315">
            <v>101.50749999999999</v>
          </cell>
          <cell r="N315">
            <v>46615</v>
          </cell>
          <cell r="O315">
            <v>2.2520547945205478</v>
          </cell>
          <cell r="P315" t="str">
            <v>&gt;2Y</v>
          </cell>
          <cell r="Q315">
            <v>5900</v>
          </cell>
          <cell r="R315">
            <v>1</v>
          </cell>
          <cell r="S315">
            <v>27300000</v>
          </cell>
          <cell r="T315">
            <v>0</v>
          </cell>
          <cell r="U315">
            <v>0</v>
          </cell>
          <cell r="V315">
            <v>0</v>
          </cell>
          <cell r="W315">
            <v>6600000</v>
          </cell>
          <cell r="X315">
            <v>4700000</v>
          </cell>
          <cell r="Y315">
            <v>3800000</v>
          </cell>
          <cell r="Z315">
            <v>33000000</v>
          </cell>
          <cell r="AA315">
            <v>2.4725954009725544E-3</v>
          </cell>
          <cell r="AB315">
            <v>0</v>
          </cell>
        </row>
        <row r="316">
          <cell r="A316">
            <v>89278</v>
          </cell>
          <cell r="B316" t="str">
            <v>北基八</v>
          </cell>
          <cell r="C316" t="str">
            <v>傳產-其他</v>
          </cell>
          <cell r="D316" t="str">
            <v>7</v>
          </cell>
          <cell r="E316" t="str">
            <v>無</v>
          </cell>
          <cell r="F316" t="str">
            <v>7</v>
          </cell>
          <cell r="G316" t="str">
            <v>7</v>
          </cell>
          <cell r="H316" t="str">
            <v>bb</v>
          </cell>
          <cell r="I316" t="str">
            <v>IV: bb+ ~ bb</v>
          </cell>
          <cell r="J316">
            <v>6.6865971172191285E-2</v>
          </cell>
          <cell r="K316">
            <v>94.05</v>
          </cell>
          <cell r="L316">
            <v>84.751836588424993</v>
          </cell>
          <cell r="M316">
            <v>102.01</v>
          </cell>
          <cell r="N316">
            <v>46255</v>
          </cell>
          <cell r="O316">
            <v>1.2657534246575342</v>
          </cell>
          <cell r="P316" t="str">
            <v>1Y-2Y</v>
          </cell>
          <cell r="Q316">
            <v>4998</v>
          </cell>
          <cell r="R316">
            <v>0.99960000000000004</v>
          </cell>
          <cell r="S316">
            <v>0</v>
          </cell>
          <cell r="T316">
            <v>0</v>
          </cell>
          <cell r="U316">
            <v>0</v>
          </cell>
          <cell r="V316">
            <v>0</v>
          </cell>
          <cell r="W316">
            <v>0</v>
          </cell>
          <cell r="X316">
            <v>0</v>
          </cell>
          <cell r="Y316">
            <v>0</v>
          </cell>
          <cell r="Z316">
            <v>0</v>
          </cell>
          <cell r="AA316">
            <v>0</v>
          </cell>
          <cell r="AB316">
            <v>0</v>
          </cell>
        </row>
        <row r="317">
          <cell r="A317">
            <v>89964</v>
          </cell>
          <cell r="B317" t="str">
            <v>高力四</v>
          </cell>
          <cell r="C317" t="str">
            <v>傳產-電機</v>
          </cell>
          <cell r="D317" t="str">
            <v>5</v>
          </cell>
          <cell r="E317" t="str">
            <v>無</v>
          </cell>
          <cell r="F317" t="str">
            <v>5</v>
          </cell>
          <cell r="G317" t="str">
            <v>5</v>
          </cell>
          <cell r="H317" t="str">
            <v>bbb-</v>
          </cell>
          <cell r="I317" t="str">
            <v>III: bbb ~ bbb-</v>
          </cell>
          <cell r="J317">
            <v>-9.026131956336815E-2</v>
          </cell>
          <cell r="K317">
            <v>117.25</v>
          </cell>
          <cell r="L317">
            <v>101.05263157894737</v>
          </cell>
          <cell r="M317">
            <v>100.75190000000001</v>
          </cell>
          <cell r="N317">
            <v>46362</v>
          </cell>
          <cell r="O317">
            <v>1.558904109589041</v>
          </cell>
          <cell r="P317" t="str">
            <v>1Y-2Y</v>
          </cell>
          <cell r="Q317">
            <v>5032</v>
          </cell>
          <cell r="R317">
            <v>0.50319999999999998</v>
          </cell>
          <cell r="S317">
            <v>18700000</v>
          </cell>
          <cell r="T317">
            <v>0</v>
          </cell>
          <cell r="U317">
            <v>18600000</v>
          </cell>
          <cell r="V317">
            <v>0</v>
          </cell>
          <cell r="W317">
            <v>8200000</v>
          </cell>
          <cell r="X317">
            <v>8200000</v>
          </cell>
          <cell r="Y317">
            <v>0</v>
          </cell>
          <cell r="Z317">
            <v>100000</v>
          </cell>
          <cell r="AA317">
            <v>7.4927133362804674E-6</v>
          </cell>
          <cell r="AB317">
            <v>0</v>
          </cell>
        </row>
        <row r="318">
          <cell r="A318">
            <v>89383</v>
          </cell>
          <cell r="B318" t="str">
            <v>明安三</v>
          </cell>
          <cell r="C318" t="str">
            <v>傳產-高爾夫球</v>
          </cell>
          <cell r="D318" t="str">
            <v>4</v>
          </cell>
          <cell r="E318" t="str">
            <v>無</v>
          </cell>
          <cell r="F318" t="str">
            <v>4</v>
          </cell>
          <cell r="G318" t="str">
            <v>4</v>
          </cell>
          <cell r="H318" t="str">
            <v>bbb+</v>
          </cell>
          <cell r="I318" t="str">
            <v>II: a- ~ bbb+</v>
          </cell>
          <cell r="J318">
            <v>-0.36245232784054116</v>
          </cell>
          <cell r="K318">
            <v>106.9</v>
          </cell>
          <cell r="L318">
            <v>0</v>
          </cell>
          <cell r="M318">
            <v>100</v>
          </cell>
          <cell r="N318">
            <v>45858</v>
          </cell>
          <cell r="O318">
            <v>0.17808219178082191</v>
          </cell>
          <cell r="P318" t="str">
            <v>&lt;1Y</v>
          </cell>
          <cell r="Q318">
            <v>5607</v>
          </cell>
          <cell r="R318">
            <v>0.56069999999999998</v>
          </cell>
          <cell r="S318">
            <v>4500000</v>
          </cell>
          <cell r="T318">
            <v>0</v>
          </cell>
          <cell r="U318">
            <v>0</v>
          </cell>
          <cell r="V318">
            <v>0</v>
          </cell>
          <cell r="W318">
            <v>700000</v>
          </cell>
          <cell r="X318">
            <v>500000</v>
          </cell>
          <cell r="Y318">
            <v>100000</v>
          </cell>
          <cell r="Z318">
            <v>4800000</v>
          </cell>
          <cell r="AA318">
            <v>3.5965024014146242E-4</v>
          </cell>
          <cell r="AB318">
            <v>0</v>
          </cell>
        </row>
        <row r="319">
          <cell r="A319">
            <v>98026</v>
          </cell>
          <cell r="B319" t="str">
            <v>鈺齊六KY</v>
          </cell>
          <cell r="C319" t="str">
            <v>傳產-其他</v>
          </cell>
          <cell r="D319" t="str">
            <v>4</v>
          </cell>
          <cell r="E319" t="str">
            <v>無</v>
          </cell>
          <cell r="F319" t="str">
            <v>4</v>
          </cell>
          <cell r="G319" t="str">
            <v>4</v>
          </cell>
          <cell r="H319" t="str">
            <v>bbb+</v>
          </cell>
          <cell r="I319" t="str">
            <v>II: a- ~ bbb+</v>
          </cell>
          <cell r="J319">
            <v>-7.3861537151742582E-2</v>
          </cell>
          <cell r="K319">
            <v>113.6</v>
          </cell>
          <cell r="L319">
            <v>97.627737226277375</v>
          </cell>
          <cell r="M319">
            <v>101.0025</v>
          </cell>
          <cell r="N319">
            <v>46341</v>
          </cell>
          <cell r="O319">
            <v>1.5013698630136987</v>
          </cell>
          <cell r="P319" t="str">
            <v>1Y-2Y</v>
          </cell>
          <cell r="Q319">
            <v>9998</v>
          </cell>
          <cell r="R319">
            <v>0.99980000000000002</v>
          </cell>
          <cell r="S319">
            <v>140000000</v>
          </cell>
          <cell r="T319">
            <v>0</v>
          </cell>
          <cell r="U319">
            <v>0</v>
          </cell>
          <cell r="V319">
            <v>3000000</v>
          </cell>
          <cell r="W319">
            <v>31400000</v>
          </cell>
          <cell r="X319">
            <v>0</v>
          </cell>
          <cell r="Y319">
            <v>21900000</v>
          </cell>
          <cell r="Z319">
            <v>190300000</v>
          </cell>
          <cell r="AA319">
            <v>1.425863347894173E-2</v>
          </cell>
          <cell r="AB319">
            <v>0</v>
          </cell>
        </row>
        <row r="320">
          <cell r="A320">
            <v>99063</v>
          </cell>
          <cell r="B320" t="str">
            <v>欣巴巴三</v>
          </cell>
          <cell r="C320" t="str">
            <v>傳產-營建</v>
          </cell>
          <cell r="D320" t="str">
            <v>8</v>
          </cell>
          <cell r="E320" t="str">
            <v>無</v>
          </cell>
          <cell r="F320" t="str">
            <v>8</v>
          </cell>
          <cell r="G320" t="str">
            <v>8</v>
          </cell>
          <cell r="H320" t="str">
            <v>b</v>
          </cell>
          <cell r="I320" t="str">
            <v>VI: b~c</v>
          </cell>
          <cell r="J320">
            <v>4.7274983855343802E-2</v>
          </cell>
          <cell r="K320">
            <v>95</v>
          </cell>
          <cell r="L320">
            <v>77.012522361359572</v>
          </cell>
          <cell r="M320">
            <v>103.02249999999999</v>
          </cell>
          <cell r="N320">
            <v>46445</v>
          </cell>
          <cell r="O320">
            <v>1.7863013698630137</v>
          </cell>
          <cell r="P320" t="str">
            <v>1Y-2Y</v>
          </cell>
          <cell r="Q320">
            <v>7000</v>
          </cell>
          <cell r="R320">
            <v>1</v>
          </cell>
          <cell r="S320">
            <v>0</v>
          </cell>
          <cell r="T320">
            <v>0</v>
          </cell>
          <cell r="U320">
            <v>0</v>
          </cell>
          <cell r="V320">
            <v>0</v>
          </cell>
          <cell r="W320">
            <v>0</v>
          </cell>
          <cell r="X320">
            <v>0</v>
          </cell>
          <cell r="Y320">
            <v>0</v>
          </cell>
          <cell r="Z320">
            <v>0</v>
          </cell>
          <cell r="AA320">
            <v>0</v>
          </cell>
          <cell r="AB320">
            <v>0</v>
          </cell>
        </row>
        <row r="321">
          <cell r="A321">
            <v>99211</v>
          </cell>
          <cell r="B321" t="str">
            <v>巨大一</v>
          </cell>
          <cell r="C321" t="str">
            <v>傳產-自行車</v>
          </cell>
          <cell r="D321" t="str">
            <v>3</v>
          </cell>
          <cell r="E321" t="str">
            <v>無</v>
          </cell>
          <cell r="F321" t="str">
            <v>3</v>
          </cell>
          <cell r="G321" t="str">
            <v>3</v>
          </cell>
          <cell r="H321" t="str">
            <v>a</v>
          </cell>
          <cell r="I321" t="str">
            <v>I: aaa ~ a</v>
          </cell>
          <cell r="J321">
            <v>3.922481730907007E-2</v>
          </cell>
          <cell r="K321">
            <v>99.7</v>
          </cell>
          <cell r="L321">
            <v>47.307692307692307</v>
          </cell>
          <cell r="M321">
            <v>100</v>
          </cell>
          <cell r="N321">
            <v>45821</v>
          </cell>
          <cell r="O321">
            <v>7.6712328767123292E-2</v>
          </cell>
          <cell r="P321" t="str">
            <v>&lt;1Y</v>
          </cell>
          <cell r="Q321">
            <v>39155</v>
          </cell>
          <cell r="R321">
            <v>0.97887500000000005</v>
          </cell>
          <cell r="S321">
            <v>503100000</v>
          </cell>
          <cell r="T321">
            <v>0</v>
          </cell>
          <cell r="U321">
            <v>70000000</v>
          </cell>
          <cell r="V321">
            <v>0</v>
          </cell>
          <cell r="W321">
            <v>201500000</v>
          </cell>
          <cell r="X321">
            <v>58300000</v>
          </cell>
          <cell r="Y321">
            <v>20400000</v>
          </cell>
          <cell r="Z321">
            <v>596700000</v>
          </cell>
          <cell r="AA321">
            <v>4.470902047758555E-2</v>
          </cell>
          <cell r="AB321">
            <v>0</v>
          </cell>
        </row>
        <row r="322">
          <cell r="A322">
            <v>99332</v>
          </cell>
          <cell r="B322" t="str">
            <v>中鼎二</v>
          </cell>
          <cell r="C322" t="str">
            <v>傳產-其他</v>
          </cell>
          <cell r="D322">
            <v>5</v>
          </cell>
          <cell r="E322" t="str">
            <v>無</v>
          </cell>
          <cell r="F322">
            <v>5</v>
          </cell>
          <cell r="G322">
            <v>5</v>
          </cell>
          <cell r="H322" t="str">
            <v>a</v>
          </cell>
          <cell r="I322" t="str">
            <v>I: aaa ~ a</v>
          </cell>
          <cell r="J322">
            <v>8.0084170473186569E-2</v>
          </cell>
          <cell r="K322">
            <v>85.1</v>
          </cell>
          <cell r="L322">
            <v>52.992277992277991</v>
          </cell>
          <cell r="M322">
            <v>100</v>
          </cell>
          <cell r="N322">
            <v>46591</v>
          </cell>
          <cell r="O322">
            <v>2.1863013698630138</v>
          </cell>
          <cell r="P322" t="str">
            <v>&gt;2Y</v>
          </cell>
          <cell r="Q322">
            <v>60000</v>
          </cell>
          <cell r="R322">
            <v>1</v>
          </cell>
          <cell r="S322">
            <v>204500000</v>
          </cell>
          <cell r="T322">
            <v>0</v>
          </cell>
          <cell r="U322">
            <v>0</v>
          </cell>
          <cell r="V322">
            <v>0</v>
          </cell>
          <cell r="W322">
            <v>82600000</v>
          </cell>
          <cell r="X322">
            <v>0</v>
          </cell>
          <cell r="Y322">
            <v>20000000</v>
          </cell>
          <cell r="Z322">
            <v>307100000</v>
          </cell>
          <cell r="AA322">
            <v>2.3010122655717315E-2</v>
          </cell>
          <cell r="AB322">
            <v>-3000000</v>
          </cell>
        </row>
        <row r="323">
          <cell r="A323">
            <v>99353</v>
          </cell>
          <cell r="B323" t="str">
            <v>慶豐富三</v>
          </cell>
          <cell r="C323" t="str">
            <v>傳產-其他</v>
          </cell>
          <cell r="D323" t="str">
            <v>7</v>
          </cell>
          <cell r="E323" t="str">
            <v>無</v>
          </cell>
          <cell r="F323" t="str">
            <v>7</v>
          </cell>
          <cell r="G323" t="str">
            <v>7</v>
          </cell>
          <cell r="H323" t="str">
            <v>bb</v>
          </cell>
          <cell r="I323" t="str">
            <v>IV: bb+ ~ bb</v>
          </cell>
          <cell r="J323">
            <v>5.1610273813088407E-2</v>
          </cell>
          <cell r="K323">
            <v>93.2</v>
          </cell>
          <cell r="L323">
            <v>72.41379310344827</v>
          </cell>
          <cell r="M323">
            <v>100</v>
          </cell>
          <cell r="N323">
            <v>46309</v>
          </cell>
          <cell r="O323">
            <v>1.4136986301369863</v>
          </cell>
          <cell r="P323" t="str">
            <v>1Y-2Y</v>
          </cell>
          <cell r="Q323">
            <v>3000</v>
          </cell>
          <cell r="R323">
            <v>1</v>
          </cell>
          <cell r="S323">
            <v>0</v>
          </cell>
          <cell r="T323">
            <v>0</v>
          </cell>
          <cell r="U323">
            <v>0</v>
          </cell>
          <cell r="V323">
            <v>0</v>
          </cell>
          <cell r="W323">
            <v>0</v>
          </cell>
          <cell r="X323">
            <v>0</v>
          </cell>
          <cell r="Y323">
            <v>0</v>
          </cell>
          <cell r="Z323">
            <v>0</v>
          </cell>
          <cell r="AA323">
            <v>0</v>
          </cell>
          <cell r="AB323">
            <v>0</v>
          </cell>
        </row>
        <row r="324">
          <cell r="A324">
            <v>99392</v>
          </cell>
          <cell r="B324" t="str">
            <v>宏全二</v>
          </cell>
          <cell r="C324" t="str">
            <v>傳產-塑膠</v>
          </cell>
          <cell r="D324" t="str">
            <v>4</v>
          </cell>
          <cell r="E324" t="str">
            <v>無</v>
          </cell>
          <cell r="F324" t="str">
            <v>4</v>
          </cell>
          <cell r="G324" t="str">
            <v>4</v>
          </cell>
          <cell r="H324" t="str">
            <v>a</v>
          </cell>
          <cell r="I324" t="str">
            <v>I: aaa ~ a</v>
          </cell>
          <cell r="J324">
            <v>-2.5937165596575679E-2</v>
          </cell>
          <cell r="K324">
            <v>106.8</v>
          </cell>
          <cell r="L324">
            <v>91.234347048300549</v>
          </cell>
          <cell r="M324">
            <v>100</v>
          </cell>
          <cell r="N324">
            <v>46689</v>
          </cell>
          <cell r="O324">
            <v>2.4547945205479453</v>
          </cell>
          <cell r="P324" t="str">
            <v>&gt;2Y</v>
          </cell>
          <cell r="Q324">
            <v>39999</v>
          </cell>
          <cell r="R324">
            <v>0.99997499999999995</v>
          </cell>
          <cell r="S324">
            <v>405600000</v>
          </cell>
          <cell r="T324">
            <v>0</v>
          </cell>
          <cell r="U324">
            <v>89900000</v>
          </cell>
          <cell r="V324">
            <v>0</v>
          </cell>
          <cell r="W324">
            <v>102200000</v>
          </cell>
          <cell r="X324">
            <v>18400000</v>
          </cell>
          <cell r="Y324">
            <v>400000</v>
          </cell>
          <cell r="Z324">
            <v>399900000</v>
          </cell>
          <cell r="AA324">
            <v>2.9963360631785587E-2</v>
          </cell>
          <cell r="AB324">
            <v>0</v>
          </cell>
        </row>
        <row r="325">
          <cell r="A325">
            <v>99412</v>
          </cell>
          <cell r="B325" t="str">
            <v>裕融二</v>
          </cell>
          <cell r="C325" t="str">
            <v>傳產-其他</v>
          </cell>
          <cell r="D325" t="str">
            <v>twA</v>
          </cell>
          <cell r="E325" t="str">
            <v>無</v>
          </cell>
          <cell r="F325" t="str">
            <v>twA</v>
          </cell>
          <cell r="G325" t="str">
            <v>twA</v>
          </cell>
          <cell r="H325" t="str">
            <v>a</v>
          </cell>
          <cell r="I325" t="str">
            <v>I: aaa ~ a</v>
          </cell>
          <cell r="J325">
            <v>3.5104609164240776E-2</v>
          </cell>
          <cell r="K325">
            <v>94.95</v>
          </cell>
          <cell r="L325">
            <v>58.329088130412629</v>
          </cell>
          <cell r="M325">
            <v>100</v>
          </cell>
          <cell r="N325">
            <v>46346</v>
          </cell>
          <cell r="O325">
            <v>1.515068493150685</v>
          </cell>
          <cell r="P325" t="str">
            <v>1Y-2Y</v>
          </cell>
          <cell r="Q325">
            <v>80000</v>
          </cell>
          <cell r="R325">
            <v>1</v>
          </cell>
          <cell r="S325">
            <v>1140400000</v>
          </cell>
          <cell r="T325">
            <v>0</v>
          </cell>
          <cell r="U325">
            <v>1138000000</v>
          </cell>
          <cell r="V325">
            <v>63000000</v>
          </cell>
          <cell r="W325">
            <v>125400000</v>
          </cell>
          <cell r="X325">
            <v>72300000</v>
          </cell>
          <cell r="Y325">
            <v>7400000</v>
          </cell>
          <cell r="Z325">
            <v>-100000</v>
          </cell>
          <cell r="AA325">
            <v>-7.4927133362804674E-6</v>
          </cell>
          <cell r="AB325">
            <v>0</v>
          </cell>
        </row>
        <row r="326">
          <cell r="A326">
            <v>99587</v>
          </cell>
          <cell r="B326" t="str">
            <v>世紀鋼七</v>
          </cell>
          <cell r="C326" t="str">
            <v>傳產-鋼鐵</v>
          </cell>
          <cell r="D326" t="str">
            <v>5</v>
          </cell>
          <cell r="E326" t="str">
            <v>無</v>
          </cell>
          <cell r="F326" t="str">
            <v>5</v>
          </cell>
          <cell r="G326" t="str">
            <v>5</v>
          </cell>
          <cell r="H326" t="str">
            <v>bbb</v>
          </cell>
          <cell r="I326" t="str">
            <v>III: bbb ~ bbb-</v>
          </cell>
          <cell r="J326">
            <v>-1.343764381040038E-2</v>
          </cell>
          <cell r="K326">
            <v>102.5</v>
          </cell>
          <cell r="L326">
            <v>72.469635627530366</v>
          </cell>
          <cell r="M326">
            <v>100.5</v>
          </cell>
          <cell r="N326">
            <v>46323</v>
          </cell>
          <cell r="O326">
            <v>1.452054794520548</v>
          </cell>
          <cell r="P326" t="str">
            <v>1Y-2Y</v>
          </cell>
          <cell r="Q326">
            <v>40000</v>
          </cell>
          <cell r="R326">
            <v>1</v>
          </cell>
          <cell r="S326">
            <v>67500000</v>
          </cell>
          <cell r="T326">
            <v>0</v>
          </cell>
          <cell r="U326">
            <v>57500000</v>
          </cell>
          <cell r="V326">
            <v>89600000</v>
          </cell>
          <cell r="W326">
            <v>21700000</v>
          </cell>
          <cell r="X326">
            <v>0</v>
          </cell>
          <cell r="Y326">
            <v>57800000</v>
          </cell>
          <cell r="Z326">
            <v>-100000</v>
          </cell>
          <cell r="AA326">
            <v>-7.4927133362804674E-6</v>
          </cell>
          <cell r="AB326">
            <v>0</v>
          </cell>
        </row>
        <row r="327">
          <cell r="A327">
            <v>99588</v>
          </cell>
          <cell r="B327" t="str">
            <v>世紀鋼八</v>
          </cell>
          <cell r="C327" t="str">
            <v>傳產-鋼鐵</v>
          </cell>
          <cell r="D327" t="str">
            <v>5</v>
          </cell>
          <cell r="E327" t="str">
            <v>無</v>
          </cell>
          <cell r="F327" t="str">
            <v>5</v>
          </cell>
          <cell r="G327" t="str">
            <v>5</v>
          </cell>
          <cell r="H327" t="str">
            <v>bbb</v>
          </cell>
          <cell r="I327" t="str">
            <v>III: bbb ~ bbb-</v>
          </cell>
          <cell r="J327">
            <v>-1.8922262305280366E-2</v>
          </cell>
          <cell r="K327">
            <v>103.4</v>
          </cell>
          <cell r="L327">
            <v>75.210084033613441</v>
          </cell>
          <cell r="M327">
            <v>100.5</v>
          </cell>
          <cell r="N327">
            <v>46334</v>
          </cell>
          <cell r="O327">
            <v>1.4821917808219178</v>
          </cell>
          <cell r="P327" t="str">
            <v>1Y-2Y</v>
          </cell>
          <cell r="Q327">
            <v>20000</v>
          </cell>
          <cell r="R327">
            <v>1</v>
          </cell>
          <cell r="S327">
            <v>39900000</v>
          </cell>
          <cell r="T327">
            <v>0</v>
          </cell>
          <cell r="U327">
            <v>36500000</v>
          </cell>
          <cell r="V327">
            <v>9000000</v>
          </cell>
          <cell r="W327">
            <v>1800000</v>
          </cell>
          <cell r="X327">
            <v>0</v>
          </cell>
          <cell r="Y327">
            <v>4100000</v>
          </cell>
          <cell r="Z327">
            <v>300000</v>
          </cell>
          <cell r="AA327">
            <v>2.2478140008841401E-5</v>
          </cell>
          <cell r="AB327">
            <v>0</v>
          </cell>
        </row>
        <row r="328">
          <cell r="A328">
            <v>140201</v>
          </cell>
          <cell r="B328" t="str">
            <v>遠東新E1永</v>
          </cell>
          <cell r="C328" t="str">
            <v>傳產-紡織纖維</v>
          </cell>
          <cell r="D328" t="str">
            <v>3</v>
          </cell>
          <cell r="E328" t="str">
            <v>無</v>
          </cell>
          <cell r="F328" t="str">
            <v>3</v>
          </cell>
          <cell r="G328" t="str">
            <v>3</v>
          </cell>
          <cell r="H328" t="str">
            <v>a</v>
          </cell>
          <cell r="I328" t="str">
            <v>I: aaa ~ a</v>
          </cell>
          <cell r="J328">
            <v>-2.9334772325426535E-2</v>
          </cell>
          <cell r="K328">
            <v>107</v>
          </cell>
          <cell r="L328">
            <v>72.136563876651977</v>
          </cell>
          <cell r="M328">
            <v>100</v>
          </cell>
          <cell r="N328">
            <v>46607</v>
          </cell>
          <cell r="O328">
            <v>2.2301369863013698</v>
          </cell>
          <cell r="P328" t="str">
            <v>&gt;2Y</v>
          </cell>
          <cell r="Q328">
            <v>10000</v>
          </cell>
          <cell r="R328">
            <v>1</v>
          </cell>
          <cell r="S328">
            <v>91000000</v>
          </cell>
          <cell r="T328">
            <v>0</v>
          </cell>
          <cell r="U328">
            <v>91000000</v>
          </cell>
          <cell r="V328">
            <v>0</v>
          </cell>
          <cell r="W328">
            <v>800000</v>
          </cell>
          <cell r="X328">
            <v>800000</v>
          </cell>
          <cell r="Y328">
            <v>0</v>
          </cell>
          <cell r="Z328">
            <v>0</v>
          </cell>
          <cell r="AA328">
            <v>0</v>
          </cell>
          <cell r="AB328">
            <v>0</v>
          </cell>
        </row>
        <row r="329">
          <cell r="A329">
            <v>140202</v>
          </cell>
          <cell r="B329" t="str">
            <v>遠東新E2永</v>
          </cell>
          <cell r="C329" t="str">
            <v>傳產-紡織纖維</v>
          </cell>
          <cell r="D329" t="str">
            <v>3</v>
          </cell>
          <cell r="E329" t="str">
            <v>無</v>
          </cell>
          <cell r="F329" t="str">
            <v>3</v>
          </cell>
          <cell r="G329" t="str">
            <v>3</v>
          </cell>
          <cell r="H329" t="str">
            <v>a</v>
          </cell>
          <cell r="I329" t="str">
            <v>I: aaa ~ a</v>
          </cell>
          <cell r="J329">
            <v>1.1497511497511458E-2</v>
          </cell>
          <cell r="K329">
            <v>97.5</v>
          </cell>
          <cell r="L329">
            <v>97.181008902077153</v>
          </cell>
          <cell r="M329">
            <v>100</v>
          </cell>
          <cell r="N329">
            <v>46607</v>
          </cell>
          <cell r="O329">
            <v>2.2301369863013698</v>
          </cell>
          <cell r="P329" t="str">
            <v>&gt;2Y</v>
          </cell>
          <cell r="Q329">
            <v>14993</v>
          </cell>
          <cell r="R329">
            <v>0.99953333333333338</v>
          </cell>
          <cell r="S329">
            <v>49200000</v>
          </cell>
          <cell r="T329">
            <v>0</v>
          </cell>
          <cell r="U329">
            <v>49200000</v>
          </cell>
          <cell r="V329">
            <v>0</v>
          </cell>
          <cell r="W329">
            <v>37200000</v>
          </cell>
          <cell r="X329">
            <v>37200000</v>
          </cell>
          <cell r="Y329">
            <v>0</v>
          </cell>
          <cell r="Z329">
            <v>0</v>
          </cell>
          <cell r="AA329">
            <v>0</v>
          </cell>
          <cell r="AB329">
            <v>0</v>
          </cell>
        </row>
        <row r="330">
          <cell r="S330">
            <v>20631900000</v>
          </cell>
          <cell r="T330">
            <v>0</v>
          </cell>
          <cell r="U330">
            <v>9791900000</v>
          </cell>
          <cell r="V330">
            <v>3160200000</v>
          </cell>
          <cell r="W330">
            <v>6172900000</v>
          </cell>
          <cell r="X330">
            <v>2008900000</v>
          </cell>
          <cell r="Y330">
            <v>1502500000</v>
          </cell>
          <cell r="Z330">
            <v>13346300000</v>
          </cell>
          <cell r="AB330">
            <v>3000000</v>
          </cell>
        </row>
        <row r="331">
          <cell r="Z331">
            <v>0</v>
          </cell>
        </row>
        <row r="332">
          <cell r="Z332">
            <v>0</v>
          </cell>
        </row>
        <row r="333">
          <cell r="Z333">
            <v>0</v>
          </cell>
        </row>
      </sheetData>
      <sheetData sheetId="4"/>
      <sheetData sheetId="5"/>
      <sheetData sheetId="6"/>
      <sheetData sheetId="7"/>
      <sheetData sheetId="8"/>
      <sheetData sheetId="9"/>
      <sheetData sheetId="10">
        <row r="1">
          <cell r="B1" t="str">
            <v>內部ASW未到期契約明細表</v>
          </cell>
        </row>
        <row r="2">
          <cell r="B2" t="str">
            <v>資料日期: 2025/05/15</v>
          </cell>
        </row>
        <row r="3">
          <cell r="B3" t="str">
            <v>所屬部門: 金融交易部</v>
          </cell>
        </row>
        <row r="4">
          <cell r="B4" t="str">
            <v>標的類別: 全部</v>
          </cell>
        </row>
        <row r="5">
          <cell r="B5" t="str">
            <v/>
          </cell>
        </row>
        <row r="6">
          <cell r="B6" t="str">
            <v>項次</v>
          </cell>
          <cell r="C6" t="str">
            <v>契約編號</v>
          </cell>
          <cell r="D6" t="str">
            <v>交易日</v>
          </cell>
          <cell r="E6" t="str">
            <v>到期日</v>
          </cell>
          <cell r="F6" t="str">
            <v>標的代號</v>
          </cell>
          <cell r="G6" t="str">
            <v>標的名稱</v>
          </cell>
          <cell r="H6" t="str">
            <v>有效契約名目本金</v>
          </cell>
          <cell r="I6" t="str">
            <v>利率</v>
          </cell>
          <cell r="J6" t="str">
            <v>標的賣回日</v>
          </cell>
          <cell r="K6" t="str">
            <v>標的賣回價</v>
          </cell>
          <cell r="L6" t="str">
            <v>選擇權到期日</v>
          </cell>
          <cell r="M6" t="str">
            <v>應計利息</v>
          </cell>
          <cell r="N6" t="str">
            <v>合計應計金額</v>
          </cell>
        </row>
        <row r="7">
          <cell r="A7">
            <v>41644</v>
          </cell>
          <cell r="B7">
            <v>1</v>
          </cell>
          <cell r="C7" t="str">
            <v>IASWD220307304</v>
          </cell>
          <cell r="D7">
            <v>44641</v>
          </cell>
          <cell r="E7">
            <v>45873</v>
          </cell>
          <cell r="F7" t="str">
            <v>41644</v>
          </cell>
          <cell r="G7" t="str">
            <v>承業醫四</v>
          </cell>
          <cell r="H7">
            <v>400000</v>
          </cell>
          <cell r="I7">
            <v>1</v>
          </cell>
          <cell r="J7">
            <v>45873</v>
          </cell>
          <cell r="K7">
            <v>102.52500000000001</v>
          </cell>
          <cell r="L7">
            <v>45853</v>
          </cell>
          <cell r="M7">
            <v>-12614</v>
          </cell>
          <cell r="N7">
            <v>387386</v>
          </cell>
        </row>
        <row r="8">
          <cell r="A8">
            <v>41644</v>
          </cell>
          <cell r="B8">
            <v>2</v>
          </cell>
          <cell r="C8" t="str">
            <v>IASWD220307315</v>
          </cell>
          <cell r="D8">
            <v>44641</v>
          </cell>
          <cell r="E8">
            <v>45873</v>
          </cell>
          <cell r="F8" t="str">
            <v>41644</v>
          </cell>
          <cell r="G8" t="str">
            <v>承業醫四</v>
          </cell>
          <cell r="H8">
            <v>200000</v>
          </cell>
          <cell r="I8">
            <v>1</v>
          </cell>
          <cell r="J8">
            <v>45873</v>
          </cell>
          <cell r="K8">
            <v>102.52500000000001</v>
          </cell>
          <cell r="L8">
            <v>45853</v>
          </cell>
          <cell r="M8">
            <v>-6307</v>
          </cell>
          <cell r="N8">
            <v>193693</v>
          </cell>
        </row>
        <row r="9">
          <cell r="A9">
            <v>41644</v>
          </cell>
          <cell r="B9">
            <v>3</v>
          </cell>
          <cell r="C9" t="str">
            <v>IASWD220407551</v>
          </cell>
          <cell r="D9">
            <v>44658</v>
          </cell>
          <cell r="E9">
            <v>45873</v>
          </cell>
          <cell r="F9" t="str">
            <v>41644</v>
          </cell>
          <cell r="G9" t="str">
            <v>承業醫四</v>
          </cell>
          <cell r="H9">
            <v>200000</v>
          </cell>
          <cell r="I9">
            <v>1.5</v>
          </cell>
          <cell r="J9">
            <v>45873</v>
          </cell>
          <cell r="K9">
            <v>102.52500000000001</v>
          </cell>
          <cell r="L9">
            <v>45853</v>
          </cell>
          <cell r="M9">
            <v>-9321</v>
          </cell>
          <cell r="N9">
            <v>190679</v>
          </cell>
        </row>
        <row r="10">
          <cell r="A10">
            <v>41644</v>
          </cell>
          <cell r="B10">
            <v>4</v>
          </cell>
          <cell r="C10" t="str">
            <v>IASWD220407583</v>
          </cell>
          <cell r="D10">
            <v>44658</v>
          </cell>
          <cell r="E10">
            <v>45873</v>
          </cell>
          <cell r="F10" t="str">
            <v>41644</v>
          </cell>
          <cell r="G10" t="str">
            <v>承業醫四</v>
          </cell>
          <cell r="H10">
            <v>100000</v>
          </cell>
          <cell r="I10">
            <v>1.5</v>
          </cell>
          <cell r="J10">
            <v>45873</v>
          </cell>
          <cell r="K10">
            <v>102.52500000000001</v>
          </cell>
          <cell r="L10">
            <v>45853</v>
          </cell>
          <cell r="M10">
            <v>-4660</v>
          </cell>
          <cell r="N10">
            <v>95340</v>
          </cell>
        </row>
        <row r="11">
          <cell r="A11">
            <v>99211</v>
          </cell>
          <cell r="B11">
            <v>5</v>
          </cell>
          <cell r="C11" t="str">
            <v>IASWD220608785</v>
          </cell>
          <cell r="D11">
            <v>44739</v>
          </cell>
          <cell r="E11">
            <v>45821</v>
          </cell>
          <cell r="F11" t="str">
            <v>99211</v>
          </cell>
          <cell r="G11" t="str">
            <v>巨大一</v>
          </cell>
          <cell r="H11">
            <v>100000</v>
          </cell>
          <cell r="I11">
            <v>3.3</v>
          </cell>
          <cell r="J11">
            <v>45821</v>
          </cell>
          <cell r="K11">
            <v>100</v>
          </cell>
          <cell r="L11">
            <v>45800</v>
          </cell>
          <cell r="M11">
            <v>-9520</v>
          </cell>
          <cell r="N11">
            <v>90480</v>
          </cell>
        </row>
        <row r="12">
          <cell r="A12">
            <v>99211</v>
          </cell>
          <cell r="B12">
            <v>6</v>
          </cell>
          <cell r="C12" t="str">
            <v>IASWD220608789</v>
          </cell>
          <cell r="D12">
            <v>44739</v>
          </cell>
          <cell r="E12">
            <v>45821</v>
          </cell>
          <cell r="F12" t="str">
            <v>99211</v>
          </cell>
          <cell r="G12" t="str">
            <v>巨大一</v>
          </cell>
          <cell r="H12">
            <v>100000</v>
          </cell>
          <cell r="I12">
            <v>3.3</v>
          </cell>
          <cell r="J12">
            <v>45821</v>
          </cell>
          <cell r="K12">
            <v>100</v>
          </cell>
          <cell r="L12">
            <v>45800</v>
          </cell>
          <cell r="M12">
            <v>-9520</v>
          </cell>
          <cell r="N12">
            <v>90480</v>
          </cell>
        </row>
        <row r="13">
          <cell r="A13">
            <v>99211</v>
          </cell>
          <cell r="B13">
            <v>7</v>
          </cell>
          <cell r="C13" t="str">
            <v>IASWD220608797</v>
          </cell>
          <cell r="D13">
            <v>44739</v>
          </cell>
          <cell r="E13">
            <v>45821</v>
          </cell>
          <cell r="F13" t="str">
            <v>99211</v>
          </cell>
          <cell r="G13" t="str">
            <v>巨大一</v>
          </cell>
          <cell r="H13">
            <v>300000</v>
          </cell>
          <cell r="I13">
            <v>3.3</v>
          </cell>
          <cell r="J13">
            <v>45821</v>
          </cell>
          <cell r="K13">
            <v>100</v>
          </cell>
          <cell r="L13">
            <v>45800</v>
          </cell>
          <cell r="M13">
            <v>-28561</v>
          </cell>
          <cell r="N13">
            <v>271439</v>
          </cell>
        </row>
        <row r="14">
          <cell r="A14">
            <v>99211</v>
          </cell>
          <cell r="B14">
            <v>8</v>
          </cell>
          <cell r="C14" t="str">
            <v>IASWD220608800</v>
          </cell>
          <cell r="D14">
            <v>44740</v>
          </cell>
          <cell r="E14">
            <v>45821</v>
          </cell>
          <cell r="F14" t="str">
            <v>99211</v>
          </cell>
          <cell r="G14" t="str">
            <v>巨大一</v>
          </cell>
          <cell r="H14">
            <v>100000</v>
          </cell>
          <cell r="I14">
            <v>3.3</v>
          </cell>
          <cell r="J14">
            <v>45821</v>
          </cell>
          <cell r="K14">
            <v>100</v>
          </cell>
          <cell r="L14">
            <v>45800</v>
          </cell>
          <cell r="M14">
            <v>-9511</v>
          </cell>
          <cell r="N14">
            <v>90489</v>
          </cell>
        </row>
        <row r="15">
          <cell r="A15">
            <v>99211</v>
          </cell>
          <cell r="B15">
            <v>9</v>
          </cell>
          <cell r="C15" t="str">
            <v>IASWD220608803</v>
          </cell>
          <cell r="D15">
            <v>44740</v>
          </cell>
          <cell r="E15">
            <v>45821</v>
          </cell>
          <cell r="F15" t="str">
            <v>99211</v>
          </cell>
          <cell r="G15" t="str">
            <v>巨大一</v>
          </cell>
          <cell r="H15">
            <v>2100000</v>
          </cell>
          <cell r="I15">
            <v>3.3</v>
          </cell>
          <cell r="J15">
            <v>45821</v>
          </cell>
          <cell r="K15">
            <v>100</v>
          </cell>
          <cell r="L15">
            <v>45800</v>
          </cell>
          <cell r="M15">
            <v>-199736</v>
          </cell>
          <cell r="N15">
            <v>1900264</v>
          </cell>
        </row>
        <row r="16">
          <cell r="A16">
            <v>99211</v>
          </cell>
          <cell r="B16">
            <v>10</v>
          </cell>
          <cell r="C16" t="str">
            <v>IASWD220608808</v>
          </cell>
          <cell r="D16">
            <v>44740</v>
          </cell>
          <cell r="E16">
            <v>45821</v>
          </cell>
          <cell r="F16" t="str">
            <v>99211</v>
          </cell>
          <cell r="G16" t="str">
            <v>巨大一</v>
          </cell>
          <cell r="H16">
            <v>100000</v>
          </cell>
          <cell r="I16">
            <v>3.3</v>
          </cell>
          <cell r="J16">
            <v>45821</v>
          </cell>
          <cell r="K16">
            <v>100</v>
          </cell>
          <cell r="L16">
            <v>45800</v>
          </cell>
          <cell r="M16">
            <v>-9511</v>
          </cell>
          <cell r="N16">
            <v>90489</v>
          </cell>
        </row>
        <row r="17">
          <cell r="A17">
            <v>99211</v>
          </cell>
          <cell r="B17">
            <v>11</v>
          </cell>
          <cell r="C17" t="str">
            <v>IASWD220608809</v>
          </cell>
          <cell r="D17">
            <v>44740</v>
          </cell>
          <cell r="E17">
            <v>45821</v>
          </cell>
          <cell r="F17" t="str">
            <v>99211</v>
          </cell>
          <cell r="G17" t="str">
            <v>巨大一</v>
          </cell>
          <cell r="H17">
            <v>500000</v>
          </cell>
          <cell r="I17">
            <v>3.3</v>
          </cell>
          <cell r="J17">
            <v>45821</v>
          </cell>
          <cell r="K17">
            <v>100</v>
          </cell>
          <cell r="L17">
            <v>45800</v>
          </cell>
          <cell r="M17">
            <v>-47556</v>
          </cell>
          <cell r="N17">
            <v>452444</v>
          </cell>
        </row>
        <row r="18">
          <cell r="A18">
            <v>99211</v>
          </cell>
          <cell r="B18">
            <v>12</v>
          </cell>
          <cell r="C18" t="str">
            <v>IASWD220608812</v>
          </cell>
          <cell r="D18">
            <v>44740</v>
          </cell>
          <cell r="E18">
            <v>45821</v>
          </cell>
          <cell r="F18" t="str">
            <v>99211</v>
          </cell>
          <cell r="G18" t="str">
            <v>巨大一</v>
          </cell>
          <cell r="H18">
            <v>100000</v>
          </cell>
          <cell r="I18">
            <v>3.3</v>
          </cell>
          <cell r="J18">
            <v>45821</v>
          </cell>
          <cell r="K18">
            <v>100</v>
          </cell>
          <cell r="L18">
            <v>45800</v>
          </cell>
          <cell r="M18">
            <v>-9511</v>
          </cell>
          <cell r="N18">
            <v>90489</v>
          </cell>
        </row>
        <row r="19">
          <cell r="A19">
            <v>99211</v>
          </cell>
          <cell r="B19">
            <v>13</v>
          </cell>
          <cell r="C19" t="str">
            <v>IASWD220608816</v>
          </cell>
          <cell r="D19">
            <v>44741</v>
          </cell>
          <cell r="E19">
            <v>45821</v>
          </cell>
          <cell r="F19" t="str">
            <v>99211</v>
          </cell>
          <cell r="G19" t="str">
            <v>巨大一</v>
          </cell>
          <cell r="H19">
            <v>100000</v>
          </cell>
          <cell r="I19">
            <v>3.3</v>
          </cell>
          <cell r="J19">
            <v>45821</v>
          </cell>
          <cell r="K19">
            <v>100</v>
          </cell>
          <cell r="L19">
            <v>45800</v>
          </cell>
          <cell r="M19">
            <v>-9502</v>
          </cell>
          <cell r="N19">
            <v>90498</v>
          </cell>
        </row>
        <row r="20">
          <cell r="A20">
            <v>99211</v>
          </cell>
          <cell r="B20">
            <v>14</v>
          </cell>
          <cell r="C20" t="str">
            <v>IASWD220608819</v>
          </cell>
          <cell r="D20">
            <v>44741</v>
          </cell>
          <cell r="E20">
            <v>45821</v>
          </cell>
          <cell r="F20" t="str">
            <v>99211</v>
          </cell>
          <cell r="G20" t="str">
            <v>巨大一</v>
          </cell>
          <cell r="H20">
            <v>400000</v>
          </cell>
          <cell r="I20">
            <v>3.3</v>
          </cell>
          <cell r="J20">
            <v>45821</v>
          </cell>
          <cell r="K20">
            <v>100</v>
          </cell>
          <cell r="L20">
            <v>45800</v>
          </cell>
          <cell r="M20">
            <v>-38009</v>
          </cell>
          <cell r="N20">
            <v>361991</v>
          </cell>
        </row>
        <row r="21">
          <cell r="A21">
            <v>99211</v>
          </cell>
          <cell r="B21">
            <v>15</v>
          </cell>
          <cell r="C21" t="str">
            <v>IASWD220608829</v>
          </cell>
          <cell r="D21">
            <v>44741</v>
          </cell>
          <cell r="E21">
            <v>45821</v>
          </cell>
          <cell r="F21" t="str">
            <v>99211</v>
          </cell>
          <cell r="G21" t="str">
            <v>巨大一</v>
          </cell>
          <cell r="H21">
            <v>100000</v>
          </cell>
          <cell r="I21">
            <v>3.3</v>
          </cell>
          <cell r="J21">
            <v>45821</v>
          </cell>
          <cell r="K21">
            <v>100</v>
          </cell>
          <cell r="L21">
            <v>45800</v>
          </cell>
          <cell r="M21">
            <v>-9502</v>
          </cell>
          <cell r="N21">
            <v>90498</v>
          </cell>
        </row>
        <row r="22">
          <cell r="A22">
            <v>99211</v>
          </cell>
          <cell r="B22">
            <v>16</v>
          </cell>
          <cell r="C22" t="str">
            <v>IASWD220608832</v>
          </cell>
          <cell r="D22">
            <v>44742</v>
          </cell>
          <cell r="E22">
            <v>45821</v>
          </cell>
          <cell r="F22" t="str">
            <v>99211</v>
          </cell>
          <cell r="G22" t="str">
            <v>巨大一</v>
          </cell>
          <cell r="H22">
            <v>100000</v>
          </cell>
          <cell r="I22">
            <v>3.3</v>
          </cell>
          <cell r="J22">
            <v>45821</v>
          </cell>
          <cell r="K22">
            <v>100</v>
          </cell>
          <cell r="L22">
            <v>45800</v>
          </cell>
          <cell r="M22">
            <v>-9493</v>
          </cell>
          <cell r="N22">
            <v>90507</v>
          </cell>
        </row>
        <row r="23">
          <cell r="A23">
            <v>99211</v>
          </cell>
          <cell r="B23">
            <v>17</v>
          </cell>
          <cell r="C23" t="str">
            <v>IASWD220608835</v>
          </cell>
          <cell r="D23">
            <v>44742</v>
          </cell>
          <cell r="E23">
            <v>45821</v>
          </cell>
          <cell r="F23" t="str">
            <v>99211</v>
          </cell>
          <cell r="G23" t="str">
            <v>巨大一</v>
          </cell>
          <cell r="H23">
            <v>200000</v>
          </cell>
          <cell r="I23">
            <v>3.3</v>
          </cell>
          <cell r="J23">
            <v>45821</v>
          </cell>
          <cell r="K23">
            <v>100</v>
          </cell>
          <cell r="L23">
            <v>45800</v>
          </cell>
          <cell r="M23">
            <v>-18986</v>
          </cell>
          <cell r="N23">
            <v>181014</v>
          </cell>
        </row>
        <row r="24">
          <cell r="A24">
            <v>99211</v>
          </cell>
          <cell r="B24">
            <v>18</v>
          </cell>
          <cell r="C24" t="str">
            <v>IASWD220608836</v>
          </cell>
          <cell r="D24">
            <v>44742</v>
          </cell>
          <cell r="E24">
            <v>45821</v>
          </cell>
          <cell r="F24" t="str">
            <v>99211</v>
          </cell>
          <cell r="G24" t="str">
            <v>巨大一</v>
          </cell>
          <cell r="H24">
            <v>100000</v>
          </cell>
          <cell r="I24">
            <v>3.3</v>
          </cell>
          <cell r="J24">
            <v>45821</v>
          </cell>
          <cell r="K24">
            <v>100</v>
          </cell>
          <cell r="L24">
            <v>45800</v>
          </cell>
          <cell r="M24">
            <v>-9493</v>
          </cell>
          <cell r="N24">
            <v>90507</v>
          </cell>
        </row>
        <row r="25">
          <cell r="A25">
            <v>99211</v>
          </cell>
          <cell r="B25">
            <v>19</v>
          </cell>
          <cell r="C25" t="str">
            <v>IASWD220608838</v>
          </cell>
          <cell r="D25">
            <v>44742</v>
          </cell>
          <cell r="E25">
            <v>45821</v>
          </cell>
          <cell r="F25" t="str">
            <v>99211</v>
          </cell>
          <cell r="G25" t="str">
            <v>巨大一</v>
          </cell>
          <cell r="H25">
            <v>100000</v>
          </cell>
          <cell r="I25">
            <v>3.3</v>
          </cell>
          <cell r="J25">
            <v>45821</v>
          </cell>
          <cell r="K25">
            <v>100</v>
          </cell>
          <cell r="L25">
            <v>45800</v>
          </cell>
          <cell r="M25">
            <v>-9493</v>
          </cell>
          <cell r="N25">
            <v>90507</v>
          </cell>
        </row>
        <row r="26">
          <cell r="A26">
            <v>99211</v>
          </cell>
          <cell r="B26">
            <v>20</v>
          </cell>
          <cell r="C26" t="str">
            <v>IASWD220608842</v>
          </cell>
          <cell r="D26">
            <v>44742</v>
          </cell>
          <cell r="E26">
            <v>45821</v>
          </cell>
          <cell r="F26" t="str">
            <v>99211</v>
          </cell>
          <cell r="G26" t="str">
            <v>巨大一</v>
          </cell>
          <cell r="H26">
            <v>100000</v>
          </cell>
          <cell r="I26">
            <v>3.3</v>
          </cell>
          <cell r="J26">
            <v>45821</v>
          </cell>
          <cell r="K26">
            <v>100</v>
          </cell>
          <cell r="L26">
            <v>45800</v>
          </cell>
          <cell r="M26">
            <v>-9493</v>
          </cell>
          <cell r="N26">
            <v>90507</v>
          </cell>
        </row>
        <row r="27">
          <cell r="A27">
            <v>99211</v>
          </cell>
          <cell r="B27">
            <v>21</v>
          </cell>
          <cell r="C27" t="str">
            <v>IASWD220608847</v>
          </cell>
          <cell r="D27">
            <v>44742</v>
          </cell>
          <cell r="E27">
            <v>45821</v>
          </cell>
          <cell r="F27" t="str">
            <v>99211</v>
          </cell>
          <cell r="G27" t="str">
            <v>巨大一</v>
          </cell>
          <cell r="H27">
            <v>200000</v>
          </cell>
          <cell r="I27">
            <v>3.3</v>
          </cell>
          <cell r="J27">
            <v>45821</v>
          </cell>
          <cell r="K27">
            <v>100</v>
          </cell>
          <cell r="L27">
            <v>45800</v>
          </cell>
          <cell r="M27">
            <v>-18986</v>
          </cell>
          <cell r="N27">
            <v>181014</v>
          </cell>
        </row>
        <row r="28">
          <cell r="A28">
            <v>99211</v>
          </cell>
          <cell r="B28">
            <v>22</v>
          </cell>
          <cell r="C28" t="str">
            <v>IASWD220608849</v>
          </cell>
          <cell r="D28">
            <v>44742</v>
          </cell>
          <cell r="E28">
            <v>45821</v>
          </cell>
          <cell r="F28" t="str">
            <v>99211</v>
          </cell>
          <cell r="G28" t="str">
            <v>巨大一</v>
          </cell>
          <cell r="H28">
            <v>100000</v>
          </cell>
          <cell r="I28">
            <v>3.3</v>
          </cell>
          <cell r="J28">
            <v>45821</v>
          </cell>
          <cell r="K28">
            <v>100</v>
          </cell>
          <cell r="L28">
            <v>45800</v>
          </cell>
          <cell r="M28">
            <v>-9493</v>
          </cell>
          <cell r="N28">
            <v>90507</v>
          </cell>
        </row>
        <row r="29">
          <cell r="A29">
            <v>99211</v>
          </cell>
          <cell r="B29">
            <v>23</v>
          </cell>
          <cell r="C29" t="str">
            <v>IASWD220608850</v>
          </cell>
          <cell r="D29">
            <v>44742</v>
          </cell>
          <cell r="E29">
            <v>45821</v>
          </cell>
          <cell r="F29" t="str">
            <v>99211</v>
          </cell>
          <cell r="G29" t="str">
            <v>巨大一</v>
          </cell>
          <cell r="H29">
            <v>100000</v>
          </cell>
          <cell r="I29">
            <v>3.3</v>
          </cell>
          <cell r="J29">
            <v>45821</v>
          </cell>
          <cell r="K29">
            <v>100</v>
          </cell>
          <cell r="L29">
            <v>45800</v>
          </cell>
          <cell r="M29">
            <v>-9493</v>
          </cell>
          <cell r="N29">
            <v>90507</v>
          </cell>
        </row>
        <row r="30">
          <cell r="A30">
            <v>99211</v>
          </cell>
          <cell r="B30">
            <v>24</v>
          </cell>
          <cell r="C30" t="str">
            <v>IASWD220608852</v>
          </cell>
          <cell r="D30">
            <v>44742</v>
          </cell>
          <cell r="E30">
            <v>45821</v>
          </cell>
          <cell r="F30" t="str">
            <v>99211</v>
          </cell>
          <cell r="G30" t="str">
            <v>巨大一</v>
          </cell>
          <cell r="H30">
            <v>100000</v>
          </cell>
          <cell r="I30">
            <v>3.3</v>
          </cell>
          <cell r="J30">
            <v>45821</v>
          </cell>
          <cell r="K30">
            <v>100</v>
          </cell>
          <cell r="L30">
            <v>45800</v>
          </cell>
          <cell r="M30">
            <v>-9493</v>
          </cell>
          <cell r="N30">
            <v>90507</v>
          </cell>
        </row>
        <row r="31">
          <cell r="A31">
            <v>99211</v>
          </cell>
          <cell r="B31">
            <v>25</v>
          </cell>
          <cell r="C31" t="str">
            <v>IASWD220608854</v>
          </cell>
          <cell r="D31">
            <v>44742</v>
          </cell>
          <cell r="E31">
            <v>45821</v>
          </cell>
          <cell r="F31" t="str">
            <v>99211</v>
          </cell>
          <cell r="G31" t="str">
            <v>巨大一</v>
          </cell>
          <cell r="H31">
            <v>100000</v>
          </cell>
          <cell r="I31">
            <v>3.3</v>
          </cell>
          <cell r="J31">
            <v>45821</v>
          </cell>
          <cell r="K31">
            <v>100</v>
          </cell>
          <cell r="L31">
            <v>45800</v>
          </cell>
          <cell r="M31">
            <v>-9493</v>
          </cell>
          <cell r="N31">
            <v>90507</v>
          </cell>
        </row>
        <row r="32">
          <cell r="A32">
            <v>99211</v>
          </cell>
          <cell r="B32">
            <v>26</v>
          </cell>
          <cell r="C32" t="str">
            <v>IASWD220608862</v>
          </cell>
          <cell r="D32">
            <v>44742</v>
          </cell>
          <cell r="E32">
            <v>45821</v>
          </cell>
          <cell r="F32" t="str">
            <v>99211</v>
          </cell>
          <cell r="G32" t="str">
            <v>巨大一</v>
          </cell>
          <cell r="H32">
            <v>100000</v>
          </cell>
          <cell r="I32">
            <v>3.3</v>
          </cell>
          <cell r="J32">
            <v>45821</v>
          </cell>
          <cell r="K32">
            <v>100</v>
          </cell>
          <cell r="L32">
            <v>45800</v>
          </cell>
          <cell r="M32">
            <v>-9493</v>
          </cell>
          <cell r="N32">
            <v>90507</v>
          </cell>
        </row>
        <row r="33">
          <cell r="A33">
            <v>99211</v>
          </cell>
          <cell r="B33">
            <v>27</v>
          </cell>
          <cell r="C33" t="str">
            <v>IASWD220708863</v>
          </cell>
          <cell r="D33">
            <v>44743</v>
          </cell>
          <cell r="E33">
            <v>45821</v>
          </cell>
          <cell r="F33" t="str">
            <v>99211</v>
          </cell>
          <cell r="G33" t="str">
            <v>巨大一</v>
          </cell>
          <cell r="H33">
            <v>300000</v>
          </cell>
          <cell r="I33">
            <v>3.3</v>
          </cell>
          <cell r="J33">
            <v>45821</v>
          </cell>
          <cell r="K33">
            <v>100</v>
          </cell>
          <cell r="L33">
            <v>45800</v>
          </cell>
          <cell r="M33">
            <v>-28452</v>
          </cell>
          <cell r="N33">
            <v>271548</v>
          </cell>
        </row>
        <row r="34">
          <cell r="A34">
            <v>99211</v>
          </cell>
          <cell r="B34">
            <v>28</v>
          </cell>
          <cell r="C34" t="str">
            <v>IASWD220708864</v>
          </cell>
          <cell r="D34">
            <v>44743</v>
          </cell>
          <cell r="E34">
            <v>45821</v>
          </cell>
          <cell r="F34" t="str">
            <v>99211</v>
          </cell>
          <cell r="G34" t="str">
            <v>巨大一</v>
          </cell>
          <cell r="H34">
            <v>100000</v>
          </cell>
          <cell r="I34">
            <v>3.3</v>
          </cell>
          <cell r="J34">
            <v>45821</v>
          </cell>
          <cell r="K34">
            <v>100</v>
          </cell>
          <cell r="L34">
            <v>45800</v>
          </cell>
          <cell r="M34">
            <v>-9484</v>
          </cell>
          <cell r="N34">
            <v>90516</v>
          </cell>
        </row>
        <row r="35">
          <cell r="A35">
            <v>99211</v>
          </cell>
          <cell r="B35">
            <v>29</v>
          </cell>
          <cell r="C35" t="str">
            <v>IASWD220708865</v>
          </cell>
          <cell r="D35">
            <v>44743</v>
          </cell>
          <cell r="E35">
            <v>45821</v>
          </cell>
          <cell r="F35" t="str">
            <v>99211</v>
          </cell>
          <cell r="G35" t="str">
            <v>巨大一</v>
          </cell>
          <cell r="H35">
            <v>100000</v>
          </cell>
          <cell r="I35">
            <v>3.3</v>
          </cell>
          <cell r="J35">
            <v>45821</v>
          </cell>
          <cell r="K35">
            <v>100</v>
          </cell>
          <cell r="L35">
            <v>45800</v>
          </cell>
          <cell r="M35">
            <v>-9484</v>
          </cell>
          <cell r="N35">
            <v>90516</v>
          </cell>
        </row>
        <row r="36">
          <cell r="A36">
            <v>99211</v>
          </cell>
          <cell r="B36">
            <v>30</v>
          </cell>
          <cell r="C36" t="str">
            <v>IASWD220708870</v>
          </cell>
          <cell r="D36">
            <v>44743</v>
          </cell>
          <cell r="E36">
            <v>45821</v>
          </cell>
          <cell r="F36" t="str">
            <v>99211</v>
          </cell>
          <cell r="G36" t="str">
            <v>巨大一</v>
          </cell>
          <cell r="H36">
            <v>500000</v>
          </cell>
          <cell r="I36">
            <v>3.3</v>
          </cell>
          <cell r="J36">
            <v>45821</v>
          </cell>
          <cell r="K36">
            <v>100</v>
          </cell>
          <cell r="L36">
            <v>45800</v>
          </cell>
          <cell r="M36">
            <v>-47421</v>
          </cell>
          <cell r="N36">
            <v>452579</v>
          </cell>
        </row>
        <row r="37">
          <cell r="A37">
            <v>99211</v>
          </cell>
          <cell r="B37">
            <v>31</v>
          </cell>
          <cell r="C37" t="str">
            <v>IASWD220708873</v>
          </cell>
          <cell r="D37">
            <v>44743</v>
          </cell>
          <cell r="E37">
            <v>45821</v>
          </cell>
          <cell r="F37" t="str">
            <v>99211</v>
          </cell>
          <cell r="G37" t="str">
            <v>巨大一</v>
          </cell>
          <cell r="H37">
            <v>300000</v>
          </cell>
          <cell r="I37">
            <v>3.3</v>
          </cell>
          <cell r="J37">
            <v>45821</v>
          </cell>
          <cell r="K37">
            <v>100</v>
          </cell>
          <cell r="L37">
            <v>45800</v>
          </cell>
          <cell r="M37">
            <v>-28452</v>
          </cell>
          <cell r="N37">
            <v>271548</v>
          </cell>
        </row>
        <row r="38">
          <cell r="A38">
            <v>99211</v>
          </cell>
          <cell r="B38">
            <v>32</v>
          </cell>
          <cell r="C38" t="str">
            <v>IASWD220708874</v>
          </cell>
          <cell r="D38">
            <v>44743</v>
          </cell>
          <cell r="E38">
            <v>45821</v>
          </cell>
          <cell r="F38" t="str">
            <v>99211</v>
          </cell>
          <cell r="G38" t="str">
            <v>巨大一</v>
          </cell>
          <cell r="H38">
            <v>200000</v>
          </cell>
          <cell r="I38">
            <v>3.3</v>
          </cell>
          <cell r="J38">
            <v>45821</v>
          </cell>
          <cell r="K38">
            <v>100</v>
          </cell>
          <cell r="L38">
            <v>45800</v>
          </cell>
          <cell r="M38">
            <v>-18968</v>
          </cell>
          <cell r="N38">
            <v>181032</v>
          </cell>
        </row>
        <row r="39">
          <cell r="A39">
            <v>99211</v>
          </cell>
          <cell r="B39">
            <v>33</v>
          </cell>
          <cell r="C39" t="str">
            <v>IASWD220708875</v>
          </cell>
          <cell r="D39">
            <v>44743</v>
          </cell>
          <cell r="E39">
            <v>45821</v>
          </cell>
          <cell r="F39" t="str">
            <v>99211</v>
          </cell>
          <cell r="G39" t="str">
            <v>巨大一</v>
          </cell>
          <cell r="H39">
            <v>200000</v>
          </cell>
          <cell r="I39">
            <v>3.3</v>
          </cell>
          <cell r="J39">
            <v>45821</v>
          </cell>
          <cell r="K39">
            <v>100</v>
          </cell>
          <cell r="L39">
            <v>45800</v>
          </cell>
          <cell r="M39">
            <v>-18968</v>
          </cell>
          <cell r="N39">
            <v>181032</v>
          </cell>
        </row>
        <row r="40">
          <cell r="A40">
            <v>99211</v>
          </cell>
          <cell r="B40">
            <v>34</v>
          </cell>
          <cell r="C40" t="str">
            <v>IASWD220708876</v>
          </cell>
          <cell r="D40">
            <v>44743</v>
          </cell>
          <cell r="E40">
            <v>45821</v>
          </cell>
          <cell r="F40" t="str">
            <v>99211</v>
          </cell>
          <cell r="G40" t="str">
            <v>巨大一</v>
          </cell>
          <cell r="H40">
            <v>1000000</v>
          </cell>
          <cell r="I40">
            <v>3.3</v>
          </cell>
          <cell r="J40">
            <v>45821</v>
          </cell>
          <cell r="K40">
            <v>100</v>
          </cell>
          <cell r="L40">
            <v>45800</v>
          </cell>
          <cell r="M40">
            <v>-94841</v>
          </cell>
          <cell r="N40">
            <v>905159</v>
          </cell>
        </row>
        <row r="41">
          <cell r="A41">
            <v>99211</v>
          </cell>
          <cell r="B41">
            <v>35</v>
          </cell>
          <cell r="C41" t="str">
            <v>IASWD220708881</v>
          </cell>
          <cell r="D41">
            <v>44743</v>
          </cell>
          <cell r="E41">
            <v>45821</v>
          </cell>
          <cell r="F41" t="str">
            <v>99211</v>
          </cell>
          <cell r="G41" t="str">
            <v>巨大一</v>
          </cell>
          <cell r="H41">
            <v>100000</v>
          </cell>
          <cell r="I41">
            <v>3.3</v>
          </cell>
          <cell r="J41">
            <v>45821</v>
          </cell>
          <cell r="K41">
            <v>100</v>
          </cell>
          <cell r="L41">
            <v>45800</v>
          </cell>
          <cell r="M41">
            <v>-9484</v>
          </cell>
          <cell r="N41">
            <v>90516</v>
          </cell>
        </row>
        <row r="42">
          <cell r="A42">
            <v>99211</v>
          </cell>
          <cell r="B42">
            <v>36</v>
          </cell>
          <cell r="C42" t="str">
            <v>IASWD220708886</v>
          </cell>
          <cell r="D42">
            <v>44743</v>
          </cell>
          <cell r="E42">
            <v>45821</v>
          </cell>
          <cell r="F42" t="str">
            <v>99211</v>
          </cell>
          <cell r="G42" t="str">
            <v>巨大一</v>
          </cell>
          <cell r="H42">
            <v>100000</v>
          </cell>
          <cell r="I42">
            <v>3.3</v>
          </cell>
          <cell r="J42">
            <v>45821</v>
          </cell>
          <cell r="K42">
            <v>100</v>
          </cell>
          <cell r="L42">
            <v>45800</v>
          </cell>
          <cell r="M42">
            <v>-9484</v>
          </cell>
          <cell r="N42">
            <v>90516</v>
          </cell>
        </row>
        <row r="43">
          <cell r="A43">
            <v>99211</v>
          </cell>
          <cell r="B43">
            <v>37</v>
          </cell>
          <cell r="C43" t="str">
            <v>IASWD220708888</v>
          </cell>
          <cell r="D43">
            <v>44743</v>
          </cell>
          <cell r="E43">
            <v>45821</v>
          </cell>
          <cell r="F43" t="str">
            <v>99211</v>
          </cell>
          <cell r="G43" t="str">
            <v>巨大一</v>
          </cell>
          <cell r="H43">
            <v>200000</v>
          </cell>
          <cell r="I43">
            <v>3.3</v>
          </cell>
          <cell r="J43">
            <v>45821</v>
          </cell>
          <cell r="K43">
            <v>100</v>
          </cell>
          <cell r="L43">
            <v>45800</v>
          </cell>
          <cell r="M43">
            <v>-18968</v>
          </cell>
          <cell r="N43">
            <v>181032</v>
          </cell>
        </row>
        <row r="44">
          <cell r="A44">
            <v>99211</v>
          </cell>
          <cell r="B44">
            <v>38</v>
          </cell>
          <cell r="C44" t="str">
            <v>IASWD220708895</v>
          </cell>
          <cell r="D44">
            <v>44743</v>
          </cell>
          <cell r="E44">
            <v>45821</v>
          </cell>
          <cell r="F44" t="str">
            <v>99211</v>
          </cell>
          <cell r="G44" t="str">
            <v>巨大一</v>
          </cell>
          <cell r="H44">
            <v>200000</v>
          </cell>
          <cell r="I44">
            <v>3.3</v>
          </cell>
          <cell r="J44">
            <v>45821</v>
          </cell>
          <cell r="K44">
            <v>100</v>
          </cell>
          <cell r="L44">
            <v>45800</v>
          </cell>
          <cell r="M44">
            <v>-18968</v>
          </cell>
          <cell r="N44">
            <v>181032</v>
          </cell>
        </row>
        <row r="45">
          <cell r="A45">
            <v>99211</v>
          </cell>
          <cell r="B45">
            <v>39</v>
          </cell>
          <cell r="C45" t="str">
            <v>IASWD220709039</v>
          </cell>
          <cell r="D45">
            <v>44754</v>
          </cell>
          <cell r="E45">
            <v>45821</v>
          </cell>
          <cell r="F45" t="str">
            <v>99211</v>
          </cell>
          <cell r="G45" t="str">
            <v>巨大一</v>
          </cell>
          <cell r="H45">
            <v>100000</v>
          </cell>
          <cell r="I45">
            <v>3.35</v>
          </cell>
          <cell r="J45">
            <v>45821</v>
          </cell>
          <cell r="K45">
            <v>100</v>
          </cell>
          <cell r="L45">
            <v>45800</v>
          </cell>
          <cell r="M45">
            <v>-9527</v>
          </cell>
          <cell r="N45">
            <v>90473</v>
          </cell>
        </row>
        <row r="46">
          <cell r="A46">
            <v>99211</v>
          </cell>
          <cell r="B46">
            <v>40</v>
          </cell>
          <cell r="C46" t="str">
            <v>IASWD220709040</v>
          </cell>
          <cell r="D46">
            <v>44754</v>
          </cell>
          <cell r="E46">
            <v>45821</v>
          </cell>
          <cell r="F46" t="str">
            <v>99211</v>
          </cell>
          <cell r="G46" t="str">
            <v>巨大一</v>
          </cell>
          <cell r="H46">
            <v>100000</v>
          </cell>
          <cell r="I46">
            <v>3.35</v>
          </cell>
          <cell r="J46">
            <v>45821</v>
          </cell>
          <cell r="K46">
            <v>100</v>
          </cell>
          <cell r="L46">
            <v>45800</v>
          </cell>
          <cell r="M46">
            <v>-9527</v>
          </cell>
          <cell r="N46">
            <v>90473</v>
          </cell>
        </row>
        <row r="47">
          <cell r="A47">
            <v>99211</v>
          </cell>
          <cell r="B47">
            <v>41</v>
          </cell>
          <cell r="C47" t="str">
            <v>IASWD220709063</v>
          </cell>
          <cell r="D47">
            <v>44754</v>
          </cell>
          <cell r="E47">
            <v>45821</v>
          </cell>
          <cell r="F47" t="str">
            <v>99211</v>
          </cell>
          <cell r="G47" t="str">
            <v>巨大一</v>
          </cell>
          <cell r="H47">
            <v>300000</v>
          </cell>
          <cell r="I47">
            <v>3.35</v>
          </cell>
          <cell r="J47">
            <v>45821</v>
          </cell>
          <cell r="K47">
            <v>100</v>
          </cell>
          <cell r="L47">
            <v>45800</v>
          </cell>
          <cell r="M47">
            <v>-28581</v>
          </cell>
          <cell r="N47">
            <v>271419</v>
          </cell>
        </row>
        <row r="48">
          <cell r="A48">
            <v>99211</v>
          </cell>
          <cell r="B48">
            <v>42</v>
          </cell>
          <cell r="C48" t="str">
            <v>IASWD220709071</v>
          </cell>
          <cell r="D48">
            <v>44755</v>
          </cell>
          <cell r="E48">
            <v>45821</v>
          </cell>
          <cell r="F48" t="str">
            <v>99211</v>
          </cell>
          <cell r="G48" t="str">
            <v>巨大一</v>
          </cell>
          <cell r="H48">
            <v>200000</v>
          </cell>
          <cell r="I48">
            <v>3.35</v>
          </cell>
          <cell r="J48">
            <v>45821</v>
          </cell>
          <cell r="K48">
            <v>100</v>
          </cell>
          <cell r="L48">
            <v>45800</v>
          </cell>
          <cell r="M48">
            <v>-19035</v>
          </cell>
          <cell r="N48">
            <v>180965</v>
          </cell>
        </row>
        <row r="49">
          <cell r="A49">
            <v>99211</v>
          </cell>
          <cell r="B49">
            <v>43</v>
          </cell>
          <cell r="C49" t="str">
            <v>IASWD220709081</v>
          </cell>
          <cell r="D49">
            <v>44755</v>
          </cell>
          <cell r="E49">
            <v>45821</v>
          </cell>
          <cell r="F49" t="str">
            <v>99211</v>
          </cell>
          <cell r="G49" t="str">
            <v>巨大一</v>
          </cell>
          <cell r="H49">
            <v>200000</v>
          </cell>
          <cell r="I49">
            <v>3.35</v>
          </cell>
          <cell r="J49">
            <v>45821</v>
          </cell>
          <cell r="K49">
            <v>100</v>
          </cell>
          <cell r="L49">
            <v>45800</v>
          </cell>
          <cell r="M49">
            <v>-19035</v>
          </cell>
          <cell r="N49">
            <v>180965</v>
          </cell>
        </row>
        <row r="50">
          <cell r="A50">
            <v>99211</v>
          </cell>
          <cell r="B50">
            <v>44</v>
          </cell>
          <cell r="C50" t="str">
            <v>IASWD220709095</v>
          </cell>
          <cell r="D50">
            <v>44756</v>
          </cell>
          <cell r="E50">
            <v>45821</v>
          </cell>
          <cell r="F50" t="str">
            <v>99211</v>
          </cell>
          <cell r="G50" t="str">
            <v>巨大一</v>
          </cell>
          <cell r="H50">
            <v>100000</v>
          </cell>
          <cell r="I50">
            <v>3.35</v>
          </cell>
          <cell r="J50">
            <v>45821</v>
          </cell>
          <cell r="K50">
            <v>100</v>
          </cell>
          <cell r="L50">
            <v>45800</v>
          </cell>
          <cell r="M50">
            <v>-9508</v>
          </cell>
          <cell r="N50">
            <v>90492</v>
          </cell>
        </row>
        <row r="51">
          <cell r="A51">
            <v>99211</v>
          </cell>
          <cell r="B51">
            <v>45</v>
          </cell>
          <cell r="C51" t="str">
            <v>IASWD220709106</v>
          </cell>
          <cell r="D51">
            <v>44756</v>
          </cell>
          <cell r="E51">
            <v>45821</v>
          </cell>
          <cell r="F51" t="str">
            <v>99211</v>
          </cell>
          <cell r="G51" t="str">
            <v>巨大一</v>
          </cell>
          <cell r="H51">
            <v>100000</v>
          </cell>
          <cell r="I51">
            <v>3.35</v>
          </cell>
          <cell r="J51">
            <v>45821</v>
          </cell>
          <cell r="K51">
            <v>100</v>
          </cell>
          <cell r="L51">
            <v>45800</v>
          </cell>
          <cell r="M51">
            <v>-9508</v>
          </cell>
          <cell r="N51">
            <v>90492</v>
          </cell>
        </row>
        <row r="52">
          <cell r="A52">
            <v>99211</v>
          </cell>
          <cell r="B52">
            <v>46</v>
          </cell>
          <cell r="C52" t="str">
            <v>IASWD220709113</v>
          </cell>
          <cell r="D52">
            <v>44756</v>
          </cell>
          <cell r="E52">
            <v>45821</v>
          </cell>
          <cell r="F52" t="str">
            <v>99211</v>
          </cell>
          <cell r="G52" t="str">
            <v>巨大一</v>
          </cell>
          <cell r="H52">
            <v>200000</v>
          </cell>
          <cell r="I52">
            <v>3.35</v>
          </cell>
          <cell r="J52">
            <v>45821</v>
          </cell>
          <cell r="K52">
            <v>100</v>
          </cell>
          <cell r="L52">
            <v>45800</v>
          </cell>
          <cell r="M52">
            <v>-19017</v>
          </cell>
          <cell r="N52">
            <v>180983</v>
          </cell>
        </row>
        <row r="53">
          <cell r="A53">
            <v>99211</v>
          </cell>
          <cell r="B53">
            <v>47</v>
          </cell>
          <cell r="C53" t="str">
            <v>IASWD220709119</v>
          </cell>
          <cell r="D53">
            <v>44757</v>
          </cell>
          <cell r="E53">
            <v>45821</v>
          </cell>
          <cell r="F53" t="str">
            <v>99211</v>
          </cell>
          <cell r="G53" t="str">
            <v>巨大一</v>
          </cell>
          <cell r="H53">
            <v>200000</v>
          </cell>
          <cell r="I53">
            <v>3.35</v>
          </cell>
          <cell r="J53">
            <v>45821</v>
          </cell>
          <cell r="K53">
            <v>100</v>
          </cell>
          <cell r="L53">
            <v>45800</v>
          </cell>
          <cell r="M53">
            <v>-18999</v>
          </cell>
          <cell r="N53">
            <v>181001</v>
          </cell>
        </row>
        <row r="54">
          <cell r="A54">
            <v>99211</v>
          </cell>
          <cell r="B54">
            <v>48</v>
          </cell>
          <cell r="C54" t="str">
            <v>IASWD220709124</v>
          </cell>
          <cell r="D54">
            <v>44757</v>
          </cell>
          <cell r="E54">
            <v>45821</v>
          </cell>
          <cell r="F54" t="str">
            <v>99211</v>
          </cell>
          <cell r="G54" t="str">
            <v>巨大一</v>
          </cell>
          <cell r="H54">
            <v>200000</v>
          </cell>
          <cell r="I54">
            <v>3.35</v>
          </cell>
          <cell r="J54">
            <v>45821</v>
          </cell>
          <cell r="K54">
            <v>100</v>
          </cell>
          <cell r="L54">
            <v>45800</v>
          </cell>
          <cell r="M54">
            <v>-18999</v>
          </cell>
          <cell r="N54">
            <v>181001</v>
          </cell>
        </row>
        <row r="55">
          <cell r="A55">
            <v>99211</v>
          </cell>
          <cell r="B55">
            <v>49</v>
          </cell>
          <cell r="C55" t="str">
            <v>IASWD220709138</v>
          </cell>
          <cell r="D55">
            <v>44757</v>
          </cell>
          <cell r="E55">
            <v>45821</v>
          </cell>
          <cell r="F55" t="str">
            <v>99211</v>
          </cell>
          <cell r="G55" t="str">
            <v>巨大一</v>
          </cell>
          <cell r="H55">
            <v>100000</v>
          </cell>
          <cell r="I55">
            <v>3.35</v>
          </cell>
          <cell r="J55">
            <v>45821</v>
          </cell>
          <cell r="K55">
            <v>100</v>
          </cell>
          <cell r="L55">
            <v>45800</v>
          </cell>
          <cell r="M55">
            <v>-9499</v>
          </cell>
          <cell r="N55">
            <v>90501</v>
          </cell>
        </row>
        <row r="56">
          <cell r="A56">
            <v>99211</v>
          </cell>
          <cell r="B56">
            <v>50</v>
          </cell>
          <cell r="C56" t="str">
            <v>IASWD220709141</v>
          </cell>
          <cell r="D56">
            <v>44757</v>
          </cell>
          <cell r="E56">
            <v>45821</v>
          </cell>
          <cell r="F56" t="str">
            <v>99211</v>
          </cell>
          <cell r="G56" t="str">
            <v>巨大一</v>
          </cell>
          <cell r="H56">
            <v>300000</v>
          </cell>
          <cell r="I56">
            <v>3.35</v>
          </cell>
          <cell r="J56">
            <v>45821</v>
          </cell>
          <cell r="K56">
            <v>100</v>
          </cell>
          <cell r="L56">
            <v>45800</v>
          </cell>
          <cell r="M56">
            <v>-28498</v>
          </cell>
          <cell r="N56">
            <v>271502</v>
          </cell>
        </row>
        <row r="57">
          <cell r="A57">
            <v>99211</v>
          </cell>
          <cell r="B57">
            <v>51</v>
          </cell>
          <cell r="C57" t="str">
            <v>IASWD220709167</v>
          </cell>
          <cell r="D57">
            <v>44760</v>
          </cell>
          <cell r="E57">
            <v>45821</v>
          </cell>
          <cell r="F57" t="str">
            <v>99211</v>
          </cell>
          <cell r="G57" t="str">
            <v>巨大一</v>
          </cell>
          <cell r="H57">
            <v>200000</v>
          </cell>
          <cell r="I57">
            <v>3.35</v>
          </cell>
          <cell r="J57">
            <v>45821</v>
          </cell>
          <cell r="K57">
            <v>100</v>
          </cell>
          <cell r="L57">
            <v>45800</v>
          </cell>
          <cell r="M57">
            <v>-18944</v>
          </cell>
          <cell r="N57">
            <v>181056</v>
          </cell>
        </row>
        <row r="58">
          <cell r="A58">
            <v>99211</v>
          </cell>
          <cell r="B58">
            <v>52</v>
          </cell>
          <cell r="C58" t="str">
            <v>IASWD220709179</v>
          </cell>
          <cell r="D58">
            <v>44761</v>
          </cell>
          <cell r="E58">
            <v>45821</v>
          </cell>
          <cell r="F58" t="str">
            <v>99211</v>
          </cell>
          <cell r="G58" t="str">
            <v>巨大一</v>
          </cell>
          <cell r="H58">
            <v>200000</v>
          </cell>
          <cell r="I58">
            <v>3.35</v>
          </cell>
          <cell r="J58">
            <v>45821</v>
          </cell>
          <cell r="K58">
            <v>100</v>
          </cell>
          <cell r="L58">
            <v>45800</v>
          </cell>
          <cell r="M58">
            <v>-18925</v>
          </cell>
          <cell r="N58">
            <v>181075</v>
          </cell>
        </row>
        <row r="59">
          <cell r="A59">
            <v>99211</v>
          </cell>
          <cell r="B59">
            <v>53</v>
          </cell>
          <cell r="C59" t="str">
            <v>IASWD220709183</v>
          </cell>
          <cell r="D59">
            <v>44761</v>
          </cell>
          <cell r="E59">
            <v>45821</v>
          </cell>
          <cell r="F59" t="str">
            <v>99211</v>
          </cell>
          <cell r="G59" t="str">
            <v>巨大一</v>
          </cell>
          <cell r="H59">
            <v>500000</v>
          </cell>
          <cell r="I59">
            <v>3.35</v>
          </cell>
          <cell r="J59">
            <v>45821</v>
          </cell>
          <cell r="K59">
            <v>100</v>
          </cell>
          <cell r="L59">
            <v>45800</v>
          </cell>
          <cell r="M59">
            <v>-47313</v>
          </cell>
          <cell r="N59">
            <v>452687</v>
          </cell>
        </row>
        <row r="60">
          <cell r="A60">
            <v>99211</v>
          </cell>
          <cell r="B60">
            <v>54</v>
          </cell>
          <cell r="C60" t="str">
            <v>IASWD220709187</v>
          </cell>
          <cell r="D60">
            <v>44761</v>
          </cell>
          <cell r="E60">
            <v>45821</v>
          </cell>
          <cell r="F60" t="str">
            <v>99211</v>
          </cell>
          <cell r="G60" t="str">
            <v>巨大一</v>
          </cell>
          <cell r="H60">
            <v>100000</v>
          </cell>
          <cell r="I60">
            <v>3.35</v>
          </cell>
          <cell r="J60">
            <v>45821</v>
          </cell>
          <cell r="K60">
            <v>100</v>
          </cell>
          <cell r="L60">
            <v>45800</v>
          </cell>
          <cell r="M60">
            <v>-9463</v>
          </cell>
          <cell r="N60">
            <v>90537</v>
          </cell>
        </row>
        <row r="61">
          <cell r="A61">
            <v>99211</v>
          </cell>
          <cell r="B61">
            <v>55</v>
          </cell>
          <cell r="C61" t="str">
            <v>IASWD220709188</v>
          </cell>
          <cell r="D61">
            <v>44761</v>
          </cell>
          <cell r="E61">
            <v>45821</v>
          </cell>
          <cell r="F61" t="str">
            <v>99211</v>
          </cell>
          <cell r="G61" t="str">
            <v>巨大一</v>
          </cell>
          <cell r="H61">
            <v>100000</v>
          </cell>
          <cell r="I61">
            <v>3.35</v>
          </cell>
          <cell r="J61">
            <v>45821</v>
          </cell>
          <cell r="K61">
            <v>100</v>
          </cell>
          <cell r="L61">
            <v>45800</v>
          </cell>
          <cell r="M61">
            <v>-9463</v>
          </cell>
          <cell r="N61">
            <v>90537</v>
          </cell>
        </row>
        <row r="62">
          <cell r="A62">
            <v>99211</v>
          </cell>
          <cell r="B62">
            <v>56</v>
          </cell>
          <cell r="C62" t="str">
            <v>IASWD220709191</v>
          </cell>
          <cell r="D62">
            <v>44761</v>
          </cell>
          <cell r="E62">
            <v>45821</v>
          </cell>
          <cell r="F62" t="str">
            <v>99211</v>
          </cell>
          <cell r="G62" t="str">
            <v>巨大一</v>
          </cell>
          <cell r="H62">
            <v>100000</v>
          </cell>
          <cell r="I62">
            <v>3.35</v>
          </cell>
          <cell r="J62">
            <v>45821</v>
          </cell>
          <cell r="K62">
            <v>100</v>
          </cell>
          <cell r="L62">
            <v>45800</v>
          </cell>
          <cell r="M62">
            <v>-9463</v>
          </cell>
          <cell r="N62">
            <v>90537</v>
          </cell>
        </row>
        <row r="63">
          <cell r="A63">
            <v>99211</v>
          </cell>
          <cell r="B63">
            <v>57</v>
          </cell>
          <cell r="C63" t="str">
            <v>IASWD220709209</v>
          </cell>
          <cell r="D63">
            <v>44762</v>
          </cell>
          <cell r="E63">
            <v>45821</v>
          </cell>
          <cell r="F63" t="str">
            <v>99211</v>
          </cell>
          <cell r="G63" t="str">
            <v>巨大一</v>
          </cell>
          <cell r="H63">
            <v>100000</v>
          </cell>
          <cell r="I63">
            <v>3.35</v>
          </cell>
          <cell r="J63">
            <v>45821</v>
          </cell>
          <cell r="K63">
            <v>100</v>
          </cell>
          <cell r="L63">
            <v>45800</v>
          </cell>
          <cell r="M63">
            <v>-9453</v>
          </cell>
          <cell r="N63">
            <v>90547</v>
          </cell>
        </row>
        <row r="64">
          <cell r="A64">
            <v>99211</v>
          </cell>
          <cell r="B64">
            <v>58</v>
          </cell>
          <cell r="C64" t="str">
            <v>IASWD220709220</v>
          </cell>
          <cell r="D64">
            <v>44763</v>
          </cell>
          <cell r="E64">
            <v>45821</v>
          </cell>
          <cell r="F64" t="str">
            <v>99211</v>
          </cell>
          <cell r="G64" t="str">
            <v>巨大一</v>
          </cell>
          <cell r="H64">
            <v>200000</v>
          </cell>
          <cell r="I64">
            <v>3.35</v>
          </cell>
          <cell r="J64">
            <v>45821</v>
          </cell>
          <cell r="K64">
            <v>100</v>
          </cell>
          <cell r="L64">
            <v>45800</v>
          </cell>
          <cell r="M64">
            <v>-18888</v>
          </cell>
          <cell r="N64">
            <v>181112</v>
          </cell>
        </row>
        <row r="65">
          <cell r="A65">
            <v>99211</v>
          </cell>
          <cell r="B65">
            <v>59</v>
          </cell>
          <cell r="C65" t="str">
            <v>IASWD220709227</v>
          </cell>
          <cell r="D65">
            <v>44763</v>
          </cell>
          <cell r="E65">
            <v>45821</v>
          </cell>
          <cell r="F65" t="str">
            <v>99211</v>
          </cell>
          <cell r="G65" t="str">
            <v>巨大一</v>
          </cell>
          <cell r="H65">
            <v>100000</v>
          </cell>
          <cell r="I65">
            <v>3.35</v>
          </cell>
          <cell r="J65">
            <v>45821</v>
          </cell>
          <cell r="K65">
            <v>100</v>
          </cell>
          <cell r="L65">
            <v>45800</v>
          </cell>
          <cell r="M65">
            <v>-9444</v>
          </cell>
          <cell r="N65">
            <v>90556</v>
          </cell>
        </row>
        <row r="66">
          <cell r="A66">
            <v>99211</v>
          </cell>
          <cell r="B66">
            <v>60</v>
          </cell>
          <cell r="C66" t="str">
            <v>IASWD220709231</v>
          </cell>
          <cell r="D66">
            <v>44763</v>
          </cell>
          <cell r="E66">
            <v>45821</v>
          </cell>
          <cell r="F66" t="str">
            <v>99211</v>
          </cell>
          <cell r="G66" t="str">
            <v>巨大一</v>
          </cell>
          <cell r="H66">
            <v>300000</v>
          </cell>
          <cell r="I66">
            <v>3.35</v>
          </cell>
          <cell r="J66">
            <v>45821</v>
          </cell>
          <cell r="K66">
            <v>100</v>
          </cell>
          <cell r="L66">
            <v>45800</v>
          </cell>
          <cell r="M66">
            <v>-28333</v>
          </cell>
          <cell r="N66">
            <v>271667</v>
          </cell>
        </row>
        <row r="67">
          <cell r="A67">
            <v>99211</v>
          </cell>
          <cell r="B67">
            <v>61</v>
          </cell>
          <cell r="C67" t="str">
            <v>IASWD220709242</v>
          </cell>
          <cell r="D67">
            <v>44764</v>
          </cell>
          <cell r="E67">
            <v>45821</v>
          </cell>
          <cell r="F67" t="str">
            <v>99211</v>
          </cell>
          <cell r="G67" t="str">
            <v>巨大一</v>
          </cell>
          <cell r="H67">
            <v>100000</v>
          </cell>
          <cell r="I67">
            <v>3.35</v>
          </cell>
          <cell r="J67">
            <v>45821</v>
          </cell>
          <cell r="K67">
            <v>100</v>
          </cell>
          <cell r="L67">
            <v>45800</v>
          </cell>
          <cell r="M67">
            <v>-9435</v>
          </cell>
          <cell r="N67">
            <v>90565</v>
          </cell>
        </row>
        <row r="68">
          <cell r="A68">
            <v>99211</v>
          </cell>
          <cell r="B68">
            <v>62</v>
          </cell>
          <cell r="C68" t="str">
            <v>IASWD220709284</v>
          </cell>
          <cell r="D68">
            <v>44770</v>
          </cell>
          <cell r="E68">
            <v>45821</v>
          </cell>
          <cell r="F68" t="str">
            <v>99211</v>
          </cell>
          <cell r="G68" t="str">
            <v>巨大一</v>
          </cell>
          <cell r="H68">
            <v>100000</v>
          </cell>
          <cell r="I68">
            <v>3.3</v>
          </cell>
          <cell r="J68">
            <v>45821</v>
          </cell>
          <cell r="K68">
            <v>100</v>
          </cell>
          <cell r="L68">
            <v>45800</v>
          </cell>
          <cell r="M68">
            <v>-9240</v>
          </cell>
          <cell r="N68">
            <v>90760</v>
          </cell>
        </row>
        <row r="69">
          <cell r="A69">
            <v>99211</v>
          </cell>
          <cell r="B69">
            <v>63</v>
          </cell>
          <cell r="C69" t="str">
            <v>IASWD220709288</v>
          </cell>
          <cell r="D69">
            <v>44770</v>
          </cell>
          <cell r="E69">
            <v>45821</v>
          </cell>
          <cell r="F69" t="str">
            <v>99211</v>
          </cell>
          <cell r="G69" t="str">
            <v>巨大一</v>
          </cell>
          <cell r="H69">
            <v>500000</v>
          </cell>
          <cell r="I69">
            <v>3.3</v>
          </cell>
          <cell r="J69">
            <v>45821</v>
          </cell>
          <cell r="K69">
            <v>100</v>
          </cell>
          <cell r="L69">
            <v>45800</v>
          </cell>
          <cell r="M69">
            <v>-46200</v>
          </cell>
          <cell r="N69">
            <v>453800</v>
          </cell>
        </row>
        <row r="70">
          <cell r="A70">
            <v>89383</v>
          </cell>
          <cell r="B70">
            <v>64</v>
          </cell>
          <cell r="C70" t="str">
            <v>IASWD220809603</v>
          </cell>
          <cell r="D70">
            <v>44792</v>
          </cell>
          <cell r="E70">
            <v>45859</v>
          </cell>
          <cell r="F70" t="str">
            <v>89383</v>
          </cell>
          <cell r="G70" t="str">
            <v>明安三</v>
          </cell>
          <cell r="H70">
            <v>400000</v>
          </cell>
          <cell r="I70">
            <v>3.25</v>
          </cell>
          <cell r="J70">
            <v>45858</v>
          </cell>
          <cell r="K70">
            <v>100</v>
          </cell>
          <cell r="L70">
            <v>45839</v>
          </cell>
          <cell r="M70">
            <v>-35616</v>
          </cell>
          <cell r="N70">
            <v>364384</v>
          </cell>
        </row>
        <row r="71">
          <cell r="A71">
            <v>24972</v>
          </cell>
          <cell r="B71">
            <v>65</v>
          </cell>
          <cell r="C71" t="str">
            <v>IASWD220909905</v>
          </cell>
          <cell r="D71">
            <v>44816</v>
          </cell>
          <cell r="E71">
            <v>45845</v>
          </cell>
          <cell r="F71" t="str">
            <v>24972</v>
          </cell>
          <cell r="G71" t="str">
            <v>怡利電二</v>
          </cell>
          <cell r="H71">
            <v>200000</v>
          </cell>
          <cell r="I71">
            <v>2.2999999999999998</v>
          </cell>
          <cell r="J71">
            <v>45845</v>
          </cell>
          <cell r="K71">
            <v>100</v>
          </cell>
          <cell r="L71">
            <v>45825</v>
          </cell>
          <cell r="M71">
            <v>-12300</v>
          </cell>
          <cell r="N71">
            <v>187700</v>
          </cell>
        </row>
        <row r="72">
          <cell r="A72">
            <v>24972</v>
          </cell>
          <cell r="B72">
            <v>66</v>
          </cell>
          <cell r="C72" t="str">
            <v>IASWD220909919</v>
          </cell>
          <cell r="D72">
            <v>44817</v>
          </cell>
          <cell r="E72">
            <v>45845</v>
          </cell>
          <cell r="F72" t="str">
            <v>24972</v>
          </cell>
          <cell r="G72" t="str">
            <v>怡利電二</v>
          </cell>
          <cell r="H72">
            <v>200000</v>
          </cell>
          <cell r="I72">
            <v>2.2999999999999998</v>
          </cell>
          <cell r="J72">
            <v>45845</v>
          </cell>
          <cell r="K72">
            <v>100</v>
          </cell>
          <cell r="L72">
            <v>45825</v>
          </cell>
          <cell r="M72">
            <v>-12288</v>
          </cell>
          <cell r="N72">
            <v>187712</v>
          </cell>
        </row>
        <row r="73">
          <cell r="A73">
            <v>24972</v>
          </cell>
          <cell r="B73">
            <v>67</v>
          </cell>
          <cell r="C73" t="str">
            <v>IASWD220909929</v>
          </cell>
          <cell r="D73">
            <v>44818</v>
          </cell>
          <cell r="E73">
            <v>45845</v>
          </cell>
          <cell r="F73" t="str">
            <v>24972</v>
          </cell>
          <cell r="G73" t="str">
            <v>怡利電二</v>
          </cell>
          <cell r="H73">
            <v>100000</v>
          </cell>
          <cell r="I73">
            <v>2.2999999999999998</v>
          </cell>
          <cell r="J73">
            <v>45845</v>
          </cell>
          <cell r="K73">
            <v>100</v>
          </cell>
          <cell r="L73">
            <v>45825</v>
          </cell>
          <cell r="M73">
            <v>-6138</v>
          </cell>
          <cell r="N73">
            <v>93862</v>
          </cell>
        </row>
        <row r="74">
          <cell r="A74">
            <v>24972</v>
          </cell>
          <cell r="B74">
            <v>68</v>
          </cell>
          <cell r="C74" t="str">
            <v>IASWD220909971</v>
          </cell>
          <cell r="D74">
            <v>44819</v>
          </cell>
          <cell r="E74">
            <v>45845</v>
          </cell>
          <cell r="F74" t="str">
            <v>24972</v>
          </cell>
          <cell r="G74" t="str">
            <v>怡利電二</v>
          </cell>
          <cell r="H74">
            <v>100000</v>
          </cell>
          <cell r="I74">
            <v>2.2999999999999998</v>
          </cell>
          <cell r="J74">
            <v>45845</v>
          </cell>
          <cell r="K74">
            <v>100</v>
          </cell>
          <cell r="L74">
            <v>45825</v>
          </cell>
          <cell r="M74">
            <v>-6131</v>
          </cell>
          <cell r="N74">
            <v>93869</v>
          </cell>
        </row>
        <row r="75">
          <cell r="A75">
            <v>99211</v>
          </cell>
          <cell r="B75">
            <v>69</v>
          </cell>
          <cell r="C75" t="str">
            <v>IASWD221010308</v>
          </cell>
          <cell r="D75">
            <v>44851</v>
          </cell>
          <cell r="E75">
            <v>45821</v>
          </cell>
          <cell r="F75" t="str">
            <v>99211</v>
          </cell>
          <cell r="G75" t="str">
            <v>巨大一</v>
          </cell>
          <cell r="H75">
            <v>100000</v>
          </cell>
          <cell r="I75">
            <v>3.3</v>
          </cell>
          <cell r="J75">
            <v>45821</v>
          </cell>
          <cell r="K75">
            <v>100</v>
          </cell>
          <cell r="L75">
            <v>45800</v>
          </cell>
          <cell r="M75">
            <v>-8508</v>
          </cell>
          <cell r="N75">
            <v>91492</v>
          </cell>
        </row>
        <row r="76">
          <cell r="A76">
            <v>99211</v>
          </cell>
          <cell r="B76">
            <v>70</v>
          </cell>
          <cell r="C76" t="str">
            <v>IASWD221010341</v>
          </cell>
          <cell r="D76">
            <v>44853</v>
          </cell>
          <cell r="E76">
            <v>45821</v>
          </cell>
          <cell r="F76" t="str">
            <v>99211</v>
          </cell>
          <cell r="G76" t="str">
            <v>巨大一</v>
          </cell>
          <cell r="H76">
            <v>100000</v>
          </cell>
          <cell r="I76">
            <v>3.3</v>
          </cell>
          <cell r="J76">
            <v>45821</v>
          </cell>
          <cell r="K76">
            <v>100</v>
          </cell>
          <cell r="L76">
            <v>45800</v>
          </cell>
          <cell r="M76">
            <v>-8490</v>
          </cell>
          <cell r="N76">
            <v>91510</v>
          </cell>
        </row>
        <row r="77">
          <cell r="A77">
            <v>99211</v>
          </cell>
          <cell r="B77">
            <v>71</v>
          </cell>
          <cell r="C77" t="str">
            <v>IASWD221010349</v>
          </cell>
          <cell r="D77">
            <v>44853</v>
          </cell>
          <cell r="E77">
            <v>45821</v>
          </cell>
          <cell r="F77" t="str">
            <v>99211</v>
          </cell>
          <cell r="G77" t="str">
            <v>巨大一</v>
          </cell>
          <cell r="H77">
            <v>100000</v>
          </cell>
          <cell r="I77">
            <v>3.3</v>
          </cell>
          <cell r="J77">
            <v>45821</v>
          </cell>
          <cell r="K77">
            <v>100</v>
          </cell>
          <cell r="L77">
            <v>45800</v>
          </cell>
          <cell r="M77">
            <v>-8490</v>
          </cell>
          <cell r="N77">
            <v>91510</v>
          </cell>
        </row>
        <row r="78">
          <cell r="A78">
            <v>99211</v>
          </cell>
          <cell r="B78">
            <v>72</v>
          </cell>
          <cell r="C78" t="str">
            <v>IASWD221010351</v>
          </cell>
          <cell r="D78">
            <v>44854</v>
          </cell>
          <cell r="E78">
            <v>45821</v>
          </cell>
          <cell r="F78" t="str">
            <v>99211</v>
          </cell>
          <cell r="G78" t="str">
            <v>巨大一</v>
          </cell>
          <cell r="H78">
            <v>200000</v>
          </cell>
          <cell r="I78">
            <v>3.3</v>
          </cell>
          <cell r="J78">
            <v>45821</v>
          </cell>
          <cell r="K78">
            <v>100</v>
          </cell>
          <cell r="L78">
            <v>45800</v>
          </cell>
          <cell r="M78">
            <v>-16961</v>
          </cell>
          <cell r="N78">
            <v>183039</v>
          </cell>
        </row>
        <row r="79">
          <cell r="A79">
            <v>99211</v>
          </cell>
          <cell r="B79">
            <v>73</v>
          </cell>
          <cell r="C79" t="str">
            <v>IASWD221010352</v>
          </cell>
          <cell r="D79">
            <v>44854</v>
          </cell>
          <cell r="E79">
            <v>45821</v>
          </cell>
          <cell r="F79" t="str">
            <v>99211</v>
          </cell>
          <cell r="G79" t="str">
            <v>巨大一</v>
          </cell>
          <cell r="H79">
            <v>200000</v>
          </cell>
          <cell r="I79">
            <v>3.3</v>
          </cell>
          <cell r="J79">
            <v>45821</v>
          </cell>
          <cell r="K79">
            <v>100</v>
          </cell>
          <cell r="L79">
            <v>45800</v>
          </cell>
          <cell r="M79">
            <v>-16961</v>
          </cell>
          <cell r="N79">
            <v>183039</v>
          </cell>
        </row>
        <row r="80">
          <cell r="A80">
            <v>99211</v>
          </cell>
          <cell r="B80">
            <v>74</v>
          </cell>
          <cell r="C80" t="str">
            <v>IASWD221010356</v>
          </cell>
          <cell r="D80">
            <v>44854</v>
          </cell>
          <cell r="E80">
            <v>45821</v>
          </cell>
          <cell r="F80" t="str">
            <v>99211</v>
          </cell>
          <cell r="G80" t="str">
            <v>巨大一</v>
          </cell>
          <cell r="H80">
            <v>100000</v>
          </cell>
          <cell r="I80">
            <v>3.3</v>
          </cell>
          <cell r="J80">
            <v>45821</v>
          </cell>
          <cell r="K80">
            <v>100</v>
          </cell>
          <cell r="L80">
            <v>45800</v>
          </cell>
          <cell r="M80">
            <v>-8481</v>
          </cell>
          <cell r="N80">
            <v>91519</v>
          </cell>
        </row>
        <row r="81">
          <cell r="A81">
            <v>99211</v>
          </cell>
          <cell r="B81">
            <v>75</v>
          </cell>
          <cell r="C81" t="str">
            <v>IASWD221010358</v>
          </cell>
          <cell r="D81">
            <v>44854</v>
          </cell>
          <cell r="E81">
            <v>45821</v>
          </cell>
          <cell r="F81" t="str">
            <v>99211</v>
          </cell>
          <cell r="G81" t="str">
            <v>巨大一</v>
          </cell>
          <cell r="H81">
            <v>100000</v>
          </cell>
          <cell r="I81">
            <v>3.3</v>
          </cell>
          <cell r="J81">
            <v>45821</v>
          </cell>
          <cell r="K81">
            <v>100</v>
          </cell>
          <cell r="L81">
            <v>45800</v>
          </cell>
          <cell r="M81">
            <v>-8481</v>
          </cell>
          <cell r="N81">
            <v>91519</v>
          </cell>
        </row>
        <row r="82">
          <cell r="A82">
            <v>99211</v>
          </cell>
          <cell r="B82">
            <v>76</v>
          </cell>
          <cell r="C82" t="str">
            <v>IASWD221010360</v>
          </cell>
          <cell r="D82">
            <v>44854</v>
          </cell>
          <cell r="E82">
            <v>45821</v>
          </cell>
          <cell r="F82" t="str">
            <v>99211</v>
          </cell>
          <cell r="G82" t="str">
            <v>巨大一</v>
          </cell>
          <cell r="H82">
            <v>100000</v>
          </cell>
          <cell r="I82">
            <v>3.3</v>
          </cell>
          <cell r="J82">
            <v>45821</v>
          </cell>
          <cell r="K82">
            <v>100</v>
          </cell>
          <cell r="L82">
            <v>45800</v>
          </cell>
          <cell r="M82">
            <v>-8481</v>
          </cell>
          <cell r="N82">
            <v>91519</v>
          </cell>
        </row>
        <row r="83">
          <cell r="A83">
            <v>33881</v>
          </cell>
          <cell r="B83">
            <v>77</v>
          </cell>
          <cell r="C83" t="str">
            <v>IASWD221110450</v>
          </cell>
          <cell r="D83">
            <v>44881</v>
          </cell>
          <cell r="E83">
            <v>45971</v>
          </cell>
          <cell r="F83" t="str">
            <v>33881</v>
          </cell>
          <cell r="G83" t="str">
            <v>崇越電一</v>
          </cell>
          <cell r="H83">
            <v>100000</v>
          </cell>
          <cell r="I83">
            <v>3.25</v>
          </cell>
          <cell r="J83">
            <v>45970</v>
          </cell>
          <cell r="K83">
            <v>100</v>
          </cell>
          <cell r="L83">
            <v>45951</v>
          </cell>
          <cell r="M83">
            <v>-8112</v>
          </cell>
          <cell r="N83">
            <v>91888</v>
          </cell>
        </row>
        <row r="84">
          <cell r="A84">
            <v>33881</v>
          </cell>
          <cell r="B84">
            <v>78</v>
          </cell>
          <cell r="C84" t="str">
            <v>IASWD221110451</v>
          </cell>
          <cell r="D84">
            <v>44881</v>
          </cell>
          <cell r="E84">
            <v>45971</v>
          </cell>
          <cell r="F84" t="str">
            <v>33881</v>
          </cell>
          <cell r="G84" t="str">
            <v>崇越電一</v>
          </cell>
          <cell r="H84">
            <v>300000</v>
          </cell>
          <cell r="I84">
            <v>3.25</v>
          </cell>
          <cell r="J84">
            <v>45970</v>
          </cell>
          <cell r="K84">
            <v>100</v>
          </cell>
          <cell r="L84">
            <v>45951</v>
          </cell>
          <cell r="M84">
            <v>-24335</v>
          </cell>
          <cell r="N84">
            <v>275665</v>
          </cell>
        </row>
        <row r="85">
          <cell r="A85">
            <v>99211</v>
          </cell>
          <cell r="B85">
            <v>79</v>
          </cell>
          <cell r="C85" t="str">
            <v>IASWD221210625</v>
          </cell>
          <cell r="D85">
            <v>44907</v>
          </cell>
          <cell r="E85">
            <v>45821</v>
          </cell>
          <cell r="F85" t="str">
            <v>99211</v>
          </cell>
          <cell r="G85" t="str">
            <v>巨大一</v>
          </cell>
          <cell r="H85">
            <v>300000</v>
          </cell>
          <cell r="I85">
            <v>3.3</v>
          </cell>
          <cell r="J85">
            <v>45821</v>
          </cell>
          <cell r="K85">
            <v>100</v>
          </cell>
          <cell r="L85">
            <v>45800</v>
          </cell>
          <cell r="M85">
            <v>-24004</v>
          </cell>
          <cell r="N85">
            <v>275996</v>
          </cell>
        </row>
        <row r="86">
          <cell r="A86">
            <v>99211</v>
          </cell>
          <cell r="B86">
            <v>80</v>
          </cell>
          <cell r="C86" t="str">
            <v>IASWD221210627</v>
          </cell>
          <cell r="D86">
            <v>44907</v>
          </cell>
          <cell r="E86">
            <v>45821</v>
          </cell>
          <cell r="F86" t="str">
            <v>99211</v>
          </cell>
          <cell r="G86" t="str">
            <v>巨大一</v>
          </cell>
          <cell r="H86">
            <v>500000</v>
          </cell>
          <cell r="I86">
            <v>3.3</v>
          </cell>
          <cell r="J86">
            <v>45821</v>
          </cell>
          <cell r="K86">
            <v>100</v>
          </cell>
          <cell r="L86">
            <v>45800</v>
          </cell>
          <cell r="M86">
            <v>-40007</v>
          </cell>
          <cell r="N86">
            <v>459993</v>
          </cell>
        </row>
        <row r="87">
          <cell r="A87">
            <v>99211</v>
          </cell>
          <cell r="B87">
            <v>81</v>
          </cell>
          <cell r="C87" t="str">
            <v>IASWD221210630</v>
          </cell>
          <cell r="D87">
            <v>44907</v>
          </cell>
          <cell r="E87">
            <v>45821</v>
          </cell>
          <cell r="F87" t="str">
            <v>99211</v>
          </cell>
          <cell r="G87" t="str">
            <v>巨大一</v>
          </cell>
          <cell r="H87">
            <v>100000</v>
          </cell>
          <cell r="I87">
            <v>3.3</v>
          </cell>
          <cell r="J87">
            <v>45821</v>
          </cell>
          <cell r="K87">
            <v>100</v>
          </cell>
          <cell r="L87">
            <v>45800</v>
          </cell>
          <cell r="M87">
            <v>-8001</v>
          </cell>
          <cell r="N87">
            <v>91999</v>
          </cell>
        </row>
        <row r="88">
          <cell r="A88">
            <v>24972</v>
          </cell>
          <cell r="B88">
            <v>82</v>
          </cell>
          <cell r="C88" t="str">
            <v>IASWD230211480</v>
          </cell>
          <cell r="D88">
            <v>44973</v>
          </cell>
          <cell r="E88">
            <v>45845</v>
          </cell>
          <cell r="F88" t="str">
            <v>24972</v>
          </cell>
          <cell r="G88" t="str">
            <v>怡利電二</v>
          </cell>
          <cell r="H88">
            <v>100000</v>
          </cell>
          <cell r="I88">
            <v>2.25</v>
          </cell>
          <cell r="J88">
            <v>45845</v>
          </cell>
          <cell r="K88">
            <v>100</v>
          </cell>
          <cell r="L88">
            <v>45825</v>
          </cell>
          <cell r="M88">
            <v>-5049</v>
          </cell>
          <cell r="N88">
            <v>94951</v>
          </cell>
        </row>
        <row r="89">
          <cell r="A89">
            <v>24972</v>
          </cell>
          <cell r="B89">
            <v>83</v>
          </cell>
          <cell r="C89" t="str">
            <v>IASWD230211484</v>
          </cell>
          <cell r="D89">
            <v>44973</v>
          </cell>
          <cell r="E89">
            <v>45845</v>
          </cell>
          <cell r="F89" t="str">
            <v>24972</v>
          </cell>
          <cell r="G89" t="str">
            <v>怡利電二</v>
          </cell>
          <cell r="H89">
            <v>100000</v>
          </cell>
          <cell r="I89">
            <v>2.25</v>
          </cell>
          <cell r="J89">
            <v>45845</v>
          </cell>
          <cell r="K89">
            <v>100</v>
          </cell>
          <cell r="L89">
            <v>45825</v>
          </cell>
          <cell r="M89">
            <v>-5049</v>
          </cell>
          <cell r="N89">
            <v>94951</v>
          </cell>
        </row>
        <row r="90">
          <cell r="A90">
            <v>24972</v>
          </cell>
          <cell r="B90">
            <v>84</v>
          </cell>
          <cell r="C90" t="str">
            <v>IASWD230211495</v>
          </cell>
          <cell r="D90">
            <v>44973</v>
          </cell>
          <cell r="E90">
            <v>45845</v>
          </cell>
          <cell r="F90" t="str">
            <v>24972</v>
          </cell>
          <cell r="G90" t="str">
            <v>怡利電二</v>
          </cell>
          <cell r="H90">
            <v>200000</v>
          </cell>
          <cell r="I90">
            <v>2.25</v>
          </cell>
          <cell r="J90">
            <v>45845</v>
          </cell>
          <cell r="K90">
            <v>100</v>
          </cell>
          <cell r="L90">
            <v>45825</v>
          </cell>
          <cell r="M90">
            <v>-10097</v>
          </cell>
          <cell r="N90">
            <v>189903</v>
          </cell>
        </row>
        <row r="91">
          <cell r="A91">
            <v>24972</v>
          </cell>
          <cell r="B91">
            <v>85</v>
          </cell>
          <cell r="C91" t="str">
            <v>IASWD230211505</v>
          </cell>
          <cell r="D91">
            <v>44974</v>
          </cell>
          <cell r="E91">
            <v>45845</v>
          </cell>
          <cell r="F91" t="str">
            <v>24972</v>
          </cell>
          <cell r="G91" t="str">
            <v>怡利電二</v>
          </cell>
          <cell r="H91">
            <v>200000</v>
          </cell>
          <cell r="I91">
            <v>2.25</v>
          </cell>
          <cell r="J91">
            <v>45845</v>
          </cell>
          <cell r="K91">
            <v>100</v>
          </cell>
          <cell r="L91">
            <v>45825</v>
          </cell>
          <cell r="M91">
            <v>-10085</v>
          </cell>
          <cell r="N91">
            <v>189915</v>
          </cell>
        </row>
        <row r="92">
          <cell r="A92">
            <v>24972</v>
          </cell>
          <cell r="B92">
            <v>86</v>
          </cell>
          <cell r="C92" t="str">
            <v>IASWD230211525</v>
          </cell>
          <cell r="D92">
            <v>44974</v>
          </cell>
          <cell r="E92">
            <v>45845</v>
          </cell>
          <cell r="F92" t="str">
            <v>24972</v>
          </cell>
          <cell r="G92" t="str">
            <v>怡利電二</v>
          </cell>
          <cell r="H92">
            <v>100000</v>
          </cell>
          <cell r="I92">
            <v>2.25</v>
          </cell>
          <cell r="J92">
            <v>45845</v>
          </cell>
          <cell r="K92">
            <v>100</v>
          </cell>
          <cell r="L92">
            <v>45825</v>
          </cell>
          <cell r="M92">
            <v>-5042</v>
          </cell>
          <cell r="N92">
            <v>94958</v>
          </cell>
        </row>
        <row r="93">
          <cell r="A93">
            <v>44163</v>
          </cell>
          <cell r="B93">
            <v>87</v>
          </cell>
          <cell r="C93" t="str">
            <v>IASWD230211622</v>
          </cell>
          <cell r="D93">
            <v>44978</v>
          </cell>
          <cell r="E93">
            <v>45930</v>
          </cell>
          <cell r="F93" t="str">
            <v>44163</v>
          </cell>
          <cell r="G93" t="str">
            <v>三圓三</v>
          </cell>
          <cell r="H93">
            <v>300000</v>
          </cell>
          <cell r="I93">
            <v>2.2000000000000002</v>
          </cell>
          <cell r="J93">
            <v>45930</v>
          </cell>
          <cell r="K93">
            <v>101.51</v>
          </cell>
          <cell r="L93">
            <v>45910</v>
          </cell>
          <cell r="M93">
            <v>-14719</v>
          </cell>
          <cell r="N93">
            <v>285281</v>
          </cell>
        </row>
        <row r="94">
          <cell r="A94">
            <v>24972</v>
          </cell>
          <cell r="B94">
            <v>88</v>
          </cell>
          <cell r="C94" t="str">
            <v>IASWD230211696</v>
          </cell>
          <cell r="D94">
            <v>44979</v>
          </cell>
          <cell r="E94">
            <v>45845</v>
          </cell>
          <cell r="F94" t="str">
            <v>24972</v>
          </cell>
          <cell r="G94" t="str">
            <v>怡利電二</v>
          </cell>
          <cell r="H94">
            <v>500000</v>
          </cell>
          <cell r="I94">
            <v>2.25</v>
          </cell>
          <cell r="J94">
            <v>45845</v>
          </cell>
          <cell r="K94">
            <v>100</v>
          </cell>
          <cell r="L94">
            <v>45825</v>
          </cell>
          <cell r="M94">
            <v>-25058</v>
          </cell>
          <cell r="N94">
            <v>474942</v>
          </cell>
        </row>
        <row r="95">
          <cell r="A95">
            <v>44163</v>
          </cell>
          <cell r="B95">
            <v>89</v>
          </cell>
          <cell r="C95" t="str">
            <v>IASWD230211699</v>
          </cell>
          <cell r="D95">
            <v>44979</v>
          </cell>
          <cell r="E95">
            <v>45930</v>
          </cell>
          <cell r="F95" t="str">
            <v>44163</v>
          </cell>
          <cell r="G95" t="str">
            <v>三圓三</v>
          </cell>
          <cell r="H95">
            <v>100000</v>
          </cell>
          <cell r="I95">
            <v>2.2000000000000002</v>
          </cell>
          <cell r="J95">
            <v>45930</v>
          </cell>
          <cell r="K95">
            <v>101.51</v>
          </cell>
          <cell r="L95">
            <v>45910</v>
          </cell>
          <cell r="M95">
            <v>-4900</v>
          </cell>
          <cell r="N95">
            <v>95100</v>
          </cell>
        </row>
        <row r="96">
          <cell r="A96">
            <v>44163</v>
          </cell>
          <cell r="B96">
            <v>90</v>
          </cell>
          <cell r="C96" t="str">
            <v>IASWD230211734</v>
          </cell>
          <cell r="D96">
            <v>44980</v>
          </cell>
          <cell r="E96">
            <v>45930</v>
          </cell>
          <cell r="F96" t="str">
            <v>44163</v>
          </cell>
          <cell r="G96" t="str">
            <v>三圓三</v>
          </cell>
          <cell r="H96">
            <v>800000</v>
          </cell>
          <cell r="I96">
            <v>2.2000000000000002</v>
          </cell>
          <cell r="J96">
            <v>45930</v>
          </cell>
          <cell r="K96">
            <v>101.51</v>
          </cell>
          <cell r="L96">
            <v>45910</v>
          </cell>
          <cell r="M96">
            <v>-39154</v>
          </cell>
          <cell r="N96">
            <v>760846</v>
          </cell>
        </row>
        <row r="97">
          <cell r="A97">
            <v>44163</v>
          </cell>
          <cell r="B97">
            <v>91</v>
          </cell>
          <cell r="C97" t="str">
            <v>IASWD230211737</v>
          </cell>
          <cell r="D97">
            <v>44980</v>
          </cell>
          <cell r="E97">
            <v>45930</v>
          </cell>
          <cell r="F97" t="str">
            <v>44163</v>
          </cell>
          <cell r="G97" t="str">
            <v>三圓三</v>
          </cell>
          <cell r="H97">
            <v>1000000</v>
          </cell>
          <cell r="I97">
            <v>2.2000000000000002</v>
          </cell>
          <cell r="J97">
            <v>45930</v>
          </cell>
          <cell r="K97">
            <v>101.51</v>
          </cell>
          <cell r="L97">
            <v>45910</v>
          </cell>
          <cell r="M97">
            <v>-48942</v>
          </cell>
          <cell r="N97">
            <v>951058</v>
          </cell>
        </row>
        <row r="98">
          <cell r="A98">
            <v>44163</v>
          </cell>
          <cell r="B98">
            <v>92</v>
          </cell>
          <cell r="C98" t="str">
            <v>IASWD230211765</v>
          </cell>
          <cell r="D98">
            <v>44981</v>
          </cell>
          <cell r="E98">
            <v>45930</v>
          </cell>
          <cell r="F98" t="str">
            <v>44163</v>
          </cell>
          <cell r="G98" t="str">
            <v>三圓三</v>
          </cell>
          <cell r="H98">
            <v>100000</v>
          </cell>
          <cell r="I98">
            <v>2.2000000000000002</v>
          </cell>
          <cell r="J98">
            <v>45930</v>
          </cell>
          <cell r="K98">
            <v>101.51</v>
          </cell>
          <cell r="L98">
            <v>45910</v>
          </cell>
          <cell r="M98">
            <v>-4888</v>
          </cell>
          <cell r="N98">
            <v>95112</v>
          </cell>
        </row>
        <row r="99">
          <cell r="A99">
            <v>64692</v>
          </cell>
          <cell r="B99">
            <v>93</v>
          </cell>
          <cell r="C99" t="str">
            <v>IASWD230211783</v>
          </cell>
          <cell r="D99">
            <v>44981</v>
          </cell>
          <cell r="E99">
            <v>45912</v>
          </cell>
          <cell r="F99" t="str">
            <v>64692</v>
          </cell>
          <cell r="G99" t="str">
            <v>大樹二</v>
          </cell>
          <cell r="H99">
            <v>100000</v>
          </cell>
          <cell r="I99">
            <v>3.2</v>
          </cell>
          <cell r="J99">
            <v>45912</v>
          </cell>
          <cell r="K99">
            <v>100</v>
          </cell>
          <cell r="L99">
            <v>45894</v>
          </cell>
          <cell r="M99">
            <v>-7110</v>
          </cell>
          <cell r="N99">
            <v>92890</v>
          </cell>
        </row>
        <row r="100">
          <cell r="A100">
            <v>44163</v>
          </cell>
          <cell r="B100">
            <v>94</v>
          </cell>
          <cell r="C100" t="str">
            <v>IASWD230211790</v>
          </cell>
          <cell r="D100">
            <v>44981</v>
          </cell>
          <cell r="E100">
            <v>45930</v>
          </cell>
          <cell r="F100" t="str">
            <v>44163</v>
          </cell>
          <cell r="G100" t="str">
            <v>三圓三</v>
          </cell>
          <cell r="H100">
            <v>200000</v>
          </cell>
          <cell r="I100">
            <v>2.2000000000000002</v>
          </cell>
          <cell r="J100">
            <v>45930</v>
          </cell>
          <cell r="K100">
            <v>101.51</v>
          </cell>
          <cell r="L100">
            <v>45910</v>
          </cell>
          <cell r="M100">
            <v>-9776</v>
          </cell>
          <cell r="N100">
            <v>190224</v>
          </cell>
        </row>
        <row r="101">
          <cell r="A101">
            <v>64692</v>
          </cell>
          <cell r="B101">
            <v>95</v>
          </cell>
          <cell r="C101" t="str">
            <v>IASWD230211791</v>
          </cell>
          <cell r="D101">
            <v>44981</v>
          </cell>
          <cell r="E101">
            <v>45912</v>
          </cell>
          <cell r="F101" t="str">
            <v>64692</v>
          </cell>
          <cell r="G101" t="str">
            <v>大樹二</v>
          </cell>
          <cell r="H101">
            <v>100000</v>
          </cell>
          <cell r="I101">
            <v>3.2</v>
          </cell>
          <cell r="J101">
            <v>45912</v>
          </cell>
          <cell r="K101">
            <v>100</v>
          </cell>
          <cell r="L101">
            <v>45894</v>
          </cell>
          <cell r="M101">
            <v>-7110</v>
          </cell>
          <cell r="N101">
            <v>92890</v>
          </cell>
        </row>
        <row r="102">
          <cell r="A102">
            <v>44163</v>
          </cell>
          <cell r="B102">
            <v>96</v>
          </cell>
          <cell r="C102" t="str">
            <v>IASWD230211792</v>
          </cell>
          <cell r="D102">
            <v>44981</v>
          </cell>
          <cell r="E102">
            <v>45930</v>
          </cell>
          <cell r="F102" t="str">
            <v>44163</v>
          </cell>
          <cell r="G102" t="str">
            <v>三圓三</v>
          </cell>
          <cell r="H102">
            <v>300000</v>
          </cell>
          <cell r="I102">
            <v>2.2000000000000002</v>
          </cell>
          <cell r="J102">
            <v>45930</v>
          </cell>
          <cell r="K102">
            <v>101.51</v>
          </cell>
          <cell r="L102">
            <v>45910</v>
          </cell>
          <cell r="M102">
            <v>-14665</v>
          </cell>
          <cell r="N102">
            <v>285335</v>
          </cell>
        </row>
        <row r="103">
          <cell r="A103">
            <v>64692</v>
          </cell>
          <cell r="B103">
            <v>97</v>
          </cell>
          <cell r="C103" t="str">
            <v>IASWD230211803</v>
          </cell>
          <cell r="D103">
            <v>44981</v>
          </cell>
          <cell r="E103">
            <v>45912</v>
          </cell>
          <cell r="F103" t="str">
            <v>64692</v>
          </cell>
          <cell r="G103" t="str">
            <v>大樹二</v>
          </cell>
          <cell r="H103">
            <v>200000</v>
          </cell>
          <cell r="I103">
            <v>3.2</v>
          </cell>
          <cell r="J103">
            <v>45912</v>
          </cell>
          <cell r="K103">
            <v>100</v>
          </cell>
          <cell r="L103">
            <v>45894</v>
          </cell>
          <cell r="M103">
            <v>-14220</v>
          </cell>
          <cell r="N103">
            <v>185780</v>
          </cell>
        </row>
        <row r="104">
          <cell r="A104">
            <v>24972</v>
          </cell>
          <cell r="B104">
            <v>98</v>
          </cell>
          <cell r="C104" t="str">
            <v>IASWD230211812</v>
          </cell>
          <cell r="D104">
            <v>44981</v>
          </cell>
          <cell r="E104">
            <v>45845</v>
          </cell>
          <cell r="F104" t="str">
            <v>24972</v>
          </cell>
          <cell r="G104" t="str">
            <v>怡利電二</v>
          </cell>
          <cell r="H104">
            <v>1600000</v>
          </cell>
          <cell r="I104">
            <v>2.25</v>
          </cell>
          <cell r="J104">
            <v>45845</v>
          </cell>
          <cell r="K104">
            <v>100</v>
          </cell>
          <cell r="L104">
            <v>45825</v>
          </cell>
          <cell r="M104">
            <v>-79989</v>
          </cell>
          <cell r="N104">
            <v>1520011</v>
          </cell>
        </row>
        <row r="105">
          <cell r="A105">
            <v>61041</v>
          </cell>
          <cell r="B105">
            <v>99</v>
          </cell>
          <cell r="C105" t="str">
            <v>IASWD230513269</v>
          </cell>
          <cell r="D105">
            <v>45068</v>
          </cell>
          <cell r="E105">
            <v>45895</v>
          </cell>
          <cell r="F105" t="str">
            <v>61041</v>
          </cell>
          <cell r="G105" t="str">
            <v>創惟一</v>
          </cell>
          <cell r="H105">
            <v>300000</v>
          </cell>
          <cell r="I105">
            <v>4.25</v>
          </cell>
          <cell r="J105">
            <v>45895</v>
          </cell>
          <cell r="K105">
            <v>100.75</v>
          </cell>
          <cell r="L105">
            <v>45875</v>
          </cell>
          <cell r="M105">
            <v>-25290</v>
          </cell>
          <cell r="N105">
            <v>274710</v>
          </cell>
        </row>
        <row r="106">
          <cell r="A106">
            <v>61041</v>
          </cell>
          <cell r="B106">
            <v>100</v>
          </cell>
          <cell r="C106" t="str">
            <v>IASWD230513276</v>
          </cell>
          <cell r="D106">
            <v>45069</v>
          </cell>
          <cell r="E106">
            <v>45895</v>
          </cell>
          <cell r="F106" t="str">
            <v>61041</v>
          </cell>
          <cell r="G106" t="str">
            <v>創惟一</v>
          </cell>
          <cell r="H106">
            <v>100000</v>
          </cell>
          <cell r="I106">
            <v>4.25</v>
          </cell>
          <cell r="J106">
            <v>45895</v>
          </cell>
          <cell r="K106">
            <v>100.75</v>
          </cell>
          <cell r="L106">
            <v>45875</v>
          </cell>
          <cell r="M106">
            <v>-8418</v>
          </cell>
          <cell r="N106">
            <v>91582</v>
          </cell>
        </row>
        <row r="107">
          <cell r="A107">
            <v>41235</v>
          </cell>
          <cell r="B107">
            <v>101</v>
          </cell>
          <cell r="C107" t="str">
            <v>IASWD230613520</v>
          </cell>
          <cell r="D107">
            <v>45085</v>
          </cell>
          <cell r="E107">
            <v>45908</v>
          </cell>
          <cell r="F107" t="str">
            <v>41235</v>
          </cell>
          <cell r="G107" t="str">
            <v>晟德五</v>
          </cell>
          <cell r="H107">
            <v>200000</v>
          </cell>
          <cell r="I107">
            <v>2.1</v>
          </cell>
          <cell r="J107">
            <v>45908</v>
          </cell>
          <cell r="K107">
            <v>100</v>
          </cell>
          <cell r="L107">
            <v>45888</v>
          </cell>
          <cell r="M107">
            <v>-8135</v>
          </cell>
          <cell r="N107">
            <v>191865</v>
          </cell>
        </row>
        <row r="108">
          <cell r="A108">
            <v>41235</v>
          </cell>
          <cell r="B108">
            <v>102</v>
          </cell>
          <cell r="C108" t="str">
            <v>IASWD230613554</v>
          </cell>
          <cell r="D108">
            <v>45089</v>
          </cell>
          <cell r="E108">
            <v>45908</v>
          </cell>
          <cell r="F108" t="str">
            <v>41235</v>
          </cell>
          <cell r="G108" t="str">
            <v>晟德五</v>
          </cell>
          <cell r="H108">
            <v>200000</v>
          </cell>
          <cell r="I108">
            <v>2.1</v>
          </cell>
          <cell r="J108">
            <v>45908</v>
          </cell>
          <cell r="K108">
            <v>100</v>
          </cell>
          <cell r="L108">
            <v>45888</v>
          </cell>
          <cell r="M108">
            <v>-8089</v>
          </cell>
          <cell r="N108">
            <v>191911</v>
          </cell>
        </row>
        <row r="109">
          <cell r="A109">
            <v>41235</v>
          </cell>
          <cell r="B109">
            <v>103</v>
          </cell>
          <cell r="C109" t="str">
            <v>IASWD230613603</v>
          </cell>
          <cell r="D109">
            <v>45090</v>
          </cell>
          <cell r="E109">
            <v>45908</v>
          </cell>
          <cell r="F109" t="str">
            <v>41235</v>
          </cell>
          <cell r="G109" t="str">
            <v>晟德五</v>
          </cell>
          <cell r="H109">
            <v>1000000</v>
          </cell>
          <cell r="I109">
            <v>2.1</v>
          </cell>
          <cell r="J109">
            <v>45908</v>
          </cell>
          <cell r="K109">
            <v>100</v>
          </cell>
          <cell r="L109">
            <v>45888</v>
          </cell>
          <cell r="M109">
            <v>-40389</v>
          </cell>
          <cell r="N109">
            <v>959611</v>
          </cell>
        </row>
        <row r="110">
          <cell r="A110">
            <v>44382</v>
          </cell>
          <cell r="B110">
            <v>104</v>
          </cell>
          <cell r="C110" t="str">
            <v>IASWD230613621</v>
          </cell>
          <cell r="D110">
            <v>45091</v>
          </cell>
          <cell r="E110">
            <v>45933</v>
          </cell>
          <cell r="F110" t="str">
            <v>44382</v>
          </cell>
          <cell r="G110" t="str">
            <v>廣越二</v>
          </cell>
          <cell r="H110">
            <v>200000</v>
          </cell>
          <cell r="I110">
            <v>3.25</v>
          </cell>
          <cell r="J110">
            <v>45933</v>
          </cell>
          <cell r="K110">
            <v>100</v>
          </cell>
          <cell r="L110">
            <v>45915</v>
          </cell>
          <cell r="M110">
            <v>-12484</v>
          </cell>
          <cell r="N110">
            <v>187516</v>
          </cell>
        </row>
        <row r="111">
          <cell r="A111">
            <v>41235</v>
          </cell>
          <cell r="B111">
            <v>105</v>
          </cell>
          <cell r="C111" t="str">
            <v>IASWD230613631</v>
          </cell>
          <cell r="D111">
            <v>45091</v>
          </cell>
          <cell r="E111">
            <v>45908</v>
          </cell>
          <cell r="F111" t="str">
            <v>41235</v>
          </cell>
          <cell r="G111" t="str">
            <v>晟德五</v>
          </cell>
          <cell r="H111">
            <v>1000000</v>
          </cell>
          <cell r="I111">
            <v>2.1</v>
          </cell>
          <cell r="J111">
            <v>45908</v>
          </cell>
          <cell r="K111">
            <v>100</v>
          </cell>
          <cell r="L111">
            <v>45888</v>
          </cell>
          <cell r="M111">
            <v>-40332</v>
          </cell>
          <cell r="N111">
            <v>959668</v>
          </cell>
        </row>
        <row r="112">
          <cell r="A112">
            <v>15991</v>
          </cell>
          <cell r="B112">
            <v>106</v>
          </cell>
          <cell r="C112" t="str">
            <v>IASWD230613647</v>
          </cell>
          <cell r="D112">
            <v>45091</v>
          </cell>
          <cell r="E112">
            <v>45979</v>
          </cell>
          <cell r="F112" t="str">
            <v>15991</v>
          </cell>
          <cell r="G112" t="str">
            <v>宏佳騰一</v>
          </cell>
          <cell r="H112">
            <v>200000</v>
          </cell>
          <cell r="I112">
            <v>2.15</v>
          </cell>
          <cell r="J112">
            <v>45979</v>
          </cell>
          <cell r="K112">
            <v>100</v>
          </cell>
          <cell r="L112">
            <v>45959</v>
          </cell>
          <cell r="M112">
            <v>-8258</v>
          </cell>
          <cell r="N112">
            <v>191742</v>
          </cell>
        </row>
        <row r="113">
          <cell r="A113">
            <v>44382</v>
          </cell>
          <cell r="B113">
            <v>107</v>
          </cell>
          <cell r="C113" t="str">
            <v>IASWD230613653</v>
          </cell>
          <cell r="D113">
            <v>45091</v>
          </cell>
          <cell r="E113">
            <v>45933</v>
          </cell>
          <cell r="F113" t="str">
            <v>44382</v>
          </cell>
          <cell r="G113" t="str">
            <v>廣越二</v>
          </cell>
          <cell r="H113">
            <v>500000</v>
          </cell>
          <cell r="I113">
            <v>3.25</v>
          </cell>
          <cell r="J113">
            <v>45933</v>
          </cell>
          <cell r="K113">
            <v>100</v>
          </cell>
          <cell r="L113">
            <v>45915</v>
          </cell>
          <cell r="M113">
            <v>-31209</v>
          </cell>
          <cell r="N113">
            <v>468791</v>
          </cell>
        </row>
        <row r="114">
          <cell r="A114">
            <v>44382</v>
          </cell>
          <cell r="B114">
            <v>108</v>
          </cell>
          <cell r="C114" t="str">
            <v>IASWD230613656</v>
          </cell>
          <cell r="D114">
            <v>45091</v>
          </cell>
          <cell r="E114">
            <v>45933</v>
          </cell>
          <cell r="F114" t="str">
            <v>44382</v>
          </cell>
          <cell r="G114" t="str">
            <v>廣越二</v>
          </cell>
          <cell r="H114">
            <v>500000</v>
          </cell>
          <cell r="I114">
            <v>3.25</v>
          </cell>
          <cell r="J114">
            <v>45933</v>
          </cell>
          <cell r="K114">
            <v>100</v>
          </cell>
          <cell r="L114">
            <v>45915</v>
          </cell>
          <cell r="M114">
            <v>-31209</v>
          </cell>
          <cell r="N114">
            <v>468791</v>
          </cell>
        </row>
        <row r="115">
          <cell r="A115">
            <v>15991</v>
          </cell>
          <cell r="B115">
            <v>109</v>
          </cell>
          <cell r="C115" t="str">
            <v>IASWD230613660</v>
          </cell>
          <cell r="D115">
            <v>45091</v>
          </cell>
          <cell r="E115">
            <v>45979</v>
          </cell>
          <cell r="F115" t="str">
            <v>15991</v>
          </cell>
          <cell r="G115" t="str">
            <v>宏佳騰一</v>
          </cell>
          <cell r="H115">
            <v>100000</v>
          </cell>
          <cell r="I115">
            <v>2.15</v>
          </cell>
          <cell r="J115">
            <v>45979</v>
          </cell>
          <cell r="K115">
            <v>100</v>
          </cell>
          <cell r="L115">
            <v>45959</v>
          </cell>
          <cell r="M115">
            <v>-4129</v>
          </cell>
          <cell r="N115">
            <v>95871</v>
          </cell>
        </row>
        <row r="116">
          <cell r="A116">
            <v>44382</v>
          </cell>
          <cell r="B116">
            <v>110</v>
          </cell>
          <cell r="C116" t="str">
            <v>IASWD230613693</v>
          </cell>
          <cell r="D116">
            <v>45093</v>
          </cell>
          <cell r="E116">
            <v>45933</v>
          </cell>
          <cell r="F116" t="str">
            <v>44382</v>
          </cell>
          <cell r="G116" t="str">
            <v>廣越二</v>
          </cell>
          <cell r="H116">
            <v>1200000</v>
          </cell>
          <cell r="I116">
            <v>3.25</v>
          </cell>
          <cell r="J116">
            <v>45933</v>
          </cell>
          <cell r="K116">
            <v>100</v>
          </cell>
          <cell r="L116">
            <v>45915</v>
          </cell>
          <cell r="M116">
            <v>-74688</v>
          </cell>
          <cell r="N116">
            <v>1125312</v>
          </cell>
        </row>
        <row r="117">
          <cell r="A117">
            <v>41235</v>
          </cell>
          <cell r="B117">
            <v>111</v>
          </cell>
          <cell r="C117" t="str">
            <v>IASWD230613717</v>
          </cell>
          <cell r="D117">
            <v>45093</v>
          </cell>
          <cell r="E117">
            <v>45908</v>
          </cell>
          <cell r="F117" t="str">
            <v>41235</v>
          </cell>
          <cell r="G117" t="str">
            <v>晟德五</v>
          </cell>
          <cell r="H117">
            <v>200000</v>
          </cell>
          <cell r="I117">
            <v>2.1</v>
          </cell>
          <cell r="J117">
            <v>45908</v>
          </cell>
          <cell r="K117">
            <v>100</v>
          </cell>
          <cell r="L117">
            <v>45888</v>
          </cell>
          <cell r="M117">
            <v>-8043</v>
          </cell>
          <cell r="N117">
            <v>191957</v>
          </cell>
        </row>
        <row r="118">
          <cell r="A118">
            <v>41235</v>
          </cell>
          <cell r="B118">
            <v>112</v>
          </cell>
          <cell r="C118" t="str">
            <v>IASWD230613719</v>
          </cell>
          <cell r="D118">
            <v>45093</v>
          </cell>
          <cell r="E118">
            <v>45908</v>
          </cell>
          <cell r="F118" t="str">
            <v>41235</v>
          </cell>
          <cell r="G118" t="str">
            <v>晟德五</v>
          </cell>
          <cell r="H118">
            <v>1000000</v>
          </cell>
          <cell r="I118">
            <v>2.1</v>
          </cell>
          <cell r="J118">
            <v>45908</v>
          </cell>
          <cell r="K118">
            <v>100</v>
          </cell>
          <cell r="L118">
            <v>45888</v>
          </cell>
          <cell r="M118">
            <v>-40216</v>
          </cell>
          <cell r="N118">
            <v>959784</v>
          </cell>
        </row>
        <row r="119">
          <cell r="A119">
            <v>15991</v>
          </cell>
          <cell r="B119">
            <v>113</v>
          </cell>
          <cell r="C119" t="str">
            <v>IASWD230613725</v>
          </cell>
          <cell r="D119">
            <v>45096</v>
          </cell>
          <cell r="E119">
            <v>45979</v>
          </cell>
          <cell r="F119" t="str">
            <v>15991</v>
          </cell>
          <cell r="G119" t="str">
            <v>宏佳騰一</v>
          </cell>
          <cell r="H119">
            <v>400000</v>
          </cell>
          <cell r="I119">
            <v>2.15</v>
          </cell>
          <cell r="J119">
            <v>45979</v>
          </cell>
          <cell r="K119">
            <v>100</v>
          </cell>
          <cell r="L119">
            <v>45959</v>
          </cell>
          <cell r="M119">
            <v>-16399</v>
          </cell>
          <cell r="N119">
            <v>383601</v>
          </cell>
        </row>
        <row r="120">
          <cell r="A120">
            <v>15991</v>
          </cell>
          <cell r="B120">
            <v>114</v>
          </cell>
          <cell r="C120" t="str">
            <v>IASWD230613757</v>
          </cell>
          <cell r="D120">
            <v>45096</v>
          </cell>
          <cell r="E120">
            <v>45979</v>
          </cell>
          <cell r="F120" t="str">
            <v>15991</v>
          </cell>
          <cell r="G120" t="str">
            <v>宏佳騰一</v>
          </cell>
          <cell r="H120">
            <v>300000</v>
          </cell>
          <cell r="I120">
            <v>2.15</v>
          </cell>
          <cell r="J120">
            <v>45979</v>
          </cell>
          <cell r="K120">
            <v>100</v>
          </cell>
          <cell r="L120">
            <v>45959</v>
          </cell>
          <cell r="M120">
            <v>-12299</v>
          </cell>
          <cell r="N120">
            <v>287701</v>
          </cell>
        </row>
        <row r="121">
          <cell r="A121">
            <v>33881</v>
          </cell>
          <cell r="B121">
            <v>115</v>
          </cell>
          <cell r="C121" t="str">
            <v>IASWD230613768</v>
          </cell>
          <cell r="D121">
            <v>45096</v>
          </cell>
          <cell r="E121">
            <v>45971</v>
          </cell>
          <cell r="F121" t="str">
            <v>33881</v>
          </cell>
          <cell r="G121" t="str">
            <v>崇越電一</v>
          </cell>
          <cell r="H121">
            <v>100000</v>
          </cell>
          <cell r="I121">
            <v>3</v>
          </cell>
          <cell r="J121">
            <v>45970</v>
          </cell>
          <cell r="K121">
            <v>100</v>
          </cell>
          <cell r="L121">
            <v>45951</v>
          </cell>
          <cell r="M121">
            <v>-5721</v>
          </cell>
          <cell r="N121">
            <v>94279</v>
          </cell>
        </row>
        <row r="122">
          <cell r="A122">
            <v>64692</v>
          </cell>
          <cell r="B122">
            <v>116</v>
          </cell>
          <cell r="C122" t="str">
            <v>IASWD230613771</v>
          </cell>
          <cell r="D122">
            <v>45096</v>
          </cell>
          <cell r="E122">
            <v>45912</v>
          </cell>
          <cell r="F122" t="str">
            <v>64692</v>
          </cell>
          <cell r="G122" t="str">
            <v>大樹二</v>
          </cell>
          <cell r="H122">
            <v>100000</v>
          </cell>
          <cell r="I122">
            <v>3</v>
          </cell>
          <cell r="J122">
            <v>45912</v>
          </cell>
          <cell r="K122">
            <v>100</v>
          </cell>
          <cell r="L122">
            <v>45894</v>
          </cell>
          <cell r="M122">
            <v>-5721</v>
          </cell>
          <cell r="N122">
            <v>94279</v>
          </cell>
        </row>
        <row r="123">
          <cell r="A123">
            <v>64692</v>
          </cell>
          <cell r="B123">
            <v>117</v>
          </cell>
          <cell r="C123" t="str">
            <v>IASWD230613783</v>
          </cell>
          <cell r="D123">
            <v>45096</v>
          </cell>
          <cell r="E123">
            <v>45912</v>
          </cell>
          <cell r="F123" t="str">
            <v>64692</v>
          </cell>
          <cell r="G123" t="str">
            <v>大樹二</v>
          </cell>
          <cell r="H123">
            <v>400000</v>
          </cell>
          <cell r="I123">
            <v>3</v>
          </cell>
          <cell r="J123">
            <v>45912</v>
          </cell>
          <cell r="K123">
            <v>100</v>
          </cell>
          <cell r="L123">
            <v>45894</v>
          </cell>
          <cell r="M123">
            <v>-22882</v>
          </cell>
          <cell r="N123">
            <v>377118</v>
          </cell>
        </row>
        <row r="124">
          <cell r="A124">
            <v>15991</v>
          </cell>
          <cell r="B124">
            <v>118</v>
          </cell>
          <cell r="C124" t="str">
            <v>IASWD230613804</v>
          </cell>
          <cell r="D124">
            <v>45097</v>
          </cell>
          <cell r="E124">
            <v>45979</v>
          </cell>
          <cell r="F124" t="str">
            <v>15991</v>
          </cell>
          <cell r="G124" t="str">
            <v>宏佳騰一</v>
          </cell>
          <cell r="H124">
            <v>100000</v>
          </cell>
          <cell r="I124">
            <v>2.15</v>
          </cell>
          <cell r="J124">
            <v>45979</v>
          </cell>
          <cell r="K124">
            <v>100</v>
          </cell>
          <cell r="L124">
            <v>45959</v>
          </cell>
          <cell r="M124">
            <v>-4094</v>
          </cell>
          <cell r="N124">
            <v>95906</v>
          </cell>
        </row>
        <row r="125">
          <cell r="A125">
            <v>15991</v>
          </cell>
          <cell r="B125">
            <v>119</v>
          </cell>
          <cell r="C125" t="str">
            <v>IASWD230613816</v>
          </cell>
          <cell r="D125">
            <v>45097</v>
          </cell>
          <cell r="E125">
            <v>45979</v>
          </cell>
          <cell r="F125" t="str">
            <v>15991</v>
          </cell>
          <cell r="G125" t="str">
            <v>宏佳騰一</v>
          </cell>
          <cell r="H125">
            <v>200000</v>
          </cell>
          <cell r="I125">
            <v>2.15</v>
          </cell>
          <cell r="J125">
            <v>45979</v>
          </cell>
          <cell r="K125">
            <v>100</v>
          </cell>
          <cell r="L125">
            <v>45959</v>
          </cell>
          <cell r="M125">
            <v>-8188</v>
          </cell>
          <cell r="N125">
            <v>191812</v>
          </cell>
        </row>
        <row r="126">
          <cell r="A126">
            <v>15991</v>
          </cell>
          <cell r="B126">
            <v>120</v>
          </cell>
          <cell r="C126" t="str">
            <v>IASWD230613817</v>
          </cell>
          <cell r="D126">
            <v>45097</v>
          </cell>
          <cell r="E126">
            <v>45979</v>
          </cell>
          <cell r="F126" t="str">
            <v>15991</v>
          </cell>
          <cell r="G126" t="str">
            <v>宏佳騰一</v>
          </cell>
          <cell r="H126">
            <v>200000</v>
          </cell>
          <cell r="I126">
            <v>2.15</v>
          </cell>
          <cell r="J126">
            <v>45979</v>
          </cell>
          <cell r="K126">
            <v>100</v>
          </cell>
          <cell r="L126">
            <v>45959</v>
          </cell>
          <cell r="M126">
            <v>-8188</v>
          </cell>
          <cell r="N126">
            <v>191812</v>
          </cell>
        </row>
        <row r="127">
          <cell r="A127">
            <v>15991</v>
          </cell>
          <cell r="B127">
            <v>121</v>
          </cell>
          <cell r="C127" t="str">
            <v>IASWD230613821</v>
          </cell>
          <cell r="D127">
            <v>45097</v>
          </cell>
          <cell r="E127">
            <v>45979</v>
          </cell>
          <cell r="F127" t="str">
            <v>15991</v>
          </cell>
          <cell r="G127" t="str">
            <v>宏佳騰一</v>
          </cell>
          <cell r="H127">
            <v>100000</v>
          </cell>
          <cell r="I127">
            <v>2.15</v>
          </cell>
          <cell r="J127">
            <v>45979</v>
          </cell>
          <cell r="K127">
            <v>100</v>
          </cell>
          <cell r="L127">
            <v>45959</v>
          </cell>
          <cell r="M127">
            <v>-4094</v>
          </cell>
          <cell r="N127">
            <v>95906</v>
          </cell>
        </row>
        <row r="128">
          <cell r="A128">
            <v>41234</v>
          </cell>
          <cell r="B128">
            <v>122</v>
          </cell>
          <cell r="C128" t="str">
            <v>IASWD230613825</v>
          </cell>
          <cell r="D128">
            <v>45097</v>
          </cell>
          <cell r="E128">
            <v>45908</v>
          </cell>
          <cell r="F128" t="str">
            <v>41234</v>
          </cell>
          <cell r="G128" t="str">
            <v>晟德四</v>
          </cell>
          <cell r="H128">
            <v>200000</v>
          </cell>
          <cell r="I128">
            <v>2.1</v>
          </cell>
          <cell r="J128">
            <v>45907</v>
          </cell>
          <cell r="K128">
            <v>100</v>
          </cell>
          <cell r="L128">
            <v>45888</v>
          </cell>
          <cell r="M128">
            <v>-7997</v>
          </cell>
          <cell r="N128">
            <v>192003</v>
          </cell>
        </row>
        <row r="129">
          <cell r="A129">
            <v>41235</v>
          </cell>
          <cell r="B129">
            <v>123</v>
          </cell>
          <cell r="C129" t="str">
            <v>IASWD230613839</v>
          </cell>
          <cell r="D129">
            <v>45098</v>
          </cell>
          <cell r="E129">
            <v>45908</v>
          </cell>
          <cell r="F129" t="str">
            <v>41235</v>
          </cell>
          <cell r="G129" t="str">
            <v>晟德五</v>
          </cell>
          <cell r="H129">
            <v>100000</v>
          </cell>
          <cell r="I129">
            <v>2.1</v>
          </cell>
          <cell r="J129">
            <v>45908</v>
          </cell>
          <cell r="K129">
            <v>100</v>
          </cell>
          <cell r="L129">
            <v>45888</v>
          </cell>
          <cell r="M129">
            <v>-3993</v>
          </cell>
          <cell r="N129">
            <v>96007</v>
          </cell>
        </row>
        <row r="130">
          <cell r="A130">
            <v>44382</v>
          </cell>
          <cell r="B130">
            <v>124</v>
          </cell>
          <cell r="C130" t="str">
            <v>IASWD230613842</v>
          </cell>
          <cell r="D130">
            <v>45098</v>
          </cell>
          <cell r="E130">
            <v>45933</v>
          </cell>
          <cell r="F130" t="str">
            <v>44382</v>
          </cell>
          <cell r="G130" t="str">
            <v>廣越二</v>
          </cell>
          <cell r="H130">
            <v>500000</v>
          </cell>
          <cell r="I130">
            <v>3.25</v>
          </cell>
          <cell r="J130">
            <v>45933</v>
          </cell>
          <cell r="K130">
            <v>100</v>
          </cell>
          <cell r="L130">
            <v>45915</v>
          </cell>
          <cell r="M130">
            <v>-30897</v>
          </cell>
          <cell r="N130">
            <v>469103</v>
          </cell>
        </row>
        <row r="131">
          <cell r="A131">
            <v>41235</v>
          </cell>
          <cell r="B131">
            <v>125</v>
          </cell>
          <cell r="C131" t="str">
            <v>IASWD230613843</v>
          </cell>
          <cell r="D131">
            <v>45098</v>
          </cell>
          <cell r="E131">
            <v>45908</v>
          </cell>
          <cell r="F131" t="str">
            <v>41235</v>
          </cell>
          <cell r="G131" t="str">
            <v>晟德五</v>
          </cell>
          <cell r="H131">
            <v>100000</v>
          </cell>
          <cell r="I131">
            <v>2.1</v>
          </cell>
          <cell r="J131">
            <v>45908</v>
          </cell>
          <cell r="K131">
            <v>100</v>
          </cell>
          <cell r="L131">
            <v>45888</v>
          </cell>
          <cell r="M131">
            <v>-3993</v>
          </cell>
          <cell r="N131">
            <v>96007</v>
          </cell>
        </row>
        <row r="132">
          <cell r="A132">
            <v>41234</v>
          </cell>
          <cell r="B132">
            <v>126</v>
          </cell>
          <cell r="C132" t="str">
            <v>IASWD230613849</v>
          </cell>
          <cell r="D132">
            <v>45098</v>
          </cell>
          <cell r="E132">
            <v>45908</v>
          </cell>
          <cell r="F132" t="str">
            <v>41234</v>
          </cell>
          <cell r="G132" t="str">
            <v>晟德四</v>
          </cell>
          <cell r="H132">
            <v>100000</v>
          </cell>
          <cell r="I132">
            <v>2.1</v>
          </cell>
          <cell r="J132">
            <v>45907</v>
          </cell>
          <cell r="K132">
            <v>100</v>
          </cell>
          <cell r="L132">
            <v>45888</v>
          </cell>
          <cell r="M132">
            <v>-3993</v>
          </cell>
          <cell r="N132">
            <v>96007</v>
          </cell>
        </row>
        <row r="133">
          <cell r="A133">
            <v>15991</v>
          </cell>
          <cell r="B133">
            <v>127</v>
          </cell>
          <cell r="C133" t="str">
            <v>IASWD230613854</v>
          </cell>
          <cell r="D133">
            <v>45098</v>
          </cell>
          <cell r="E133">
            <v>45979</v>
          </cell>
          <cell r="F133" t="str">
            <v>15991</v>
          </cell>
          <cell r="G133" t="str">
            <v>宏佳騰一</v>
          </cell>
          <cell r="H133">
            <v>200000</v>
          </cell>
          <cell r="I133">
            <v>2.15</v>
          </cell>
          <cell r="J133">
            <v>45979</v>
          </cell>
          <cell r="K133">
            <v>100</v>
          </cell>
          <cell r="L133">
            <v>45959</v>
          </cell>
          <cell r="M133">
            <v>-8176</v>
          </cell>
          <cell r="N133">
            <v>191824</v>
          </cell>
        </row>
        <row r="134">
          <cell r="A134">
            <v>44382</v>
          </cell>
          <cell r="B134">
            <v>128</v>
          </cell>
          <cell r="C134" t="str">
            <v>IASWD230613857</v>
          </cell>
          <cell r="D134">
            <v>45098</v>
          </cell>
          <cell r="E134">
            <v>45933</v>
          </cell>
          <cell r="F134" t="str">
            <v>44382</v>
          </cell>
          <cell r="G134" t="str">
            <v>廣越二</v>
          </cell>
          <cell r="H134">
            <v>100000</v>
          </cell>
          <cell r="I134">
            <v>3.25</v>
          </cell>
          <cell r="J134">
            <v>45933</v>
          </cell>
          <cell r="K134">
            <v>100</v>
          </cell>
          <cell r="L134">
            <v>45915</v>
          </cell>
          <cell r="M134">
            <v>-6179</v>
          </cell>
          <cell r="N134">
            <v>93821</v>
          </cell>
        </row>
        <row r="135">
          <cell r="A135">
            <v>41235</v>
          </cell>
          <cell r="B135">
            <v>129</v>
          </cell>
          <cell r="C135" t="str">
            <v>IASWD230613868</v>
          </cell>
          <cell r="D135">
            <v>45098</v>
          </cell>
          <cell r="E135">
            <v>45908</v>
          </cell>
          <cell r="F135" t="str">
            <v>41235</v>
          </cell>
          <cell r="G135" t="str">
            <v>晟德五</v>
          </cell>
          <cell r="H135">
            <v>400000</v>
          </cell>
          <cell r="I135">
            <v>2.1</v>
          </cell>
          <cell r="J135">
            <v>45908</v>
          </cell>
          <cell r="K135">
            <v>100</v>
          </cell>
          <cell r="L135">
            <v>45888</v>
          </cell>
          <cell r="M135">
            <v>-15972</v>
          </cell>
          <cell r="N135">
            <v>384028</v>
          </cell>
        </row>
        <row r="136">
          <cell r="A136">
            <v>41235</v>
          </cell>
          <cell r="B136">
            <v>130</v>
          </cell>
          <cell r="C136" t="str">
            <v>IASWD230613876</v>
          </cell>
          <cell r="D136">
            <v>45103</v>
          </cell>
          <cell r="E136">
            <v>45908</v>
          </cell>
          <cell r="F136" t="str">
            <v>41235</v>
          </cell>
          <cell r="G136" t="str">
            <v>晟德五</v>
          </cell>
          <cell r="H136">
            <v>300000</v>
          </cell>
          <cell r="I136">
            <v>2.1</v>
          </cell>
          <cell r="J136">
            <v>45908</v>
          </cell>
          <cell r="K136">
            <v>100</v>
          </cell>
          <cell r="L136">
            <v>45888</v>
          </cell>
          <cell r="M136">
            <v>-11892</v>
          </cell>
          <cell r="N136">
            <v>288108</v>
          </cell>
        </row>
        <row r="137">
          <cell r="A137">
            <v>44382</v>
          </cell>
          <cell r="B137">
            <v>131</v>
          </cell>
          <cell r="C137" t="str">
            <v>IASWD230613879</v>
          </cell>
          <cell r="D137">
            <v>45103</v>
          </cell>
          <cell r="E137">
            <v>45933</v>
          </cell>
          <cell r="F137" t="str">
            <v>44382</v>
          </cell>
          <cell r="G137" t="str">
            <v>廣越二</v>
          </cell>
          <cell r="H137">
            <v>1000000</v>
          </cell>
          <cell r="I137">
            <v>3.25</v>
          </cell>
          <cell r="J137">
            <v>45933</v>
          </cell>
          <cell r="K137">
            <v>100</v>
          </cell>
          <cell r="L137">
            <v>45915</v>
          </cell>
          <cell r="M137">
            <v>-61349</v>
          </cell>
          <cell r="N137">
            <v>938651</v>
          </cell>
        </row>
        <row r="138">
          <cell r="A138">
            <v>44382</v>
          </cell>
          <cell r="B138">
            <v>132</v>
          </cell>
          <cell r="C138" t="str">
            <v>IASWD230613891</v>
          </cell>
          <cell r="D138">
            <v>45103</v>
          </cell>
          <cell r="E138">
            <v>45933</v>
          </cell>
          <cell r="F138" t="str">
            <v>44382</v>
          </cell>
          <cell r="G138" t="str">
            <v>廣越二</v>
          </cell>
          <cell r="H138">
            <v>500000</v>
          </cell>
          <cell r="I138">
            <v>3.25</v>
          </cell>
          <cell r="J138">
            <v>45933</v>
          </cell>
          <cell r="K138">
            <v>100</v>
          </cell>
          <cell r="L138">
            <v>45915</v>
          </cell>
          <cell r="M138">
            <v>-30675</v>
          </cell>
          <cell r="N138">
            <v>469325</v>
          </cell>
        </row>
        <row r="139">
          <cell r="A139">
            <v>44382</v>
          </cell>
          <cell r="B139">
            <v>133</v>
          </cell>
          <cell r="C139" t="str">
            <v>IASWD230613924</v>
          </cell>
          <cell r="D139">
            <v>45104</v>
          </cell>
          <cell r="E139">
            <v>45933</v>
          </cell>
          <cell r="F139" t="str">
            <v>44382</v>
          </cell>
          <cell r="G139" t="str">
            <v>廣越二</v>
          </cell>
          <cell r="H139">
            <v>100000</v>
          </cell>
          <cell r="I139">
            <v>3.25</v>
          </cell>
          <cell r="J139">
            <v>45933</v>
          </cell>
          <cell r="K139">
            <v>100</v>
          </cell>
          <cell r="L139">
            <v>45915</v>
          </cell>
          <cell r="M139">
            <v>-6126</v>
          </cell>
          <cell r="N139">
            <v>93874</v>
          </cell>
        </row>
        <row r="140">
          <cell r="A140">
            <v>44382</v>
          </cell>
          <cell r="B140">
            <v>134</v>
          </cell>
          <cell r="C140" t="str">
            <v>IASWD230613928</v>
          </cell>
          <cell r="D140">
            <v>45104</v>
          </cell>
          <cell r="E140">
            <v>45933</v>
          </cell>
          <cell r="F140" t="str">
            <v>44382</v>
          </cell>
          <cell r="G140" t="str">
            <v>廣越二</v>
          </cell>
          <cell r="H140">
            <v>200000</v>
          </cell>
          <cell r="I140">
            <v>3.25</v>
          </cell>
          <cell r="J140">
            <v>45933</v>
          </cell>
          <cell r="K140">
            <v>100</v>
          </cell>
          <cell r="L140">
            <v>45915</v>
          </cell>
          <cell r="M140">
            <v>-12252</v>
          </cell>
          <cell r="N140">
            <v>187748</v>
          </cell>
        </row>
        <row r="141">
          <cell r="A141">
            <v>44382</v>
          </cell>
          <cell r="B141">
            <v>135</v>
          </cell>
          <cell r="C141" t="str">
            <v>IASWD230613946</v>
          </cell>
          <cell r="D141">
            <v>45104</v>
          </cell>
          <cell r="E141">
            <v>45933</v>
          </cell>
          <cell r="F141" t="str">
            <v>44382</v>
          </cell>
          <cell r="G141" t="str">
            <v>廣越二</v>
          </cell>
          <cell r="H141">
            <v>200000</v>
          </cell>
          <cell r="I141">
            <v>3.25</v>
          </cell>
          <cell r="J141">
            <v>45933</v>
          </cell>
          <cell r="K141">
            <v>100</v>
          </cell>
          <cell r="L141">
            <v>45915</v>
          </cell>
          <cell r="M141">
            <v>-12252</v>
          </cell>
          <cell r="N141">
            <v>187748</v>
          </cell>
        </row>
        <row r="142">
          <cell r="A142">
            <v>44382</v>
          </cell>
          <cell r="B142">
            <v>136</v>
          </cell>
          <cell r="C142" t="str">
            <v>IASWD230613967</v>
          </cell>
          <cell r="D142">
            <v>45105</v>
          </cell>
          <cell r="E142">
            <v>45933</v>
          </cell>
          <cell r="F142" t="str">
            <v>44382</v>
          </cell>
          <cell r="G142" t="str">
            <v>廣越二</v>
          </cell>
          <cell r="H142">
            <v>800000</v>
          </cell>
          <cell r="I142">
            <v>3.25</v>
          </cell>
          <cell r="J142">
            <v>45933</v>
          </cell>
          <cell r="K142">
            <v>100</v>
          </cell>
          <cell r="L142">
            <v>45915</v>
          </cell>
          <cell r="M142">
            <v>-48937</v>
          </cell>
          <cell r="N142">
            <v>751063</v>
          </cell>
        </row>
        <row r="143">
          <cell r="A143">
            <v>44382</v>
          </cell>
          <cell r="B143">
            <v>137</v>
          </cell>
          <cell r="C143" t="str">
            <v>IASWD230613972</v>
          </cell>
          <cell r="D143">
            <v>45105</v>
          </cell>
          <cell r="E143">
            <v>45933</v>
          </cell>
          <cell r="F143" t="str">
            <v>44382</v>
          </cell>
          <cell r="G143" t="str">
            <v>廣越二</v>
          </cell>
          <cell r="H143">
            <v>100000</v>
          </cell>
          <cell r="I143">
            <v>3.25</v>
          </cell>
          <cell r="J143">
            <v>45933</v>
          </cell>
          <cell r="K143">
            <v>100</v>
          </cell>
          <cell r="L143">
            <v>45915</v>
          </cell>
          <cell r="M143">
            <v>-6117</v>
          </cell>
          <cell r="N143">
            <v>93883</v>
          </cell>
        </row>
        <row r="144">
          <cell r="A144">
            <v>44382</v>
          </cell>
          <cell r="B144">
            <v>138</v>
          </cell>
          <cell r="C144" t="str">
            <v>IASWD230613992</v>
          </cell>
          <cell r="D144">
            <v>45105</v>
          </cell>
          <cell r="E144">
            <v>45933</v>
          </cell>
          <cell r="F144" t="str">
            <v>44382</v>
          </cell>
          <cell r="G144" t="str">
            <v>廣越二</v>
          </cell>
          <cell r="H144">
            <v>300000</v>
          </cell>
          <cell r="I144">
            <v>3.25</v>
          </cell>
          <cell r="J144">
            <v>45933</v>
          </cell>
          <cell r="K144">
            <v>100</v>
          </cell>
          <cell r="L144">
            <v>45915</v>
          </cell>
          <cell r="M144">
            <v>-18351</v>
          </cell>
          <cell r="N144">
            <v>281649</v>
          </cell>
        </row>
        <row r="145">
          <cell r="A145">
            <v>44382</v>
          </cell>
          <cell r="B145">
            <v>139</v>
          </cell>
          <cell r="C145" t="str">
            <v>IASWD230613993</v>
          </cell>
          <cell r="D145">
            <v>45105</v>
          </cell>
          <cell r="E145">
            <v>45933</v>
          </cell>
          <cell r="F145" t="str">
            <v>44382</v>
          </cell>
          <cell r="G145" t="str">
            <v>廣越二</v>
          </cell>
          <cell r="H145">
            <v>600000</v>
          </cell>
          <cell r="I145">
            <v>3.25</v>
          </cell>
          <cell r="J145">
            <v>45933</v>
          </cell>
          <cell r="K145">
            <v>100</v>
          </cell>
          <cell r="L145">
            <v>45915</v>
          </cell>
          <cell r="M145">
            <v>-36703</v>
          </cell>
          <cell r="N145">
            <v>563297</v>
          </cell>
        </row>
        <row r="146">
          <cell r="A146">
            <v>41234</v>
          </cell>
          <cell r="B146">
            <v>140</v>
          </cell>
          <cell r="C146" t="str">
            <v>IASWD230614024</v>
          </cell>
          <cell r="D146">
            <v>45106</v>
          </cell>
          <cell r="E146">
            <v>45908</v>
          </cell>
          <cell r="F146" t="str">
            <v>41234</v>
          </cell>
          <cell r="G146" t="str">
            <v>晟德四</v>
          </cell>
          <cell r="H146">
            <v>100000</v>
          </cell>
          <cell r="I146">
            <v>2.1</v>
          </cell>
          <cell r="J146">
            <v>45907</v>
          </cell>
          <cell r="K146">
            <v>100</v>
          </cell>
          <cell r="L146">
            <v>45888</v>
          </cell>
          <cell r="M146">
            <v>-3947</v>
          </cell>
          <cell r="N146">
            <v>96053</v>
          </cell>
        </row>
        <row r="147">
          <cell r="A147">
            <v>44382</v>
          </cell>
          <cell r="B147">
            <v>141</v>
          </cell>
          <cell r="C147" t="str">
            <v>IASWD230614036</v>
          </cell>
          <cell r="D147">
            <v>45107</v>
          </cell>
          <cell r="E147">
            <v>45933</v>
          </cell>
          <cell r="F147" t="str">
            <v>44382</v>
          </cell>
          <cell r="G147" t="str">
            <v>廣越二</v>
          </cell>
          <cell r="H147">
            <v>500000</v>
          </cell>
          <cell r="I147">
            <v>3.25</v>
          </cell>
          <cell r="J147">
            <v>45933</v>
          </cell>
          <cell r="K147">
            <v>100</v>
          </cell>
          <cell r="L147">
            <v>45915</v>
          </cell>
          <cell r="M147">
            <v>-30497</v>
          </cell>
          <cell r="N147">
            <v>469503</v>
          </cell>
        </row>
        <row r="148">
          <cell r="A148">
            <v>15991</v>
          </cell>
          <cell r="B148">
            <v>142</v>
          </cell>
          <cell r="C148" t="str">
            <v>IASWD230614041</v>
          </cell>
          <cell r="D148">
            <v>45107</v>
          </cell>
          <cell r="E148">
            <v>45979</v>
          </cell>
          <cell r="F148" t="str">
            <v>15991</v>
          </cell>
          <cell r="G148" t="str">
            <v>宏佳騰一</v>
          </cell>
          <cell r="H148">
            <v>500000</v>
          </cell>
          <cell r="I148">
            <v>2.15</v>
          </cell>
          <cell r="J148">
            <v>45979</v>
          </cell>
          <cell r="K148">
            <v>100</v>
          </cell>
          <cell r="L148">
            <v>45959</v>
          </cell>
          <cell r="M148">
            <v>-20175</v>
          </cell>
          <cell r="N148">
            <v>479825</v>
          </cell>
        </row>
        <row r="149">
          <cell r="A149">
            <v>15991</v>
          </cell>
          <cell r="B149">
            <v>143</v>
          </cell>
          <cell r="C149" t="str">
            <v>IASWD230614044</v>
          </cell>
          <cell r="D149">
            <v>45107</v>
          </cell>
          <cell r="E149">
            <v>45979</v>
          </cell>
          <cell r="F149" t="str">
            <v>15991</v>
          </cell>
          <cell r="G149" t="str">
            <v>宏佳騰一</v>
          </cell>
          <cell r="H149">
            <v>500000</v>
          </cell>
          <cell r="I149">
            <v>2.15</v>
          </cell>
          <cell r="J149">
            <v>45979</v>
          </cell>
          <cell r="K149">
            <v>100</v>
          </cell>
          <cell r="L149">
            <v>45959</v>
          </cell>
          <cell r="M149">
            <v>-20175</v>
          </cell>
          <cell r="N149">
            <v>479825</v>
          </cell>
        </row>
        <row r="150">
          <cell r="A150">
            <v>41235</v>
          </cell>
          <cell r="B150">
            <v>144</v>
          </cell>
          <cell r="C150" t="str">
            <v>IASWD230614047</v>
          </cell>
          <cell r="D150">
            <v>45107</v>
          </cell>
          <cell r="E150">
            <v>45908</v>
          </cell>
          <cell r="F150" t="str">
            <v>41235</v>
          </cell>
          <cell r="G150" t="str">
            <v>晟德五</v>
          </cell>
          <cell r="H150">
            <v>100000</v>
          </cell>
          <cell r="I150">
            <v>2.1</v>
          </cell>
          <cell r="J150">
            <v>45908</v>
          </cell>
          <cell r="K150">
            <v>100</v>
          </cell>
          <cell r="L150">
            <v>45888</v>
          </cell>
          <cell r="M150">
            <v>-3941</v>
          </cell>
          <cell r="N150">
            <v>96059</v>
          </cell>
        </row>
        <row r="151">
          <cell r="A151">
            <v>41235</v>
          </cell>
          <cell r="B151">
            <v>145</v>
          </cell>
          <cell r="C151" t="str">
            <v>IASWD230614061</v>
          </cell>
          <cell r="D151">
            <v>45107</v>
          </cell>
          <cell r="E151">
            <v>45908</v>
          </cell>
          <cell r="F151" t="str">
            <v>41235</v>
          </cell>
          <cell r="G151" t="str">
            <v>晟德五</v>
          </cell>
          <cell r="H151">
            <v>100000</v>
          </cell>
          <cell r="I151">
            <v>2.1</v>
          </cell>
          <cell r="J151">
            <v>45908</v>
          </cell>
          <cell r="K151">
            <v>100</v>
          </cell>
          <cell r="L151">
            <v>45888</v>
          </cell>
          <cell r="M151">
            <v>-3941</v>
          </cell>
          <cell r="N151">
            <v>96059</v>
          </cell>
        </row>
        <row r="152">
          <cell r="A152">
            <v>44382</v>
          </cell>
          <cell r="B152">
            <v>146</v>
          </cell>
          <cell r="C152" t="str">
            <v>IASWD230614068</v>
          </cell>
          <cell r="D152">
            <v>45107</v>
          </cell>
          <cell r="E152">
            <v>45933</v>
          </cell>
          <cell r="F152" t="str">
            <v>44382</v>
          </cell>
          <cell r="G152" t="str">
            <v>廣越二</v>
          </cell>
          <cell r="H152">
            <v>300000</v>
          </cell>
          <cell r="I152">
            <v>3.25</v>
          </cell>
          <cell r="J152">
            <v>45933</v>
          </cell>
          <cell r="K152">
            <v>100</v>
          </cell>
          <cell r="L152">
            <v>45915</v>
          </cell>
          <cell r="M152">
            <v>-18298</v>
          </cell>
          <cell r="N152">
            <v>281702</v>
          </cell>
        </row>
        <row r="153">
          <cell r="A153">
            <v>22313</v>
          </cell>
          <cell r="B153">
            <v>147</v>
          </cell>
          <cell r="C153" t="str">
            <v>IASWD230714086</v>
          </cell>
          <cell r="D153">
            <v>45110</v>
          </cell>
          <cell r="E153">
            <v>45898</v>
          </cell>
          <cell r="F153" t="str">
            <v>22313</v>
          </cell>
          <cell r="G153" t="str">
            <v>為升三</v>
          </cell>
          <cell r="H153">
            <v>400000</v>
          </cell>
          <cell r="I153">
            <v>4</v>
          </cell>
          <cell r="J153">
            <v>45898</v>
          </cell>
          <cell r="K153">
            <v>101.50749999999999</v>
          </cell>
          <cell r="L153">
            <v>45880</v>
          </cell>
          <cell r="M153">
            <v>-29896</v>
          </cell>
          <cell r="N153">
            <v>370104</v>
          </cell>
        </row>
        <row r="154">
          <cell r="A154">
            <v>44382</v>
          </cell>
          <cell r="B154">
            <v>148</v>
          </cell>
          <cell r="C154" t="str">
            <v>IASWD230714087</v>
          </cell>
          <cell r="D154">
            <v>45110</v>
          </cell>
          <cell r="E154">
            <v>45933</v>
          </cell>
          <cell r="F154" t="str">
            <v>44382</v>
          </cell>
          <cell r="G154" t="str">
            <v>廣越二</v>
          </cell>
          <cell r="H154">
            <v>300000</v>
          </cell>
          <cell r="I154">
            <v>3.25</v>
          </cell>
          <cell r="J154">
            <v>45933</v>
          </cell>
          <cell r="K154">
            <v>100</v>
          </cell>
          <cell r="L154">
            <v>45915</v>
          </cell>
          <cell r="M154">
            <v>-18218</v>
          </cell>
          <cell r="N154">
            <v>281782</v>
          </cell>
        </row>
        <row r="155">
          <cell r="A155">
            <v>44382</v>
          </cell>
          <cell r="B155">
            <v>149</v>
          </cell>
          <cell r="C155" t="str">
            <v>IASWD230714088</v>
          </cell>
          <cell r="D155">
            <v>45110</v>
          </cell>
          <cell r="E155">
            <v>45933</v>
          </cell>
          <cell r="F155" t="str">
            <v>44382</v>
          </cell>
          <cell r="G155" t="str">
            <v>廣越二</v>
          </cell>
          <cell r="H155">
            <v>200000</v>
          </cell>
          <cell r="I155">
            <v>3.25</v>
          </cell>
          <cell r="J155">
            <v>45933</v>
          </cell>
          <cell r="K155">
            <v>100</v>
          </cell>
          <cell r="L155">
            <v>45915</v>
          </cell>
          <cell r="M155">
            <v>-12145</v>
          </cell>
          <cell r="N155">
            <v>187855</v>
          </cell>
        </row>
        <row r="156">
          <cell r="A156">
            <v>15991</v>
          </cell>
          <cell r="B156">
            <v>150</v>
          </cell>
          <cell r="C156" t="str">
            <v>IASWD230714113</v>
          </cell>
          <cell r="D156">
            <v>45110</v>
          </cell>
          <cell r="E156">
            <v>45979</v>
          </cell>
          <cell r="F156" t="str">
            <v>15991</v>
          </cell>
          <cell r="G156" t="str">
            <v>宏佳騰一</v>
          </cell>
          <cell r="H156">
            <v>400000</v>
          </cell>
          <cell r="I156">
            <v>2.15</v>
          </cell>
          <cell r="J156">
            <v>45979</v>
          </cell>
          <cell r="K156">
            <v>100</v>
          </cell>
          <cell r="L156">
            <v>45959</v>
          </cell>
          <cell r="M156">
            <v>-16069</v>
          </cell>
          <cell r="N156">
            <v>383931</v>
          </cell>
        </row>
        <row r="157">
          <cell r="A157">
            <v>41234</v>
          </cell>
          <cell r="B157">
            <v>151</v>
          </cell>
          <cell r="C157" t="str">
            <v>IASWD230714188</v>
          </cell>
          <cell r="D157">
            <v>45111</v>
          </cell>
          <cell r="E157">
            <v>45908</v>
          </cell>
          <cell r="F157" t="str">
            <v>41234</v>
          </cell>
          <cell r="G157" t="str">
            <v>晟德四</v>
          </cell>
          <cell r="H157">
            <v>300000</v>
          </cell>
          <cell r="I157">
            <v>2.1</v>
          </cell>
          <cell r="J157">
            <v>45907</v>
          </cell>
          <cell r="K157">
            <v>100</v>
          </cell>
          <cell r="L157">
            <v>45888</v>
          </cell>
          <cell r="M157">
            <v>-11754</v>
          </cell>
          <cell r="N157">
            <v>288246</v>
          </cell>
        </row>
        <row r="158">
          <cell r="A158">
            <v>61965</v>
          </cell>
          <cell r="B158">
            <v>152</v>
          </cell>
          <cell r="C158" t="str">
            <v>IASWD230714189</v>
          </cell>
          <cell r="D158">
            <v>45111</v>
          </cell>
          <cell r="E158">
            <v>46202</v>
          </cell>
          <cell r="F158" t="str">
            <v>61965</v>
          </cell>
          <cell r="G158" t="str">
            <v>帆宣五</v>
          </cell>
          <cell r="H158">
            <v>400000</v>
          </cell>
          <cell r="I158">
            <v>2.7</v>
          </cell>
          <cell r="J158">
            <v>46200</v>
          </cell>
          <cell r="K158">
            <v>100</v>
          </cell>
          <cell r="L158">
            <v>46182</v>
          </cell>
          <cell r="M158">
            <v>-20150</v>
          </cell>
          <cell r="N158">
            <v>379850</v>
          </cell>
        </row>
        <row r="159">
          <cell r="A159">
            <v>61965</v>
          </cell>
          <cell r="B159">
            <v>153</v>
          </cell>
          <cell r="C159" t="str">
            <v>IASWD230714190</v>
          </cell>
          <cell r="D159">
            <v>45111</v>
          </cell>
          <cell r="E159">
            <v>46202</v>
          </cell>
          <cell r="F159" t="str">
            <v>61965</v>
          </cell>
          <cell r="G159" t="str">
            <v>帆宣五</v>
          </cell>
          <cell r="H159">
            <v>5000000</v>
          </cell>
          <cell r="I159">
            <v>2.7</v>
          </cell>
          <cell r="J159">
            <v>46200</v>
          </cell>
          <cell r="K159">
            <v>100</v>
          </cell>
          <cell r="L159">
            <v>46182</v>
          </cell>
          <cell r="M159">
            <v>-251877</v>
          </cell>
          <cell r="N159">
            <v>4748123</v>
          </cell>
        </row>
        <row r="160">
          <cell r="A160">
            <v>61965</v>
          </cell>
          <cell r="B160">
            <v>154</v>
          </cell>
          <cell r="C160" t="str">
            <v>IASWD230714192</v>
          </cell>
          <cell r="D160">
            <v>45111</v>
          </cell>
          <cell r="E160">
            <v>46202</v>
          </cell>
          <cell r="F160" t="str">
            <v>61965</v>
          </cell>
          <cell r="G160" t="str">
            <v>帆宣五</v>
          </cell>
          <cell r="H160">
            <v>600000</v>
          </cell>
          <cell r="I160">
            <v>2.7</v>
          </cell>
          <cell r="J160">
            <v>46200</v>
          </cell>
          <cell r="K160">
            <v>100</v>
          </cell>
          <cell r="L160">
            <v>46182</v>
          </cell>
          <cell r="M160">
            <v>-30225</v>
          </cell>
          <cell r="N160">
            <v>569775</v>
          </cell>
        </row>
        <row r="161">
          <cell r="A161">
            <v>61965</v>
          </cell>
          <cell r="B161">
            <v>155</v>
          </cell>
          <cell r="C161" t="str">
            <v>IASWD230714197</v>
          </cell>
          <cell r="D161">
            <v>45111</v>
          </cell>
          <cell r="E161">
            <v>46202</v>
          </cell>
          <cell r="F161" t="str">
            <v>61965</v>
          </cell>
          <cell r="G161" t="str">
            <v>帆宣五</v>
          </cell>
          <cell r="H161">
            <v>200000</v>
          </cell>
          <cell r="I161">
            <v>2.7</v>
          </cell>
          <cell r="J161">
            <v>46200</v>
          </cell>
          <cell r="K161">
            <v>100</v>
          </cell>
          <cell r="L161">
            <v>46182</v>
          </cell>
          <cell r="M161">
            <v>-10075</v>
          </cell>
          <cell r="N161">
            <v>189925</v>
          </cell>
        </row>
        <row r="162">
          <cell r="A162">
            <v>61965</v>
          </cell>
          <cell r="B162">
            <v>156</v>
          </cell>
          <cell r="C162" t="str">
            <v>IASWD230714200</v>
          </cell>
          <cell r="D162">
            <v>45111</v>
          </cell>
          <cell r="E162">
            <v>46202</v>
          </cell>
          <cell r="F162" t="str">
            <v>61965</v>
          </cell>
          <cell r="G162" t="str">
            <v>帆宣五</v>
          </cell>
          <cell r="H162">
            <v>500000</v>
          </cell>
          <cell r="I162">
            <v>2.7</v>
          </cell>
          <cell r="J162">
            <v>46200</v>
          </cell>
          <cell r="K162">
            <v>100</v>
          </cell>
          <cell r="L162">
            <v>46182</v>
          </cell>
          <cell r="M162">
            <v>-25188</v>
          </cell>
          <cell r="N162">
            <v>474812</v>
          </cell>
        </row>
        <row r="163">
          <cell r="A163">
            <v>61965</v>
          </cell>
          <cell r="B163">
            <v>157</v>
          </cell>
          <cell r="C163" t="str">
            <v>IASWD230714201</v>
          </cell>
          <cell r="D163">
            <v>45111</v>
          </cell>
          <cell r="E163">
            <v>46202</v>
          </cell>
          <cell r="F163" t="str">
            <v>61965</v>
          </cell>
          <cell r="G163" t="str">
            <v>帆宣五</v>
          </cell>
          <cell r="H163">
            <v>500000</v>
          </cell>
          <cell r="I163">
            <v>2.7</v>
          </cell>
          <cell r="J163">
            <v>46200</v>
          </cell>
          <cell r="K163">
            <v>100</v>
          </cell>
          <cell r="L163">
            <v>46182</v>
          </cell>
          <cell r="M163">
            <v>-25188</v>
          </cell>
          <cell r="N163">
            <v>474812</v>
          </cell>
        </row>
        <row r="164">
          <cell r="A164">
            <v>41235</v>
          </cell>
          <cell r="B164">
            <v>158</v>
          </cell>
          <cell r="C164" t="str">
            <v>IASWD230714204</v>
          </cell>
          <cell r="D164">
            <v>45111</v>
          </cell>
          <cell r="E164">
            <v>45908</v>
          </cell>
          <cell r="F164" t="str">
            <v>41235</v>
          </cell>
          <cell r="G164" t="str">
            <v>晟德五</v>
          </cell>
          <cell r="H164">
            <v>200000</v>
          </cell>
          <cell r="I164">
            <v>2.1</v>
          </cell>
          <cell r="J164">
            <v>45908</v>
          </cell>
          <cell r="K164">
            <v>100</v>
          </cell>
          <cell r="L164">
            <v>45888</v>
          </cell>
          <cell r="M164">
            <v>-7836</v>
          </cell>
          <cell r="N164">
            <v>192164</v>
          </cell>
        </row>
        <row r="165">
          <cell r="A165">
            <v>15991</v>
          </cell>
          <cell r="B165">
            <v>159</v>
          </cell>
          <cell r="C165" t="str">
            <v>IASWD230714206</v>
          </cell>
          <cell r="D165">
            <v>45111</v>
          </cell>
          <cell r="E165">
            <v>45979</v>
          </cell>
          <cell r="F165" t="str">
            <v>15991</v>
          </cell>
          <cell r="G165" t="str">
            <v>宏佳騰一</v>
          </cell>
          <cell r="H165">
            <v>100000</v>
          </cell>
          <cell r="I165">
            <v>2.15</v>
          </cell>
          <cell r="J165">
            <v>45979</v>
          </cell>
          <cell r="K165">
            <v>100</v>
          </cell>
          <cell r="L165">
            <v>45959</v>
          </cell>
          <cell r="M165">
            <v>-4011</v>
          </cell>
          <cell r="N165">
            <v>95989</v>
          </cell>
        </row>
        <row r="166">
          <cell r="A166">
            <v>61965</v>
          </cell>
          <cell r="B166">
            <v>160</v>
          </cell>
          <cell r="C166" t="str">
            <v>IASWD230714207</v>
          </cell>
          <cell r="D166">
            <v>45111</v>
          </cell>
          <cell r="E166">
            <v>46202</v>
          </cell>
          <cell r="F166" t="str">
            <v>61965</v>
          </cell>
          <cell r="G166" t="str">
            <v>帆宣五</v>
          </cell>
          <cell r="H166">
            <v>500000</v>
          </cell>
          <cell r="I166">
            <v>2.7</v>
          </cell>
          <cell r="J166">
            <v>46200</v>
          </cell>
          <cell r="K166">
            <v>100</v>
          </cell>
          <cell r="L166">
            <v>46182</v>
          </cell>
          <cell r="M166">
            <v>-25188</v>
          </cell>
          <cell r="N166">
            <v>474812</v>
          </cell>
        </row>
        <row r="167">
          <cell r="A167">
            <v>44382</v>
          </cell>
          <cell r="B167">
            <v>161</v>
          </cell>
          <cell r="C167" t="str">
            <v>IASWD230714213</v>
          </cell>
          <cell r="D167">
            <v>45111</v>
          </cell>
          <cell r="E167">
            <v>45933</v>
          </cell>
          <cell r="F167" t="str">
            <v>44382</v>
          </cell>
          <cell r="G167" t="str">
            <v>廣越二</v>
          </cell>
          <cell r="H167">
            <v>300000</v>
          </cell>
          <cell r="I167">
            <v>3.25</v>
          </cell>
          <cell r="J167">
            <v>45933</v>
          </cell>
          <cell r="K167">
            <v>100</v>
          </cell>
          <cell r="L167">
            <v>45915</v>
          </cell>
          <cell r="M167">
            <v>-18191</v>
          </cell>
          <cell r="N167">
            <v>281809</v>
          </cell>
        </row>
        <row r="168">
          <cell r="A168">
            <v>61965</v>
          </cell>
          <cell r="B168">
            <v>162</v>
          </cell>
          <cell r="C168" t="str">
            <v>IASWD230714214</v>
          </cell>
          <cell r="D168">
            <v>45111</v>
          </cell>
          <cell r="E168">
            <v>46202</v>
          </cell>
          <cell r="F168" t="str">
            <v>61965</v>
          </cell>
          <cell r="G168" t="str">
            <v>帆宣五</v>
          </cell>
          <cell r="H168">
            <v>200000</v>
          </cell>
          <cell r="I168">
            <v>2.7</v>
          </cell>
          <cell r="J168">
            <v>46200</v>
          </cell>
          <cell r="K168">
            <v>100</v>
          </cell>
          <cell r="L168">
            <v>46182</v>
          </cell>
          <cell r="M168">
            <v>-10075</v>
          </cell>
          <cell r="N168">
            <v>189925</v>
          </cell>
        </row>
        <row r="169">
          <cell r="A169">
            <v>61965</v>
          </cell>
          <cell r="B169">
            <v>163</v>
          </cell>
          <cell r="C169" t="str">
            <v>IASWD230714218</v>
          </cell>
          <cell r="D169">
            <v>45111</v>
          </cell>
          <cell r="E169">
            <v>46202</v>
          </cell>
          <cell r="F169" t="str">
            <v>61965</v>
          </cell>
          <cell r="G169" t="str">
            <v>帆宣五</v>
          </cell>
          <cell r="H169">
            <v>300000</v>
          </cell>
          <cell r="I169">
            <v>2.7</v>
          </cell>
          <cell r="J169">
            <v>46200</v>
          </cell>
          <cell r="K169">
            <v>100</v>
          </cell>
          <cell r="L169">
            <v>46182</v>
          </cell>
          <cell r="M169">
            <v>-15113</v>
          </cell>
          <cell r="N169">
            <v>284887</v>
          </cell>
        </row>
        <row r="170">
          <cell r="A170">
            <v>33233</v>
          </cell>
          <cell r="B170">
            <v>164</v>
          </cell>
          <cell r="C170" t="str">
            <v>IASWD230714221</v>
          </cell>
          <cell r="D170">
            <v>45111</v>
          </cell>
          <cell r="E170">
            <v>46175</v>
          </cell>
          <cell r="F170" t="str">
            <v>33233</v>
          </cell>
          <cell r="G170" t="str">
            <v>加百裕三</v>
          </cell>
          <cell r="H170">
            <v>100000</v>
          </cell>
          <cell r="I170">
            <v>3.75</v>
          </cell>
          <cell r="J170">
            <v>46175</v>
          </cell>
          <cell r="K170">
            <v>101.50749999999999</v>
          </cell>
          <cell r="L170">
            <v>46155</v>
          </cell>
          <cell r="M170">
            <v>-6997</v>
          </cell>
          <cell r="N170">
            <v>93003</v>
          </cell>
        </row>
        <row r="171">
          <cell r="A171">
            <v>61965</v>
          </cell>
          <cell r="B171">
            <v>165</v>
          </cell>
          <cell r="C171" t="str">
            <v>IASWD230714223</v>
          </cell>
          <cell r="D171">
            <v>45111</v>
          </cell>
          <cell r="E171">
            <v>46202</v>
          </cell>
          <cell r="F171" t="str">
            <v>61965</v>
          </cell>
          <cell r="G171" t="str">
            <v>帆宣五</v>
          </cell>
          <cell r="H171">
            <v>1500000</v>
          </cell>
          <cell r="I171">
            <v>2.7</v>
          </cell>
          <cell r="J171">
            <v>46200</v>
          </cell>
          <cell r="K171">
            <v>100</v>
          </cell>
          <cell r="L171">
            <v>46182</v>
          </cell>
          <cell r="M171">
            <v>-75563</v>
          </cell>
          <cell r="N171">
            <v>1424437</v>
          </cell>
        </row>
        <row r="172">
          <cell r="A172">
            <v>61965</v>
          </cell>
          <cell r="B172">
            <v>166</v>
          </cell>
          <cell r="C172" t="str">
            <v>IASWD230714227</v>
          </cell>
          <cell r="D172">
            <v>45111</v>
          </cell>
          <cell r="E172">
            <v>46202</v>
          </cell>
          <cell r="F172" t="str">
            <v>61965</v>
          </cell>
          <cell r="G172" t="str">
            <v>帆宣五</v>
          </cell>
          <cell r="H172">
            <v>500000</v>
          </cell>
          <cell r="I172">
            <v>2.7</v>
          </cell>
          <cell r="J172">
            <v>46200</v>
          </cell>
          <cell r="K172">
            <v>100</v>
          </cell>
          <cell r="L172">
            <v>46182</v>
          </cell>
          <cell r="M172">
            <v>-25188</v>
          </cell>
          <cell r="N172">
            <v>474812</v>
          </cell>
        </row>
        <row r="173">
          <cell r="A173">
            <v>61965</v>
          </cell>
          <cell r="B173">
            <v>167</v>
          </cell>
          <cell r="C173" t="str">
            <v>IASWD230714230</v>
          </cell>
          <cell r="D173">
            <v>45112</v>
          </cell>
          <cell r="E173">
            <v>46202</v>
          </cell>
          <cell r="F173" t="str">
            <v>61965</v>
          </cell>
          <cell r="G173" t="str">
            <v>帆宣五</v>
          </cell>
          <cell r="H173">
            <v>500000</v>
          </cell>
          <cell r="I173">
            <v>2.7</v>
          </cell>
          <cell r="J173">
            <v>46200</v>
          </cell>
          <cell r="K173">
            <v>100</v>
          </cell>
          <cell r="L173">
            <v>46182</v>
          </cell>
          <cell r="M173">
            <v>-25151</v>
          </cell>
          <cell r="N173">
            <v>474849</v>
          </cell>
        </row>
        <row r="174">
          <cell r="A174">
            <v>61965</v>
          </cell>
          <cell r="B174">
            <v>168</v>
          </cell>
          <cell r="C174" t="str">
            <v>IASWD230714238</v>
          </cell>
          <cell r="D174">
            <v>45112</v>
          </cell>
          <cell r="E174">
            <v>46202</v>
          </cell>
          <cell r="F174" t="str">
            <v>61965</v>
          </cell>
          <cell r="G174" t="str">
            <v>帆宣五</v>
          </cell>
          <cell r="H174">
            <v>100000</v>
          </cell>
          <cell r="I174">
            <v>2.7</v>
          </cell>
          <cell r="J174">
            <v>46200</v>
          </cell>
          <cell r="K174">
            <v>100</v>
          </cell>
          <cell r="L174">
            <v>46182</v>
          </cell>
          <cell r="M174">
            <v>-5030</v>
          </cell>
          <cell r="N174">
            <v>94970</v>
          </cell>
        </row>
        <row r="175">
          <cell r="A175">
            <v>33233</v>
          </cell>
          <cell r="B175">
            <v>169</v>
          </cell>
          <cell r="C175" t="str">
            <v>IASWD230714247</v>
          </cell>
          <cell r="D175">
            <v>45112</v>
          </cell>
          <cell r="E175">
            <v>46175</v>
          </cell>
          <cell r="F175" t="str">
            <v>33233</v>
          </cell>
          <cell r="G175" t="str">
            <v>加百裕三</v>
          </cell>
          <cell r="H175">
            <v>100000</v>
          </cell>
          <cell r="I175">
            <v>3.75</v>
          </cell>
          <cell r="J175">
            <v>46175</v>
          </cell>
          <cell r="K175">
            <v>101.50749999999999</v>
          </cell>
          <cell r="L175">
            <v>46155</v>
          </cell>
          <cell r="M175">
            <v>-6986</v>
          </cell>
          <cell r="N175">
            <v>93014</v>
          </cell>
        </row>
        <row r="176">
          <cell r="A176">
            <v>61965</v>
          </cell>
          <cell r="B176">
            <v>170</v>
          </cell>
          <cell r="C176" t="str">
            <v>IASWD230714250</v>
          </cell>
          <cell r="D176">
            <v>45112</v>
          </cell>
          <cell r="E176">
            <v>46202</v>
          </cell>
          <cell r="F176" t="str">
            <v>61965</v>
          </cell>
          <cell r="G176" t="str">
            <v>帆宣五</v>
          </cell>
          <cell r="H176">
            <v>100000</v>
          </cell>
          <cell r="I176">
            <v>2.7</v>
          </cell>
          <cell r="J176">
            <v>46200</v>
          </cell>
          <cell r="K176">
            <v>100</v>
          </cell>
          <cell r="L176">
            <v>46182</v>
          </cell>
          <cell r="M176">
            <v>-5030</v>
          </cell>
          <cell r="N176">
            <v>94970</v>
          </cell>
        </row>
        <row r="177">
          <cell r="A177">
            <v>15991</v>
          </cell>
          <cell r="B177">
            <v>171</v>
          </cell>
          <cell r="C177" t="str">
            <v>IASWD230714251</v>
          </cell>
          <cell r="D177">
            <v>45112</v>
          </cell>
          <cell r="E177">
            <v>45979</v>
          </cell>
          <cell r="F177" t="str">
            <v>15991</v>
          </cell>
          <cell r="G177" t="str">
            <v>宏佳騰一</v>
          </cell>
          <cell r="H177">
            <v>100000</v>
          </cell>
          <cell r="I177">
            <v>2.15</v>
          </cell>
          <cell r="J177">
            <v>45979</v>
          </cell>
          <cell r="K177">
            <v>100</v>
          </cell>
          <cell r="L177">
            <v>45959</v>
          </cell>
          <cell r="M177">
            <v>-4005</v>
          </cell>
          <cell r="N177">
            <v>95995</v>
          </cell>
        </row>
        <row r="178">
          <cell r="A178">
            <v>61965</v>
          </cell>
          <cell r="B178">
            <v>172</v>
          </cell>
          <cell r="C178" t="str">
            <v>IASWD230714254</v>
          </cell>
          <cell r="D178">
            <v>45112</v>
          </cell>
          <cell r="E178">
            <v>46202</v>
          </cell>
          <cell r="F178" t="str">
            <v>61965</v>
          </cell>
          <cell r="G178" t="str">
            <v>帆宣五</v>
          </cell>
          <cell r="H178">
            <v>1000000</v>
          </cell>
          <cell r="I178">
            <v>2.7</v>
          </cell>
          <cell r="J178">
            <v>46200</v>
          </cell>
          <cell r="K178">
            <v>100</v>
          </cell>
          <cell r="L178">
            <v>46182</v>
          </cell>
          <cell r="M178">
            <v>-50301</v>
          </cell>
          <cell r="N178">
            <v>949699</v>
          </cell>
        </row>
        <row r="179">
          <cell r="A179">
            <v>15991</v>
          </cell>
          <cell r="B179">
            <v>173</v>
          </cell>
          <cell r="C179" t="str">
            <v>IASWD230714257</v>
          </cell>
          <cell r="D179">
            <v>45112</v>
          </cell>
          <cell r="E179">
            <v>45979</v>
          </cell>
          <cell r="F179" t="str">
            <v>15991</v>
          </cell>
          <cell r="G179" t="str">
            <v>宏佳騰一</v>
          </cell>
          <cell r="H179">
            <v>300000</v>
          </cell>
          <cell r="I179">
            <v>2.15</v>
          </cell>
          <cell r="J179">
            <v>45979</v>
          </cell>
          <cell r="K179">
            <v>100</v>
          </cell>
          <cell r="L179">
            <v>45959</v>
          </cell>
          <cell r="M179">
            <v>-12016</v>
          </cell>
          <cell r="N179">
            <v>287984</v>
          </cell>
        </row>
        <row r="180">
          <cell r="A180">
            <v>44382</v>
          </cell>
          <cell r="B180">
            <v>174</v>
          </cell>
          <cell r="C180" t="str">
            <v>IASWD230714261</v>
          </cell>
          <cell r="D180">
            <v>45112</v>
          </cell>
          <cell r="E180">
            <v>45933</v>
          </cell>
          <cell r="F180" t="str">
            <v>44382</v>
          </cell>
          <cell r="G180" t="str">
            <v>廣越二</v>
          </cell>
          <cell r="H180">
            <v>200000</v>
          </cell>
          <cell r="I180">
            <v>3.25</v>
          </cell>
          <cell r="J180">
            <v>45933</v>
          </cell>
          <cell r="K180">
            <v>100</v>
          </cell>
          <cell r="L180">
            <v>45915</v>
          </cell>
          <cell r="M180">
            <v>-12110</v>
          </cell>
          <cell r="N180">
            <v>187890</v>
          </cell>
        </row>
        <row r="181">
          <cell r="A181">
            <v>33233</v>
          </cell>
          <cell r="B181">
            <v>175</v>
          </cell>
          <cell r="C181" t="str">
            <v>IASWD230714268</v>
          </cell>
          <cell r="D181">
            <v>45112</v>
          </cell>
          <cell r="E181">
            <v>46175</v>
          </cell>
          <cell r="F181" t="str">
            <v>33233</v>
          </cell>
          <cell r="G181" t="str">
            <v>加百裕三</v>
          </cell>
          <cell r="H181">
            <v>100000</v>
          </cell>
          <cell r="I181">
            <v>3.75</v>
          </cell>
          <cell r="J181">
            <v>46175</v>
          </cell>
          <cell r="K181">
            <v>101.50749999999999</v>
          </cell>
          <cell r="L181">
            <v>46155</v>
          </cell>
          <cell r="M181">
            <v>-6986</v>
          </cell>
          <cell r="N181">
            <v>93014</v>
          </cell>
        </row>
        <row r="182">
          <cell r="A182">
            <v>61965</v>
          </cell>
          <cell r="B182">
            <v>176</v>
          </cell>
          <cell r="C182" t="str">
            <v>IASWD230714278</v>
          </cell>
          <cell r="D182">
            <v>45112</v>
          </cell>
          <cell r="E182">
            <v>46202</v>
          </cell>
          <cell r="F182" t="str">
            <v>61965</v>
          </cell>
          <cell r="G182" t="str">
            <v>帆宣五</v>
          </cell>
          <cell r="H182">
            <v>300000</v>
          </cell>
          <cell r="I182">
            <v>2.7</v>
          </cell>
          <cell r="J182">
            <v>46200</v>
          </cell>
          <cell r="K182">
            <v>100</v>
          </cell>
          <cell r="L182">
            <v>46182</v>
          </cell>
          <cell r="M182">
            <v>-15090</v>
          </cell>
          <cell r="N182">
            <v>284910</v>
          </cell>
        </row>
        <row r="183">
          <cell r="A183">
            <v>61965</v>
          </cell>
          <cell r="B183">
            <v>177</v>
          </cell>
          <cell r="C183" t="str">
            <v>IASWD230714281</v>
          </cell>
          <cell r="D183">
            <v>45112</v>
          </cell>
          <cell r="E183">
            <v>46202</v>
          </cell>
          <cell r="F183" t="str">
            <v>61965</v>
          </cell>
          <cell r="G183" t="str">
            <v>帆宣五</v>
          </cell>
          <cell r="H183">
            <v>100000</v>
          </cell>
          <cell r="I183">
            <v>2.7</v>
          </cell>
          <cell r="J183">
            <v>46200</v>
          </cell>
          <cell r="K183">
            <v>100</v>
          </cell>
          <cell r="L183">
            <v>46182</v>
          </cell>
          <cell r="M183">
            <v>-5030</v>
          </cell>
          <cell r="N183">
            <v>94970</v>
          </cell>
        </row>
        <row r="184">
          <cell r="A184">
            <v>15991</v>
          </cell>
          <cell r="B184">
            <v>178</v>
          </cell>
          <cell r="C184" t="str">
            <v>IASWD230714289</v>
          </cell>
          <cell r="D184">
            <v>45113</v>
          </cell>
          <cell r="E184">
            <v>45979</v>
          </cell>
          <cell r="F184" t="str">
            <v>15991</v>
          </cell>
          <cell r="G184" t="str">
            <v>宏佳騰一</v>
          </cell>
          <cell r="H184">
            <v>100000</v>
          </cell>
          <cell r="I184">
            <v>2.15</v>
          </cell>
          <cell r="J184">
            <v>45979</v>
          </cell>
          <cell r="K184">
            <v>100</v>
          </cell>
          <cell r="L184">
            <v>45959</v>
          </cell>
          <cell r="M184">
            <v>-4000</v>
          </cell>
          <cell r="N184">
            <v>96000</v>
          </cell>
        </row>
        <row r="185">
          <cell r="A185">
            <v>15991</v>
          </cell>
          <cell r="B185">
            <v>179</v>
          </cell>
          <cell r="C185" t="str">
            <v>IASWD230714316</v>
          </cell>
          <cell r="D185">
            <v>45113</v>
          </cell>
          <cell r="E185">
            <v>45979</v>
          </cell>
          <cell r="F185" t="str">
            <v>15991</v>
          </cell>
          <cell r="G185" t="str">
            <v>宏佳騰一</v>
          </cell>
          <cell r="H185">
            <v>100000</v>
          </cell>
          <cell r="I185">
            <v>2.15</v>
          </cell>
          <cell r="J185">
            <v>45979</v>
          </cell>
          <cell r="K185">
            <v>100</v>
          </cell>
          <cell r="L185">
            <v>45959</v>
          </cell>
          <cell r="M185">
            <v>-4000</v>
          </cell>
          <cell r="N185">
            <v>96000</v>
          </cell>
        </row>
        <row r="186">
          <cell r="A186">
            <v>44382</v>
          </cell>
          <cell r="B186">
            <v>180</v>
          </cell>
          <cell r="C186" t="str">
            <v>IASWD230714333</v>
          </cell>
          <cell r="D186">
            <v>45114</v>
          </cell>
          <cell r="E186">
            <v>45933</v>
          </cell>
          <cell r="F186" t="str">
            <v>44382</v>
          </cell>
          <cell r="G186" t="str">
            <v>廣越二</v>
          </cell>
          <cell r="H186">
            <v>300000</v>
          </cell>
          <cell r="I186">
            <v>3.25</v>
          </cell>
          <cell r="J186">
            <v>45933</v>
          </cell>
          <cell r="K186">
            <v>100</v>
          </cell>
          <cell r="L186">
            <v>45915</v>
          </cell>
          <cell r="M186">
            <v>-18111</v>
          </cell>
          <cell r="N186">
            <v>281889</v>
          </cell>
        </row>
        <row r="187">
          <cell r="A187">
            <v>44382</v>
          </cell>
          <cell r="B187">
            <v>181</v>
          </cell>
          <cell r="C187" t="str">
            <v>IASWD230714340</v>
          </cell>
          <cell r="D187">
            <v>45114</v>
          </cell>
          <cell r="E187">
            <v>45933</v>
          </cell>
          <cell r="F187" t="str">
            <v>44382</v>
          </cell>
          <cell r="G187" t="str">
            <v>廣越二</v>
          </cell>
          <cell r="H187">
            <v>100000</v>
          </cell>
          <cell r="I187">
            <v>3.25</v>
          </cell>
          <cell r="J187">
            <v>45933</v>
          </cell>
          <cell r="K187">
            <v>100</v>
          </cell>
          <cell r="L187">
            <v>45915</v>
          </cell>
          <cell r="M187">
            <v>-6037</v>
          </cell>
          <cell r="N187">
            <v>93963</v>
          </cell>
        </row>
        <row r="188">
          <cell r="A188">
            <v>44382</v>
          </cell>
          <cell r="B188">
            <v>182</v>
          </cell>
          <cell r="C188" t="str">
            <v>IASWD230714341</v>
          </cell>
          <cell r="D188">
            <v>45114</v>
          </cell>
          <cell r="E188">
            <v>45933</v>
          </cell>
          <cell r="F188" t="str">
            <v>44382</v>
          </cell>
          <cell r="G188" t="str">
            <v>廣越二</v>
          </cell>
          <cell r="H188">
            <v>500000</v>
          </cell>
          <cell r="I188">
            <v>3.25</v>
          </cell>
          <cell r="J188">
            <v>45933</v>
          </cell>
          <cell r="K188">
            <v>100</v>
          </cell>
          <cell r="L188">
            <v>45915</v>
          </cell>
          <cell r="M188">
            <v>-30185</v>
          </cell>
          <cell r="N188">
            <v>469815</v>
          </cell>
        </row>
        <row r="189">
          <cell r="A189">
            <v>44382</v>
          </cell>
          <cell r="B189">
            <v>183</v>
          </cell>
          <cell r="C189" t="str">
            <v>IASWD230714343</v>
          </cell>
          <cell r="D189">
            <v>45114</v>
          </cell>
          <cell r="E189">
            <v>45933</v>
          </cell>
          <cell r="F189" t="str">
            <v>44382</v>
          </cell>
          <cell r="G189" t="str">
            <v>廣越二</v>
          </cell>
          <cell r="H189">
            <v>200000</v>
          </cell>
          <cell r="I189">
            <v>3.25</v>
          </cell>
          <cell r="J189">
            <v>45933</v>
          </cell>
          <cell r="K189">
            <v>100</v>
          </cell>
          <cell r="L189">
            <v>45915</v>
          </cell>
          <cell r="M189">
            <v>-12074</v>
          </cell>
          <cell r="N189">
            <v>187926</v>
          </cell>
        </row>
        <row r="190">
          <cell r="A190">
            <v>44382</v>
          </cell>
          <cell r="B190">
            <v>184</v>
          </cell>
          <cell r="C190" t="str">
            <v>IASWD230714346</v>
          </cell>
          <cell r="D190">
            <v>45114</v>
          </cell>
          <cell r="E190">
            <v>45933</v>
          </cell>
          <cell r="F190" t="str">
            <v>44382</v>
          </cell>
          <cell r="G190" t="str">
            <v>廣越二</v>
          </cell>
          <cell r="H190">
            <v>300000</v>
          </cell>
          <cell r="I190">
            <v>3.25</v>
          </cell>
          <cell r="J190">
            <v>45933</v>
          </cell>
          <cell r="K190">
            <v>100</v>
          </cell>
          <cell r="L190">
            <v>45915</v>
          </cell>
          <cell r="M190">
            <v>-18111</v>
          </cell>
          <cell r="N190">
            <v>281889</v>
          </cell>
        </row>
        <row r="191">
          <cell r="A191">
            <v>44382</v>
          </cell>
          <cell r="B191">
            <v>185</v>
          </cell>
          <cell r="C191" t="str">
            <v>IASWD230714349</v>
          </cell>
          <cell r="D191">
            <v>45114</v>
          </cell>
          <cell r="E191">
            <v>45933</v>
          </cell>
          <cell r="F191" t="str">
            <v>44382</v>
          </cell>
          <cell r="G191" t="str">
            <v>廣越二</v>
          </cell>
          <cell r="H191">
            <v>2000000</v>
          </cell>
          <cell r="I191">
            <v>3.25</v>
          </cell>
          <cell r="J191">
            <v>45933</v>
          </cell>
          <cell r="K191">
            <v>100</v>
          </cell>
          <cell r="L191">
            <v>45915</v>
          </cell>
          <cell r="M191">
            <v>-120740</v>
          </cell>
          <cell r="N191">
            <v>1879260</v>
          </cell>
        </row>
        <row r="192">
          <cell r="A192">
            <v>41234</v>
          </cell>
          <cell r="B192">
            <v>186</v>
          </cell>
          <cell r="C192" t="str">
            <v>IASWD230714351</v>
          </cell>
          <cell r="D192">
            <v>45114</v>
          </cell>
          <cell r="E192">
            <v>45908</v>
          </cell>
          <cell r="F192" t="str">
            <v>41234</v>
          </cell>
          <cell r="G192" t="str">
            <v>晟德四</v>
          </cell>
          <cell r="H192">
            <v>100000</v>
          </cell>
          <cell r="I192">
            <v>2.1</v>
          </cell>
          <cell r="J192">
            <v>45907</v>
          </cell>
          <cell r="K192">
            <v>100</v>
          </cell>
          <cell r="L192">
            <v>45888</v>
          </cell>
          <cell r="M192">
            <v>-3901</v>
          </cell>
          <cell r="N192">
            <v>96099</v>
          </cell>
        </row>
        <row r="193">
          <cell r="A193">
            <v>15991</v>
          </cell>
          <cell r="B193">
            <v>187</v>
          </cell>
          <cell r="C193" t="str">
            <v>IASWD230714352</v>
          </cell>
          <cell r="D193">
            <v>45114</v>
          </cell>
          <cell r="E193">
            <v>45979</v>
          </cell>
          <cell r="F193" t="str">
            <v>15991</v>
          </cell>
          <cell r="G193" t="str">
            <v>宏佳騰一</v>
          </cell>
          <cell r="H193">
            <v>100000</v>
          </cell>
          <cell r="I193">
            <v>2.15</v>
          </cell>
          <cell r="J193">
            <v>45979</v>
          </cell>
          <cell r="K193">
            <v>100</v>
          </cell>
          <cell r="L193">
            <v>45959</v>
          </cell>
          <cell r="M193">
            <v>-3994</v>
          </cell>
          <cell r="N193">
            <v>96006</v>
          </cell>
        </row>
        <row r="194">
          <cell r="A194">
            <v>44382</v>
          </cell>
          <cell r="B194">
            <v>188</v>
          </cell>
          <cell r="C194" t="str">
            <v>IASWD230714360</v>
          </cell>
          <cell r="D194">
            <v>45114</v>
          </cell>
          <cell r="E194">
            <v>45933</v>
          </cell>
          <cell r="F194" t="str">
            <v>44382</v>
          </cell>
          <cell r="G194" t="str">
            <v>廣越二</v>
          </cell>
          <cell r="H194">
            <v>500000</v>
          </cell>
          <cell r="I194">
            <v>3.25</v>
          </cell>
          <cell r="J194">
            <v>45933</v>
          </cell>
          <cell r="K194">
            <v>100</v>
          </cell>
          <cell r="L194">
            <v>45915</v>
          </cell>
          <cell r="M194">
            <v>-30185</v>
          </cell>
          <cell r="N194">
            <v>469815</v>
          </cell>
        </row>
        <row r="195">
          <cell r="A195">
            <v>44382</v>
          </cell>
          <cell r="B195">
            <v>189</v>
          </cell>
          <cell r="C195" t="str">
            <v>IASWD230714364</v>
          </cell>
          <cell r="D195">
            <v>45114</v>
          </cell>
          <cell r="E195">
            <v>45933</v>
          </cell>
          <cell r="F195" t="str">
            <v>44382</v>
          </cell>
          <cell r="G195" t="str">
            <v>廣越二</v>
          </cell>
          <cell r="H195">
            <v>200000</v>
          </cell>
          <cell r="I195">
            <v>3.25</v>
          </cell>
          <cell r="J195">
            <v>45933</v>
          </cell>
          <cell r="K195">
            <v>100</v>
          </cell>
          <cell r="L195">
            <v>45915</v>
          </cell>
          <cell r="M195">
            <v>-12074</v>
          </cell>
          <cell r="N195">
            <v>187926</v>
          </cell>
        </row>
        <row r="196">
          <cell r="A196">
            <v>44382</v>
          </cell>
          <cell r="B196">
            <v>190</v>
          </cell>
          <cell r="C196" t="str">
            <v>IASWD230714373</v>
          </cell>
          <cell r="D196">
            <v>45117</v>
          </cell>
          <cell r="E196">
            <v>45933</v>
          </cell>
          <cell r="F196" t="str">
            <v>44382</v>
          </cell>
          <cell r="G196" t="str">
            <v>廣越二</v>
          </cell>
          <cell r="H196">
            <v>200000</v>
          </cell>
          <cell r="I196">
            <v>3.25</v>
          </cell>
          <cell r="J196">
            <v>45933</v>
          </cell>
          <cell r="K196">
            <v>100</v>
          </cell>
          <cell r="L196">
            <v>45915</v>
          </cell>
          <cell r="M196">
            <v>-12021</v>
          </cell>
          <cell r="N196">
            <v>187979</v>
          </cell>
        </row>
        <row r="197">
          <cell r="A197">
            <v>44382</v>
          </cell>
          <cell r="B197">
            <v>191</v>
          </cell>
          <cell r="C197" t="str">
            <v>IASWD230714404</v>
          </cell>
          <cell r="D197">
            <v>45117</v>
          </cell>
          <cell r="E197">
            <v>45933</v>
          </cell>
          <cell r="F197" t="str">
            <v>44382</v>
          </cell>
          <cell r="G197" t="str">
            <v>廣越二</v>
          </cell>
          <cell r="H197">
            <v>300000</v>
          </cell>
          <cell r="I197">
            <v>3.25</v>
          </cell>
          <cell r="J197">
            <v>45933</v>
          </cell>
          <cell r="K197">
            <v>100</v>
          </cell>
          <cell r="L197">
            <v>45915</v>
          </cell>
          <cell r="M197">
            <v>-18031</v>
          </cell>
          <cell r="N197">
            <v>281969</v>
          </cell>
        </row>
        <row r="198">
          <cell r="A198">
            <v>44382</v>
          </cell>
          <cell r="B198">
            <v>192</v>
          </cell>
          <cell r="C198" t="str">
            <v>IASWD230714422</v>
          </cell>
          <cell r="D198">
            <v>45118</v>
          </cell>
          <cell r="E198">
            <v>45933</v>
          </cell>
          <cell r="F198" t="str">
            <v>44382</v>
          </cell>
          <cell r="G198" t="str">
            <v>廣越二</v>
          </cell>
          <cell r="H198">
            <v>100000</v>
          </cell>
          <cell r="I198">
            <v>3.25</v>
          </cell>
          <cell r="J198">
            <v>45933</v>
          </cell>
          <cell r="K198">
            <v>100</v>
          </cell>
          <cell r="L198">
            <v>45915</v>
          </cell>
          <cell r="M198">
            <v>-6001</v>
          </cell>
          <cell r="N198">
            <v>93999</v>
          </cell>
        </row>
        <row r="199">
          <cell r="A199">
            <v>22313</v>
          </cell>
          <cell r="B199">
            <v>193</v>
          </cell>
          <cell r="C199" t="str">
            <v>IASWD230714433</v>
          </cell>
          <cell r="D199">
            <v>45118</v>
          </cell>
          <cell r="E199">
            <v>45898</v>
          </cell>
          <cell r="F199" t="str">
            <v>22313</v>
          </cell>
          <cell r="G199" t="str">
            <v>為升三</v>
          </cell>
          <cell r="H199">
            <v>400000</v>
          </cell>
          <cell r="I199">
            <v>4</v>
          </cell>
          <cell r="J199">
            <v>45898</v>
          </cell>
          <cell r="K199">
            <v>101.50749999999999</v>
          </cell>
          <cell r="L199">
            <v>45880</v>
          </cell>
          <cell r="M199">
            <v>-29545</v>
          </cell>
          <cell r="N199">
            <v>370455</v>
          </cell>
        </row>
        <row r="200">
          <cell r="A200">
            <v>22313</v>
          </cell>
          <cell r="B200">
            <v>194</v>
          </cell>
          <cell r="C200" t="str">
            <v>IASWD230714446</v>
          </cell>
          <cell r="D200">
            <v>45118</v>
          </cell>
          <cell r="E200">
            <v>45898</v>
          </cell>
          <cell r="F200" t="str">
            <v>22313</v>
          </cell>
          <cell r="G200" t="str">
            <v>為升三</v>
          </cell>
          <cell r="H200">
            <v>500000</v>
          </cell>
          <cell r="I200">
            <v>4</v>
          </cell>
          <cell r="J200">
            <v>45898</v>
          </cell>
          <cell r="K200">
            <v>101.50749999999999</v>
          </cell>
          <cell r="L200">
            <v>45880</v>
          </cell>
          <cell r="M200">
            <v>-36932</v>
          </cell>
          <cell r="N200">
            <v>463068</v>
          </cell>
        </row>
        <row r="201">
          <cell r="A201">
            <v>15991</v>
          </cell>
          <cell r="B201">
            <v>195</v>
          </cell>
          <cell r="C201" t="str">
            <v>IASWD230714526</v>
          </cell>
          <cell r="D201">
            <v>45119</v>
          </cell>
          <cell r="E201">
            <v>45979</v>
          </cell>
          <cell r="F201" t="str">
            <v>15991</v>
          </cell>
          <cell r="G201" t="str">
            <v>宏佳騰一</v>
          </cell>
          <cell r="H201">
            <v>100000</v>
          </cell>
          <cell r="I201">
            <v>2.15</v>
          </cell>
          <cell r="J201">
            <v>45979</v>
          </cell>
          <cell r="K201">
            <v>100</v>
          </cell>
          <cell r="L201">
            <v>45959</v>
          </cell>
          <cell r="M201">
            <v>-3964</v>
          </cell>
          <cell r="N201">
            <v>96036</v>
          </cell>
        </row>
        <row r="202">
          <cell r="A202">
            <v>15991</v>
          </cell>
          <cell r="B202">
            <v>196</v>
          </cell>
          <cell r="C202" t="str">
            <v>IASWD230714527</v>
          </cell>
          <cell r="D202">
            <v>45119</v>
          </cell>
          <cell r="E202">
            <v>45979</v>
          </cell>
          <cell r="F202" t="str">
            <v>15991</v>
          </cell>
          <cell r="G202" t="str">
            <v>宏佳騰一</v>
          </cell>
          <cell r="H202">
            <v>100000</v>
          </cell>
          <cell r="I202">
            <v>2.15</v>
          </cell>
          <cell r="J202">
            <v>45979</v>
          </cell>
          <cell r="K202">
            <v>100</v>
          </cell>
          <cell r="L202">
            <v>45959</v>
          </cell>
          <cell r="M202">
            <v>-3964</v>
          </cell>
          <cell r="N202">
            <v>96036</v>
          </cell>
        </row>
        <row r="203">
          <cell r="A203">
            <v>44382</v>
          </cell>
          <cell r="B203">
            <v>197</v>
          </cell>
          <cell r="C203" t="str">
            <v>IASWD230714533</v>
          </cell>
          <cell r="D203">
            <v>45119</v>
          </cell>
          <cell r="E203">
            <v>45933</v>
          </cell>
          <cell r="F203" t="str">
            <v>44382</v>
          </cell>
          <cell r="G203" t="str">
            <v>廣越二</v>
          </cell>
          <cell r="H203">
            <v>100000</v>
          </cell>
          <cell r="I203">
            <v>3.25</v>
          </cell>
          <cell r="J203">
            <v>45933</v>
          </cell>
          <cell r="K203">
            <v>100</v>
          </cell>
          <cell r="L203">
            <v>45915</v>
          </cell>
          <cell r="M203">
            <v>-5992</v>
          </cell>
          <cell r="N203">
            <v>94008</v>
          </cell>
        </row>
        <row r="204">
          <cell r="A204">
            <v>44382</v>
          </cell>
          <cell r="B204">
            <v>198</v>
          </cell>
          <cell r="C204" t="str">
            <v>IASWD230714548</v>
          </cell>
          <cell r="D204">
            <v>45119</v>
          </cell>
          <cell r="E204">
            <v>45933</v>
          </cell>
          <cell r="F204" t="str">
            <v>44382</v>
          </cell>
          <cell r="G204" t="str">
            <v>廣越二</v>
          </cell>
          <cell r="H204">
            <v>200000</v>
          </cell>
          <cell r="I204">
            <v>3.25</v>
          </cell>
          <cell r="J204">
            <v>45933</v>
          </cell>
          <cell r="K204">
            <v>100</v>
          </cell>
          <cell r="L204">
            <v>45915</v>
          </cell>
          <cell r="M204">
            <v>-11985</v>
          </cell>
          <cell r="N204">
            <v>188015</v>
          </cell>
        </row>
        <row r="205">
          <cell r="A205">
            <v>15991</v>
          </cell>
          <cell r="B205">
            <v>199</v>
          </cell>
          <cell r="C205" t="str">
            <v>IASWD230714549</v>
          </cell>
          <cell r="D205">
            <v>45119</v>
          </cell>
          <cell r="E205">
            <v>45979</v>
          </cell>
          <cell r="F205" t="str">
            <v>15991</v>
          </cell>
          <cell r="G205" t="str">
            <v>宏佳騰一</v>
          </cell>
          <cell r="H205">
            <v>100000</v>
          </cell>
          <cell r="I205">
            <v>2.15</v>
          </cell>
          <cell r="J205">
            <v>45979</v>
          </cell>
          <cell r="K205">
            <v>100</v>
          </cell>
          <cell r="L205">
            <v>45959</v>
          </cell>
          <cell r="M205">
            <v>-3964</v>
          </cell>
          <cell r="N205">
            <v>96036</v>
          </cell>
        </row>
        <row r="206">
          <cell r="A206">
            <v>15991</v>
          </cell>
          <cell r="B206">
            <v>200</v>
          </cell>
          <cell r="C206" t="str">
            <v>IASWD230714574</v>
          </cell>
          <cell r="D206">
            <v>45120</v>
          </cell>
          <cell r="E206">
            <v>45979</v>
          </cell>
          <cell r="F206" t="str">
            <v>15991</v>
          </cell>
          <cell r="G206" t="str">
            <v>宏佳騰一</v>
          </cell>
          <cell r="H206">
            <v>100000</v>
          </cell>
          <cell r="I206">
            <v>2.15</v>
          </cell>
          <cell r="J206">
            <v>45979</v>
          </cell>
          <cell r="K206">
            <v>100</v>
          </cell>
          <cell r="L206">
            <v>45959</v>
          </cell>
          <cell r="M206">
            <v>-3958</v>
          </cell>
          <cell r="N206">
            <v>96042</v>
          </cell>
        </row>
        <row r="207">
          <cell r="A207">
            <v>44382</v>
          </cell>
          <cell r="B207">
            <v>201</v>
          </cell>
          <cell r="C207" t="str">
            <v>IASWD230714581</v>
          </cell>
          <cell r="D207">
            <v>45120</v>
          </cell>
          <cell r="E207">
            <v>45933</v>
          </cell>
          <cell r="F207" t="str">
            <v>44382</v>
          </cell>
          <cell r="G207" t="str">
            <v>廣越二</v>
          </cell>
          <cell r="H207">
            <v>300000</v>
          </cell>
          <cell r="I207">
            <v>3.25</v>
          </cell>
          <cell r="J207">
            <v>45933</v>
          </cell>
          <cell r="K207">
            <v>100</v>
          </cell>
          <cell r="L207">
            <v>45915</v>
          </cell>
          <cell r="M207">
            <v>-17951</v>
          </cell>
          <cell r="N207">
            <v>282049</v>
          </cell>
        </row>
        <row r="208">
          <cell r="A208">
            <v>15991</v>
          </cell>
          <cell r="B208">
            <v>202</v>
          </cell>
          <cell r="C208" t="str">
            <v>IASWD230714600</v>
          </cell>
          <cell r="D208">
            <v>45121</v>
          </cell>
          <cell r="E208">
            <v>45979</v>
          </cell>
          <cell r="F208" t="str">
            <v>15991</v>
          </cell>
          <cell r="G208" t="str">
            <v>宏佳騰一</v>
          </cell>
          <cell r="H208">
            <v>100000</v>
          </cell>
          <cell r="I208">
            <v>2.15</v>
          </cell>
          <cell r="J208">
            <v>45979</v>
          </cell>
          <cell r="K208">
            <v>100</v>
          </cell>
          <cell r="L208">
            <v>45959</v>
          </cell>
          <cell r="M208">
            <v>-3952</v>
          </cell>
          <cell r="N208">
            <v>96048</v>
          </cell>
        </row>
        <row r="209">
          <cell r="A209">
            <v>15991</v>
          </cell>
          <cell r="B209">
            <v>203</v>
          </cell>
          <cell r="C209" t="str">
            <v>IASWD230714601</v>
          </cell>
          <cell r="D209">
            <v>45121</v>
          </cell>
          <cell r="E209">
            <v>45979</v>
          </cell>
          <cell r="F209" t="str">
            <v>15991</v>
          </cell>
          <cell r="G209" t="str">
            <v>宏佳騰一</v>
          </cell>
          <cell r="H209">
            <v>100000</v>
          </cell>
          <cell r="I209">
            <v>2.15</v>
          </cell>
          <cell r="J209">
            <v>45979</v>
          </cell>
          <cell r="K209">
            <v>100</v>
          </cell>
          <cell r="L209">
            <v>45959</v>
          </cell>
          <cell r="M209">
            <v>-3952</v>
          </cell>
          <cell r="N209">
            <v>96048</v>
          </cell>
        </row>
        <row r="210">
          <cell r="A210">
            <v>15991</v>
          </cell>
          <cell r="B210">
            <v>204</v>
          </cell>
          <cell r="C210" t="str">
            <v>IASWD230714606</v>
          </cell>
          <cell r="D210">
            <v>45121</v>
          </cell>
          <cell r="E210">
            <v>45979</v>
          </cell>
          <cell r="F210" t="str">
            <v>15991</v>
          </cell>
          <cell r="G210" t="str">
            <v>宏佳騰一</v>
          </cell>
          <cell r="H210">
            <v>100000</v>
          </cell>
          <cell r="I210">
            <v>2.15</v>
          </cell>
          <cell r="J210">
            <v>45979</v>
          </cell>
          <cell r="K210">
            <v>100</v>
          </cell>
          <cell r="L210">
            <v>45959</v>
          </cell>
          <cell r="M210">
            <v>-3952</v>
          </cell>
          <cell r="N210">
            <v>96048</v>
          </cell>
        </row>
        <row r="211">
          <cell r="A211">
            <v>44382</v>
          </cell>
          <cell r="B211">
            <v>205</v>
          </cell>
          <cell r="C211" t="str">
            <v>IASWD230714610</v>
          </cell>
          <cell r="D211">
            <v>45121</v>
          </cell>
          <cell r="E211">
            <v>45933</v>
          </cell>
          <cell r="F211" t="str">
            <v>44382</v>
          </cell>
          <cell r="G211" t="str">
            <v>廣越二</v>
          </cell>
          <cell r="H211">
            <v>200000</v>
          </cell>
          <cell r="I211">
            <v>3.25</v>
          </cell>
          <cell r="J211">
            <v>45933</v>
          </cell>
          <cell r="K211">
            <v>100</v>
          </cell>
          <cell r="L211">
            <v>45915</v>
          </cell>
          <cell r="M211">
            <v>-11949</v>
          </cell>
          <cell r="N211">
            <v>188051</v>
          </cell>
        </row>
        <row r="212">
          <cell r="A212">
            <v>44382</v>
          </cell>
          <cell r="B212">
            <v>206</v>
          </cell>
          <cell r="C212" t="str">
            <v>IASWD230714638</v>
          </cell>
          <cell r="D212">
            <v>45124</v>
          </cell>
          <cell r="E212">
            <v>45933</v>
          </cell>
          <cell r="F212" t="str">
            <v>44382</v>
          </cell>
          <cell r="G212" t="str">
            <v>廣越二</v>
          </cell>
          <cell r="H212">
            <v>200000</v>
          </cell>
          <cell r="I212">
            <v>3.25</v>
          </cell>
          <cell r="J212">
            <v>45933</v>
          </cell>
          <cell r="K212">
            <v>100</v>
          </cell>
          <cell r="L212">
            <v>45915</v>
          </cell>
          <cell r="M212">
            <v>-11896</v>
          </cell>
          <cell r="N212">
            <v>188104</v>
          </cell>
        </row>
        <row r="213">
          <cell r="A213">
            <v>15991</v>
          </cell>
          <cell r="B213">
            <v>207</v>
          </cell>
          <cell r="C213" t="str">
            <v>IASWD230714656</v>
          </cell>
          <cell r="D213">
            <v>45124</v>
          </cell>
          <cell r="E213">
            <v>45979</v>
          </cell>
          <cell r="F213" t="str">
            <v>15991</v>
          </cell>
          <cell r="G213" t="str">
            <v>宏佳騰一</v>
          </cell>
          <cell r="H213">
            <v>200000</v>
          </cell>
          <cell r="I213">
            <v>2.15</v>
          </cell>
          <cell r="J213">
            <v>45979</v>
          </cell>
          <cell r="K213">
            <v>100</v>
          </cell>
          <cell r="L213">
            <v>45959</v>
          </cell>
          <cell r="M213">
            <v>-7870</v>
          </cell>
          <cell r="N213">
            <v>192130</v>
          </cell>
        </row>
        <row r="214">
          <cell r="A214">
            <v>27271</v>
          </cell>
          <cell r="B214">
            <v>208</v>
          </cell>
          <cell r="C214" t="str">
            <v>IASWD230714668</v>
          </cell>
          <cell r="D214">
            <v>45125</v>
          </cell>
          <cell r="E214">
            <v>46111</v>
          </cell>
          <cell r="F214" t="str">
            <v>27271</v>
          </cell>
          <cell r="G214" t="str">
            <v>王品一</v>
          </cell>
          <cell r="H214">
            <v>100000</v>
          </cell>
          <cell r="I214">
            <v>3.25</v>
          </cell>
          <cell r="J214">
            <v>46110</v>
          </cell>
          <cell r="K214">
            <v>100.75190000000001</v>
          </cell>
          <cell r="L214">
            <v>46091</v>
          </cell>
          <cell r="M214">
            <v>-5939</v>
          </cell>
          <cell r="N214">
            <v>94061</v>
          </cell>
        </row>
        <row r="215">
          <cell r="A215">
            <v>15991</v>
          </cell>
          <cell r="B215">
            <v>209</v>
          </cell>
          <cell r="C215" t="str">
            <v>IASWD230714684</v>
          </cell>
          <cell r="D215">
            <v>45125</v>
          </cell>
          <cell r="E215">
            <v>45979</v>
          </cell>
          <cell r="F215" t="str">
            <v>15991</v>
          </cell>
          <cell r="G215" t="str">
            <v>宏佳騰一</v>
          </cell>
          <cell r="H215">
            <v>100000</v>
          </cell>
          <cell r="I215">
            <v>2.15</v>
          </cell>
          <cell r="J215">
            <v>45979</v>
          </cell>
          <cell r="K215">
            <v>100</v>
          </cell>
          <cell r="L215">
            <v>45959</v>
          </cell>
          <cell r="M215">
            <v>-3929</v>
          </cell>
          <cell r="N215">
            <v>96071</v>
          </cell>
        </row>
        <row r="216">
          <cell r="A216">
            <v>27271</v>
          </cell>
          <cell r="B216">
            <v>210</v>
          </cell>
          <cell r="C216" t="str">
            <v>IASWD230714686</v>
          </cell>
          <cell r="D216">
            <v>45125</v>
          </cell>
          <cell r="E216">
            <v>46111</v>
          </cell>
          <cell r="F216" t="str">
            <v>27271</v>
          </cell>
          <cell r="G216" t="str">
            <v>王品一</v>
          </cell>
          <cell r="H216">
            <v>100000</v>
          </cell>
          <cell r="I216">
            <v>3.25</v>
          </cell>
          <cell r="J216">
            <v>46110</v>
          </cell>
          <cell r="K216">
            <v>100.75190000000001</v>
          </cell>
          <cell r="L216">
            <v>46091</v>
          </cell>
          <cell r="M216">
            <v>-5939</v>
          </cell>
          <cell r="N216">
            <v>94061</v>
          </cell>
        </row>
        <row r="217">
          <cell r="A217">
            <v>44382</v>
          </cell>
          <cell r="B217">
            <v>211</v>
          </cell>
          <cell r="C217" t="str">
            <v>IASWD230714698</v>
          </cell>
          <cell r="D217">
            <v>45125</v>
          </cell>
          <cell r="E217">
            <v>45933</v>
          </cell>
          <cell r="F217" t="str">
            <v>44382</v>
          </cell>
          <cell r="G217" t="str">
            <v>廣越二</v>
          </cell>
          <cell r="H217">
            <v>500000</v>
          </cell>
          <cell r="I217">
            <v>3.25</v>
          </cell>
          <cell r="J217">
            <v>45933</v>
          </cell>
          <cell r="K217">
            <v>100</v>
          </cell>
          <cell r="L217">
            <v>45915</v>
          </cell>
          <cell r="M217">
            <v>-29695</v>
          </cell>
          <cell r="N217">
            <v>470305</v>
          </cell>
        </row>
        <row r="218">
          <cell r="A218">
            <v>44382</v>
          </cell>
          <cell r="B218">
            <v>212</v>
          </cell>
          <cell r="C218" t="str">
            <v>IASWD230714710</v>
          </cell>
          <cell r="D218">
            <v>45125</v>
          </cell>
          <cell r="E218">
            <v>45933</v>
          </cell>
          <cell r="F218" t="str">
            <v>44382</v>
          </cell>
          <cell r="G218" t="str">
            <v>廣越二</v>
          </cell>
          <cell r="H218">
            <v>200000</v>
          </cell>
          <cell r="I218">
            <v>3.25</v>
          </cell>
          <cell r="J218">
            <v>45933</v>
          </cell>
          <cell r="K218">
            <v>100</v>
          </cell>
          <cell r="L218">
            <v>45915</v>
          </cell>
          <cell r="M218">
            <v>-11878</v>
          </cell>
          <cell r="N218">
            <v>188122</v>
          </cell>
        </row>
        <row r="219">
          <cell r="A219">
            <v>44382</v>
          </cell>
          <cell r="B219">
            <v>213</v>
          </cell>
          <cell r="C219" t="str">
            <v>IASWD2307014811</v>
          </cell>
          <cell r="D219">
            <v>45126</v>
          </cell>
          <cell r="E219">
            <v>45933</v>
          </cell>
          <cell r="F219" t="str">
            <v>44382</v>
          </cell>
          <cell r="G219" t="str">
            <v>廣越二</v>
          </cell>
          <cell r="H219">
            <v>200000</v>
          </cell>
          <cell r="I219">
            <v>3.25</v>
          </cell>
          <cell r="J219">
            <v>45933</v>
          </cell>
          <cell r="K219">
            <v>100</v>
          </cell>
          <cell r="L219">
            <v>45915</v>
          </cell>
          <cell r="M219">
            <v>-11860</v>
          </cell>
          <cell r="N219">
            <v>188140</v>
          </cell>
        </row>
        <row r="220">
          <cell r="A220">
            <v>44382</v>
          </cell>
          <cell r="B220">
            <v>214</v>
          </cell>
          <cell r="C220" t="str">
            <v>IASWD2307014827</v>
          </cell>
          <cell r="D220">
            <v>45126</v>
          </cell>
          <cell r="E220">
            <v>45933</v>
          </cell>
          <cell r="F220" t="str">
            <v>44382</v>
          </cell>
          <cell r="G220" t="str">
            <v>廣越二</v>
          </cell>
          <cell r="H220">
            <v>200000</v>
          </cell>
          <cell r="I220">
            <v>3.25</v>
          </cell>
          <cell r="J220">
            <v>45933</v>
          </cell>
          <cell r="K220">
            <v>100</v>
          </cell>
          <cell r="L220">
            <v>45915</v>
          </cell>
          <cell r="M220">
            <v>-11860</v>
          </cell>
          <cell r="N220">
            <v>188140</v>
          </cell>
        </row>
        <row r="221">
          <cell r="A221">
            <v>44382</v>
          </cell>
          <cell r="B221">
            <v>215</v>
          </cell>
          <cell r="C221" t="str">
            <v>IASWD2307014829</v>
          </cell>
          <cell r="D221">
            <v>45126</v>
          </cell>
          <cell r="E221">
            <v>45933</v>
          </cell>
          <cell r="F221" t="str">
            <v>44382</v>
          </cell>
          <cell r="G221" t="str">
            <v>廣越二</v>
          </cell>
          <cell r="H221">
            <v>500000</v>
          </cell>
          <cell r="I221">
            <v>3.25</v>
          </cell>
          <cell r="J221">
            <v>45933</v>
          </cell>
          <cell r="K221">
            <v>100</v>
          </cell>
          <cell r="L221">
            <v>45915</v>
          </cell>
          <cell r="M221">
            <v>-29651</v>
          </cell>
          <cell r="N221">
            <v>470349</v>
          </cell>
        </row>
        <row r="222">
          <cell r="A222">
            <v>15991</v>
          </cell>
          <cell r="B222">
            <v>216</v>
          </cell>
          <cell r="C222" t="str">
            <v>IASWD2307014842</v>
          </cell>
          <cell r="D222">
            <v>45127</v>
          </cell>
          <cell r="E222">
            <v>45979</v>
          </cell>
          <cell r="F222" t="str">
            <v>15991</v>
          </cell>
          <cell r="G222" t="str">
            <v>宏佳騰一</v>
          </cell>
          <cell r="H222">
            <v>100000</v>
          </cell>
          <cell r="I222">
            <v>2.15</v>
          </cell>
          <cell r="J222">
            <v>45979</v>
          </cell>
          <cell r="K222">
            <v>100</v>
          </cell>
          <cell r="L222">
            <v>45959</v>
          </cell>
          <cell r="M222">
            <v>-3917</v>
          </cell>
          <cell r="N222">
            <v>96083</v>
          </cell>
        </row>
        <row r="223">
          <cell r="A223">
            <v>44382</v>
          </cell>
          <cell r="B223">
            <v>217</v>
          </cell>
          <cell r="C223" t="str">
            <v>IASWD2307014871</v>
          </cell>
          <cell r="D223">
            <v>45128</v>
          </cell>
          <cell r="E223">
            <v>45933</v>
          </cell>
          <cell r="F223" t="str">
            <v>44382</v>
          </cell>
          <cell r="G223" t="str">
            <v>廣越二</v>
          </cell>
          <cell r="H223">
            <v>200000</v>
          </cell>
          <cell r="I223">
            <v>3.25</v>
          </cell>
          <cell r="J223">
            <v>45933</v>
          </cell>
          <cell r="K223">
            <v>100</v>
          </cell>
          <cell r="L223">
            <v>45915</v>
          </cell>
          <cell r="M223">
            <v>-11825</v>
          </cell>
          <cell r="N223">
            <v>188175</v>
          </cell>
        </row>
        <row r="224">
          <cell r="A224">
            <v>44382</v>
          </cell>
          <cell r="B224">
            <v>218</v>
          </cell>
          <cell r="C224" t="str">
            <v>IASWD2307014875</v>
          </cell>
          <cell r="D224">
            <v>45128</v>
          </cell>
          <cell r="E224">
            <v>45933</v>
          </cell>
          <cell r="F224" t="str">
            <v>44382</v>
          </cell>
          <cell r="G224" t="str">
            <v>廣越二</v>
          </cell>
          <cell r="H224">
            <v>1300000</v>
          </cell>
          <cell r="I224">
            <v>3.25</v>
          </cell>
          <cell r="J224">
            <v>45933</v>
          </cell>
          <cell r="K224">
            <v>100</v>
          </cell>
          <cell r="L224">
            <v>45915</v>
          </cell>
          <cell r="M224">
            <v>-76860</v>
          </cell>
          <cell r="N224">
            <v>1223140</v>
          </cell>
        </row>
        <row r="225">
          <cell r="A225">
            <v>44382</v>
          </cell>
          <cell r="B225">
            <v>219</v>
          </cell>
          <cell r="C225" t="str">
            <v>IASWD2307014884</v>
          </cell>
          <cell r="D225">
            <v>45128</v>
          </cell>
          <cell r="E225">
            <v>45933</v>
          </cell>
          <cell r="F225" t="str">
            <v>44382</v>
          </cell>
          <cell r="G225" t="str">
            <v>廣越二</v>
          </cell>
          <cell r="H225">
            <v>100000</v>
          </cell>
          <cell r="I225">
            <v>3.25</v>
          </cell>
          <cell r="J225">
            <v>45933</v>
          </cell>
          <cell r="K225">
            <v>100</v>
          </cell>
          <cell r="L225">
            <v>45915</v>
          </cell>
          <cell r="M225">
            <v>-5912</v>
          </cell>
          <cell r="N225">
            <v>94088</v>
          </cell>
        </row>
        <row r="226">
          <cell r="A226">
            <v>44382</v>
          </cell>
          <cell r="B226">
            <v>220</v>
          </cell>
          <cell r="C226" t="str">
            <v>IASWD2307014894</v>
          </cell>
          <cell r="D226">
            <v>45131</v>
          </cell>
          <cell r="E226">
            <v>45933</v>
          </cell>
          <cell r="F226" t="str">
            <v>44382</v>
          </cell>
          <cell r="G226" t="str">
            <v>廣越二</v>
          </cell>
          <cell r="H226">
            <v>100000</v>
          </cell>
          <cell r="I226">
            <v>3.25</v>
          </cell>
          <cell r="J226">
            <v>45933</v>
          </cell>
          <cell r="K226">
            <v>100</v>
          </cell>
          <cell r="L226">
            <v>45915</v>
          </cell>
          <cell r="M226">
            <v>-5886</v>
          </cell>
          <cell r="N226">
            <v>94114</v>
          </cell>
        </row>
        <row r="227">
          <cell r="A227">
            <v>44382</v>
          </cell>
          <cell r="B227">
            <v>221</v>
          </cell>
          <cell r="C227" t="str">
            <v>IASWD2307014895</v>
          </cell>
          <cell r="D227">
            <v>45131</v>
          </cell>
          <cell r="E227">
            <v>45933</v>
          </cell>
          <cell r="F227" t="str">
            <v>44382</v>
          </cell>
          <cell r="G227" t="str">
            <v>廣越二</v>
          </cell>
          <cell r="H227">
            <v>100000</v>
          </cell>
          <cell r="I227">
            <v>3.25</v>
          </cell>
          <cell r="J227">
            <v>45933</v>
          </cell>
          <cell r="K227">
            <v>100</v>
          </cell>
          <cell r="L227">
            <v>45915</v>
          </cell>
          <cell r="M227">
            <v>-5886</v>
          </cell>
          <cell r="N227">
            <v>94114</v>
          </cell>
        </row>
        <row r="228">
          <cell r="A228">
            <v>44382</v>
          </cell>
          <cell r="B228">
            <v>222</v>
          </cell>
          <cell r="C228" t="str">
            <v>IASWD2307014914</v>
          </cell>
          <cell r="D228">
            <v>45131</v>
          </cell>
          <cell r="E228">
            <v>45933</v>
          </cell>
          <cell r="F228" t="str">
            <v>44382</v>
          </cell>
          <cell r="G228" t="str">
            <v>廣越二</v>
          </cell>
          <cell r="H228">
            <v>500000</v>
          </cell>
          <cell r="I228">
            <v>3.25</v>
          </cell>
          <cell r="J228">
            <v>45933</v>
          </cell>
          <cell r="K228">
            <v>100</v>
          </cell>
          <cell r="L228">
            <v>45915</v>
          </cell>
          <cell r="M228">
            <v>-29428</v>
          </cell>
          <cell r="N228">
            <v>470572</v>
          </cell>
        </row>
        <row r="229">
          <cell r="A229">
            <v>44382</v>
          </cell>
          <cell r="B229">
            <v>223</v>
          </cell>
          <cell r="C229" t="str">
            <v>IASWD2307014928</v>
          </cell>
          <cell r="D229">
            <v>45131</v>
          </cell>
          <cell r="E229">
            <v>45933</v>
          </cell>
          <cell r="F229" t="str">
            <v>44382</v>
          </cell>
          <cell r="G229" t="str">
            <v>廣越二</v>
          </cell>
          <cell r="H229">
            <v>100000</v>
          </cell>
          <cell r="I229">
            <v>3.25</v>
          </cell>
          <cell r="J229">
            <v>45933</v>
          </cell>
          <cell r="K229">
            <v>100</v>
          </cell>
          <cell r="L229">
            <v>45915</v>
          </cell>
          <cell r="M229">
            <v>-5886</v>
          </cell>
          <cell r="N229">
            <v>94114</v>
          </cell>
        </row>
        <row r="230">
          <cell r="A230">
            <v>44382</v>
          </cell>
          <cell r="B230">
            <v>224</v>
          </cell>
          <cell r="C230" t="str">
            <v>IASWD2307014943</v>
          </cell>
          <cell r="D230">
            <v>45132</v>
          </cell>
          <cell r="E230">
            <v>45933</v>
          </cell>
          <cell r="F230" t="str">
            <v>44382</v>
          </cell>
          <cell r="G230" t="str">
            <v>廣越二</v>
          </cell>
          <cell r="H230">
            <v>100000</v>
          </cell>
          <cell r="I230">
            <v>3.25</v>
          </cell>
          <cell r="J230">
            <v>45933</v>
          </cell>
          <cell r="K230">
            <v>100</v>
          </cell>
          <cell r="L230">
            <v>45915</v>
          </cell>
          <cell r="M230">
            <v>-5877</v>
          </cell>
          <cell r="N230">
            <v>94123</v>
          </cell>
        </row>
        <row r="231">
          <cell r="A231">
            <v>44382</v>
          </cell>
          <cell r="B231">
            <v>225</v>
          </cell>
          <cell r="C231" t="str">
            <v>IASWD2307014975</v>
          </cell>
          <cell r="D231">
            <v>45133</v>
          </cell>
          <cell r="E231">
            <v>45933</v>
          </cell>
          <cell r="F231" t="str">
            <v>44382</v>
          </cell>
          <cell r="G231" t="str">
            <v>廣越二</v>
          </cell>
          <cell r="H231">
            <v>100000</v>
          </cell>
          <cell r="I231">
            <v>3.25</v>
          </cell>
          <cell r="J231">
            <v>45933</v>
          </cell>
          <cell r="K231">
            <v>100</v>
          </cell>
          <cell r="L231">
            <v>45915</v>
          </cell>
          <cell r="M231">
            <v>-5868</v>
          </cell>
          <cell r="N231">
            <v>94132</v>
          </cell>
        </row>
        <row r="232">
          <cell r="A232">
            <v>44382</v>
          </cell>
          <cell r="B232">
            <v>226</v>
          </cell>
          <cell r="C232" t="str">
            <v>IASWD2307014992</v>
          </cell>
          <cell r="D232">
            <v>45134</v>
          </cell>
          <cell r="E232">
            <v>45933</v>
          </cell>
          <cell r="F232" t="str">
            <v>44382</v>
          </cell>
          <cell r="G232" t="str">
            <v>廣越二</v>
          </cell>
          <cell r="H232">
            <v>200000</v>
          </cell>
          <cell r="I232">
            <v>3.25</v>
          </cell>
          <cell r="J232">
            <v>45933</v>
          </cell>
          <cell r="K232">
            <v>100</v>
          </cell>
          <cell r="L232">
            <v>45915</v>
          </cell>
          <cell r="M232">
            <v>-11718</v>
          </cell>
          <cell r="N232">
            <v>188282</v>
          </cell>
        </row>
        <row r="233">
          <cell r="A233">
            <v>15991</v>
          </cell>
          <cell r="B233">
            <v>227</v>
          </cell>
          <cell r="C233" t="str">
            <v>IASWD2307015001</v>
          </cell>
          <cell r="D233">
            <v>45134</v>
          </cell>
          <cell r="E233">
            <v>45979</v>
          </cell>
          <cell r="F233" t="str">
            <v>15991</v>
          </cell>
          <cell r="G233" t="str">
            <v>宏佳騰一</v>
          </cell>
          <cell r="H233">
            <v>500000</v>
          </cell>
          <cell r="I233">
            <v>2.15</v>
          </cell>
          <cell r="J233">
            <v>45979</v>
          </cell>
          <cell r="K233">
            <v>100</v>
          </cell>
          <cell r="L233">
            <v>45959</v>
          </cell>
          <cell r="M233">
            <v>-19379</v>
          </cell>
          <cell r="N233">
            <v>480621</v>
          </cell>
        </row>
        <row r="234">
          <cell r="A234">
            <v>44382</v>
          </cell>
          <cell r="B234">
            <v>228</v>
          </cell>
          <cell r="C234" t="str">
            <v>IASWD2307015002</v>
          </cell>
          <cell r="D234">
            <v>45134</v>
          </cell>
          <cell r="E234">
            <v>45933</v>
          </cell>
          <cell r="F234" t="str">
            <v>44382</v>
          </cell>
          <cell r="G234" t="str">
            <v>廣越二</v>
          </cell>
          <cell r="H234">
            <v>100000</v>
          </cell>
          <cell r="I234">
            <v>3.25</v>
          </cell>
          <cell r="J234">
            <v>45933</v>
          </cell>
          <cell r="K234">
            <v>100</v>
          </cell>
          <cell r="L234">
            <v>45915</v>
          </cell>
          <cell r="M234">
            <v>-5859</v>
          </cell>
          <cell r="N234">
            <v>94141</v>
          </cell>
        </row>
        <row r="235">
          <cell r="A235">
            <v>44382</v>
          </cell>
          <cell r="B235">
            <v>229</v>
          </cell>
          <cell r="C235" t="str">
            <v>IASWD2307015068</v>
          </cell>
          <cell r="D235">
            <v>45135</v>
          </cell>
          <cell r="E235">
            <v>45933</v>
          </cell>
          <cell r="F235" t="str">
            <v>44382</v>
          </cell>
          <cell r="G235" t="str">
            <v>廣越二</v>
          </cell>
          <cell r="H235">
            <v>100000</v>
          </cell>
          <cell r="I235">
            <v>3.25</v>
          </cell>
          <cell r="J235">
            <v>45933</v>
          </cell>
          <cell r="K235">
            <v>100</v>
          </cell>
          <cell r="L235">
            <v>45915</v>
          </cell>
          <cell r="M235">
            <v>-5850</v>
          </cell>
          <cell r="N235">
            <v>94150</v>
          </cell>
        </row>
        <row r="236">
          <cell r="A236">
            <v>44382</v>
          </cell>
          <cell r="B236">
            <v>230</v>
          </cell>
          <cell r="C236" t="str">
            <v>IASWD2307015077</v>
          </cell>
          <cell r="D236">
            <v>45135</v>
          </cell>
          <cell r="E236">
            <v>45933</v>
          </cell>
          <cell r="F236" t="str">
            <v>44382</v>
          </cell>
          <cell r="G236" t="str">
            <v>廣越二</v>
          </cell>
          <cell r="H236">
            <v>200000</v>
          </cell>
          <cell r="I236">
            <v>3.25</v>
          </cell>
          <cell r="J236">
            <v>45933</v>
          </cell>
          <cell r="K236">
            <v>100</v>
          </cell>
          <cell r="L236">
            <v>45915</v>
          </cell>
          <cell r="M236">
            <v>-11700</v>
          </cell>
          <cell r="N236">
            <v>188300</v>
          </cell>
        </row>
        <row r="237">
          <cell r="A237">
            <v>44382</v>
          </cell>
          <cell r="B237">
            <v>231</v>
          </cell>
          <cell r="C237" t="str">
            <v>IASWD2307015083</v>
          </cell>
          <cell r="D237">
            <v>45135</v>
          </cell>
          <cell r="E237">
            <v>45933</v>
          </cell>
          <cell r="F237" t="str">
            <v>44382</v>
          </cell>
          <cell r="G237" t="str">
            <v>廣越二</v>
          </cell>
          <cell r="H237">
            <v>100000</v>
          </cell>
          <cell r="I237">
            <v>3.25</v>
          </cell>
          <cell r="J237">
            <v>45933</v>
          </cell>
          <cell r="K237">
            <v>100</v>
          </cell>
          <cell r="L237">
            <v>45915</v>
          </cell>
          <cell r="M237">
            <v>-5850</v>
          </cell>
          <cell r="N237">
            <v>94150</v>
          </cell>
        </row>
        <row r="238">
          <cell r="A238">
            <v>44382</v>
          </cell>
          <cell r="B238">
            <v>232</v>
          </cell>
          <cell r="C238" t="str">
            <v>IASWD2307015090</v>
          </cell>
          <cell r="D238">
            <v>45135</v>
          </cell>
          <cell r="E238">
            <v>45933</v>
          </cell>
          <cell r="F238" t="str">
            <v>44382</v>
          </cell>
          <cell r="G238" t="str">
            <v>廣越二</v>
          </cell>
          <cell r="H238">
            <v>200000</v>
          </cell>
          <cell r="I238">
            <v>3.25</v>
          </cell>
          <cell r="J238">
            <v>45933</v>
          </cell>
          <cell r="K238">
            <v>100</v>
          </cell>
          <cell r="L238">
            <v>45915</v>
          </cell>
          <cell r="M238">
            <v>-11700</v>
          </cell>
          <cell r="N238">
            <v>188300</v>
          </cell>
        </row>
        <row r="239">
          <cell r="A239">
            <v>15991</v>
          </cell>
          <cell r="B239">
            <v>233</v>
          </cell>
          <cell r="C239" t="str">
            <v>IASWD2307015091</v>
          </cell>
          <cell r="D239">
            <v>45135</v>
          </cell>
          <cell r="E239">
            <v>45979</v>
          </cell>
          <cell r="F239" t="str">
            <v>15991</v>
          </cell>
          <cell r="G239" t="str">
            <v>宏佳騰一</v>
          </cell>
          <cell r="H239">
            <v>200000</v>
          </cell>
          <cell r="I239">
            <v>2.15</v>
          </cell>
          <cell r="J239">
            <v>45979</v>
          </cell>
          <cell r="K239">
            <v>100</v>
          </cell>
          <cell r="L239">
            <v>45959</v>
          </cell>
          <cell r="M239">
            <v>-7740</v>
          </cell>
          <cell r="N239">
            <v>192260</v>
          </cell>
        </row>
        <row r="240">
          <cell r="A240">
            <v>44382</v>
          </cell>
          <cell r="B240">
            <v>234</v>
          </cell>
          <cell r="C240" t="str">
            <v>IASWD2307015107</v>
          </cell>
          <cell r="D240">
            <v>45138</v>
          </cell>
          <cell r="E240">
            <v>45933</v>
          </cell>
          <cell r="F240" t="str">
            <v>44382</v>
          </cell>
          <cell r="G240" t="str">
            <v>廣越二</v>
          </cell>
          <cell r="H240">
            <v>100000</v>
          </cell>
          <cell r="I240">
            <v>3.25</v>
          </cell>
          <cell r="J240">
            <v>45933</v>
          </cell>
          <cell r="K240">
            <v>100</v>
          </cell>
          <cell r="L240">
            <v>45915</v>
          </cell>
          <cell r="M240">
            <v>-5823</v>
          </cell>
          <cell r="N240">
            <v>94177</v>
          </cell>
        </row>
        <row r="241">
          <cell r="A241">
            <v>15991</v>
          </cell>
          <cell r="B241">
            <v>235</v>
          </cell>
          <cell r="C241" t="str">
            <v>IASWD2307015122</v>
          </cell>
          <cell r="D241">
            <v>45138</v>
          </cell>
          <cell r="E241">
            <v>45979</v>
          </cell>
          <cell r="F241" t="str">
            <v>15991</v>
          </cell>
          <cell r="G241" t="str">
            <v>宏佳騰一</v>
          </cell>
          <cell r="H241">
            <v>400000</v>
          </cell>
          <cell r="I241">
            <v>2.15</v>
          </cell>
          <cell r="J241">
            <v>45979</v>
          </cell>
          <cell r="K241">
            <v>100</v>
          </cell>
          <cell r="L241">
            <v>45959</v>
          </cell>
          <cell r="M241">
            <v>-15409</v>
          </cell>
          <cell r="N241">
            <v>384591</v>
          </cell>
        </row>
        <row r="242">
          <cell r="A242">
            <v>44382</v>
          </cell>
          <cell r="B242">
            <v>236</v>
          </cell>
          <cell r="C242" t="str">
            <v>IASWD2307015129</v>
          </cell>
          <cell r="D242">
            <v>45138</v>
          </cell>
          <cell r="E242">
            <v>45933</v>
          </cell>
          <cell r="F242" t="str">
            <v>44382</v>
          </cell>
          <cell r="G242" t="str">
            <v>廣越二</v>
          </cell>
          <cell r="H242">
            <v>200000</v>
          </cell>
          <cell r="I242">
            <v>3.25</v>
          </cell>
          <cell r="J242">
            <v>45933</v>
          </cell>
          <cell r="K242">
            <v>100</v>
          </cell>
          <cell r="L242">
            <v>45915</v>
          </cell>
          <cell r="M242">
            <v>-11647</v>
          </cell>
          <cell r="N242">
            <v>188353</v>
          </cell>
        </row>
        <row r="243">
          <cell r="A243">
            <v>44382</v>
          </cell>
          <cell r="B243">
            <v>237</v>
          </cell>
          <cell r="C243" t="str">
            <v>IASWD2307015141</v>
          </cell>
          <cell r="D243">
            <v>45138</v>
          </cell>
          <cell r="E243">
            <v>45933</v>
          </cell>
          <cell r="F243" t="str">
            <v>44382</v>
          </cell>
          <cell r="G243" t="str">
            <v>廣越二</v>
          </cell>
          <cell r="H243">
            <v>1000000</v>
          </cell>
          <cell r="I243">
            <v>3.25</v>
          </cell>
          <cell r="J243">
            <v>45933</v>
          </cell>
          <cell r="K243">
            <v>100</v>
          </cell>
          <cell r="L243">
            <v>45915</v>
          </cell>
          <cell r="M243">
            <v>-58233</v>
          </cell>
          <cell r="N243">
            <v>941767</v>
          </cell>
        </row>
        <row r="244">
          <cell r="A244">
            <v>27271</v>
          </cell>
          <cell r="B244">
            <v>238</v>
          </cell>
          <cell r="C244" t="str">
            <v>IASWD2308015152</v>
          </cell>
          <cell r="D244">
            <v>45139</v>
          </cell>
          <cell r="E244">
            <v>46111</v>
          </cell>
          <cell r="F244" t="str">
            <v>27271</v>
          </cell>
          <cell r="G244" t="str">
            <v>王品一</v>
          </cell>
          <cell r="H244">
            <v>200000</v>
          </cell>
          <cell r="I244">
            <v>3.25</v>
          </cell>
          <cell r="J244">
            <v>46110</v>
          </cell>
          <cell r="K244">
            <v>100.75190000000001</v>
          </cell>
          <cell r="L244">
            <v>46091</v>
          </cell>
          <cell r="M244">
            <v>-11629</v>
          </cell>
          <cell r="N244">
            <v>188371</v>
          </cell>
        </row>
        <row r="245">
          <cell r="A245">
            <v>27271</v>
          </cell>
          <cell r="B245">
            <v>239</v>
          </cell>
          <cell r="C245" t="str">
            <v>IASWD2308015168</v>
          </cell>
          <cell r="D245">
            <v>45139</v>
          </cell>
          <cell r="E245">
            <v>46111</v>
          </cell>
          <cell r="F245" t="str">
            <v>27271</v>
          </cell>
          <cell r="G245" t="str">
            <v>王品一</v>
          </cell>
          <cell r="H245">
            <v>100000</v>
          </cell>
          <cell r="I245">
            <v>3.25</v>
          </cell>
          <cell r="J245">
            <v>46110</v>
          </cell>
          <cell r="K245">
            <v>100.75190000000001</v>
          </cell>
          <cell r="L245">
            <v>46091</v>
          </cell>
          <cell r="M245">
            <v>-5814</v>
          </cell>
          <cell r="N245">
            <v>94186</v>
          </cell>
        </row>
        <row r="246">
          <cell r="A246">
            <v>22313</v>
          </cell>
          <cell r="B246">
            <v>240</v>
          </cell>
          <cell r="C246" t="str">
            <v>IASWD2308015178</v>
          </cell>
          <cell r="D246">
            <v>45140</v>
          </cell>
          <cell r="E246">
            <v>45898</v>
          </cell>
          <cell r="F246" t="str">
            <v>22313</v>
          </cell>
          <cell r="G246" t="str">
            <v>為升三</v>
          </cell>
          <cell r="H246">
            <v>100000</v>
          </cell>
          <cell r="I246">
            <v>4</v>
          </cell>
          <cell r="J246">
            <v>45898</v>
          </cell>
          <cell r="K246">
            <v>101.50749999999999</v>
          </cell>
          <cell r="L246">
            <v>45880</v>
          </cell>
          <cell r="M246">
            <v>-7145</v>
          </cell>
          <cell r="N246">
            <v>92855</v>
          </cell>
        </row>
        <row r="247">
          <cell r="A247">
            <v>22313</v>
          </cell>
          <cell r="B247">
            <v>241</v>
          </cell>
          <cell r="C247" t="str">
            <v>IASWD2308015196</v>
          </cell>
          <cell r="D247">
            <v>45140</v>
          </cell>
          <cell r="E247">
            <v>45898</v>
          </cell>
          <cell r="F247" t="str">
            <v>22313</v>
          </cell>
          <cell r="G247" t="str">
            <v>為升三</v>
          </cell>
          <cell r="H247">
            <v>200000</v>
          </cell>
          <cell r="I247">
            <v>4</v>
          </cell>
          <cell r="J247">
            <v>45898</v>
          </cell>
          <cell r="K247">
            <v>101.50749999999999</v>
          </cell>
          <cell r="L247">
            <v>45880</v>
          </cell>
          <cell r="M247">
            <v>-14290</v>
          </cell>
          <cell r="N247">
            <v>185710</v>
          </cell>
        </row>
        <row r="248">
          <cell r="A248">
            <v>44382</v>
          </cell>
          <cell r="B248">
            <v>242</v>
          </cell>
          <cell r="C248" t="str">
            <v>IASWD2308015198</v>
          </cell>
          <cell r="D248">
            <v>45140</v>
          </cell>
          <cell r="E248">
            <v>45933</v>
          </cell>
          <cell r="F248" t="str">
            <v>44382</v>
          </cell>
          <cell r="G248" t="str">
            <v>廣越二</v>
          </cell>
          <cell r="H248">
            <v>100000</v>
          </cell>
          <cell r="I248">
            <v>3.25</v>
          </cell>
          <cell r="J248">
            <v>45933</v>
          </cell>
          <cell r="K248">
            <v>100</v>
          </cell>
          <cell r="L248">
            <v>45915</v>
          </cell>
          <cell r="M248">
            <v>-5805</v>
          </cell>
          <cell r="N248">
            <v>94195</v>
          </cell>
        </row>
        <row r="249">
          <cell r="A249">
            <v>27271</v>
          </cell>
          <cell r="B249">
            <v>243</v>
          </cell>
          <cell r="C249" t="str">
            <v>IASWD2308015200</v>
          </cell>
          <cell r="D249">
            <v>45140</v>
          </cell>
          <cell r="E249">
            <v>46111</v>
          </cell>
          <cell r="F249" t="str">
            <v>27271</v>
          </cell>
          <cell r="G249" t="str">
            <v>王品一</v>
          </cell>
          <cell r="H249">
            <v>300000</v>
          </cell>
          <cell r="I249">
            <v>3.25</v>
          </cell>
          <cell r="J249">
            <v>46110</v>
          </cell>
          <cell r="K249">
            <v>100.75190000000001</v>
          </cell>
          <cell r="L249">
            <v>46091</v>
          </cell>
          <cell r="M249">
            <v>-17416</v>
          </cell>
          <cell r="N249">
            <v>282584</v>
          </cell>
        </row>
        <row r="250">
          <cell r="A250">
            <v>44382</v>
          </cell>
          <cell r="B250">
            <v>244</v>
          </cell>
          <cell r="C250" t="str">
            <v>IASWD2308015206</v>
          </cell>
          <cell r="D250">
            <v>45140</v>
          </cell>
          <cell r="E250">
            <v>45933</v>
          </cell>
          <cell r="F250" t="str">
            <v>44382</v>
          </cell>
          <cell r="G250" t="str">
            <v>廣越二</v>
          </cell>
          <cell r="H250">
            <v>300000</v>
          </cell>
          <cell r="I250">
            <v>3.25</v>
          </cell>
          <cell r="J250">
            <v>45933</v>
          </cell>
          <cell r="K250">
            <v>100</v>
          </cell>
          <cell r="L250">
            <v>45915</v>
          </cell>
          <cell r="M250">
            <v>-17416</v>
          </cell>
          <cell r="N250">
            <v>282584</v>
          </cell>
        </row>
        <row r="251">
          <cell r="A251">
            <v>27271</v>
          </cell>
          <cell r="B251">
            <v>245</v>
          </cell>
          <cell r="C251" t="str">
            <v>IASWD2308015211</v>
          </cell>
          <cell r="D251">
            <v>45140</v>
          </cell>
          <cell r="E251">
            <v>46111</v>
          </cell>
          <cell r="F251" t="str">
            <v>27271</v>
          </cell>
          <cell r="G251" t="str">
            <v>王品一</v>
          </cell>
          <cell r="H251">
            <v>200000</v>
          </cell>
          <cell r="I251">
            <v>3.25</v>
          </cell>
          <cell r="J251">
            <v>46110</v>
          </cell>
          <cell r="K251">
            <v>100.75190000000001</v>
          </cell>
          <cell r="L251">
            <v>46091</v>
          </cell>
          <cell r="M251">
            <v>-11611</v>
          </cell>
          <cell r="N251">
            <v>188389</v>
          </cell>
        </row>
        <row r="252">
          <cell r="A252">
            <v>15991</v>
          </cell>
          <cell r="B252">
            <v>246</v>
          </cell>
          <cell r="C252" t="str">
            <v>IASWD2308015214</v>
          </cell>
          <cell r="D252">
            <v>45140</v>
          </cell>
          <cell r="E252">
            <v>45979</v>
          </cell>
          <cell r="F252" t="str">
            <v>15991</v>
          </cell>
          <cell r="G252" t="str">
            <v>宏佳騰一</v>
          </cell>
          <cell r="H252">
            <v>100000</v>
          </cell>
          <cell r="I252">
            <v>2.15</v>
          </cell>
          <cell r="J252">
            <v>45979</v>
          </cell>
          <cell r="K252">
            <v>100</v>
          </cell>
          <cell r="L252">
            <v>45959</v>
          </cell>
          <cell r="M252">
            <v>-3841</v>
          </cell>
          <cell r="N252">
            <v>96159</v>
          </cell>
        </row>
        <row r="253">
          <cell r="A253">
            <v>44382</v>
          </cell>
          <cell r="B253">
            <v>247</v>
          </cell>
          <cell r="C253" t="str">
            <v>IASWD2308015217</v>
          </cell>
          <cell r="D253">
            <v>45140</v>
          </cell>
          <cell r="E253">
            <v>45933</v>
          </cell>
          <cell r="F253" t="str">
            <v>44382</v>
          </cell>
          <cell r="G253" t="str">
            <v>廣越二</v>
          </cell>
          <cell r="H253">
            <v>200000</v>
          </cell>
          <cell r="I253">
            <v>3.25</v>
          </cell>
          <cell r="J253">
            <v>45933</v>
          </cell>
          <cell r="K253">
            <v>100</v>
          </cell>
          <cell r="L253">
            <v>45915</v>
          </cell>
          <cell r="M253">
            <v>-11611</v>
          </cell>
          <cell r="N253">
            <v>188389</v>
          </cell>
        </row>
        <row r="254">
          <cell r="A254">
            <v>22313</v>
          </cell>
          <cell r="B254">
            <v>248</v>
          </cell>
          <cell r="C254" t="str">
            <v>IASWD2308015223</v>
          </cell>
          <cell r="D254">
            <v>45142</v>
          </cell>
          <cell r="E254">
            <v>45898</v>
          </cell>
          <cell r="F254" t="str">
            <v>22313</v>
          </cell>
          <cell r="G254" t="str">
            <v>為升三</v>
          </cell>
          <cell r="H254">
            <v>100000</v>
          </cell>
          <cell r="I254">
            <v>4</v>
          </cell>
          <cell r="J254">
            <v>45898</v>
          </cell>
          <cell r="K254">
            <v>101.50749999999999</v>
          </cell>
          <cell r="L254">
            <v>45880</v>
          </cell>
          <cell r="M254">
            <v>-7123</v>
          </cell>
          <cell r="N254">
            <v>92877</v>
          </cell>
        </row>
        <row r="255">
          <cell r="A255">
            <v>27271</v>
          </cell>
          <cell r="B255">
            <v>249</v>
          </cell>
          <cell r="C255" t="str">
            <v>IASWD2308015233</v>
          </cell>
          <cell r="D255">
            <v>45142</v>
          </cell>
          <cell r="E255">
            <v>46111</v>
          </cell>
          <cell r="F255" t="str">
            <v>27271</v>
          </cell>
          <cell r="G255" t="str">
            <v>王品一</v>
          </cell>
          <cell r="H255">
            <v>100000</v>
          </cell>
          <cell r="I255">
            <v>3.25</v>
          </cell>
          <cell r="J255">
            <v>46110</v>
          </cell>
          <cell r="K255">
            <v>100.75190000000001</v>
          </cell>
          <cell r="L255">
            <v>46091</v>
          </cell>
          <cell r="M255">
            <v>-5788</v>
          </cell>
          <cell r="N255">
            <v>94212</v>
          </cell>
        </row>
        <row r="256">
          <cell r="A256">
            <v>27271</v>
          </cell>
          <cell r="B256">
            <v>250</v>
          </cell>
          <cell r="C256" t="str">
            <v>IASWD2308015234</v>
          </cell>
          <cell r="D256">
            <v>45142</v>
          </cell>
          <cell r="E256">
            <v>46111</v>
          </cell>
          <cell r="F256" t="str">
            <v>27271</v>
          </cell>
          <cell r="G256" t="str">
            <v>王品一</v>
          </cell>
          <cell r="H256">
            <v>200000</v>
          </cell>
          <cell r="I256">
            <v>3.25</v>
          </cell>
          <cell r="J256">
            <v>46110</v>
          </cell>
          <cell r="K256">
            <v>100.75190000000001</v>
          </cell>
          <cell r="L256">
            <v>46091</v>
          </cell>
          <cell r="M256">
            <v>-11575</v>
          </cell>
          <cell r="N256">
            <v>188425</v>
          </cell>
        </row>
        <row r="257">
          <cell r="A257">
            <v>27271</v>
          </cell>
          <cell r="B257">
            <v>251</v>
          </cell>
          <cell r="C257" t="str">
            <v>IASWD2308015235</v>
          </cell>
          <cell r="D257">
            <v>45142</v>
          </cell>
          <cell r="E257">
            <v>46111</v>
          </cell>
          <cell r="F257" t="str">
            <v>27271</v>
          </cell>
          <cell r="G257" t="str">
            <v>王品一</v>
          </cell>
          <cell r="H257">
            <v>400000</v>
          </cell>
          <cell r="I257">
            <v>3.25</v>
          </cell>
          <cell r="J257">
            <v>46110</v>
          </cell>
          <cell r="K257">
            <v>100.75190000000001</v>
          </cell>
          <cell r="L257">
            <v>46091</v>
          </cell>
          <cell r="M257">
            <v>-23151</v>
          </cell>
          <cell r="N257">
            <v>376849</v>
          </cell>
        </row>
        <row r="258">
          <cell r="A258">
            <v>22313</v>
          </cell>
          <cell r="B258">
            <v>252</v>
          </cell>
          <cell r="C258" t="str">
            <v>IASWD2308015244</v>
          </cell>
          <cell r="D258">
            <v>45142</v>
          </cell>
          <cell r="E258">
            <v>45898</v>
          </cell>
          <cell r="F258" t="str">
            <v>22313</v>
          </cell>
          <cell r="G258" t="str">
            <v>為升三</v>
          </cell>
          <cell r="H258">
            <v>200000</v>
          </cell>
          <cell r="I258">
            <v>4</v>
          </cell>
          <cell r="J258">
            <v>45898</v>
          </cell>
          <cell r="K258">
            <v>101.50749999999999</v>
          </cell>
          <cell r="L258">
            <v>45880</v>
          </cell>
          <cell r="M258">
            <v>-14247</v>
          </cell>
          <cell r="N258">
            <v>185753</v>
          </cell>
        </row>
        <row r="259">
          <cell r="A259">
            <v>27271</v>
          </cell>
          <cell r="B259">
            <v>253</v>
          </cell>
          <cell r="C259" t="str">
            <v>IASWD2308015256</v>
          </cell>
          <cell r="D259">
            <v>45145</v>
          </cell>
          <cell r="E259">
            <v>46111</v>
          </cell>
          <cell r="F259" t="str">
            <v>27271</v>
          </cell>
          <cell r="G259" t="str">
            <v>王品一</v>
          </cell>
          <cell r="H259">
            <v>100000</v>
          </cell>
          <cell r="I259">
            <v>3.25</v>
          </cell>
          <cell r="J259">
            <v>46110</v>
          </cell>
          <cell r="K259">
            <v>100.75190000000001</v>
          </cell>
          <cell r="L259">
            <v>46091</v>
          </cell>
          <cell r="M259">
            <v>-5761</v>
          </cell>
          <cell r="N259">
            <v>94239</v>
          </cell>
        </row>
        <row r="260">
          <cell r="A260">
            <v>27271</v>
          </cell>
          <cell r="B260">
            <v>254</v>
          </cell>
          <cell r="C260" t="str">
            <v>IASWD2308015269</v>
          </cell>
          <cell r="D260">
            <v>45146</v>
          </cell>
          <cell r="E260">
            <v>46111</v>
          </cell>
          <cell r="F260" t="str">
            <v>27271</v>
          </cell>
          <cell r="G260" t="str">
            <v>王品一</v>
          </cell>
          <cell r="H260">
            <v>100000</v>
          </cell>
          <cell r="I260">
            <v>3.25</v>
          </cell>
          <cell r="J260">
            <v>46110</v>
          </cell>
          <cell r="K260">
            <v>100.75190000000001</v>
          </cell>
          <cell r="L260">
            <v>46091</v>
          </cell>
          <cell r="M260">
            <v>-5752</v>
          </cell>
          <cell r="N260">
            <v>94248</v>
          </cell>
        </row>
        <row r="261">
          <cell r="A261">
            <v>22313</v>
          </cell>
          <cell r="B261">
            <v>255</v>
          </cell>
          <cell r="C261" t="str">
            <v>IASWD2308015271</v>
          </cell>
          <cell r="D261">
            <v>45146</v>
          </cell>
          <cell r="E261">
            <v>45898</v>
          </cell>
          <cell r="F261" t="str">
            <v>22313</v>
          </cell>
          <cell r="G261" t="str">
            <v>為升三</v>
          </cell>
          <cell r="H261">
            <v>100000</v>
          </cell>
          <cell r="I261">
            <v>4</v>
          </cell>
          <cell r="J261">
            <v>45898</v>
          </cell>
          <cell r="K261">
            <v>101.50749999999999</v>
          </cell>
          <cell r="L261">
            <v>45880</v>
          </cell>
          <cell r="M261">
            <v>-7079</v>
          </cell>
          <cell r="N261">
            <v>92921</v>
          </cell>
        </row>
        <row r="262">
          <cell r="A262">
            <v>22313</v>
          </cell>
          <cell r="B262">
            <v>256</v>
          </cell>
          <cell r="C262" t="str">
            <v>IASWD2308015280</v>
          </cell>
          <cell r="D262">
            <v>45146</v>
          </cell>
          <cell r="E262">
            <v>45898</v>
          </cell>
          <cell r="F262" t="str">
            <v>22313</v>
          </cell>
          <cell r="G262" t="str">
            <v>為升三</v>
          </cell>
          <cell r="H262">
            <v>400000</v>
          </cell>
          <cell r="I262">
            <v>4</v>
          </cell>
          <cell r="J262">
            <v>45898</v>
          </cell>
          <cell r="K262">
            <v>101.50749999999999</v>
          </cell>
          <cell r="L262">
            <v>45880</v>
          </cell>
          <cell r="M262">
            <v>-28318</v>
          </cell>
          <cell r="N262">
            <v>371682</v>
          </cell>
        </row>
        <row r="263">
          <cell r="A263">
            <v>22313</v>
          </cell>
          <cell r="B263">
            <v>257</v>
          </cell>
          <cell r="C263" t="str">
            <v>IASWD2308015302</v>
          </cell>
          <cell r="D263">
            <v>45147</v>
          </cell>
          <cell r="E263">
            <v>45898</v>
          </cell>
          <cell r="F263" t="str">
            <v>22313</v>
          </cell>
          <cell r="G263" t="str">
            <v>為升三</v>
          </cell>
          <cell r="H263">
            <v>600000</v>
          </cell>
          <cell r="I263">
            <v>4</v>
          </cell>
          <cell r="J263">
            <v>45898</v>
          </cell>
          <cell r="K263">
            <v>101.50749999999999</v>
          </cell>
          <cell r="L263">
            <v>45880</v>
          </cell>
          <cell r="M263">
            <v>-42411</v>
          </cell>
          <cell r="N263">
            <v>557589</v>
          </cell>
        </row>
        <row r="264">
          <cell r="A264">
            <v>15991</v>
          </cell>
          <cell r="B264">
            <v>258</v>
          </cell>
          <cell r="C264" t="str">
            <v>IASWD2308015319</v>
          </cell>
          <cell r="D264">
            <v>45148</v>
          </cell>
          <cell r="E264">
            <v>45979</v>
          </cell>
          <cell r="F264" t="str">
            <v>15991</v>
          </cell>
          <cell r="G264" t="str">
            <v>宏佳騰一</v>
          </cell>
          <cell r="H264">
            <v>100000</v>
          </cell>
          <cell r="I264">
            <v>2.15</v>
          </cell>
          <cell r="J264">
            <v>45979</v>
          </cell>
          <cell r="K264">
            <v>100</v>
          </cell>
          <cell r="L264">
            <v>45959</v>
          </cell>
          <cell r="M264">
            <v>-3793</v>
          </cell>
          <cell r="N264">
            <v>96207</v>
          </cell>
        </row>
        <row r="265">
          <cell r="A265">
            <v>27271</v>
          </cell>
          <cell r="B265">
            <v>259</v>
          </cell>
          <cell r="C265" t="str">
            <v>IASWD2308015321</v>
          </cell>
          <cell r="D265">
            <v>45148</v>
          </cell>
          <cell r="E265">
            <v>46111</v>
          </cell>
          <cell r="F265" t="str">
            <v>27271</v>
          </cell>
          <cell r="G265" t="str">
            <v>王品一</v>
          </cell>
          <cell r="H265">
            <v>100000</v>
          </cell>
          <cell r="I265">
            <v>3.25</v>
          </cell>
          <cell r="J265">
            <v>46110</v>
          </cell>
          <cell r="K265">
            <v>100.75190000000001</v>
          </cell>
          <cell r="L265">
            <v>46091</v>
          </cell>
          <cell r="M265">
            <v>-5734</v>
          </cell>
          <cell r="N265">
            <v>94266</v>
          </cell>
        </row>
        <row r="266">
          <cell r="A266">
            <v>44382</v>
          </cell>
          <cell r="B266">
            <v>260</v>
          </cell>
          <cell r="C266" t="str">
            <v>IASWD2308015324</v>
          </cell>
          <cell r="D266">
            <v>45148</v>
          </cell>
          <cell r="E266">
            <v>45933</v>
          </cell>
          <cell r="F266" t="str">
            <v>44382</v>
          </cell>
          <cell r="G266" t="str">
            <v>廣越二</v>
          </cell>
          <cell r="H266">
            <v>1300000</v>
          </cell>
          <cell r="I266">
            <v>3.25</v>
          </cell>
          <cell r="J266">
            <v>45933</v>
          </cell>
          <cell r="K266">
            <v>100</v>
          </cell>
          <cell r="L266">
            <v>45915</v>
          </cell>
          <cell r="M266">
            <v>-74545</v>
          </cell>
          <cell r="N266">
            <v>1225455</v>
          </cell>
        </row>
        <row r="267">
          <cell r="A267">
            <v>27271</v>
          </cell>
          <cell r="B267">
            <v>261</v>
          </cell>
          <cell r="C267" t="str">
            <v>IASWD2308015326</v>
          </cell>
          <cell r="D267">
            <v>45148</v>
          </cell>
          <cell r="E267">
            <v>46111</v>
          </cell>
          <cell r="F267" t="str">
            <v>27271</v>
          </cell>
          <cell r="G267" t="str">
            <v>王品一</v>
          </cell>
          <cell r="H267">
            <v>200000</v>
          </cell>
          <cell r="I267">
            <v>3.25</v>
          </cell>
          <cell r="J267">
            <v>46110</v>
          </cell>
          <cell r="K267">
            <v>100.75190000000001</v>
          </cell>
          <cell r="L267">
            <v>46091</v>
          </cell>
          <cell r="M267">
            <v>-11468</v>
          </cell>
          <cell r="N267">
            <v>188532</v>
          </cell>
        </row>
        <row r="268">
          <cell r="A268">
            <v>22313</v>
          </cell>
          <cell r="B268">
            <v>262</v>
          </cell>
          <cell r="C268" t="str">
            <v>IASWD2308015329</v>
          </cell>
          <cell r="D268">
            <v>45148</v>
          </cell>
          <cell r="E268">
            <v>45898</v>
          </cell>
          <cell r="F268" t="str">
            <v>22313</v>
          </cell>
          <cell r="G268" t="str">
            <v>為升三</v>
          </cell>
          <cell r="H268">
            <v>1000000</v>
          </cell>
          <cell r="I268">
            <v>4</v>
          </cell>
          <cell r="J268">
            <v>45898</v>
          </cell>
          <cell r="K268">
            <v>101.50749999999999</v>
          </cell>
          <cell r="L268">
            <v>45880</v>
          </cell>
          <cell r="M268">
            <v>-70575</v>
          </cell>
          <cell r="N268">
            <v>929425</v>
          </cell>
        </row>
        <row r="269">
          <cell r="A269">
            <v>22313</v>
          </cell>
          <cell r="B269">
            <v>263</v>
          </cell>
          <cell r="C269" t="str">
            <v>IASWD2308015333</v>
          </cell>
          <cell r="D269">
            <v>45148</v>
          </cell>
          <cell r="E269">
            <v>45898</v>
          </cell>
          <cell r="F269" t="str">
            <v>22313</v>
          </cell>
          <cell r="G269" t="str">
            <v>為升三</v>
          </cell>
          <cell r="H269">
            <v>100000</v>
          </cell>
          <cell r="I269">
            <v>4</v>
          </cell>
          <cell r="J269">
            <v>45898</v>
          </cell>
          <cell r="K269">
            <v>101.50749999999999</v>
          </cell>
          <cell r="L269">
            <v>45880</v>
          </cell>
          <cell r="M269">
            <v>-7058</v>
          </cell>
          <cell r="N269">
            <v>92942</v>
          </cell>
        </row>
        <row r="270">
          <cell r="A270">
            <v>22313</v>
          </cell>
          <cell r="B270">
            <v>264</v>
          </cell>
          <cell r="C270" t="str">
            <v>IASWD2308015355</v>
          </cell>
          <cell r="D270">
            <v>45149</v>
          </cell>
          <cell r="E270">
            <v>45898</v>
          </cell>
          <cell r="F270" t="str">
            <v>22313</v>
          </cell>
          <cell r="G270" t="str">
            <v>為升三</v>
          </cell>
          <cell r="H270">
            <v>100000</v>
          </cell>
          <cell r="I270">
            <v>4</v>
          </cell>
          <cell r="J270">
            <v>45898</v>
          </cell>
          <cell r="K270">
            <v>101.50749999999999</v>
          </cell>
          <cell r="L270">
            <v>45880</v>
          </cell>
          <cell r="M270">
            <v>-7047</v>
          </cell>
          <cell r="N270">
            <v>92953</v>
          </cell>
        </row>
        <row r="271">
          <cell r="A271">
            <v>27271</v>
          </cell>
          <cell r="B271">
            <v>265</v>
          </cell>
          <cell r="C271" t="str">
            <v>IASWD2308015356</v>
          </cell>
          <cell r="D271">
            <v>45149</v>
          </cell>
          <cell r="E271">
            <v>46111</v>
          </cell>
          <cell r="F271" t="str">
            <v>27271</v>
          </cell>
          <cell r="G271" t="str">
            <v>王品一</v>
          </cell>
          <cell r="H271">
            <v>100000</v>
          </cell>
          <cell r="I271">
            <v>3.25</v>
          </cell>
          <cell r="J271">
            <v>46110</v>
          </cell>
          <cell r="K271">
            <v>100.75190000000001</v>
          </cell>
          <cell r="L271">
            <v>46091</v>
          </cell>
          <cell r="M271">
            <v>-5725</v>
          </cell>
          <cell r="N271">
            <v>94275</v>
          </cell>
        </row>
        <row r="272">
          <cell r="A272">
            <v>15991</v>
          </cell>
          <cell r="B272">
            <v>266</v>
          </cell>
          <cell r="C272" t="str">
            <v>IASWD2308015368</v>
          </cell>
          <cell r="D272">
            <v>45149</v>
          </cell>
          <cell r="E272">
            <v>45979</v>
          </cell>
          <cell r="F272" t="str">
            <v>15991</v>
          </cell>
          <cell r="G272" t="str">
            <v>宏佳騰一</v>
          </cell>
          <cell r="H272">
            <v>100000</v>
          </cell>
          <cell r="I272">
            <v>2.15</v>
          </cell>
          <cell r="J272">
            <v>45979</v>
          </cell>
          <cell r="K272">
            <v>100</v>
          </cell>
          <cell r="L272">
            <v>45959</v>
          </cell>
          <cell r="M272">
            <v>-3788</v>
          </cell>
          <cell r="N272">
            <v>96212</v>
          </cell>
        </row>
        <row r="273">
          <cell r="A273">
            <v>15991</v>
          </cell>
          <cell r="B273">
            <v>267</v>
          </cell>
          <cell r="C273" t="str">
            <v>IASWD2308015371</v>
          </cell>
          <cell r="D273">
            <v>45149</v>
          </cell>
          <cell r="E273">
            <v>45979</v>
          </cell>
          <cell r="F273" t="str">
            <v>15991</v>
          </cell>
          <cell r="G273" t="str">
            <v>宏佳騰一</v>
          </cell>
          <cell r="H273">
            <v>200000</v>
          </cell>
          <cell r="I273">
            <v>2.15</v>
          </cell>
          <cell r="J273">
            <v>45979</v>
          </cell>
          <cell r="K273">
            <v>100</v>
          </cell>
          <cell r="L273">
            <v>45959</v>
          </cell>
          <cell r="M273">
            <v>-7575</v>
          </cell>
          <cell r="N273">
            <v>192425</v>
          </cell>
        </row>
        <row r="274">
          <cell r="A274">
            <v>44382</v>
          </cell>
          <cell r="B274">
            <v>268</v>
          </cell>
          <cell r="C274" t="str">
            <v>IASWD2308015372</v>
          </cell>
          <cell r="D274">
            <v>45149</v>
          </cell>
          <cell r="E274">
            <v>45933</v>
          </cell>
          <cell r="F274" t="str">
            <v>44382</v>
          </cell>
          <cell r="G274" t="str">
            <v>廣越二</v>
          </cell>
          <cell r="H274">
            <v>100000</v>
          </cell>
          <cell r="I274">
            <v>3.25</v>
          </cell>
          <cell r="J274">
            <v>45933</v>
          </cell>
          <cell r="K274">
            <v>100</v>
          </cell>
          <cell r="L274">
            <v>45915</v>
          </cell>
          <cell r="M274">
            <v>-5725</v>
          </cell>
          <cell r="N274">
            <v>94275</v>
          </cell>
        </row>
        <row r="275">
          <cell r="A275">
            <v>27271</v>
          </cell>
          <cell r="B275">
            <v>269</v>
          </cell>
          <cell r="C275" t="str">
            <v>IASWD2308015378</v>
          </cell>
          <cell r="D275">
            <v>45152</v>
          </cell>
          <cell r="E275">
            <v>46111</v>
          </cell>
          <cell r="F275" t="str">
            <v>27271</v>
          </cell>
          <cell r="G275" t="str">
            <v>王品一</v>
          </cell>
          <cell r="H275">
            <v>1500000</v>
          </cell>
          <cell r="I275">
            <v>3.25</v>
          </cell>
          <cell r="J275">
            <v>46110</v>
          </cell>
          <cell r="K275">
            <v>100.75190000000001</v>
          </cell>
          <cell r="L275">
            <v>46091</v>
          </cell>
          <cell r="M275">
            <v>-85479</v>
          </cell>
          <cell r="N275">
            <v>1414521</v>
          </cell>
        </row>
        <row r="276">
          <cell r="A276">
            <v>22313</v>
          </cell>
          <cell r="B276">
            <v>270</v>
          </cell>
          <cell r="C276" t="str">
            <v>IASWD2308015382</v>
          </cell>
          <cell r="D276">
            <v>45152</v>
          </cell>
          <cell r="E276">
            <v>45898</v>
          </cell>
          <cell r="F276" t="str">
            <v>22313</v>
          </cell>
          <cell r="G276" t="str">
            <v>為升三</v>
          </cell>
          <cell r="H276">
            <v>100000</v>
          </cell>
          <cell r="I276">
            <v>4</v>
          </cell>
          <cell r="J276">
            <v>45898</v>
          </cell>
          <cell r="K276">
            <v>101.50749999999999</v>
          </cell>
          <cell r="L276">
            <v>45880</v>
          </cell>
          <cell r="M276">
            <v>-7014</v>
          </cell>
          <cell r="N276">
            <v>92986</v>
          </cell>
        </row>
        <row r="277">
          <cell r="A277">
            <v>27271</v>
          </cell>
          <cell r="B277">
            <v>271</v>
          </cell>
          <cell r="C277" t="str">
            <v>IASWD2308015388</v>
          </cell>
          <cell r="D277">
            <v>45152</v>
          </cell>
          <cell r="E277">
            <v>46111</v>
          </cell>
          <cell r="F277" t="str">
            <v>27271</v>
          </cell>
          <cell r="G277" t="str">
            <v>王品一</v>
          </cell>
          <cell r="H277">
            <v>100000</v>
          </cell>
          <cell r="I277">
            <v>3.25</v>
          </cell>
          <cell r="J277">
            <v>46110</v>
          </cell>
          <cell r="K277">
            <v>100.75190000000001</v>
          </cell>
          <cell r="L277">
            <v>46091</v>
          </cell>
          <cell r="M277">
            <v>-5699</v>
          </cell>
          <cell r="N277">
            <v>94301</v>
          </cell>
        </row>
        <row r="278">
          <cell r="A278">
            <v>27271</v>
          </cell>
          <cell r="B278">
            <v>272</v>
          </cell>
          <cell r="C278" t="str">
            <v>IASWD2308015389</v>
          </cell>
          <cell r="D278">
            <v>45152</v>
          </cell>
          <cell r="E278">
            <v>46111</v>
          </cell>
          <cell r="F278" t="str">
            <v>27271</v>
          </cell>
          <cell r="G278" t="str">
            <v>王品一</v>
          </cell>
          <cell r="H278">
            <v>1000000</v>
          </cell>
          <cell r="I278">
            <v>3.25</v>
          </cell>
          <cell r="J278">
            <v>46110</v>
          </cell>
          <cell r="K278">
            <v>100.75190000000001</v>
          </cell>
          <cell r="L278">
            <v>46091</v>
          </cell>
          <cell r="M278">
            <v>-56986</v>
          </cell>
          <cell r="N278">
            <v>943014</v>
          </cell>
        </row>
        <row r="279">
          <cell r="A279">
            <v>27271</v>
          </cell>
          <cell r="B279">
            <v>273</v>
          </cell>
          <cell r="C279" t="str">
            <v>IASWD2308015400</v>
          </cell>
          <cell r="D279">
            <v>45152</v>
          </cell>
          <cell r="E279">
            <v>46111</v>
          </cell>
          <cell r="F279" t="str">
            <v>27271</v>
          </cell>
          <cell r="G279" t="str">
            <v>王品一</v>
          </cell>
          <cell r="H279">
            <v>100000</v>
          </cell>
          <cell r="I279">
            <v>3.25</v>
          </cell>
          <cell r="J279">
            <v>46110</v>
          </cell>
          <cell r="K279">
            <v>100.75190000000001</v>
          </cell>
          <cell r="L279">
            <v>46091</v>
          </cell>
          <cell r="M279">
            <v>-5699</v>
          </cell>
          <cell r="N279">
            <v>94301</v>
          </cell>
        </row>
        <row r="280">
          <cell r="A280">
            <v>27271</v>
          </cell>
          <cell r="B280">
            <v>274</v>
          </cell>
          <cell r="C280" t="str">
            <v>IASWD2308015401</v>
          </cell>
          <cell r="D280">
            <v>45152</v>
          </cell>
          <cell r="E280">
            <v>46111</v>
          </cell>
          <cell r="F280" t="str">
            <v>27271</v>
          </cell>
          <cell r="G280" t="str">
            <v>王品一</v>
          </cell>
          <cell r="H280">
            <v>100000</v>
          </cell>
          <cell r="I280">
            <v>3.25</v>
          </cell>
          <cell r="J280">
            <v>46110</v>
          </cell>
          <cell r="K280">
            <v>100.75190000000001</v>
          </cell>
          <cell r="L280">
            <v>46091</v>
          </cell>
          <cell r="M280">
            <v>-5699</v>
          </cell>
          <cell r="N280">
            <v>94301</v>
          </cell>
        </row>
        <row r="281">
          <cell r="A281">
            <v>27271</v>
          </cell>
          <cell r="B281">
            <v>275</v>
          </cell>
          <cell r="C281" t="str">
            <v>IASWD2308015407</v>
          </cell>
          <cell r="D281">
            <v>45153</v>
          </cell>
          <cell r="E281">
            <v>46111</v>
          </cell>
          <cell r="F281" t="str">
            <v>27271</v>
          </cell>
          <cell r="G281" t="str">
            <v>王品一</v>
          </cell>
          <cell r="H281">
            <v>300000</v>
          </cell>
          <cell r="I281">
            <v>3.25</v>
          </cell>
          <cell r="J281">
            <v>46110</v>
          </cell>
          <cell r="K281">
            <v>100.75190000000001</v>
          </cell>
          <cell r="L281">
            <v>46091</v>
          </cell>
          <cell r="M281">
            <v>-17069</v>
          </cell>
          <cell r="N281">
            <v>282931</v>
          </cell>
        </row>
        <row r="282">
          <cell r="A282">
            <v>27271</v>
          </cell>
          <cell r="B282">
            <v>276</v>
          </cell>
          <cell r="C282" t="str">
            <v>IASWD2308015409</v>
          </cell>
          <cell r="D282">
            <v>45153</v>
          </cell>
          <cell r="E282">
            <v>46111</v>
          </cell>
          <cell r="F282" t="str">
            <v>27271</v>
          </cell>
          <cell r="G282" t="str">
            <v>王品一</v>
          </cell>
          <cell r="H282">
            <v>300000</v>
          </cell>
          <cell r="I282">
            <v>3.25</v>
          </cell>
          <cell r="J282">
            <v>46110</v>
          </cell>
          <cell r="K282">
            <v>100.75190000000001</v>
          </cell>
          <cell r="L282">
            <v>46091</v>
          </cell>
          <cell r="M282">
            <v>-17069</v>
          </cell>
          <cell r="N282">
            <v>282931</v>
          </cell>
        </row>
        <row r="283">
          <cell r="A283">
            <v>27271</v>
          </cell>
          <cell r="B283">
            <v>277</v>
          </cell>
          <cell r="C283" t="str">
            <v>IASWD2308015412</v>
          </cell>
          <cell r="D283">
            <v>45153</v>
          </cell>
          <cell r="E283">
            <v>46111</v>
          </cell>
          <cell r="F283" t="str">
            <v>27271</v>
          </cell>
          <cell r="G283" t="str">
            <v>王品一</v>
          </cell>
          <cell r="H283">
            <v>200000</v>
          </cell>
          <cell r="I283">
            <v>3.25</v>
          </cell>
          <cell r="J283">
            <v>46110</v>
          </cell>
          <cell r="K283">
            <v>100.75190000000001</v>
          </cell>
          <cell r="L283">
            <v>46091</v>
          </cell>
          <cell r="M283">
            <v>-11379</v>
          </cell>
          <cell r="N283">
            <v>188621</v>
          </cell>
        </row>
        <row r="284">
          <cell r="A284">
            <v>27271</v>
          </cell>
          <cell r="B284">
            <v>278</v>
          </cell>
          <cell r="C284" t="str">
            <v>IASWD2308015415</v>
          </cell>
          <cell r="D284">
            <v>45153</v>
          </cell>
          <cell r="E284">
            <v>46111</v>
          </cell>
          <cell r="F284" t="str">
            <v>27271</v>
          </cell>
          <cell r="G284" t="str">
            <v>王品一</v>
          </cell>
          <cell r="H284">
            <v>100000</v>
          </cell>
          <cell r="I284">
            <v>3.25</v>
          </cell>
          <cell r="J284">
            <v>46110</v>
          </cell>
          <cell r="K284">
            <v>100.75190000000001</v>
          </cell>
          <cell r="L284">
            <v>46091</v>
          </cell>
          <cell r="M284">
            <v>-5690</v>
          </cell>
          <cell r="N284">
            <v>94310</v>
          </cell>
        </row>
        <row r="285">
          <cell r="A285">
            <v>27271</v>
          </cell>
          <cell r="B285">
            <v>279</v>
          </cell>
          <cell r="C285" t="str">
            <v>IASWD2308015418</v>
          </cell>
          <cell r="D285">
            <v>45153</v>
          </cell>
          <cell r="E285">
            <v>46111</v>
          </cell>
          <cell r="F285" t="str">
            <v>27271</v>
          </cell>
          <cell r="G285" t="str">
            <v>王品一</v>
          </cell>
          <cell r="H285">
            <v>400000</v>
          </cell>
          <cell r="I285">
            <v>3.25</v>
          </cell>
          <cell r="J285">
            <v>46110</v>
          </cell>
          <cell r="K285">
            <v>100.75190000000001</v>
          </cell>
          <cell r="L285">
            <v>46091</v>
          </cell>
          <cell r="M285">
            <v>-22759</v>
          </cell>
          <cell r="N285">
            <v>377241</v>
          </cell>
        </row>
        <row r="286">
          <cell r="A286">
            <v>27271</v>
          </cell>
          <cell r="B286">
            <v>280</v>
          </cell>
          <cell r="C286" t="str">
            <v>IASWD2308015419</v>
          </cell>
          <cell r="D286">
            <v>45153</v>
          </cell>
          <cell r="E286">
            <v>46111</v>
          </cell>
          <cell r="F286" t="str">
            <v>27271</v>
          </cell>
          <cell r="G286" t="str">
            <v>王品一</v>
          </cell>
          <cell r="H286">
            <v>100000</v>
          </cell>
          <cell r="I286">
            <v>3.25</v>
          </cell>
          <cell r="J286">
            <v>46110</v>
          </cell>
          <cell r="K286">
            <v>100.75190000000001</v>
          </cell>
          <cell r="L286">
            <v>46091</v>
          </cell>
          <cell r="M286">
            <v>-5690</v>
          </cell>
          <cell r="N286">
            <v>94310</v>
          </cell>
        </row>
        <row r="287">
          <cell r="A287">
            <v>44382</v>
          </cell>
          <cell r="B287">
            <v>281</v>
          </cell>
          <cell r="C287" t="str">
            <v>IASWD2308015422</v>
          </cell>
          <cell r="D287">
            <v>45153</v>
          </cell>
          <cell r="E287">
            <v>45933</v>
          </cell>
          <cell r="F287" t="str">
            <v>44382</v>
          </cell>
          <cell r="G287" t="str">
            <v>廣越二</v>
          </cell>
          <cell r="H287">
            <v>100000</v>
          </cell>
          <cell r="I287">
            <v>3.25</v>
          </cell>
          <cell r="J287">
            <v>45933</v>
          </cell>
          <cell r="K287">
            <v>100</v>
          </cell>
          <cell r="L287">
            <v>45915</v>
          </cell>
          <cell r="M287">
            <v>-5690</v>
          </cell>
          <cell r="N287">
            <v>94310</v>
          </cell>
        </row>
        <row r="288">
          <cell r="A288">
            <v>44382</v>
          </cell>
          <cell r="B288">
            <v>282</v>
          </cell>
          <cell r="C288" t="str">
            <v>IASWD2308015424</v>
          </cell>
          <cell r="D288">
            <v>45153</v>
          </cell>
          <cell r="E288">
            <v>45933</v>
          </cell>
          <cell r="F288" t="str">
            <v>44382</v>
          </cell>
          <cell r="G288" t="str">
            <v>廣越二</v>
          </cell>
          <cell r="H288">
            <v>100000</v>
          </cell>
          <cell r="I288">
            <v>3.25</v>
          </cell>
          <cell r="J288">
            <v>45933</v>
          </cell>
          <cell r="K288">
            <v>100</v>
          </cell>
          <cell r="L288">
            <v>45915</v>
          </cell>
          <cell r="M288">
            <v>-5690</v>
          </cell>
          <cell r="N288">
            <v>94310</v>
          </cell>
        </row>
        <row r="289">
          <cell r="A289">
            <v>15991</v>
          </cell>
          <cell r="B289">
            <v>283</v>
          </cell>
          <cell r="C289" t="str">
            <v>IASWD2308015427</v>
          </cell>
          <cell r="D289">
            <v>45153</v>
          </cell>
          <cell r="E289">
            <v>45979</v>
          </cell>
          <cell r="F289" t="str">
            <v>15991</v>
          </cell>
          <cell r="G289" t="str">
            <v>宏佳騰一</v>
          </cell>
          <cell r="H289">
            <v>100000</v>
          </cell>
          <cell r="I289">
            <v>2.15</v>
          </cell>
          <cell r="J289">
            <v>45979</v>
          </cell>
          <cell r="K289">
            <v>100</v>
          </cell>
          <cell r="L289">
            <v>45959</v>
          </cell>
          <cell r="M289">
            <v>-3764</v>
          </cell>
          <cell r="N289">
            <v>96236</v>
          </cell>
        </row>
        <row r="290">
          <cell r="A290">
            <v>27271</v>
          </cell>
          <cell r="B290">
            <v>284</v>
          </cell>
          <cell r="C290" t="str">
            <v>IASWD2308015429</v>
          </cell>
          <cell r="D290">
            <v>45153</v>
          </cell>
          <cell r="E290">
            <v>46111</v>
          </cell>
          <cell r="F290" t="str">
            <v>27271</v>
          </cell>
          <cell r="G290" t="str">
            <v>王品一</v>
          </cell>
          <cell r="H290">
            <v>100000</v>
          </cell>
          <cell r="I290">
            <v>3.25</v>
          </cell>
          <cell r="J290">
            <v>46110</v>
          </cell>
          <cell r="K290">
            <v>100.75190000000001</v>
          </cell>
          <cell r="L290">
            <v>46091</v>
          </cell>
          <cell r="M290">
            <v>-5690</v>
          </cell>
          <cell r="N290">
            <v>94310</v>
          </cell>
        </row>
        <row r="291">
          <cell r="A291">
            <v>15991</v>
          </cell>
          <cell r="B291">
            <v>285</v>
          </cell>
          <cell r="C291" t="str">
            <v>IASWD2308015430</v>
          </cell>
          <cell r="D291">
            <v>45153</v>
          </cell>
          <cell r="E291">
            <v>45979</v>
          </cell>
          <cell r="F291" t="str">
            <v>15991</v>
          </cell>
          <cell r="G291" t="str">
            <v>宏佳騰一</v>
          </cell>
          <cell r="H291">
            <v>800000</v>
          </cell>
          <cell r="I291">
            <v>2.15</v>
          </cell>
          <cell r="J291">
            <v>45979</v>
          </cell>
          <cell r="K291">
            <v>100</v>
          </cell>
          <cell r="L291">
            <v>45959</v>
          </cell>
          <cell r="M291">
            <v>-30112</v>
          </cell>
          <cell r="N291">
            <v>769888</v>
          </cell>
        </row>
        <row r="292">
          <cell r="A292">
            <v>44382</v>
          </cell>
          <cell r="B292">
            <v>286</v>
          </cell>
          <cell r="C292" t="str">
            <v>IASWD2308015439</v>
          </cell>
          <cell r="D292">
            <v>45154</v>
          </cell>
          <cell r="E292">
            <v>45933</v>
          </cell>
          <cell r="F292" t="str">
            <v>44382</v>
          </cell>
          <cell r="G292" t="str">
            <v>廣越二</v>
          </cell>
          <cell r="H292">
            <v>100000</v>
          </cell>
          <cell r="I292">
            <v>3.25</v>
          </cell>
          <cell r="J292">
            <v>45933</v>
          </cell>
          <cell r="K292">
            <v>100</v>
          </cell>
          <cell r="L292">
            <v>45915</v>
          </cell>
          <cell r="M292">
            <v>-5681</v>
          </cell>
          <cell r="N292">
            <v>94319</v>
          </cell>
        </row>
        <row r="293">
          <cell r="A293">
            <v>27271</v>
          </cell>
          <cell r="B293">
            <v>287</v>
          </cell>
          <cell r="C293" t="str">
            <v>IASWD2308015440</v>
          </cell>
          <cell r="D293">
            <v>45154</v>
          </cell>
          <cell r="E293">
            <v>46111</v>
          </cell>
          <cell r="F293" t="str">
            <v>27271</v>
          </cell>
          <cell r="G293" t="str">
            <v>王品一</v>
          </cell>
          <cell r="H293">
            <v>100000</v>
          </cell>
          <cell r="I293">
            <v>3.25</v>
          </cell>
          <cell r="J293">
            <v>46110</v>
          </cell>
          <cell r="K293">
            <v>100.75190000000001</v>
          </cell>
          <cell r="L293">
            <v>46091</v>
          </cell>
          <cell r="M293">
            <v>-5681</v>
          </cell>
          <cell r="N293">
            <v>94319</v>
          </cell>
        </row>
        <row r="294">
          <cell r="A294">
            <v>27271</v>
          </cell>
          <cell r="B294">
            <v>288</v>
          </cell>
          <cell r="C294" t="str">
            <v>IASWD2308015442</v>
          </cell>
          <cell r="D294">
            <v>45154</v>
          </cell>
          <cell r="E294">
            <v>46111</v>
          </cell>
          <cell r="F294" t="str">
            <v>27271</v>
          </cell>
          <cell r="G294" t="str">
            <v>王品一</v>
          </cell>
          <cell r="H294">
            <v>100000</v>
          </cell>
          <cell r="I294">
            <v>3.25</v>
          </cell>
          <cell r="J294">
            <v>46110</v>
          </cell>
          <cell r="K294">
            <v>100.75190000000001</v>
          </cell>
          <cell r="L294">
            <v>46091</v>
          </cell>
          <cell r="M294">
            <v>-5681</v>
          </cell>
          <cell r="N294">
            <v>94319</v>
          </cell>
        </row>
        <row r="295">
          <cell r="A295">
            <v>27271</v>
          </cell>
          <cell r="B295">
            <v>289</v>
          </cell>
          <cell r="C295" t="str">
            <v>IASWD2308015445</v>
          </cell>
          <cell r="D295">
            <v>45154</v>
          </cell>
          <cell r="E295">
            <v>46111</v>
          </cell>
          <cell r="F295" t="str">
            <v>27271</v>
          </cell>
          <cell r="G295" t="str">
            <v>王品一</v>
          </cell>
          <cell r="H295">
            <v>100000</v>
          </cell>
          <cell r="I295">
            <v>3.25</v>
          </cell>
          <cell r="J295">
            <v>46110</v>
          </cell>
          <cell r="K295">
            <v>100.75190000000001</v>
          </cell>
          <cell r="L295">
            <v>46091</v>
          </cell>
          <cell r="M295">
            <v>-5681</v>
          </cell>
          <cell r="N295">
            <v>94319</v>
          </cell>
        </row>
        <row r="296">
          <cell r="A296">
            <v>44382</v>
          </cell>
          <cell r="B296">
            <v>290</v>
          </cell>
          <cell r="C296" t="str">
            <v>IASWD2308015448</v>
          </cell>
          <cell r="D296">
            <v>45154</v>
          </cell>
          <cell r="E296">
            <v>45933</v>
          </cell>
          <cell r="F296" t="str">
            <v>44382</v>
          </cell>
          <cell r="G296" t="str">
            <v>廣越二</v>
          </cell>
          <cell r="H296">
            <v>100000</v>
          </cell>
          <cell r="I296">
            <v>3.25</v>
          </cell>
          <cell r="J296">
            <v>45933</v>
          </cell>
          <cell r="K296">
            <v>100</v>
          </cell>
          <cell r="L296">
            <v>45915</v>
          </cell>
          <cell r="M296">
            <v>-5681</v>
          </cell>
          <cell r="N296">
            <v>94319</v>
          </cell>
        </row>
        <row r="297">
          <cell r="A297">
            <v>27271</v>
          </cell>
          <cell r="B297">
            <v>291</v>
          </cell>
          <cell r="C297" t="str">
            <v>IASWD2308015449</v>
          </cell>
          <cell r="D297">
            <v>45154</v>
          </cell>
          <cell r="E297">
            <v>46111</v>
          </cell>
          <cell r="F297" t="str">
            <v>27271</v>
          </cell>
          <cell r="G297" t="str">
            <v>王品一</v>
          </cell>
          <cell r="H297">
            <v>100000</v>
          </cell>
          <cell r="I297">
            <v>3.25</v>
          </cell>
          <cell r="J297">
            <v>46110</v>
          </cell>
          <cell r="K297">
            <v>100.75190000000001</v>
          </cell>
          <cell r="L297">
            <v>46091</v>
          </cell>
          <cell r="M297">
            <v>-5681</v>
          </cell>
          <cell r="N297">
            <v>94319</v>
          </cell>
        </row>
        <row r="298">
          <cell r="A298">
            <v>44382</v>
          </cell>
          <cell r="B298">
            <v>292</v>
          </cell>
          <cell r="C298" t="str">
            <v>IASWD2308015451</v>
          </cell>
          <cell r="D298">
            <v>45154</v>
          </cell>
          <cell r="E298">
            <v>45933</v>
          </cell>
          <cell r="F298" t="str">
            <v>44382</v>
          </cell>
          <cell r="G298" t="str">
            <v>廣越二</v>
          </cell>
          <cell r="H298">
            <v>100000</v>
          </cell>
          <cell r="I298">
            <v>3.25</v>
          </cell>
          <cell r="J298">
            <v>45933</v>
          </cell>
          <cell r="K298">
            <v>100</v>
          </cell>
          <cell r="L298">
            <v>45915</v>
          </cell>
          <cell r="M298">
            <v>-5681</v>
          </cell>
          <cell r="N298">
            <v>94319</v>
          </cell>
        </row>
        <row r="299">
          <cell r="A299">
            <v>27271</v>
          </cell>
          <cell r="B299">
            <v>293</v>
          </cell>
          <cell r="C299" t="str">
            <v>IASWD2308015456</v>
          </cell>
          <cell r="D299">
            <v>45154</v>
          </cell>
          <cell r="E299">
            <v>46111</v>
          </cell>
          <cell r="F299" t="str">
            <v>27271</v>
          </cell>
          <cell r="G299" t="str">
            <v>王品一</v>
          </cell>
          <cell r="H299">
            <v>500000</v>
          </cell>
          <cell r="I299">
            <v>3.25</v>
          </cell>
          <cell r="J299">
            <v>46110</v>
          </cell>
          <cell r="K299">
            <v>100.75190000000001</v>
          </cell>
          <cell r="L299">
            <v>46091</v>
          </cell>
          <cell r="M299">
            <v>-28404</v>
          </cell>
          <cell r="N299">
            <v>471596</v>
          </cell>
        </row>
        <row r="300">
          <cell r="A300">
            <v>27271</v>
          </cell>
          <cell r="B300">
            <v>294</v>
          </cell>
          <cell r="C300" t="str">
            <v>IASWD2308015459</v>
          </cell>
          <cell r="D300">
            <v>45154</v>
          </cell>
          <cell r="E300">
            <v>46111</v>
          </cell>
          <cell r="F300" t="str">
            <v>27271</v>
          </cell>
          <cell r="G300" t="str">
            <v>王品一</v>
          </cell>
          <cell r="H300">
            <v>500000</v>
          </cell>
          <cell r="I300">
            <v>3.25</v>
          </cell>
          <cell r="J300">
            <v>46110</v>
          </cell>
          <cell r="K300">
            <v>100.75190000000001</v>
          </cell>
          <cell r="L300">
            <v>46091</v>
          </cell>
          <cell r="M300">
            <v>-28404</v>
          </cell>
          <cell r="N300">
            <v>471596</v>
          </cell>
        </row>
        <row r="301">
          <cell r="A301">
            <v>27271</v>
          </cell>
          <cell r="B301">
            <v>295</v>
          </cell>
          <cell r="C301" t="str">
            <v>IASWD2308015463</v>
          </cell>
          <cell r="D301">
            <v>45154</v>
          </cell>
          <cell r="E301">
            <v>46111</v>
          </cell>
          <cell r="F301" t="str">
            <v>27271</v>
          </cell>
          <cell r="G301" t="str">
            <v>王品一</v>
          </cell>
          <cell r="H301">
            <v>100000</v>
          </cell>
          <cell r="I301">
            <v>3.25</v>
          </cell>
          <cell r="J301">
            <v>46110</v>
          </cell>
          <cell r="K301">
            <v>100.75190000000001</v>
          </cell>
          <cell r="L301">
            <v>46091</v>
          </cell>
          <cell r="M301">
            <v>-5681</v>
          </cell>
          <cell r="N301">
            <v>94319</v>
          </cell>
        </row>
        <row r="302">
          <cell r="A302">
            <v>27271</v>
          </cell>
          <cell r="B302">
            <v>296</v>
          </cell>
          <cell r="C302" t="str">
            <v>IASWD2308015472</v>
          </cell>
          <cell r="D302">
            <v>45155</v>
          </cell>
          <cell r="E302">
            <v>46111</v>
          </cell>
          <cell r="F302" t="str">
            <v>27271</v>
          </cell>
          <cell r="G302" t="str">
            <v>王品一</v>
          </cell>
          <cell r="H302">
            <v>500000</v>
          </cell>
          <cell r="I302">
            <v>3.25</v>
          </cell>
          <cell r="J302">
            <v>46110</v>
          </cell>
          <cell r="K302">
            <v>100.75190000000001</v>
          </cell>
          <cell r="L302">
            <v>46091</v>
          </cell>
          <cell r="M302">
            <v>-28360</v>
          </cell>
          <cell r="N302">
            <v>471640</v>
          </cell>
        </row>
        <row r="303">
          <cell r="A303">
            <v>27271</v>
          </cell>
          <cell r="B303">
            <v>297</v>
          </cell>
          <cell r="C303" t="str">
            <v>IASWD2308015475</v>
          </cell>
          <cell r="D303">
            <v>45155</v>
          </cell>
          <cell r="E303">
            <v>46111</v>
          </cell>
          <cell r="F303" t="str">
            <v>27271</v>
          </cell>
          <cell r="G303" t="str">
            <v>王品一</v>
          </cell>
          <cell r="H303">
            <v>100000</v>
          </cell>
          <cell r="I303">
            <v>3.25</v>
          </cell>
          <cell r="J303">
            <v>46110</v>
          </cell>
          <cell r="K303">
            <v>100.75190000000001</v>
          </cell>
          <cell r="L303">
            <v>46091</v>
          </cell>
          <cell r="M303">
            <v>-5672</v>
          </cell>
          <cell r="N303">
            <v>94328</v>
          </cell>
        </row>
        <row r="304">
          <cell r="A304">
            <v>27271</v>
          </cell>
          <cell r="B304">
            <v>298</v>
          </cell>
          <cell r="C304" t="str">
            <v>IASWD2308015476</v>
          </cell>
          <cell r="D304">
            <v>45155</v>
          </cell>
          <cell r="E304">
            <v>46111</v>
          </cell>
          <cell r="F304" t="str">
            <v>27271</v>
          </cell>
          <cell r="G304" t="str">
            <v>王品一</v>
          </cell>
          <cell r="H304">
            <v>100000</v>
          </cell>
          <cell r="I304">
            <v>3.25</v>
          </cell>
          <cell r="J304">
            <v>46110</v>
          </cell>
          <cell r="K304">
            <v>100.75190000000001</v>
          </cell>
          <cell r="L304">
            <v>46091</v>
          </cell>
          <cell r="M304">
            <v>-5672</v>
          </cell>
          <cell r="N304">
            <v>94328</v>
          </cell>
        </row>
        <row r="305">
          <cell r="A305">
            <v>27271</v>
          </cell>
          <cell r="B305">
            <v>299</v>
          </cell>
          <cell r="C305" t="str">
            <v>IASWD2308015479</v>
          </cell>
          <cell r="D305">
            <v>45155</v>
          </cell>
          <cell r="E305">
            <v>46111</v>
          </cell>
          <cell r="F305" t="str">
            <v>27271</v>
          </cell>
          <cell r="G305" t="str">
            <v>王品一</v>
          </cell>
          <cell r="H305">
            <v>200000</v>
          </cell>
          <cell r="I305">
            <v>3.25</v>
          </cell>
          <cell r="J305">
            <v>46110</v>
          </cell>
          <cell r="K305">
            <v>100.75190000000001</v>
          </cell>
          <cell r="L305">
            <v>46091</v>
          </cell>
          <cell r="M305">
            <v>-11344</v>
          </cell>
          <cell r="N305">
            <v>188656</v>
          </cell>
        </row>
        <row r="306">
          <cell r="A306">
            <v>27271</v>
          </cell>
          <cell r="B306">
            <v>300</v>
          </cell>
          <cell r="C306" t="str">
            <v>IASWD2308015504</v>
          </cell>
          <cell r="D306">
            <v>45159</v>
          </cell>
          <cell r="E306">
            <v>46111</v>
          </cell>
          <cell r="F306" t="str">
            <v>27271</v>
          </cell>
          <cell r="G306" t="str">
            <v>王品一</v>
          </cell>
          <cell r="H306">
            <v>300000</v>
          </cell>
          <cell r="I306">
            <v>3.25</v>
          </cell>
          <cell r="J306">
            <v>46110</v>
          </cell>
          <cell r="K306">
            <v>100.75190000000001</v>
          </cell>
          <cell r="L306">
            <v>46091</v>
          </cell>
          <cell r="M306">
            <v>-16909</v>
          </cell>
          <cell r="N306">
            <v>283091</v>
          </cell>
        </row>
        <row r="307">
          <cell r="A307">
            <v>44382</v>
          </cell>
          <cell r="B307">
            <v>301</v>
          </cell>
          <cell r="C307" t="str">
            <v>IASWD2308015505</v>
          </cell>
          <cell r="D307">
            <v>45159</v>
          </cell>
          <cell r="E307">
            <v>45933</v>
          </cell>
          <cell r="F307" t="str">
            <v>44382</v>
          </cell>
          <cell r="G307" t="str">
            <v>廣越二</v>
          </cell>
          <cell r="H307">
            <v>100000</v>
          </cell>
          <cell r="I307">
            <v>3.25</v>
          </cell>
          <cell r="J307">
            <v>45933</v>
          </cell>
          <cell r="K307">
            <v>100</v>
          </cell>
          <cell r="L307">
            <v>45915</v>
          </cell>
          <cell r="M307">
            <v>-5636</v>
          </cell>
          <cell r="N307">
            <v>94364</v>
          </cell>
        </row>
        <row r="308">
          <cell r="A308">
            <v>27271</v>
          </cell>
          <cell r="B308">
            <v>302</v>
          </cell>
          <cell r="C308" t="str">
            <v>IASWD2308015508</v>
          </cell>
          <cell r="D308">
            <v>45159</v>
          </cell>
          <cell r="E308">
            <v>46111</v>
          </cell>
          <cell r="F308" t="str">
            <v>27271</v>
          </cell>
          <cell r="G308" t="str">
            <v>王品一</v>
          </cell>
          <cell r="H308">
            <v>500000</v>
          </cell>
          <cell r="I308">
            <v>3.25</v>
          </cell>
          <cell r="J308">
            <v>46110</v>
          </cell>
          <cell r="K308">
            <v>100.75190000000001</v>
          </cell>
          <cell r="L308">
            <v>46091</v>
          </cell>
          <cell r="M308">
            <v>-28182</v>
          </cell>
          <cell r="N308">
            <v>471818</v>
          </cell>
        </row>
        <row r="309">
          <cell r="A309">
            <v>27271</v>
          </cell>
          <cell r="B309">
            <v>303</v>
          </cell>
          <cell r="C309" t="str">
            <v>IASWD2308015510</v>
          </cell>
          <cell r="D309">
            <v>45159</v>
          </cell>
          <cell r="E309">
            <v>46111</v>
          </cell>
          <cell r="F309" t="str">
            <v>27271</v>
          </cell>
          <cell r="G309" t="str">
            <v>王品一</v>
          </cell>
          <cell r="H309">
            <v>300000</v>
          </cell>
          <cell r="I309">
            <v>3.25</v>
          </cell>
          <cell r="J309">
            <v>46110</v>
          </cell>
          <cell r="K309">
            <v>100.75190000000001</v>
          </cell>
          <cell r="L309">
            <v>46091</v>
          </cell>
          <cell r="M309">
            <v>-16909</v>
          </cell>
          <cell r="N309">
            <v>283091</v>
          </cell>
        </row>
        <row r="310">
          <cell r="A310">
            <v>27271</v>
          </cell>
          <cell r="B310">
            <v>304</v>
          </cell>
          <cell r="C310" t="str">
            <v>IASWD2308015515</v>
          </cell>
          <cell r="D310">
            <v>45159</v>
          </cell>
          <cell r="E310">
            <v>46111</v>
          </cell>
          <cell r="F310" t="str">
            <v>27271</v>
          </cell>
          <cell r="G310" t="str">
            <v>王品一</v>
          </cell>
          <cell r="H310">
            <v>100000</v>
          </cell>
          <cell r="I310">
            <v>3.25</v>
          </cell>
          <cell r="J310">
            <v>46110</v>
          </cell>
          <cell r="K310">
            <v>100.75190000000001</v>
          </cell>
          <cell r="L310">
            <v>46091</v>
          </cell>
          <cell r="M310">
            <v>-5636</v>
          </cell>
          <cell r="N310">
            <v>94364</v>
          </cell>
        </row>
        <row r="311">
          <cell r="A311">
            <v>22313</v>
          </cell>
          <cell r="B311">
            <v>305</v>
          </cell>
          <cell r="C311" t="str">
            <v>IASWD2308015516</v>
          </cell>
          <cell r="D311">
            <v>45159</v>
          </cell>
          <cell r="E311">
            <v>45898</v>
          </cell>
          <cell r="F311" t="str">
            <v>22313</v>
          </cell>
          <cell r="G311" t="str">
            <v>為升三</v>
          </cell>
          <cell r="H311">
            <v>100000</v>
          </cell>
          <cell r="I311">
            <v>4</v>
          </cell>
          <cell r="J311">
            <v>45898</v>
          </cell>
          <cell r="K311">
            <v>101.50749999999999</v>
          </cell>
          <cell r="L311">
            <v>45880</v>
          </cell>
          <cell r="M311">
            <v>-6937</v>
          </cell>
          <cell r="N311">
            <v>93063</v>
          </cell>
        </row>
        <row r="312">
          <cell r="A312">
            <v>15991</v>
          </cell>
          <cell r="B312">
            <v>306</v>
          </cell>
          <cell r="C312" t="str">
            <v>IASWD2308015517</v>
          </cell>
          <cell r="D312">
            <v>45159</v>
          </cell>
          <cell r="E312">
            <v>45979</v>
          </cell>
          <cell r="F312" t="str">
            <v>15991</v>
          </cell>
          <cell r="G312" t="str">
            <v>宏佳騰一</v>
          </cell>
          <cell r="H312">
            <v>100000</v>
          </cell>
          <cell r="I312">
            <v>2.15</v>
          </cell>
          <cell r="J312">
            <v>45979</v>
          </cell>
          <cell r="K312">
            <v>100</v>
          </cell>
          <cell r="L312">
            <v>45959</v>
          </cell>
          <cell r="M312">
            <v>-3729</v>
          </cell>
          <cell r="N312">
            <v>96271</v>
          </cell>
        </row>
        <row r="313">
          <cell r="A313">
            <v>44382</v>
          </cell>
          <cell r="B313">
            <v>307</v>
          </cell>
          <cell r="C313" t="str">
            <v>IASWD2308015521</v>
          </cell>
          <cell r="D313">
            <v>45160</v>
          </cell>
          <cell r="E313">
            <v>45933</v>
          </cell>
          <cell r="F313" t="str">
            <v>44382</v>
          </cell>
          <cell r="G313" t="str">
            <v>廣越二</v>
          </cell>
          <cell r="H313">
            <v>100000</v>
          </cell>
          <cell r="I313">
            <v>3.25</v>
          </cell>
          <cell r="J313">
            <v>45933</v>
          </cell>
          <cell r="K313">
            <v>100</v>
          </cell>
          <cell r="L313">
            <v>45915</v>
          </cell>
          <cell r="M313">
            <v>-5627</v>
          </cell>
          <cell r="N313">
            <v>94373</v>
          </cell>
        </row>
        <row r="314">
          <cell r="A314">
            <v>15991</v>
          </cell>
          <cell r="B314">
            <v>308</v>
          </cell>
          <cell r="C314" t="str">
            <v>IASWD2308015523</v>
          </cell>
          <cell r="D314">
            <v>45160</v>
          </cell>
          <cell r="E314">
            <v>45979</v>
          </cell>
          <cell r="F314" t="str">
            <v>15991</v>
          </cell>
          <cell r="G314" t="str">
            <v>宏佳騰一</v>
          </cell>
          <cell r="H314">
            <v>300000</v>
          </cell>
          <cell r="I314">
            <v>2.15</v>
          </cell>
          <cell r="J314">
            <v>45979</v>
          </cell>
          <cell r="K314">
            <v>100</v>
          </cell>
          <cell r="L314">
            <v>45959</v>
          </cell>
          <cell r="M314">
            <v>-11168</v>
          </cell>
          <cell r="N314">
            <v>288832</v>
          </cell>
        </row>
        <row r="315">
          <cell r="A315">
            <v>15991</v>
          </cell>
          <cell r="B315">
            <v>309</v>
          </cell>
          <cell r="C315" t="str">
            <v>IASWD2308015526</v>
          </cell>
          <cell r="D315">
            <v>45160</v>
          </cell>
          <cell r="E315">
            <v>45979</v>
          </cell>
          <cell r="F315" t="str">
            <v>15991</v>
          </cell>
          <cell r="G315" t="str">
            <v>宏佳騰一</v>
          </cell>
          <cell r="H315">
            <v>100000</v>
          </cell>
          <cell r="I315">
            <v>2.15</v>
          </cell>
          <cell r="J315">
            <v>45979</v>
          </cell>
          <cell r="K315">
            <v>100</v>
          </cell>
          <cell r="L315">
            <v>45959</v>
          </cell>
          <cell r="M315">
            <v>-3723</v>
          </cell>
          <cell r="N315">
            <v>96277</v>
          </cell>
        </row>
        <row r="316">
          <cell r="A316">
            <v>22313</v>
          </cell>
          <cell r="B316">
            <v>310</v>
          </cell>
          <cell r="C316" t="str">
            <v>IASWD2308015528</v>
          </cell>
          <cell r="D316">
            <v>45160</v>
          </cell>
          <cell r="E316">
            <v>45898</v>
          </cell>
          <cell r="F316" t="str">
            <v>22313</v>
          </cell>
          <cell r="G316" t="str">
            <v>為升三</v>
          </cell>
          <cell r="H316">
            <v>100000</v>
          </cell>
          <cell r="I316">
            <v>4</v>
          </cell>
          <cell r="J316">
            <v>45898</v>
          </cell>
          <cell r="K316">
            <v>101.50749999999999</v>
          </cell>
          <cell r="L316">
            <v>45880</v>
          </cell>
          <cell r="M316">
            <v>-6926</v>
          </cell>
          <cell r="N316">
            <v>93074</v>
          </cell>
        </row>
        <row r="317">
          <cell r="A317">
            <v>15991</v>
          </cell>
          <cell r="B317">
            <v>311</v>
          </cell>
          <cell r="C317" t="str">
            <v>IASWD2308015531</v>
          </cell>
          <cell r="D317">
            <v>45161</v>
          </cell>
          <cell r="E317">
            <v>45979</v>
          </cell>
          <cell r="F317" t="str">
            <v>15991</v>
          </cell>
          <cell r="G317" t="str">
            <v>宏佳騰一</v>
          </cell>
          <cell r="H317">
            <v>100000</v>
          </cell>
          <cell r="I317">
            <v>2.15</v>
          </cell>
          <cell r="J317">
            <v>45979</v>
          </cell>
          <cell r="K317">
            <v>100</v>
          </cell>
          <cell r="L317">
            <v>45959</v>
          </cell>
          <cell r="M317">
            <v>-3717</v>
          </cell>
          <cell r="N317">
            <v>96283</v>
          </cell>
        </row>
        <row r="318">
          <cell r="A318">
            <v>27271</v>
          </cell>
          <cell r="B318">
            <v>312</v>
          </cell>
          <cell r="C318" t="str">
            <v>IASWD2308015534</v>
          </cell>
          <cell r="D318">
            <v>45161</v>
          </cell>
          <cell r="E318">
            <v>46111</v>
          </cell>
          <cell r="F318" t="str">
            <v>27271</v>
          </cell>
          <cell r="G318" t="str">
            <v>王品一</v>
          </cell>
          <cell r="H318">
            <v>300000</v>
          </cell>
          <cell r="I318">
            <v>3.25</v>
          </cell>
          <cell r="J318">
            <v>46110</v>
          </cell>
          <cell r="K318">
            <v>100.75190000000001</v>
          </cell>
          <cell r="L318">
            <v>46091</v>
          </cell>
          <cell r="M318">
            <v>-16855</v>
          </cell>
          <cell r="N318">
            <v>283145</v>
          </cell>
        </row>
        <row r="319">
          <cell r="A319">
            <v>27271</v>
          </cell>
          <cell r="B319">
            <v>313</v>
          </cell>
          <cell r="C319" t="str">
            <v>IASWD2308015536</v>
          </cell>
          <cell r="D319">
            <v>45161</v>
          </cell>
          <cell r="E319">
            <v>46111</v>
          </cell>
          <cell r="F319" t="str">
            <v>27271</v>
          </cell>
          <cell r="G319" t="str">
            <v>王品一</v>
          </cell>
          <cell r="H319">
            <v>100000</v>
          </cell>
          <cell r="I319">
            <v>3.25</v>
          </cell>
          <cell r="J319">
            <v>46110</v>
          </cell>
          <cell r="K319">
            <v>100.75190000000001</v>
          </cell>
          <cell r="L319">
            <v>46091</v>
          </cell>
          <cell r="M319">
            <v>-5618</v>
          </cell>
          <cell r="N319">
            <v>94382</v>
          </cell>
        </row>
        <row r="320">
          <cell r="A320">
            <v>15991</v>
          </cell>
          <cell r="B320">
            <v>314</v>
          </cell>
          <cell r="C320" t="str">
            <v>IASWD2308015538</v>
          </cell>
          <cell r="D320">
            <v>45161</v>
          </cell>
          <cell r="E320">
            <v>45979</v>
          </cell>
          <cell r="F320" t="str">
            <v>15991</v>
          </cell>
          <cell r="G320" t="str">
            <v>宏佳騰一</v>
          </cell>
          <cell r="H320">
            <v>100000</v>
          </cell>
          <cell r="I320">
            <v>2.15</v>
          </cell>
          <cell r="J320">
            <v>45979</v>
          </cell>
          <cell r="K320">
            <v>100</v>
          </cell>
          <cell r="L320">
            <v>45959</v>
          </cell>
          <cell r="M320">
            <v>-3717</v>
          </cell>
          <cell r="N320">
            <v>96283</v>
          </cell>
        </row>
        <row r="321">
          <cell r="A321">
            <v>15991</v>
          </cell>
          <cell r="B321">
            <v>315</v>
          </cell>
          <cell r="C321" t="str">
            <v>IASWD2308015539</v>
          </cell>
          <cell r="D321">
            <v>45161</v>
          </cell>
          <cell r="E321">
            <v>45979</v>
          </cell>
          <cell r="F321" t="str">
            <v>15991</v>
          </cell>
          <cell r="G321" t="str">
            <v>宏佳騰一</v>
          </cell>
          <cell r="H321">
            <v>100000</v>
          </cell>
          <cell r="I321">
            <v>2.15</v>
          </cell>
          <cell r="J321">
            <v>45979</v>
          </cell>
          <cell r="K321">
            <v>100</v>
          </cell>
          <cell r="L321">
            <v>45959</v>
          </cell>
          <cell r="M321">
            <v>-3717</v>
          </cell>
          <cell r="N321">
            <v>96283</v>
          </cell>
        </row>
        <row r="322">
          <cell r="A322">
            <v>27271</v>
          </cell>
          <cell r="B322">
            <v>316</v>
          </cell>
          <cell r="C322" t="str">
            <v>IASWD2308015545</v>
          </cell>
          <cell r="D322">
            <v>45161</v>
          </cell>
          <cell r="E322">
            <v>46111</v>
          </cell>
          <cell r="F322" t="str">
            <v>27271</v>
          </cell>
          <cell r="G322" t="str">
            <v>王品一</v>
          </cell>
          <cell r="H322">
            <v>200000</v>
          </cell>
          <cell r="I322">
            <v>3.25</v>
          </cell>
          <cell r="J322">
            <v>46110</v>
          </cell>
          <cell r="K322">
            <v>100.75190000000001</v>
          </cell>
          <cell r="L322">
            <v>46091</v>
          </cell>
          <cell r="M322">
            <v>-11237</v>
          </cell>
          <cell r="N322">
            <v>188763</v>
          </cell>
        </row>
        <row r="323">
          <cell r="A323">
            <v>27271</v>
          </cell>
          <cell r="B323">
            <v>317</v>
          </cell>
          <cell r="C323" t="str">
            <v>IASWD2308015556</v>
          </cell>
          <cell r="D323">
            <v>45161</v>
          </cell>
          <cell r="E323">
            <v>46111</v>
          </cell>
          <cell r="F323" t="str">
            <v>27271</v>
          </cell>
          <cell r="G323" t="str">
            <v>王品一</v>
          </cell>
          <cell r="H323">
            <v>500000</v>
          </cell>
          <cell r="I323">
            <v>3.25</v>
          </cell>
          <cell r="J323">
            <v>46110</v>
          </cell>
          <cell r="K323">
            <v>100.75190000000001</v>
          </cell>
          <cell r="L323">
            <v>46091</v>
          </cell>
          <cell r="M323">
            <v>-28092</v>
          </cell>
          <cell r="N323">
            <v>471908</v>
          </cell>
        </row>
        <row r="324">
          <cell r="A324">
            <v>89383</v>
          </cell>
          <cell r="B324">
            <v>318</v>
          </cell>
          <cell r="C324" t="str">
            <v>IASWD2308015558</v>
          </cell>
          <cell r="D324">
            <v>45162</v>
          </cell>
          <cell r="E324">
            <v>45859</v>
          </cell>
          <cell r="F324" t="str">
            <v>89383</v>
          </cell>
          <cell r="G324" t="str">
            <v>明安三</v>
          </cell>
          <cell r="H324">
            <v>100000</v>
          </cell>
          <cell r="I324">
            <v>3</v>
          </cell>
          <cell r="J324">
            <v>45858</v>
          </cell>
          <cell r="K324">
            <v>100</v>
          </cell>
          <cell r="L324">
            <v>45839</v>
          </cell>
          <cell r="M324">
            <v>-5178</v>
          </cell>
          <cell r="N324">
            <v>94822</v>
          </cell>
        </row>
        <row r="325">
          <cell r="A325">
            <v>15991</v>
          </cell>
          <cell r="B325">
            <v>319</v>
          </cell>
          <cell r="C325" t="str">
            <v>IASWD2308015567</v>
          </cell>
          <cell r="D325">
            <v>45162</v>
          </cell>
          <cell r="E325">
            <v>45979</v>
          </cell>
          <cell r="F325" t="str">
            <v>15991</v>
          </cell>
          <cell r="G325" t="str">
            <v>宏佳騰一</v>
          </cell>
          <cell r="H325">
            <v>100000</v>
          </cell>
          <cell r="I325">
            <v>2.15</v>
          </cell>
          <cell r="J325">
            <v>45979</v>
          </cell>
          <cell r="K325">
            <v>100</v>
          </cell>
          <cell r="L325">
            <v>45959</v>
          </cell>
          <cell r="M325">
            <v>-3711</v>
          </cell>
          <cell r="N325">
            <v>96289</v>
          </cell>
        </row>
        <row r="326">
          <cell r="A326">
            <v>44382</v>
          </cell>
          <cell r="B326">
            <v>320</v>
          </cell>
          <cell r="C326" t="str">
            <v>IASWD2308015570</v>
          </cell>
          <cell r="D326">
            <v>45162</v>
          </cell>
          <cell r="E326">
            <v>45933</v>
          </cell>
          <cell r="F326" t="str">
            <v>44382</v>
          </cell>
          <cell r="G326" t="str">
            <v>廣越二</v>
          </cell>
          <cell r="H326">
            <v>600000</v>
          </cell>
          <cell r="I326">
            <v>3.25</v>
          </cell>
          <cell r="J326">
            <v>45933</v>
          </cell>
          <cell r="K326">
            <v>100</v>
          </cell>
          <cell r="L326">
            <v>45915</v>
          </cell>
          <cell r="M326">
            <v>-33658</v>
          </cell>
          <cell r="N326">
            <v>566342</v>
          </cell>
        </row>
        <row r="327">
          <cell r="A327">
            <v>22313</v>
          </cell>
          <cell r="B327">
            <v>321</v>
          </cell>
          <cell r="C327" t="str">
            <v>IASWD2308015578</v>
          </cell>
          <cell r="D327">
            <v>45162</v>
          </cell>
          <cell r="E327">
            <v>45898</v>
          </cell>
          <cell r="F327" t="str">
            <v>22313</v>
          </cell>
          <cell r="G327" t="str">
            <v>為升三</v>
          </cell>
          <cell r="H327">
            <v>600000</v>
          </cell>
          <cell r="I327">
            <v>4</v>
          </cell>
          <cell r="J327">
            <v>45898</v>
          </cell>
          <cell r="K327">
            <v>101.50749999999999</v>
          </cell>
          <cell r="L327">
            <v>45880</v>
          </cell>
          <cell r="M327">
            <v>-41425</v>
          </cell>
          <cell r="N327">
            <v>558575</v>
          </cell>
        </row>
        <row r="328">
          <cell r="A328">
            <v>15991</v>
          </cell>
          <cell r="B328">
            <v>322</v>
          </cell>
          <cell r="C328" t="str">
            <v>IASWD2308015582</v>
          </cell>
          <cell r="D328">
            <v>45162</v>
          </cell>
          <cell r="E328">
            <v>45979</v>
          </cell>
          <cell r="F328" t="str">
            <v>15991</v>
          </cell>
          <cell r="G328" t="str">
            <v>宏佳騰一</v>
          </cell>
          <cell r="H328">
            <v>200000</v>
          </cell>
          <cell r="I328">
            <v>2.15</v>
          </cell>
          <cell r="J328">
            <v>45979</v>
          </cell>
          <cell r="K328">
            <v>100</v>
          </cell>
          <cell r="L328">
            <v>45959</v>
          </cell>
          <cell r="M328">
            <v>-7422</v>
          </cell>
          <cell r="N328">
            <v>192578</v>
          </cell>
        </row>
        <row r="329">
          <cell r="A329">
            <v>27271</v>
          </cell>
          <cell r="B329">
            <v>323</v>
          </cell>
          <cell r="C329" t="str">
            <v>IASWD2308015601</v>
          </cell>
          <cell r="D329">
            <v>45163</v>
          </cell>
          <cell r="E329">
            <v>46111</v>
          </cell>
          <cell r="F329" t="str">
            <v>27271</v>
          </cell>
          <cell r="G329" t="str">
            <v>王品一</v>
          </cell>
          <cell r="H329">
            <v>200000</v>
          </cell>
          <cell r="I329">
            <v>3.25</v>
          </cell>
          <cell r="J329">
            <v>46110</v>
          </cell>
          <cell r="K329">
            <v>100.75190000000001</v>
          </cell>
          <cell r="L329">
            <v>46091</v>
          </cell>
          <cell r="M329">
            <v>-11201</v>
          </cell>
          <cell r="N329">
            <v>188799</v>
          </cell>
        </row>
        <row r="330">
          <cell r="A330">
            <v>15991</v>
          </cell>
          <cell r="B330">
            <v>324</v>
          </cell>
          <cell r="C330" t="str">
            <v>IASWD2308015608</v>
          </cell>
          <cell r="D330">
            <v>45163</v>
          </cell>
          <cell r="E330">
            <v>45979</v>
          </cell>
          <cell r="F330" t="str">
            <v>15991</v>
          </cell>
          <cell r="G330" t="str">
            <v>宏佳騰一</v>
          </cell>
          <cell r="H330">
            <v>100000</v>
          </cell>
          <cell r="I330">
            <v>2.15</v>
          </cell>
          <cell r="J330">
            <v>45979</v>
          </cell>
          <cell r="K330">
            <v>100</v>
          </cell>
          <cell r="L330">
            <v>45959</v>
          </cell>
          <cell r="M330">
            <v>-3705</v>
          </cell>
          <cell r="N330">
            <v>96295</v>
          </cell>
        </row>
        <row r="331">
          <cell r="A331">
            <v>27271</v>
          </cell>
          <cell r="B331">
            <v>325</v>
          </cell>
          <cell r="C331" t="str">
            <v>IASWD2308015612</v>
          </cell>
          <cell r="D331">
            <v>45163</v>
          </cell>
          <cell r="E331">
            <v>46111</v>
          </cell>
          <cell r="F331" t="str">
            <v>27271</v>
          </cell>
          <cell r="G331" t="str">
            <v>王品一</v>
          </cell>
          <cell r="H331">
            <v>300000</v>
          </cell>
          <cell r="I331">
            <v>3.25</v>
          </cell>
          <cell r="J331">
            <v>46110</v>
          </cell>
          <cell r="K331">
            <v>100.75190000000001</v>
          </cell>
          <cell r="L331">
            <v>46091</v>
          </cell>
          <cell r="M331">
            <v>-16802</v>
          </cell>
          <cell r="N331">
            <v>283198</v>
          </cell>
        </row>
        <row r="332">
          <cell r="A332">
            <v>15991</v>
          </cell>
          <cell r="B332">
            <v>326</v>
          </cell>
          <cell r="C332" t="str">
            <v>IASWD2308015654</v>
          </cell>
          <cell r="D332">
            <v>45167</v>
          </cell>
          <cell r="E332">
            <v>45979</v>
          </cell>
          <cell r="F332" t="str">
            <v>15991</v>
          </cell>
          <cell r="G332" t="str">
            <v>宏佳騰一</v>
          </cell>
          <cell r="H332">
            <v>100000</v>
          </cell>
          <cell r="I332">
            <v>2.15</v>
          </cell>
          <cell r="J332">
            <v>45979</v>
          </cell>
          <cell r="K332">
            <v>100</v>
          </cell>
          <cell r="L332">
            <v>45959</v>
          </cell>
          <cell r="M332">
            <v>-3682</v>
          </cell>
          <cell r="N332">
            <v>96318</v>
          </cell>
        </row>
        <row r="333">
          <cell r="A333">
            <v>27271</v>
          </cell>
          <cell r="B333">
            <v>327</v>
          </cell>
          <cell r="C333" t="str">
            <v>IASWD2308015656</v>
          </cell>
          <cell r="D333">
            <v>45167</v>
          </cell>
          <cell r="E333">
            <v>46111</v>
          </cell>
          <cell r="F333" t="str">
            <v>27271</v>
          </cell>
          <cell r="G333" t="str">
            <v>王品一</v>
          </cell>
          <cell r="H333">
            <v>100000</v>
          </cell>
          <cell r="I333">
            <v>3.25</v>
          </cell>
          <cell r="J333">
            <v>46110</v>
          </cell>
          <cell r="K333">
            <v>100.75190000000001</v>
          </cell>
          <cell r="L333">
            <v>46091</v>
          </cell>
          <cell r="M333">
            <v>-5565</v>
          </cell>
          <cell r="N333">
            <v>94435</v>
          </cell>
        </row>
        <row r="334">
          <cell r="A334">
            <v>44382</v>
          </cell>
          <cell r="B334">
            <v>328</v>
          </cell>
          <cell r="C334" t="str">
            <v>IASWD2308015681</v>
          </cell>
          <cell r="D334">
            <v>45168</v>
          </cell>
          <cell r="E334">
            <v>45933</v>
          </cell>
          <cell r="F334" t="str">
            <v>44382</v>
          </cell>
          <cell r="G334" t="str">
            <v>廣越二</v>
          </cell>
          <cell r="H334">
            <v>100000</v>
          </cell>
          <cell r="I334">
            <v>3.25</v>
          </cell>
          <cell r="J334">
            <v>45933</v>
          </cell>
          <cell r="K334">
            <v>100</v>
          </cell>
          <cell r="L334">
            <v>45915</v>
          </cell>
          <cell r="M334">
            <v>-5556</v>
          </cell>
          <cell r="N334">
            <v>94444</v>
          </cell>
        </row>
        <row r="335">
          <cell r="A335">
            <v>22313</v>
          </cell>
          <cell r="B335">
            <v>329</v>
          </cell>
          <cell r="C335" t="str">
            <v>IASWD2308015694</v>
          </cell>
          <cell r="D335">
            <v>45168</v>
          </cell>
          <cell r="E335">
            <v>45898</v>
          </cell>
          <cell r="F335" t="str">
            <v>22313</v>
          </cell>
          <cell r="G335" t="str">
            <v>為升三</v>
          </cell>
          <cell r="H335">
            <v>100000</v>
          </cell>
          <cell r="I335">
            <v>4</v>
          </cell>
          <cell r="J335">
            <v>45898</v>
          </cell>
          <cell r="K335">
            <v>101.50749999999999</v>
          </cell>
          <cell r="L335">
            <v>45880</v>
          </cell>
          <cell r="M335">
            <v>-6838</v>
          </cell>
          <cell r="N335">
            <v>93162</v>
          </cell>
        </row>
        <row r="336">
          <cell r="A336">
            <v>15991</v>
          </cell>
          <cell r="B336">
            <v>330</v>
          </cell>
          <cell r="C336" t="str">
            <v>IASWD2308015718</v>
          </cell>
          <cell r="D336">
            <v>45169</v>
          </cell>
          <cell r="E336">
            <v>45979</v>
          </cell>
          <cell r="F336" t="str">
            <v>15991</v>
          </cell>
          <cell r="G336" t="str">
            <v>宏佳騰一</v>
          </cell>
          <cell r="H336">
            <v>100000</v>
          </cell>
          <cell r="I336">
            <v>2.15</v>
          </cell>
          <cell r="J336">
            <v>45979</v>
          </cell>
          <cell r="K336">
            <v>100</v>
          </cell>
          <cell r="L336">
            <v>45959</v>
          </cell>
          <cell r="M336">
            <v>-3670</v>
          </cell>
          <cell r="N336">
            <v>96330</v>
          </cell>
        </row>
        <row r="337">
          <cell r="A337">
            <v>44382</v>
          </cell>
          <cell r="B337">
            <v>331</v>
          </cell>
          <cell r="C337" t="str">
            <v>IASWD2308015719</v>
          </cell>
          <cell r="D337">
            <v>45169</v>
          </cell>
          <cell r="E337">
            <v>45933</v>
          </cell>
          <cell r="F337" t="str">
            <v>44382</v>
          </cell>
          <cell r="G337" t="str">
            <v>廣越二</v>
          </cell>
          <cell r="H337">
            <v>600000</v>
          </cell>
          <cell r="I337">
            <v>3.25</v>
          </cell>
          <cell r="J337">
            <v>45933</v>
          </cell>
          <cell r="K337">
            <v>100</v>
          </cell>
          <cell r="L337">
            <v>45915</v>
          </cell>
          <cell r="M337">
            <v>-33284</v>
          </cell>
          <cell r="N337">
            <v>566716</v>
          </cell>
        </row>
        <row r="338">
          <cell r="A338">
            <v>44382</v>
          </cell>
          <cell r="B338">
            <v>332</v>
          </cell>
          <cell r="C338" t="str">
            <v>IASWD2308015731</v>
          </cell>
          <cell r="D338">
            <v>45169</v>
          </cell>
          <cell r="E338">
            <v>45933</v>
          </cell>
          <cell r="F338" t="str">
            <v>44382</v>
          </cell>
          <cell r="G338" t="str">
            <v>廣越二</v>
          </cell>
          <cell r="H338">
            <v>300000</v>
          </cell>
          <cell r="I338">
            <v>3.25</v>
          </cell>
          <cell r="J338">
            <v>45933</v>
          </cell>
          <cell r="K338">
            <v>100</v>
          </cell>
          <cell r="L338">
            <v>45915</v>
          </cell>
          <cell r="M338">
            <v>-16642</v>
          </cell>
          <cell r="N338">
            <v>283358</v>
          </cell>
        </row>
        <row r="339">
          <cell r="A339">
            <v>27271</v>
          </cell>
          <cell r="B339">
            <v>333</v>
          </cell>
          <cell r="C339" t="str">
            <v>IASWD2309015736</v>
          </cell>
          <cell r="D339">
            <v>45170</v>
          </cell>
          <cell r="E339">
            <v>46111</v>
          </cell>
          <cell r="F339" t="str">
            <v>27271</v>
          </cell>
          <cell r="G339" t="str">
            <v>王品一</v>
          </cell>
          <cell r="H339">
            <v>500000</v>
          </cell>
          <cell r="I339">
            <v>3.25</v>
          </cell>
          <cell r="J339">
            <v>46110</v>
          </cell>
          <cell r="K339">
            <v>100.75190000000001</v>
          </cell>
          <cell r="L339">
            <v>46091</v>
          </cell>
          <cell r="M339">
            <v>-27692</v>
          </cell>
          <cell r="N339">
            <v>472308</v>
          </cell>
        </row>
        <row r="340">
          <cell r="A340">
            <v>27271</v>
          </cell>
          <cell r="B340">
            <v>334</v>
          </cell>
          <cell r="C340" t="str">
            <v>IASWD2309015753</v>
          </cell>
          <cell r="D340">
            <v>45170</v>
          </cell>
          <cell r="E340">
            <v>46111</v>
          </cell>
          <cell r="F340" t="str">
            <v>27271</v>
          </cell>
          <cell r="G340" t="str">
            <v>王品一</v>
          </cell>
          <cell r="H340">
            <v>500000</v>
          </cell>
          <cell r="I340">
            <v>3.25</v>
          </cell>
          <cell r="J340">
            <v>46110</v>
          </cell>
          <cell r="K340">
            <v>100.75190000000001</v>
          </cell>
          <cell r="L340">
            <v>46091</v>
          </cell>
          <cell r="M340">
            <v>-27692</v>
          </cell>
          <cell r="N340">
            <v>472308</v>
          </cell>
        </row>
        <row r="341">
          <cell r="A341">
            <v>22313</v>
          </cell>
          <cell r="B341">
            <v>335</v>
          </cell>
          <cell r="C341" t="str">
            <v>IASWD2309015755</v>
          </cell>
          <cell r="D341">
            <v>45170</v>
          </cell>
          <cell r="E341">
            <v>45898</v>
          </cell>
          <cell r="F341" t="str">
            <v>22313</v>
          </cell>
          <cell r="G341" t="str">
            <v>為升三</v>
          </cell>
          <cell r="H341">
            <v>200000</v>
          </cell>
          <cell r="I341">
            <v>4</v>
          </cell>
          <cell r="J341">
            <v>45898</v>
          </cell>
          <cell r="K341">
            <v>101.50749999999999</v>
          </cell>
          <cell r="L341">
            <v>45880</v>
          </cell>
          <cell r="M341">
            <v>-13633</v>
          </cell>
          <cell r="N341">
            <v>186367</v>
          </cell>
        </row>
        <row r="342">
          <cell r="A342">
            <v>15991</v>
          </cell>
          <cell r="B342">
            <v>336</v>
          </cell>
          <cell r="C342" t="str">
            <v>IASWD2309015771</v>
          </cell>
          <cell r="D342">
            <v>45173</v>
          </cell>
          <cell r="E342">
            <v>45979</v>
          </cell>
          <cell r="F342" t="str">
            <v>15991</v>
          </cell>
          <cell r="G342" t="str">
            <v>宏佳騰一</v>
          </cell>
          <cell r="H342">
            <v>100000</v>
          </cell>
          <cell r="I342">
            <v>2.15</v>
          </cell>
          <cell r="J342">
            <v>45979</v>
          </cell>
          <cell r="K342">
            <v>100</v>
          </cell>
          <cell r="L342">
            <v>45959</v>
          </cell>
          <cell r="M342">
            <v>-3646</v>
          </cell>
          <cell r="N342">
            <v>96354</v>
          </cell>
        </row>
        <row r="343">
          <cell r="A343">
            <v>22313</v>
          </cell>
          <cell r="B343">
            <v>337</v>
          </cell>
          <cell r="C343" t="str">
            <v>IASWD2309015774</v>
          </cell>
          <cell r="D343">
            <v>45173</v>
          </cell>
          <cell r="E343">
            <v>45898</v>
          </cell>
          <cell r="F343" t="str">
            <v>22313</v>
          </cell>
          <cell r="G343" t="str">
            <v>為升三</v>
          </cell>
          <cell r="H343">
            <v>100000</v>
          </cell>
          <cell r="I343">
            <v>4</v>
          </cell>
          <cell r="J343">
            <v>45898</v>
          </cell>
          <cell r="K343">
            <v>101.50749999999999</v>
          </cell>
          <cell r="L343">
            <v>45880</v>
          </cell>
          <cell r="M343">
            <v>-6784</v>
          </cell>
          <cell r="N343">
            <v>93216</v>
          </cell>
        </row>
        <row r="344">
          <cell r="A344">
            <v>15991</v>
          </cell>
          <cell r="B344">
            <v>338</v>
          </cell>
          <cell r="C344" t="str">
            <v>IASWD2309015796</v>
          </cell>
          <cell r="D344">
            <v>45173</v>
          </cell>
          <cell r="E344">
            <v>45979</v>
          </cell>
          <cell r="F344" t="str">
            <v>15991</v>
          </cell>
          <cell r="G344" t="str">
            <v>宏佳騰一</v>
          </cell>
          <cell r="H344">
            <v>300000</v>
          </cell>
          <cell r="I344">
            <v>2.15</v>
          </cell>
          <cell r="J344">
            <v>45979</v>
          </cell>
          <cell r="K344">
            <v>100</v>
          </cell>
          <cell r="L344">
            <v>45959</v>
          </cell>
          <cell r="M344">
            <v>-10938</v>
          </cell>
          <cell r="N344">
            <v>289062</v>
          </cell>
        </row>
        <row r="345">
          <cell r="A345">
            <v>27271</v>
          </cell>
          <cell r="B345">
            <v>339</v>
          </cell>
          <cell r="C345" t="str">
            <v>IASWD2309015799</v>
          </cell>
          <cell r="D345">
            <v>45173</v>
          </cell>
          <cell r="E345">
            <v>46111</v>
          </cell>
          <cell r="F345" t="str">
            <v>27271</v>
          </cell>
          <cell r="G345" t="str">
            <v>王品一</v>
          </cell>
          <cell r="H345">
            <v>500000</v>
          </cell>
          <cell r="I345">
            <v>3.25</v>
          </cell>
          <cell r="J345">
            <v>46110</v>
          </cell>
          <cell r="K345">
            <v>100.75190000000001</v>
          </cell>
          <cell r="L345">
            <v>46091</v>
          </cell>
          <cell r="M345">
            <v>-27558</v>
          </cell>
          <cell r="N345">
            <v>472442</v>
          </cell>
        </row>
        <row r="346">
          <cell r="A346">
            <v>22313</v>
          </cell>
          <cell r="B346">
            <v>340</v>
          </cell>
          <cell r="C346" t="str">
            <v>IASWD2309015801</v>
          </cell>
          <cell r="D346">
            <v>45173</v>
          </cell>
          <cell r="E346">
            <v>45898</v>
          </cell>
          <cell r="F346" t="str">
            <v>22313</v>
          </cell>
          <cell r="G346" t="str">
            <v>為升三</v>
          </cell>
          <cell r="H346">
            <v>100000</v>
          </cell>
          <cell r="I346">
            <v>4</v>
          </cell>
          <cell r="J346">
            <v>45898</v>
          </cell>
          <cell r="K346">
            <v>101.50749999999999</v>
          </cell>
          <cell r="L346">
            <v>45880</v>
          </cell>
          <cell r="M346">
            <v>-6784</v>
          </cell>
          <cell r="N346">
            <v>93216</v>
          </cell>
        </row>
        <row r="347">
          <cell r="A347">
            <v>22313</v>
          </cell>
          <cell r="B347">
            <v>341</v>
          </cell>
          <cell r="C347" t="str">
            <v>IASWD2309015802</v>
          </cell>
          <cell r="D347">
            <v>45173</v>
          </cell>
          <cell r="E347">
            <v>45898</v>
          </cell>
          <cell r="F347" t="str">
            <v>22313</v>
          </cell>
          <cell r="G347" t="str">
            <v>為升三</v>
          </cell>
          <cell r="H347">
            <v>100000</v>
          </cell>
          <cell r="I347">
            <v>4</v>
          </cell>
          <cell r="J347">
            <v>45898</v>
          </cell>
          <cell r="K347">
            <v>101.50749999999999</v>
          </cell>
          <cell r="L347">
            <v>45880</v>
          </cell>
          <cell r="M347">
            <v>-6784</v>
          </cell>
          <cell r="N347">
            <v>93216</v>
          </cell>
        </row>
        <row r="348">
          <cell r="A348">
            <v>27271</v>
          </cell>
          <cell r="B348">
            <v>342</v>
          </cell>
          <cell r="C348" t="str">
            <v>IASWD2309015812</v>
          </cell>
          <cell r="D348">
            <v>45174</v>
          </cell>
          <cell r="E348">
            <v>46111</v>
          </cell>
          <cell r="F348" t="str">
            <v>27271</v>
          </cell>
          <cell r="G348" t="str">
            <v>王品一</v>
          </cell>
          <cell r="H348">
            <v>300000</v>
          </cell>
          <cell r="I348">
            <v>3.25</v>
          </cell>
          <cell r="J348">
            <v>46110</v>
          </cell>
          <cell r="K348">
            <v>100.75190000000001</v>
          </cell>
          <cell r="L348">
            <v>46091</v>
          </cell>
          <cell r="M348">
            <v>-16508</v>
          </cell>
          <cell r="N348">
            <v>283492</v>
          </cell>
        </row>
        <row r="349">
          <cell r="A349">
            <v>44382</v>
          </cell>
          <cell r="B349">
            <v>343</v>
          </cell>
          <cell r="C349" t="str">
            <v>IASWD2309015815</v>
          </cell>
          <cell r="D349">
            <v>45174</v>
          </cell>
          <cell r="E349">
            <v>45933</v>
          </cell>
          <cell r="F349" t="str">
            <v>44382</v>
          </cell>
          <cell r="G349" t="str">
            <v>廣越二</v>
          </cell>
          <cell r="H349">
            <v>200000</v>
          </cell>
          <cell r="I349">
            <v>3.25</v>
          </cell>
          <cell r="J349">
            <v>45933</v>
          </cell>
          <cell r="K349">
            <v>100</v>
          </cell>
          <cell r="L349">
            <v>45915</v>
          </cell>
          <cell r="M349">
            <v>-11005</v>
          </cell>
          <cell r="N349">
            <v>188995</v>
          </cell>
        </row>
        <row r="350">
          <cell r="A350">
            <v>27271</v>
          </cell>
          <cell r="B350">
            <v>344</v>
          </cell>
          <cell r="C350" t="str">
            <v>IASWD2309015818</v>
          </cell>
          <cell r="D350">
            <v>45174</v>
          </cell>
          <cell r="E350">
            <v>46111</v>
          </cell>
          <cell r="F350" t="str">
            <v>27271</v>
          </cell>
          <cell r="G350" t="str">
            <v>王品一</v>
          </cell>
          <cell r="H350">
            <v>400000</v>
          </cell>
          <cell r="I350">
            <v>3.25</v>
          </cell>
          <cell r="J350">
            <v>46110</v>
          </cell>
          <cell r="K350">
            <v>100.75190000000001</v>
          </cell>
          <cell r="L350">
            <v>46091</v>
          </cell>
          <cell r="M350">
            <v>-22011</v>
          </cell>
          <cell r="N350">
            <v>377989</v>
          </cell>
        </row>
        <row r="351">
          <cell r="A351">
            <v>44382</v>
          </cell>
          <cell r="B351">
            <v>345</v>
          </cell>
          <cell r="C351" t="str">
            <v>IASWD2309015827</v>
          </cell>
          <cell r="D351">
            <v>45174</v>
          </cell>
          <cell r="E351">
            <v>45933</v>
          </cell>
          <cell r="F351" t="str">
            <v>44382</v>
          </cell>
          <cell r="G351" t="str">
            <v>廣越二</v>
          </cell>
          <cell r="H351">
            <v>200000</v>
          </cell>
          <cell r="I351">
            <v>3.25</v>
          </cell>
          <cell r="J351">
            <v>45933</v>
          </cell>
          <cell r="K351">
            <v>100</v>
          </cell>
          <cell r="L351">
            <v>45915</v>
          </cell>
          <cell r="M351">
            <v>-11005</v>
          </cell>
          <cell r="N351">
            <v>188995</v>
          </cell>
        </row>
        <row r="352">
          <cell r="A352">
            <v>15991</v>
          </cell>
          <cell r="B352">
            <v>346</v>
          </cell>
          <cell r="C352" t="str">
            <v>IASWD2309015835</v>
          </cell>
          <cell r="D352">
            <v>45174</v>
          </cell>
          <cell r="E352">
            <v>45979</v>
          </cell>
          <cell r="F352" t="str">
            <v>15991</v>
          </cell>
          <cell r="G352" t="str">
            <v>宏佳騰一</v>
          </cell>
          <cell r="H352">
            <v>100000</v>
          </cell>
          <cell r="I352">
            <v>2.15</v>
          </cell>
          <cell r="J352">
            <v>45979</v>
          </cell>
          <cell r="K352">
            <v>100</v>
          </cell>
          <cell r="L352">
            <v>45959</v>
          </cell>
          <cell r="M352">
            <v>-3640</v>
          </cell>
          <cell r="N352">
            <v>96360</v>
          </cell>
        </row>
        <row r="353">
          <cell r="A353">
            <v>22313</v>
          </cell>
          <cell r="B353">
            <v>347</v>
          </cell>
          <cell r="C353" t="str">
            <v>IASWD2309015838</v>
          </cell>
          <cell r="D353">
            <v>45174</v>
          </cell>
          <cell r="E353">
            <v>45898</v>
          </cell>
          <cell r="F353" t="str">
            <v>22313</v>
          </cell>
          <cell r="G353" t="str">
            <v>為升三</v>
          </cell>
          <cell r="H353">
            <v>1400000</v>
          </cell>
          <cell r="I353">
            <v>4</v>
          </cell>
          <cell r="J353">
            <v>45898</v>
          </cell>
          <cell r="K353">
            <v>101.50749999999999</v>
          </cell>
          <cell r="L353">
            <v>45880</v>
          </cell>
          <cell r="M353">
            <v>-94816</v>
          </cell>
          <cell r="N353">
            <v>1305184</v>
          </cell>
        </row>
        <row r="354">
          <cell r="A354">
            <v>22313</v>
          </cell>
          <cell r="B354">
            <v>348</v>
          </cell>
          <cell r="C354" t="str">
            <v>IASWD2309015841</v>
          </cell>
          <cell r="D354">
            <v>45174</v>
          </cell>
          <cell r="E354">
            <v>45898</v>
          </cell>
          <cell r="F354" t="str">
            <v>22313</v>
          </cell>
          <cell r="G354" t="str">
            <v>為升三</v>
          </cell>
          <cell r="H354">
            <v>500000</v>
          </cell>
          <cell r="I354">
            <v>4</v>
          </cell>
          <cell r="J354">
            <v>45898</v>
          </cell>
          <cell r="K354">
            <v>101.50749999999999</v>
          </cell>
          <cell r="L354">
            <v>45880</v>
          </cell>
          <cell r="M354">
            <v>-33863</v>
          </cell>
          <cell r="N354">
            <v>466137</v>
          </cell>
        </row>
        <row r="355">
          <cell r="A355">
            <v>44382</v>
          </cell>
          <cell r="B355">
            <v>349</v>
          </cell>
          <cell r="C355" t="str">
            <v>IASWD2309015893</v>
          </cell>
          <cell r="D355">
            <v>45175</v>
          </cell>
          <cell r="E355">
            <v>45933</v>
          </cell>
          <cell r="F355" t="str">
            <v>44382</v>
          </cell>
          <cell r="G355" t="str">
            <v>廣越二</v>
          </cell>
          <cell r="H355">
            <v>200000</v>
          </cell>
          <cell r="I355">
            <v>3.25</v>
          </cell>
          <cell r="J355">
            <v>45933</v>
          </cell>
          <cell r="K355">
            <v>100</v>
          </cell>
          <cell r="L355">
            <v>45915</v>
          </cell>
          <cell r="M355">
            <v>-10988</v>
          </cell>
          <cell r="N355">
            <v>189012</v>
          </cell>
        </row>
        <row r="356">
          <cell r="A356">
            <v>27271</v>
          </cell>
          <cell r="B356">
            <v>350</v>
          </cell>
          <cell r="C356" t="str">
            <v>IASWD2309015896</v>
          </cell>
          <cell r="D356">
            <v>45175</v>
          </cell>
          <cell r="E356">
            <v>46111</v>
          </cell>
          <cell r="F356" t="str">
            <v>27271</v>
          </cell>
          <cell r="G356" t="str">
            <v>王品一</v>
          </cell>
          <cell r="H356">
            <v>100000</v>
          </cell>
          <cell r="I356">
            <v>3.25</v>
          </cell>
          <cell r="J356">
            <v>46110</v>
          </cell>
          <cell r="K356">
            <v>100.75190000000001</v>
          </cell>
          <cell r="L356">
            <v>46091</v>
          </cell>
          <cell r="M356">
            <v>-5494</v>
          </cell>
          <cell r="N356">
            <v>94506</v>
          </cell>
        </row>
        <row r="357">
          <cell r="A357">
            <v>27271</v>
          </cell>
          <cell r="B357">
            <v>351</v>
          </cell>
          <cell r="C357" t="str">
            <v>IASWD2309015897</v>
          </cell>
          <cell r="D357">
            <v>45175</v>
          </cell>
          <cell r="E357">
            <v>46111</v>
          </cell>
          <cell r="F357" t="str">
            <v>27271</v>
          </cell>
          <cell r="G357" t="str">
            <v>王品一</v>
          </cell>
          <cell r="H357">
            <v>600000</v>
          </cell>
          <cell r="I357">
            <v>3.25</v>
          </cell>
          <cell r="J357">
            <v>46110</v>
          </cell>
          <cell r="K357">
            <v>100.75190000000001</v>
          </cell>
          <cell r="L357">
            <v>46091</v>
          </cell>
          <cell r="M357">
            <v>-32963</v>
          </cell>
          <cell r="N357">
            <v>567037</v>
          </cell>
        </row>
        <row r="358">
          <cell r="A358">
            <v>27271</v>
          </cell>
          <cell r="B358">
            <v>352</v>
          </cell>
          <cell r="C358" t="str">
            <v>IASWD2309015905</v>
          </cell>
          <cell r="D358">
            <v>45176</v>
          </cell>
          <cell r="E358">
            <v>46111</v>
          </cell>
          <cell r="F358" t="str">
            <v>27271</v>
          </cell>
          <cell r="G358" t="str">
            <v>王品一</v>
          </cell>
          <cell r="H358">
            <v>100000</v>
          </cell>
          <cell r="I358">
            <v>3.25</v>
          </cell>
          <cell r="J358">
            <v>46110</v>
          </cell>
          <cell r="K358">
            <v>100.75190000000001</v>
          </cell>
          <cell r="L358">
            <v>46091</v>
          </cell>
          <cell r="M358">
            <v>-5485</v>
          </cell>
          <cell r="N358">
            <v>94515</v>
          </cell>
        </row>
        <row r="359">
          <cell r="A359">
            <v>27271</v>
          </cell>
          <cell r="B359">
            <v>353</v>
          </cell>
          <cell r="C359" t="str">
            <v>IASWD2309015911</v>
          </cell>
          <cell r="D359">
            <v>45176</v>
          </cell>
          <cell r="E359">
            <v>46111</v>
          </cell>
          <cell r="F359" t="str">
            <v>27271</v>
          </cell>
          <cell r="G359" t="str">
            <v>王品一</v>
          </cell>
          <cell r="H359">
            <v>100000</v>
          </cell>
          <cell r="I359">
            <v>3.25</v>
          </cell>
          <cell r="J359">
            <v>46110</v>
          </cell>
          <cell r="K359">
            <v>100.75190000000001</v>
          </cell>
          <cell r="L359">
            <v>46091</v>
          </cell>
          <cell r="M359">
            <v>-5485</v>
          </cell>
          <cell r="N359">
            <v>94515</v>
          </cell>
        </row>
        <row r="360">
          <cell r="A360">
            <v>27271</v>
          </cell>
          <cell r="B360">
            <v>354</v>
          </cell>
          <cell r="C360" t="str">
            <v>IASWD2309015940</v>
          </cell>
          <cell r="D360">
            <v>45176</v>
          </cell>
          <cell r="E360">
            <v>46111</v>
          </cell>
          <cell r="F360" t="str">
            <v>27271</v>
          </cell>
          <cell r="G360" t="str">
            <v>王品一</v>
          </cell>
          <cell r="H360">
            <v>200000</v>
          </cell>
          <cell r="I360">
            <v>3.25</v>
          </cell>
          <cell r="J360">
            <v>46110</v>
          </cell>
          <cell r="K360">
            <v>100.75190000000001</v>
          </cell>
          <cell r="L360">
            <v>46091</v>
          </cell>
          <cell r="M360">
            <v>-10970</v>
          </cell>
          <cell r="N360">
            <v>189030</v>
          </cell>
        </row>
        <row r="361">
          <cell r="A361">
            <v>27271</v>
          </cell>
          <cell r="B361">
            <v>355</v>
          </cell>
          <cell r="C361" t="str">
            <v>IASWD2309015959</v>
          </cell>
          <cell r="D361">
            <v>45177</v>
          </cell>
          <cell r="E361">
            <v>46111</v>
          </cell>
          <cell r="F361" t="str">
            <v>27271</v>
          </cell>
          <cell r="G361" t="str">
            <v>王品一</v>
          </cell>
          <cell r="H361">
            <v>100000</v>
          </cell>
          <cell r="I361">
            <v>3.25</v>
          </cell>
          <cell r="J361">
            <v>46110</v>
          </cell>
          <cell r="K361">
            <v>100.75190000000001</v>
          </cell>
          <cell r="L361">
            <v>46091</v>
          </cell>
          <cell r="M361">
            <v>-5476</v>
          </cell>
          <cell r="N361">
            <v>94524</v>
          </cell>
        </row>
        <row r="362">
          <cell r="A362">
            <v>15991</v>
          </cell>
          <cell r="B362">
            <v>356</v>
          </cell>
          <cell r="C362" t="str">
            <v>IASWD2309015998</v>
          </cell>
          <cell r="D362">
            <v>45180</v>
          </cell>
          <cell r="E362">
            <v>45979</v>
          </cell>
          <cell r="F362" t="str">
            <v>15991</v>
          </cell>
          <cell r="G362" t="str">
            <v>宏佳騰一</v>
          </cell>
          <cell r="H362">
            <v>100000</v>
          </cell>
          <cell r="I362">
            <v>2.15</v>
          </cell>
          <cell r="J362">
            <v>45979</v>
          </cell>
          <cell r="K362">
            <v>100</v>
          </cell>
          <cell r="L362">
            <v>45959</v>
          </cell>
          <cell r="M362">
            <v>-3605</v>
          </cell>
          <cell r="N362">
            <v>96395</v>
          </cell>
        </row>
        <row r="363">
          <cell r="A363">
            <v>27271</v>
          </cell>
          <cell r="B363">
            <v>357</v>
          </cell>
          <cell r="C363" t="str">
            <v>IASWD2309015999</v>
          </cell>
          <cell r="D363">
            <v>45180</v>
          </cell>
          <cell r="E363">
            <v>46111</v>
          </cell>
          <cell r="F363" t="str">
            <v>27271</v>
          </cell>
          <cell r="G363" t="str">
            <v>王品一</v>
          </cell>
          <cell r="H363">
            <v>200000</v>
          </cell>
          <cell r="I363">
            <v>3.25</v>
          </cell>
          <cell r="J363">
            <v>46110</v>
          </cell>
          <cell r="K363">
            <v>100.75190000000001</v>
          </cell>
          <cell r="L363">
            <v>46091</v>
          </cell>
          <cell r="M363">
            <v>-10899</v>
          </cell>
          <cell r="N363">
            <v>189101</v>
          </cell>
        </row>
        <row r="364">
          <cell r="A364">
            <v>27271</v>
          </cell>
          <cell r="B364">
            <v>358</v>
          </cell>
          <cell r="C364" t="str">
            <v>IASWD2309016045</v>
          </cell>
          <cell r="D364">
            <v>45181</v>
          </cell>
          <cell r="E364">
            <v>46111</v>
          </cell>
          <cell r="F364" t="str">
            <v>27271</v>
          </cell>
          <cell r="G364" t="str">
            <v>王品一</v>
          </cell>
          <cell r="H364">
            <v>100000</v>
          </cell>
          <cell r="I364">
            <v>3.25</v>
          </cell>
          <cell r="J364">
            <v>46110</v>
          </cell>
          <cell r="K364">
            <v>100.75190000000001</v>
          </cell>
          <cell r="L364">
            <v>46091</v>
          </cell>
          <cell r="M364">
            <v>-5440</v>
          </cell>
          <cell r="N364">
            <v>94560</v>
          </cell>
        </row>
        <row r="365">
          <cell r="A365">
            <v>22313</v>
          </cell>
          <cell r="B365">
            <v>359</v>
          </cell>
          <cell r="C365" t="str">
            <v>IASWD2309016050</v>
          </cell>
          <cell r="D365">
            <v>45181</v>
          </cell>
          <cell r="E365">
            <v>45898</v>
          </cell>
          <cell r="F365" t="str">
            <v>22313</v>
          </cell>
          <cell r="G365" t="str">
            <v>為升三</v>
          </cell>
          <cell r="H365">
            <v>200000</v>
          </cell>
          <cell r="I365">
            <v>4</v>
          </cell>
          <cell r="J365">
            <v>45898</v>
          </cell>
          <cell r="K365">
            <v>101.50749999999999</v>
          </cell>
          <cell r="L365">
            <v>45880</v>
          </cell>
          <cell r="M365">
            <v>-13392</v>
          </cell>
          <cell r="N365">
            <v>186608</v>
          </cell>
        </row>
        <row r="366">
          <cell r="A366">
            <v>44382</v>
          </cell>
          <cell r="B366">
            <v>360</v>
          </cell>
          <cell r="C366" t="str">
            <v>IASWD2309016079</v>
          </cell>
          <cell r="D366">
            <v>45183</v>
          </cell>
          <cell r="E366">
            <v>45933</v>
          </cell>
          <cell r="F366" t="str">
            <v>44382</v>
          </cell>
          <cell r="G366" t="str">
            <v>廣越二</v>
          </cell>
          <cell r="H366">
            <v>800000</v>
          </cell>
          <cell r="I366">
            <v>3.25</v>
          </cell>
          <cell r="J366">
            <v>45933</v>
          </cell>
          <cell r="K366">
            <v>100</v>
          </cell>
          <cell r="L366">
            <v>45915</v>
          </cell>
          <cell r="M366">
            <v>-43381</v>
          </cell>
          <cell r="N366">
            <v>756619</v>
          </cell>
        </row>
        <row r="367">
          <cell r="A367">
            <v>27271</v>
          </cell>
          <cell r="B367">
            <v>361</v>
          </cell>
          <cell r="C367" t="str">
            <v>IASWD2309016080</v>
          </cell>
          <cell r="D367">
            <v>45183</v>
          </cell>
          <cell r="E367">
            <v>46111</v>
          </cell>
          <cell r="F367" t="str">
            <v>27271</v>
          </cell>
          <cell r="G367" t="str">
            <v>王品一</v>
          </cell>
          <cell r="H367">
            <v>500000</v>
          </cell>
          <cell r="I367">
            <v>3.25</v>
          </cell>
          <cell r="J367">
            <v>46110</v>
          </cell>
          <cell r="K367">
            <v>100.75190000000001</v>
          </cell>
          <cell r="L367">
            <v>46091</v>
          </cell>
          <cell r="M367">
            <v>-27113</v>
          </cell>
          <cell r="N367">
            <v>472887</v>
          </cell>
        </row>
        <row r="368">
          <cell r="A368">
            <v>44382</v>
          </cell>
          <cell r="B368">
            <v>362</v>
          </cell>
          <cell r="C368" t="str">
            <v>IASWD2309016090</v>
          </cell>
          <cell r="D368">
            <v>45183</v>
          </cell>
          <cell r="E368">
            <v>45933</v>
          </cell>
          <cell r="F368" t="str">
            <v>44382</v>
          </cell>
          <cell r="G368" t="str">
            <v>廣越二</v>
          </cell>
          <cell r="H368">
            <v>500000</v>
          </cell>
          <cell r="I368">
            <v>3.25</v>
          </cell>
          <cell r="J368">
            <v>45933</v>
          </cell>
          <cell r="K368">
            <v>100</v>
          </cell>
          <cell r="L368">
            <v>45915</v>
          </cell>
          <cell r="M368">
            <v>-27113</v>
          </cell>
          <cell r="N368">
            <v>472887</v>
          </cell>
        </row>
        <row r="369">
          <cell r="A369">
            <v>44382</v>
          </cell>
          <cell r="B369">
            <v>363</v>
          </cell>
          <cell r="C369" t="str">
            <v>IASWD2309016119</v>
          </cell>
          <cell r="D369">
            <v>45184</v>
          </cell>
          <cell r="E369">
            <v>45933</v>
          </cell>
          <cell r="F369" t="str">
            <v>44382</v>
          </cell>
          <cell r="G369" t="str">
            <v>廣越二</v>
          </cell>
          <cell r="H369">
            <v>100000</v>
          </cell>
          <cell r="I369">
            <v>3.25</v>
          </cell>
          <cell r="J369">
            <v>45933</v>
          </cell>
          <cell r="K369">
            <v>100</v>
          </cell>
          <cell r="L369">
            <v>45915</v>
          </cell>
          <cell r="M369">
            <v>-5414</v>
          </cell>
          <cell r="N369">
            <v>94586</v>
          </cell>
        </row>
        <row r="370">
          <cell r="A370">
            <v>27271</v>
          </cell>
          <cell r="B370">
            <v>364</v>
          </cell>
          <cell r="C370" t="str">
            <v>IASWD2309016124</v>
          </cell>
          <cell r="D370">
            <v>45184</v>
          </cell>
          <cell r="E370">
            <v>46111</v>
          </cell>
          <cell r="F370" t="str">
            <v>27271</v>
          </cell>
          <cell r="G370" t="str">
            <v>王品一</v>
          </cell>
          <cell r="H370">
            <v>200000</v>
          </cell>
          <cell r="I370">
            <v>3.25</v>
          </cell>
          <cell r="J370">
            <v>46110</v>
          </cell>
          <cell r="K370">
            <v>100.75190000000001</v>
          </cell>
          <cell r="L370">
            <v>46091</v>
          </cell>
          <cell r="M370">
            <v>-10827</v>
          </cell>
          <cell r="N370">
            <v>189173</v>
          </cell>
        </row>
        <row r="371">
          <cell r="A371">
            <v>44382</v>
          </cell>
          <cell r="B371">
            <v>365</v>
          </cell>
          <cell r="C371" t="str">
            <v>IASWD2309016147</v>
          </cell>
          <cell r="D371">
            <v>45187</v>
          </cell>
          <cell r="E371">
            <v>45933</v>
          </cell>
          <cell r="F371" t="str">
            <v>44382</v>
          </cell>
          <cell r="G371" t="str">
            <v>廣越二</v>
          </cell>
          <cell r="H371">
            <v>100000</v>
          </cell>
          <cell r="I371">
            <v>3.25</v>
          </cell>
          <cell r="J371">
            <v>45933</v>
          </cell>
          <cell r="K371">
            <v>100</v>
          </cell>
          <cell r="L371">
            <v>45915</v>
          </cell>
          <cell r="M371">
            <v>-5387</v>
          </cell>
          <cell r="N371">
            <v>94613</v>
          </cell>
        </row>
        <row r="372">
          <cell r="A372">
            <v>44382</v>
          </cell>
          <cell r="B372">
            <v>366</v>
          </cell>
          <cell r="C372" t="str">
            <v>IASWD2309016157</v>
          </cell>
          <cell r="D372">
            <v>45187</v>
          </cell>
          <cell r="E372">
            <v>45933</v>
          </cell>
          <cell r="F372" t="str">
            <v>44382</v>
          </cell>
          <cell r="G372" t="str">
            <v>廣越二</v>
          </cell>
          <cell r="H372">
            <v>400000</v>
          </cell>
          <cell r="I372">
            <v>3.25</v>
          </cell>
          <cell r="J372">
            <v>45933</v>
          </cell>
          <cell r="K372">
            <v>100</v>
          </cell>
          <cell r="L372">
            <v>45915</v>
          </cell>
          <cell r="M372">
            <v>-21548</v>
          </cell>
          <cell r="N372">
            <v>378452</v>
          </cell>
        </row>
        <row r="373">
          <cell r="A373">
            <v>27271</v>
          </cell>
          <cell r="B373">
            <v>367</v>
          </cell>
          <cell r="C373" t="str">
            <v>IASWD2309016161</v>
          </cell>
          <cell r="D373">
            <v>45187</v>
          </cell>
          <cell r="E373">
            <v>46111</v>
          </cell>
          <cell r="F373" t="str">
            <v>27271</v>
          </cell>
          <cell r="G373" t="str">
            <v>王品一</v>
          </cell>
          <cell r="H373">
            <v>100000</v>
          </cell>
          <cell r="I373">
            <v>3.25</v>
          </cell>
          <cell r="J373">
            <v>46110</v>
          </cell>
          <cell r="K373">
            <v>100.75190000000001</v>
          </cell>
          <cell r="L373">
            <v>46091</v>
          </cell>
          <cell r="M373">
            <v>-5387</v>
          </cell>
          <cell r="N373">
            <v>94613</v>
          </cell>
        </row>
        <row r="374">
          <cell r="A374">
            <v>44382</v>
          </cell>
          <cell r="B374">
            <v>368</v>
          </cell>
          <cell r="C374" t="str">
            <v>IASWD2309016171</v>
          </cell>
          <cell r="D374">
            <v>45187</v>
          </cell>
          <cell r="E374">
            <v>45933</v>
          </cell>
          <cell r="F374" t="str">
            <v>44382</v>
          </cell>
          <cell r="G374" t="str">
            <v>廣越二</v>
          </cell>
          <cell r="H374">
            <v>100000</v>
          </cell>
          <cell r="I374">
            <v>3.25</v>
          </cell>
          <cell r="J374">
            <v>45933</v>
          </cell>
          <cell r="K374">
            <v>100</v>
          </cell>
          <cell r="L374">
            <v>45915</v>
          </cell>
          <cell r="M374">
            <v>-5387</v>
          </cell>
          <cell r="N374">
            <v>94613</v>
          </cell>
        </row>
        <row r="375">
          <cell r="A375">
            <v>44382</v>
          </cell>
          <cell r="B375">
            <v>369</v>
          </cell>
          <cell r="C375" t="str">
            <v>IASWD2309016192</v>
          </cell>
          <cell r="D375">
            <v>45188</v>
          </cell>
          <cell r="E375">
            <v>45933</v>
          </cell>
          <cell r="F375" t="str">
            <v>44382</v>
          </cell>
          <cell r="G375" t="str">
            <v>廣越二</v>
          </cell>
          <cell r="H375">
            <v>200000</v>
          </cell>
          <cell r="I375">
            <v>3.25</v>
          </cell>
          <cell r="J375">
            <v>45933</v>
          </cell>
          <cell r="K375">
            <v>100</v>
          </cell>
          <cell r="L375">
            <v>45915</v>
          </cell>
          <cell r="M375">
            <v>-10756</v>
          </cell>
          <cell r="N375">
            <v>189244</v>
          </cell>
        </row>
        <row r="376">
          <cell r="A376">
            <v>44382</v>
          </cell>
          <cell r="B376">
            <v>370</v>
          </cell>
          <cell r="C376" t="str">
            <v>IASWD2309016198</v>
          </cell>
          <cell r="D376">
            <v>45188</v>
          </cell>
          <cell r="E376">
            <v>45933</v>
          </cell>
          <cell r="F376" t="str">
            <v>44382</v>
          </cell>
          <cell r="G376" t="str">
            <v>廣越二</v>
          </cell>
          <cell r="H376">
            <v>1100000</v>
          </cell>
          <cell r="I376">
            <v>3.25</v>
          </cell>
          <cell r="J376">
            <v>45933</v>
          </cell>
          <cell r="K376">
            <v>100</v>
          </cell>
          <cell r="L376">
            <v>45915</v>
          </cell>
          <cell r="M376">
            <v>-59159</v>
          </cell>
          <cell r="N376">
            <v>1040841</v>
          </cell>
        </row>
        <row r="377">
          <cell r="A377">
            <v>15991</v>
          </cell>
          <cell r="B377">
            <v>371</v>
          </cell>
          <cell r="C377" t="str">
            <v>IASWD2309016204</v>
          </cell>
          <cell r="D377">
            <v>45188</v>
          </cell>
          <cell r="E377">
            <v>45979</v>
          </cell>
          <cell r="F377" t="str">
            <v>15991</v>
          </cell>
          <cell r="G377" t="str">
            <v>宏佳騰一</v>
          </cell>
          <cell r="H377">
            <v>700000</v>
          </cell>
          <cell r="I377">
            <v>2.15</v>
          </cell>
          <cell r="J377">
            <v>45979</v>
          </cell>
          <cell r="K377">
            <v>100</v>
          </cell>
          <cell r="L377">
            <v>45959</v>
          </cell>
          <cell r="M377">
            <v>-24905</v>
          </cell>
          <cell r="N377">
            <v>675095</v>
          </cell>
        </row>
        <row r="378">
          <cell r="A378">
            <v>44382</v>
          </cell>
          <cell r="B378">
            <v>372</v>
          </cell>
          <cell r="C378" t="str">
            <v>IASWD2309016233</v>
          </cell>
          <cell r="D378">
            <v>45189</v>
          </cell>
          <cell r="E378">
            <v>45933</v>
          </cell>
          <cell r="F378" t="str">
            <v>44382</v>
          </cell>
          <cell r="G378" t="str">
            <v>廣越二</v>
          </cell>
          <cell r="H378">
            <v>100000</v>
          </cell>
          <cell r="I378">
            <v>3.25</v>
          </cell>
          <cell r="J378">
            <v>45933</v>
          </cell>
          <cell r="K378">
            <v>100</v>
          </cell>
          <cell r="L378">
            <v>45915</v>
          </cell>
          <cell r="M378">
            <v>-5369</v>
          </cell>
          <cell r="N378">
            <v>94631</v>
          </cell>
        </row>
        <row r="379">
          <cell r="A379">
            <v>44382</v>
          </cell>
          <cell r="B379">
            <v>373</v>
          </cell>
          <cell r="C379" t="str">
            <v>IASWD2309016244</v>
          </cell>
          <cell r="D379">
            <v>45189</v>
          </cell>
          <cell r="E379">
            <v>45933</v>
          </cell>
          <cell r="F379" t="str">
            <v>44382</v>
          </cell>
          <cell r="G379" t="str">
            <v>廣越二</v>
          </cell>
          <cell r="H379">
            <v>100000</v>
          </cell>
          <cell r="I379">
            <v>3.25</v>
          </cell>
          <cell r="J379">
            <v>45933</v>
          </cell>
          <cell r="K379">
            <v>100</v>
          </cell>
          <cell r="L379">
            <v>45915</v>
          </cell>
          <cell r="M379">
            <v>-5369</v>
          </cell>
          <cell r="N379">
            <v>94631</v>
          </cell>
        </row>
        <row r="380">
          <cell r="A380">
            <v>44382</v>
          </cell>
          <cell r="B380">
            <v>374</v>
          </cell>
          <cell r="C380" t="str">
            <v>IASWD2309016246</v>
          </cell>
          <cell r="D380">
            <v>45189</v>
          </cell>
          <cell r="E380">
            <v>45933</v>
          </cell>
          <cell r="F380" t="str">
            <v>44382</v>
          </cell>
          <cell r="G380" t="str">
            <v>廣越二</v>
          </cell>
          <cell r="H380">
            <v>100000</v>
          </cell>
          <cell r="I380">
            <v>3.25</v>
          </cell>
          <cell r="J380">
            <v>45933</v>
          </cell>
          <cell r="K380">
            <v>100</v>
          </cell>
          <cell r="L380">
            <v>45915</v>
          </cell>
          <cell r="M380">
            <v>-5369</v>
          </cell>
          <cell r="N380">
            <v>94631</v>
          </cell>
        </row>
        <row r="381">
          <cell r="A381">
            <v>44382</v>
          </cell>
          <cell r="B381">
            <v>375</v>
          </cell>
          <cell r="C381" t="str">
            <v>IASWD2309016250</v>
          </cell>
          <cell r="D381">
            <v>45189</v>
          </cell>
          <cell r="E381">
            <v>45933</v>
          </cell>
          <cell r="F381" t="str">
            <v>44382</v>
          </cell>
          <cell r="G381" t="str">
            <v>廣越二</v>
          </cell>
          <cell r="H381">
            <v>1600000</v>
          </cell>
          <cell r="I381">
            <v>3.25</v>
          </cell>
          <cell r="J381">
            <v>45933</v>
          </cell>
          <cell r="K381">
            <v>100</v>
          </cell>
          <cell r="L381">
            <v>45915</v>
          </cell>
          <cell r="M381">
            <v>-85907</v>
          </cell>
          <cell r="N381">
            <v>1514093</v>
          </cell>
        </row>
        <row r="382">
          <cell r="A382">
            <v>44382</v>
          </cell>
          <cell r="B382">
            <v>376</v>
          </cell>
          <cell r="C382" t="str">
            <v>IASWD2309016257</v>
          </cell>
          <cell r="D382">
            <v>45189</v>
          </cell>
          <cell r="E382">
            <v>45933</v>
          </cell>
          <cell r="F382" t="str">
            <v>44382</v>
          </cell>
          <cell r="G382" t="str">
            <v>廣越二</v>
          </cell>
          <cell r="H382">
            <v>100000</v>
          </cell>
          <cell r="I382">
            <v>3.25</v>
          </cell>
          <cell r="J382">
            <v>45933</v>
          </cell>
          <cell r="K382">
            <v>100</v>
          </cell>
          <cell r="L382">
            <v>45915</v>
          </cell>
          <cell r="M382">
            <v>-5369</v>
          </cell>
          <cell r="N382">
            <v>94631</v>
          </cell>
        </row>
        <row r="383">
          <cell r="A383">
            <v>44382</v>
          </cell>
          <cell r="B383">
            <v>377</v>
          </cell>
          <cell r="C383" t="str">
            <v>IASWD2309016259</v>
          </cell>
          <cell r="D383">
            <v>45190</v>
          </cell>
          <cell r="E383">
            <v>45933</v>
          </cell>
          <cell r="F383" t="str">
            <v>44382</v>
          </cell>
          <cell r="G383" t="str">
            <v>廣越二</v>
          </cell>
          <cell r="H383">
            <v>200000</v>
          </cell>
          <cell r="I383">
            <v>3.25</v>
          </cell>
          <cell r="J383">
            <v>45933</v>
          </cell>
          <cell r="K383">
            <v>100</v>
          </cell>
          <cell r="L383">
            <v>45915</v>
          </cell>
          <cell r="M383">
            <v>-10721</v>
          </cell>
          <cell r="N383">
            <v>189279</v>
          </cell>
        </row>
        <row r="384">
          <cell r="A384">
            <v>44382</v>
          </cell>
          <cell r="B384">
            <v>378</v>
          </cell>
          <cell r="C384" t="str">
            <v>IASWD2309016261</v>
          </cell>
          <cell r="D384">
            <v>45190</v>
          </cell>
          <cell r="E384">
            <v>45933</v>
          </cell>
          <cell r="F384" t="str">
            <v>44382</v>
          </cell>
          <cell r="G384" t="str">
            <v>廣越二</v>
          </cell>
          <cell r="H384">
            <v>200000</v>
          </cell>
          <cell r="I384">
            <v>3.25</v>
          </cell>
          <cell r="J384">
            <v>45933</v>
          </cell>
          <cell r="K384">
            <v>100</v>
          </cell>
          <cell r="L384">
            <v>45915</v>
          </cell>
          <cell r="M384">
            <v>-10721</v>
          </cell>
          <cell r="N384">
            <v>189279</v>
          </cell>
        </row>
        <row r="385">
          <cell r="A385">
            <v>44382</v>
          </cell>
          <cell r="B385">
            <v>379</v>
          </cell>
          <cell r="C385" t="str">
            <v>IASWD2309016273</v>
          </cell>
          <cell r="D385">
            <v>45190</v>
          </cell>
          <cell r="E385">
            <v>45933</v>
          </cell>
          <cell r="F385" t="str">
            <v>44382</v>
          </cell>
          <cell r="G385" t="str">
            <v>廣越二</v>
          </cell>
          <cell r="H385">
            <v>100000</v>
          </cell>
          <cell r="I385">
            <v>3.25</v>
          </cell>
          <cell r="J385">
            <v>45933</v>
          </cell>
          <cell r="K385">
            <v>100</v>
          </cell>
          <cell r="L385">
            <v>45915</v>
          </cell>
          <cell r="M385">
            <v>-5360</v>
          </cell>
          <cell r="N385">
            <v>94640</v>
          </cell>
        </row>
        <row r="386">
          <cell r="A386">
            <v>44382</v>
          </cell>
          <cell r="B386">
            <v>380</v>
          </cell>
          <cell r="C386" t="str">
            <v>IASWD2309016282</v>
          </cell>
          <cell r="D386">
            <v>45190</v>
          </cell>
          <cell r="E386">
            <v>45933</v>
          </cell>
          <cell r="F386" t="str">
            <v>44382</v>
          </cell>
          <cell r="G386" t="str">
            <v>廣越二</v>
          </cell>
          <cell r="H386">
            <v>100000</v>
          </cell>
          <cell r="I386">
            <v>3.25</v>
          </cell>
          <cell r="J386">
            <v>45933</v>
          </cell>
          <cell r="K386">
            <v>100</v>
          </cell>
          <cell r="L386">
            <v>45915</v>
          </cell>
          <cell r="M386">
            <v>-5360</v>
          </cell>
          <cell r="N386">
            <v>94640</v>
          </cell>
        </row>
        <row r="387">
          <cell r="A387">
            <v>44382</v>
          </cell>
          <cell r="B387">
            <v>381</v>
          </cell>
          <cell r="C387" t="str">
            <v>IASWD2309016287</v>
          </cell>
          <cell r="D387">
            <v>45190</v>
          </cell>
          <cell r="E387">
            <v>45933</v>
          </cell>
          <cell r="F387" t="str">
            <v>44382</v>
          </cell>
          <cell r="G387" t="str">
            <v>廣越二</v>
          </cell>
          <cell r="H387">
            <v>100000</v>
          </cell>
          <cell r="I387">
            <v>3.25</v>
          </cell>
          <cell r="J387">
            <v>45933</v>
          </cell>
          <cell r="K387">
            <v>100</v>
          </cell>
          <cell r="L387">
            <v>45915</v>
          </cell>
          <cell r="M387">
            <v>-5360</v>
          </cell>
          <cell r="N387">
            <v>94640</v>
          </cell>
        </row>
        <row r="388">
          <cell r="A388">
            <v>27271</v>
          </cell>
          <cell r="B388">
            <v>382</v>
          </cell>
          <cell r="C388" t="str">
            <v>IASWD2309016300</v>
          </cell>
          <cell r="D388">
            <v>45191</v>
          </cell>
          <cell r="E388">
            <v>46111</v>
          </cell>
          <cell r="F388" t="str">
            <v>27271</v>
          </cell>
          <cell r="G388" t="str">
            <v>王品一</v>
          </cell>
          <cell r="H388">
            <v>200000</v>
          </cell>
          <cell r="I388">
            <v>3.25</v>
          </cell>
          <cell r="J388">
            <v>46110</v>
          </cell>
          <cell r="K388">
            <v>100.75190000000001</v>
          </cell>
          <cell r="L388">
            <v>46091</v>
          </cell>
          <cell r="M388">
            <v>-10703</v>
          </cell>
          <cell r="N388">
            <v>189297</v>
          </cell>
        </row>
        <row r="389">
          <cell r="A389">
            <v>27271</v>
          </cell>
          <cell r="B389">
            <v>383</v>
          </cell>
          <cell r="C389" t="str">
            <v>IASWD2309016304</v>
          </cell>
          <cell r="D389">
            <v>45191</v>
          </cell>
          <cell r="E389">
            <v>46111</v>
          </cell>
          <cell r="F389" t="str">
            <v>27271</v>
          </cell>
          <cell r="G389" t="str">
            <v>王品一</v>
          </cell>
          <cell r="H389">
            <v>100000</v>
          </cell>
          <cell r="I389">
            <v>3.25</v>
          </cell>
          <cell r="J389">
            <v>46110</v>
          </cell>
          <cell r="K389">
            <v>100.75190000000001</v>
          </cell>
          <cell r="L389">
            <v>46091</v>
          </cell>
          <cell r="M389">
            <v>-5351</v>
          </cell>
          <cell r="N389">
            <v>94649</v>
          </cell>
        </row>
        <row r="390">
          <cell r="A390">
            <v>22313</v>
          </cell>
          <cell r="B390">
            <v>384</v>
          </cell>
          <cell r="C390" t="str">
            <v>IASWD2309016313</v>
          </cell>
          <cell r="D390">
            <v>45191</v>
          </cell>
          <cell r="E390">
            <v>45898</v>
          </cell>
          <cell r="F390" t="str">
            <v>22313</v>
          </cell>
          <cell r="G390" t="str">
            <v>為升三</v>
          </cell>
          <cell r="H390">
            <v>100000</v>
          </cell>
          <cell r="I390">
            <v>4</v>
          </cell>
          <cell r="J390">
            <v>45898</v>
          </cell>
          <cell r="K390">
            <v>101.50749999999999</v>
          </cell>
          <cell r="L390">
            <v>45880</v>
          </cell>
          <cell r="M390">
            <v>-6586</v>
          </cell>
          <cell r="N390">
            <v>93414</v>
          </cell>
        </row>
        <row r="391">
          <cell r="A391">
            <v>44382</v>
          </cell>
          <cell r="B391">
            <v>385</v>
          </cell>
          <cell r="C391" t="str">
            <v>IASWD2309016320</v>
          </cell>
          <cell r="D391">
            <v>45191</v>
          </cell>
          <cell r="E391">
            <v>45933</v>
          </cell>
          <cell r="F391" t="str">
            <v>44382</v>
          </cell>
          <cell r="G391" t="str">
            <v>廣越二</v>
          </cell>
          <cell r="H391">
            <v>100000</v>
          </cell>
          <cell r="I391">
            <v>3.25</v>
          </cell>
          <cell r="J391">
            <v>45933</v>
          </cell>
          <cell r="K391">
            <v>100</v>
          </cell>
          <cell r="L391">
            <v>45915</v>
          </cell>
          <cell r="M391">
            <v>-5351</v>
          </cell>
          <cell r="N391">
            <v>94649</v>
          </cell>
        </row>
        <row r="392">
          <cell r="A392">
            <v>44382</v>
          </cell>
          <cell r="B392">
            <v>386</v>
          </cell>
          <cell r="C392" t="str">
            <v>IASWD2309016324</v>
          </cell>
          <cell r="D392">
            <v>45191</v>
          </cell>
          <cell r="E392">
            <v>45933</v>
          </cell>
          <cell r="F392" t="str">
            <v>44382</v>
          </cell>
          <cell r="G392" t="str">
            <v>廣越二</v>
          </cell>
          <cell r="H392">
            <v>100000</v>
          </cell>
          <cell r="I392">
            <v>3.25</v>
          </cell>
          <cell r="J392">
            <v>45933</v>
          </cell>
          <cell r="K392">
            <v>100</v>
          </cell>
          <cell r="L392">
            <v>45915</v>
          </cell>
          <cell r="M392">
            <v>-5351</v>
          </cell>
          <cell r="N392">
            <v>94649</v>
          </cell>
        </row>
        <row r="393">
          <cell r="A393">
            <v>22313</v>
          </cell>
          <cell r="B393">
            <v>387</v>
          </cell>
          <cell r="C393" t="str">
            <v>IASWD2309016383</v>
          </cell>
          <cell r="D393">
            <v>45194</v>
          </cell>
          <cell r="E393">
            <v>45898</v>
          </cell>
          <cell r="F393" t="str">
            <v>22313</v>
          </cell>
          <cell r="G393" t="str">
            <v>為升三</v>
          </cell>
          <cell r="H393">
            <v>100000</v>
          </cell>
          <cell r="I393">
            <v>4</v>
          </cell>
          <cell r="J393">
            <v>45898</v>
          </cell>
          <cell r="K393">
            <v>101.50749999999999</v>
          </cell>
          <cell r="L393">
            <v>45880</v>
          </cell>
          <cell r="M393">
            <v>-6553</v>
          </cell>
          <cell r="N393">
            <v>93447</v>
          </cell>
        </row>
        <row r="394">
          <cell r="A394">
            <v>27271</v>
          </cell>
          <cell r="B394">
            <v>388</v>
          </cell>
          <cell r="C394" t="str">
            <v>IASWD2309016388</v>
          </cell>
          <cell r="D394">
            <v>45194</v>
          </cell>
          <cell r="E394">
            <v>46111</v>
          </cell>
          <cell r="F394" t="str">
            <v>27271</v>
          </cell>
          <cell r="G394" t="str">
            <v>王品一</v>
          </cell>
          <cell r="H394">
            <v>100000</v>
          </cell>
          <cell r="I394">
            <v>3.25</v>
          </cell>
          <cell r="J394">
            <v>46110</v>
          </cell>
          <cell r="K394">
            <v>100.75190000000001</v>
          </cell>
          <cell r="L394">
            <v>46091</v>
          </cell>
          <cell r="M394">
            <v>-5325</v>
          </cell>
          <cell r="N394">
            <v>94675</v>
          </cell>
        </row>
        <row r="395">
          <cell r="A395">
            <v>15991</v>
          </cell>
          <cell r="B395">
            <v>389</v>
          </cell>
          <cell r="C395" t="str">
            <v>IASWD2309016436</v>
          </cell>
          <cell r="D395">
            <v>45196</v>
          </cell>
          <cell r="E395">
            <v>45979</v>
          </cell>
          <cell r="F395" t="str">
            <v>15991</v>
          </cell>
          <cell r="G395" t="str">
            <v>宏佳騰一</v>
          </cell>
          <cell r="H395">
            <v>900000</v>
          </cell>
          <cell r="I395">
            <v>2.15</v>
          </cell>
          <cell r="J395">
            <v>45979</v>
          </cell>
          <cell r="K395">
            <v>100</v>
          </cell>
          <cell r="L395">
            <v>45959</v>
          </cell>
          <cell r="M395">
            <v>-31596</v>
          </cell>
          <cell r="N395">
            <v>868404</v>
          </cell>
        </row>
        <row r="396">
          <cell r="A396">
            <v>27271</v>
          </cell>
          <cell r="B396">
            <v>390</v>
          </cell>
          <cell r="C396" t="str">
            <v>IASWD2309016438</v>
          </cell>
          <cell r="D396">
            <v>45196</v>
          </cell>
          <cell r="E396">
            <v>46111</v>
          </cell>
          <cell r="F396" t="str">
            <v>27271</v>
          </cell>
          <cell r="G396" t="str">
            <v>王品一</v>
          </cell>
          <cell r="H396">
            <v>200000</v>
          </cell>
          <cell r="I396">
            <v>3.25</v>
          </cell>
          <cell r="J396">
            <v>46110</v>
          </cell>
          <cell r="K396">
            <v>100.75190000000001</v>
          </cell>
          <cell r="L396">
            <v>46091</v>
          </cell>
          <cell r="M396">
            <v>-10614</v>
          </cell>
          <cell r="N396">
            <v>189386</v>
          </cell>
        </row>
        <row r="397">
          <cell r="A397">
            <v>44382</v>
          </cell>
          <cell r="B397">
            <v>391</v>
          </cell>
          <cell r="C397" t="str">
            <v>IASWD2309016448</v>
          </cell>
          <cell r="D397">
            <v>45197</v>
          </cell>
          <cell r="E397">
            <v>45933</v>
          </cell>
          <cell r="F397" t="str">
            <v>44382</v>
          </cell>
          <cell r="G397" t="str">
            <v>廣越二</v>
          </cell>
          <cell r="H397">
            <v>1600000</v>
          </cell>
          <cell r="I397">
            <v>3.25</v>
          </cell>
          <cell r="J397">
            <v>45933</v>
          </cell>
          <cell r="K397">
            <v>100</v>
          </cell>
          <cell r="L397">
            <v>45915</v>
          </cell>
          <cell r="M397">
            <v>-84767</v>
          </cell>
          <cell r="N397">
            <v>1515233</v>
          </cell>
        </row>
        <row r="398">
          <cell r="A398">
            <v>44382</v>
          </cell>
          <cell r="B398">
            <v>392</v>
          </cell>
          <cell r="C398" t="str">
            <v>IASWD2309016450</v>
          </cell>
          <cell r="D398">
            <v>45197</v>
          </cell>
          <cell r="E398">
            <v>45933</v>
          </cell>
          <cell r="F398" t="str">
            <v>44382</v>
          </cell>
          <cell r="G398" t="str">
            <v>廣越二</v>
          </cell>
          <cell r="H398">
            <v>500000</v>
          </cell>
          <cell r="I398">
            <v>3.25</v>
          </cell>
          <cell r="J398">
            <v>45933</v>
          </cell>
          <cell r="K398">
            <v>100</v>
          </cell>
          <cell r="L398">
            <v>45915</v>
          </cell>
          <cell r="M398">
            <v>-26490</v>
          </cell>
          <cell r="N398">
            <v>473510</v>
          </cell>
        </row>
        <row r="399">
          <cell r="A399">
            <v>44382</v>
          </cell>
          <cell r="B399">
            <v>393</v>
          </cell>
          <cell r="C399" t="str">
            <v>IASWD2309016466</v>
          </cell>
          <cell r="D399">
            <v>45197</v>
          </cell>
          <cell r="E399">
            <v>45933</v>
          </cell>
          <cell r="F399" t="str">
            <v>44382</v>
          </cell>
          <cell r="G399" t="str">
            <v>廣越二</v>
          </cell>
          <cell r="H399">
            <v>100000</v>
          </cell>
          <cell r="I399">
            <v>3.25</v>
          </cell>
          <cell r="J399">
            <v>45933</v>
          </cell>
          <cell r="K399">
            <v>100</v>
          </cell>
          <cell r="L399">
            <v>45915</v>
          </cell>
          <cell r="M399">
            <v>-5298</v>
          </cell>
          <cell r="N399">
            <v>94702</v>
          </cell>
        </row>
        <row r="400">
          <cell r="A400">
            <v>44382</v>
          </cell>
          <cell r="B400">
            <v>394</v>
          </cell>
          <cell r="C400" t="str">
            <v>IASWD2309016472</v>
          </cell>
          <cell r="D400">
            <v>45197</v>
          </cell>
          <cell r="E400">
            <v>45933</v>
          </cell>
          <cell r="F400" t="str">
            <v>44382</v>
          </cell>
          <cell r="G400" t="str">
            <v>廣越二</v>
          </cell>
          <cell r="H400">
            <v>500000</v>
          </cell>
          <cell r="I400">
            <v>3.25</v>
          </cell>
          <cell r="J400">
            <v>45933</v>
          </cell>
          <cell r="K400">
            <v>100</v>
          </cell>
          <cell r="L400">
            <v>45915</v>
          </cell>
          <cell r="M400">
            <v>-26490</v>
          </cell>
          <cell r="N400">
            <v>473510</v>
          </cell>
        </row>
        <row r="401">
          <cell r="A401">
            <v>27271</v>
          </cell>
          <cell r="B401">
            <v>395</v>
          </cell>
          <cell r="C401" t="str">
            <v>IASWD2310016477</v>
          </cell>
          <cell r="D401">
            <v>45201</v>
          </cell>
          <cell r="E401">
            <v>46111</v>
          </cell>
          <cell r="F401" t="str">
            <v>27271</v>
          </cell>
          <cell r="G401" t="str">
            <v>王品一</v>
          </cell>
          <cell r="H401">
            <v>100000</v>
          </cell>
          <cell r="I401">
            <v>3.25</v>
          </cell>
          <cell r="J401">
            <v>46110</v>
          </cell>
          <cell r="K401">
            <v>100.75190000000001</v>
          </cell>
          <cell r="L401">
            <v>46091</v>
          </cell>
          <cell r="M401">
            <v>-5262</v>
          </cell>
          <cell r="N401">
            <v>94738</v>
          </cell>
        </row>
        <row r="402">
          <cell r="A402">
            <v>44382</v>
          </cell>
          <cell r="B402">
            <v>396</v>
          </cell>
          <cell r="C402" t="str">
            <v>IASWD2310016479</v>
          </cell>
          <cell r="D402">
            <v>45201</v>
          </cell>
          <cell r="E402">
            <v>45933</v>
          </cell>
          <cell r="F402" t="str">
            <v>44382</v>
          </cell>
          <cell r="G402" t="str">
            <v>廣越二</v>
          </cell>
          <cell r="H402">
            <v>100000</v>
          </cell>
          <cell r="I402">
            <v>3.25</v>
          </cell>
          <cell r="J402">
            <v>45933</v>
          </cell>
          <cell r="K402">
            <v>100</v>
          </cell>
          <cell r="L402">
            <v>45915</v>
          </cell>
          <cell r="M402">
            <v>-5262</v>
          </cell>
          <cell r="N402">
            <v>94738</v>
          </cell>
        </row>
        <row r="403">
          <cell r="A403">
            <v>44382</v>
          </cell>
          <cell r="B403">
            <v>397</v>
          </cell>
          <cell r="C403" t="str">
            <v>IASWD2310016484</v>
          </cell>
          <cell r="D403">
            <v>45201</v>
          </cell>
          <cell r="E403">
            <v>45933</v>
          </cell>
          <cell r="F403" t="str">
            <v>44382</v>
          </cell>
          <cell r="G403" t="str">
            <v>廣越二</v>
          </cell>
          <cell r="H403">
            <v>100000</v>
          </cell>
          <cell r="I403">
            <v>3.25</v>
          </cell>
          <cell r="J403">
            <v>45933</v>
          </cell>
          <cell r="K403">
            <v>100</v>
          </cell>
          <cell r="L403">
            <v>45915</v>
          </cell>
          <cell r="M403">
            <v>-5262</v>
          </cell>
          <cell r="N403">
            <v>94738</v>
          </cell>
        </row>
        <row r="404">
          <cell r="A404">
            <v>44382</v>
          </cell>
          <cell r="B404">
            <v>398</v>
          </cell>
          <cell r="C404" t="str">
            <v>IASWD2310016506</v>
          </cell>
          <cell r="D404">
            <v>45202</v>
          </cell>
          <cell r="E404">
            <v>45933</v>
          </cell>
          <cell r="F404" t="str">
            <v>44382</v>
          </cell>
          <cell r="G404" t="str">
            <v>廣越二</v>
          </cell>
          <cell r="H404">
            <v>100000</v>
          </cell>
          <cell r="I404">
            <v>3.25</v>
          </cell>
          <cell r="J404">
            <v>45933</v>
          </cell>
          <cell r="K404">
            <v>100</v>
          </cell>
          <cell r="L404">
            <v>45915</v>
          </cell>
          <cell r="M404">
            <v>-5253</v>
          </cell>
          <cell r="N404">
            <v>94747</v>
          </cell>
        </row>
        <row r="405">
          <cell r="A405">
            <v>99211</v>
          </cell>
          <cell r="B405">
            <v>399</v>
          </cell>
          <cell r="C405" t="str">
            <v>IASWD2310016569</v>
          </cell>
          <cell r="D405">
            <v>45204</v>
          </cell>
          <cell r="E405">
            <v>45821</v>
          </cell>
          <cell r="F405" t="str">
            <v>99211</v>
          </cell>
          <cell r="G405" t="str">
            <v>巨大一</v>
          </cell>
          <cell r="H405">
            <v>700000</v>
          </cell>
          <cell r="I405">
            <v>3.5</v>
          </cell>
          <cell r="J405">
            <v>45821</v>
          </cell>
          <cell r="K405">
            <v>100</v>
          </cell>
          <cell r="L405">
            <v>45800</v>
          </cell>
          <cell r="M405">
            <v>-39468</v>
          </cell>
          <cell r="N405">
            <v>660532</v>
          </cell>
        </row>
        <row r="406">
          <cell r="A406">
            <v>99211</v>
          </cell>
          <cell r="B406">
            <v>400</v>
          </cell>
          <cell r="C406" t="str">
            <v>IASWD2310016577</v>
          </cell>
          <cell r="D406">
            <v>45204</v>
          </cell>
          <cell r="E406">
            <v>45821</v>
          </cell>
          <cell r="F406" t="str">
            <v>99211</v>
          </cell>
          <cell r="G406" t="str">
            <v>巨大一</v>
          </cell>
          <cell r="H406">
            <v>100000</v>
          </cell>
          <cell r="I406">
            <v>3.5</v>
          </cell>
          <cell r="J406">
            <v>45821</v>
          </cell>
          <cell r="K406">
            <v>100</v>
          </cell>
          <cell r="L406">
            <v>45800</v>
          </cell>
          <cell r="M406">
            <v>-5638</v>
          </cell>
          <cell r="N406">
            <v>94362</v>
          </cell>
        </row>
        <row r="407">
          <cell r="A407">
            <v>99211</v>
          </cell>
          <cell r="B407">
            <v>401</v>
          </cell>
          <cell r="C407" t="str">
            <v>IASWD2310016581</v>
          </cell>
          <cell r="D407">
            <v>45204</v>
          </cell>
          <cell r="E407">
            <v>45821</v>
          </cell>
          <cell r="F407" t="str">
            <v>99211</v>
          </cell>
          <cell r="G407" t="str">
            <v>巨大一</v>
          </cell>
          <cell r="H407">
            <v>200000</v>
          </cell>
          <cell r="I407">
            <v>3.5</v>
          </cell>
          <cell r="J407">
            <v>45821</v>
          </cell>
          <cell r="K407">
            <v>100</v>
          </cell>
          <cell r="L407">
            <v>45800</v>
          </cell>
          <cell r="M407">
            <v>-11277</v>
          </cell>
          <cell r="N407">
            <v>188723</v>
          </cell>
        </row>
        <row r="408">
          <cell r="A408">
            <v>99211</v>
          </cell>
          <cell r="B408">
            <v>402</v>
          </cell>
          <cell r="C408" t="str">
            <v>IASWD2310016582</v>
          </cell>
          <cell r="D408">
            <v>45204</v>
          </cell>
          <cell r="E408">
            <v>45821</v>
          </cell>
          <cell r="F408" t="str">
            <v>99211</v>
          </cell>
          <cell r="G408" t="str">
            <v>巨大一</v>
          </cell>
          <cell r="H408">
            <v>200000</v>
          </cell>
          <cell r="I408">
            <v>3.5</v>
          </cell>
          <cell r="J408">
            <v>45821</v>
          </cell>
          <cell r="K408">
            <v>100</v>
          </cell>
          <cell r="L408">
            <v>45800</v>
          </cell>
          <cell r="M408">
            <v>-11277</v>
          </cell>
          <cell r="N408">
            <v>188723</v>
          </cell>
        </row>
        <row r="409">
          <cell r="A409">
            <v>99211</v>
          </cell>
          <cell r="B409">
            <v>403</v>
          </cell>
          <cell r="C409" t="str">
            <v>IASWD2310016584</v>
          </cell>
          <cell r="D409">
            <v>45204</v>
          </cell>
          <cell r="E409">
            <v>45821</v>
          </cell>
          <cell r="F409" t="str">
            <v>99211</v>
          </cell>
          <cell r="G409" t="str">
            <v>巨大一</v>
          </cell>
          <cell r="H409">
            <v>100000</v>
          </cell>
          <cell r="I409">
            <v>3.5</v>
          </cell>
          <cell r="J409">
            <v>45821</v>
          </cell>
          <cell r="K409">
            <v>100</v>
          </cell>
          <cell r="L409">
            <v>45800</v>
          </cell>
          <cell r="M409">
            <v>-5638</v>
          </cell>
          <cell r="N409">
            <v>94362</v>
          </cell>
        </row>
        <row r="410">
          <cell r="A410">
            <v>44382</v>
          </cell>
          <cell r="B410">
            <v>404</v>
          </cell>
          <cell r="C410" t="str">
            <v>IASWD2310016596</v>
          </cell>
          <cell r="D410">
            <v>45205</v>
          </cell>
          <cell r="E410">
            <v>45933</v>
          </cell>
          <cell r="F410" t="str">
            <v>44382</v>
          </cell>
          <cell r="G410" t="str">
            <v>廣越二</v>
          </cell>
          <cell r="H410">
            <v>500000</v>
          </cell>
          <cell r="I410">
            <v>3.25</v>
          </cell>
          <cell r="J410">
            <v>45933</v>
          </cell>
          <cell r="K410">
            <v>100</v>
          </cell>
          <cell r="L410">
            <v>45915</v>
          </cell>
          <cell r="M410">
            <v>-26134</v>
          </cell>
          <cell r="N410">
            <v>473866</v>
          </cell>
        </row>
        <row r="411">
          <cell r="A411">
            <v>44382</v>
          </cell>
          <cell r="B411">
            <v>405</v>
          </cell>
          <cell r="C411" t="str">
            <v>IASWD2310016613</v>
          </cell>
          <cell r="D411">
            <v>45205</v>
          </cell>
          <cell r="E411">
            <v>45933</v>
          </cell>
          <cell r="F411" t="str">
            <v>44382</v>
          </cell>
          <cell r="G411" t="str">
            <v>廣越二</v>
          </cell>
          <cell r="H411">
            <v>400000</v>
          </cell>
          <cell r="I411">
            <v>3.25</v>
          </cell>
          <cell r="J411">
            <v>45933</v>
          </cell>
          <cell r="K411">
            <v>100</v>
          </cell>
          <cell r="L411">
            <v>45915</v>
          </cell>
          <cell r="M411">
            <v>-20907</v>
          </cell>
          <cell r="N411">
            <v>379093</v>
          </cell>
        </row>
        <row r="412">
          <cell r="A412">
            <v>15991</v>
          </cell>
          <cell r="B412">
            <v>406</v>
          </cell>
          <cell r="C412" t="str">
            <v>IASWD2310016619</v>
          </cell>
          <cell r="D412">
            <v>45205</v>
          </cell>
          <cell r="E412">
            <v>45979</v>
          </cell>
          <cell r="F412" t="str">
            <v>15991</v>
          </cell>
          <cell r="G412" t="str">
            <v>宏佳騰一</v>
          </cell>
          <cell r="H412">
            <v>100000</v>
          </cell>
          <cell r="I412">
            <v>2.15</v>
          </cell>
          <cell r="J412">
            <v>45979</v>
          </cell>
          <cell r="K412">
            <v>100</v>
          </cell>
          <cell r="L412">
            <v>45959</v>
          </cell>
          <cell r="M412">
            <v>-3458</v>
          </cell>
          <cell r="N412">
            <v>96542</v>
          </cell>
        </row>
        <row r="413">
          <cell r="A413">
            <v>44382</v>
          </cell>
          <cell r="B413">
            <v>407</v>
          </cell>
          <cell r="C413" t="str">
            <v>IASWD2310016621</v>
          </cell>
          <cell r="D413">
            <v>45205</v>
          </cell>
          <cell r="E413">
            <v>45933</v>
          </cell>
          <cell r="F413" t="str">
            <v>44382</v>
          </cell>
          <cell r="G413" t="str">
            <v>廣越二</v>
          </cell>
          <cell r="H413">
            <v>500000</v>
          </cell>
          <cell r="I413">
            <v>3.25</v>
          </cell>
          <cell r="J413">
            <v>45933</v>
          </cell>
          <cell r="K413">
            <v>100</v>
          </cell>
          <cell r="L413">
            <v>45915</v>
          </cell>
          <cell r="M413">
            <v>-26134</v>
          </cell>
          <cell r="N413">
            <v>473866</v>
          </cell>
        </row>
        <row r="414">
          <cell r="A414">
            <v>99211</v>
          </cell>
          <cell r="B414">
            <v>408</v>
          </cell>
          <cell r="C414" t="str">
            <v>IASWD2310016624</v>
          </cell>
          <cell r="D414">
            <v>45210</v>
          </cell>
          <cell r="E414">
            <v>45821</v>
          </cell>
          <cell r="F414" t="str">
            <v>99211</v>
          </cell>
          <cell r="G414" t="str">
            <v>巨大一</v>
          </cell>
          <cell r="H414">
            <v>200000</v>
          </cell>
          <cell r="I414">
            <v>3.5</v>
          </cell>
          <cell r="J414">
            <v>45821</v>
          </cell>
          <cell r="K414">
            <v>100</v>
          </cell>
          <cell r="L414">
            <v>45800</v>
          </cell>
          <cell r="M414">
            <v>-11162</v>
          </cell>
          <cell r="N414">
            <v>188838</v>
          </cell>
        </row>
        <row r="415">
          <cell r="A415">
            <v>44382</v>
          </cell>
          <cell r="B415">
            <v>409</v>
          </cell>
          <cell r="C415" t="str">
            <v>IASWD2310016626</v>
          </cell>
          <cell r="D415">
            <v>45210</v>
          </cell>
          <cell r="E415">
            <v>45933</v>
          </cell>
          <cell r="F415" t="str">
            <v>44382</v>
          </cell>
          <cell r="G415" t="str">
            <v>廣越二</v>
          </cell>
          <cell r="H415">
            <v>200000</v>
          </cell>
          <cell r="I415">
            <v>3.25</v>
          </cell>
          <cell r="J415">
            <v>45933</v>
          </cell>
          <cell r="K415">
            <v>100</v>
          </cell>
          <cell r="L415">
            <v>45915</v>
          </cell>
          <cell r="M415">
            <v>-10364</v>
          </cell>
          <cell r="N415">
            <v>189636</v>
          </cell>
        </row>
        <row r="416">
          <cell r="A416">
            <v>44382</v>
          </cell>
          <cell r="B416">
            <v>410</v>
          </cell>
          <cell r="C416" t="str">
            <v>IASWD2310016636</v>
          </cell>
          <cell r="D416">
            <v>45210</v>
          </cell>
          <cell r="E416">
            <v>45933</v>
          </cell>
          <cell r="F416" t="str">
            <v>44382</v>
          </cell>
          <cell r="G416" t="str">
            <v>廣越二</v>
          </cell>
          <cell r="H416">
            <v>400000</v>
          </cell>
          <cell r="I416">
            <v>3.25</v>
          </cell>
          <cell r="J416">
            <v>45933</v>
          </cell>
          <cell r="K416">
            <v>100</v>
          </cell>
          <cell r="L416">
            <v>45915</v>
          </cell>
          <cell r="M416">
            <v>-20729</v>
          </cell>
          <cell r="N416">
            <v>379271</v>
          </cell>
        </row>
        <row r="417">
          <cell r="A417">
            <v>99211</v>
          </cell>
          <cell r="B417">
            <v>411</v>
          </cell>
          <cell r="C417" t="str">
            <v>IASWD2310016649</v>
          </cell>
          <cell r="D417">
            <v>45210</v>
          </cell>
          <cell r="E417">
            <v>45821</v>
          </cell>
          <cell r="F417" t="str">
            <v>99211</v>
          </cell>
          <cell r="G417" t="str">
            <v>巨大一</v>
          </cell>
          <cell r="H417">
            <v>100000</v>
          </cell>
          <cell r="I417">
            <v>3.5</v>
          </cell>
          <cell r="J417">
            <v>45821</v>
          </cell>
          <cell r="K417">
            <v>100</v>
          </cell>
          <cell r="L417">
            <v>45800</v>
          </cell>
          <cell r="M417">
            <v>-5581</v>
          </cell>
          <cell r="N417">
            <v>94419</v>
          </cell>
        </row>
        <row r="418">
          <cell r="A418">
            <v>44382</v>
          </cell>
          <cell r="B418">
            <v>412</v>
          </cell>
          <cell r="C418" t="str">
            <v>IASWD2310016659</v>
          </cell>
          <cell r="D418">
            <v>45211</v>
          </cell>
          <cell r="E418">
            <v>45933</v>
          </cell>
          <cell r="F418" t="str">
            <v>44382</v>
          </cell>
          <cell r="G418" t="str">
            <v>廣越二</v>
          </cell>
          <cell r="H418">
            <v>100000</v>
          </cell>
          <cell r="I418">
            <v>3.25</v>
          </cell>
          <cell r="J418">
            <v>45933</v>
          </cell>
          <cell r="K418">
            <v>100</v>
          </cell>
          <cell r="L418">
            <v>45915</v>
          </cell>
          <cell r="M418">
            <v>-5173</v>
          </cell>
          <cell r="N418">
            <v>94827</v>
          </cell>
        </row>
        <row r="419">
          <cell r="A419">
            <v>99211</v>
          </cell>
          <cell r="B419">
            <v>413</v>
          </cell>
          <cell r="C419" t="str">
            <v>IASWD2310016660</v>
          </cell>
          <cell r="D419">
            <v>45211</v>
          </cell>
          <cell r="E419">
            <v>45821</v>
          </cell>
          <cell r="F419" t="str">
            <v>99211</v>
          </cell>
          <cell r="G419" t="str">
            <v>巨大一</v>
          </cell>
          <cell r="H419">
            <v>200000</v>
          </cell>
          <cell r="I419">
            <v>3.5</v>
          </cell>
          <cell r="J419">
            <v>45821</v>
          </cell>
          <cell r="K419">
            <v>100</v>
          </cell>
          <cell r="L419">
            <v>45800</v>
          </cell>
          <cell r="M419">
            <v>-11142</v>
          </cell>
          <cell r="N419">
            <v>188858</v>
          </cell>
        </row>
        <row r="420">
          <cell r="A420">
            <v>44382</v>
          </cell>
          <cell r="B420">
            <v>414</v>
          </cell>
          <cell r="C420" t="str">
            <v>IASWD2310016663</v>
          </cell>
          <cell r="D420">
            <v>45211</v>
          </cell>
          <cell r="E420">
            <v>45933</v>
          </cell>
          <cell r="F420" t="str">
            <v>44382</v>
          </cell>
          <cell r="G420" t="str">
            <v>廣越二</v>
          </cell>
          <cell r="H420">
            <v>300000</v>
          </cell>
          <cell r="I420">
            <v>3.25</v>
          </cell>
          <cell r="J420">
            <v>45933</v>
          </cell>
          <cell r="K420">
            <v>100</v>
          </cell>
          <cell r="L420">
            <v>45915</v>
          </cell>
          <cell r="M420">
            <v>-15520</v>
          </cell>
          <cell r="N420">
            <v>284480</v>
          </cell>
        </row>
        <row r="421">
          <cell r="A421">
            <v>44382</v>
          </cell>
          <cell r="B421">
            <v>415</v>
          </cell>
          <cell r="C421" t="str">
            <v>IASWD2310016664</v>
          </cell>
          <cell r="D421">
            <v>45211</v>
          </cell>
          <cell r="E421">
            <v>45933</v>
          </cell>
          <cell r="F421" t="str">
            <v>44382</v>
          </cell>
          <cell r="G421" t="str">
            <v>廣越二</v>
          </cell>
          <cell r="H421">
            <v>500000</v>
          </cell>
          <cell r="I421">
            <v>3.25</v>
          </cell>
          <cell r="J421">
            <v>45933</v>
          </cell>
          <cell r="K421">
            <v>100</v>
          </cell>
          <cell r="L421">
            <v>45915</v>
          </cell>
          <cell r="M421">
            <v>-25866</v>
          </cell>
          <cell r="N421">
            <v>474134</v>
          </cell>
        </row>
        <row r="422">
          <cell r="A422">
            <v>99211</v>
          </cell>
          <cell r="B422">
            <v>416</v>
          </cell>
          <cell r="C422" t="str">
            <v>IASWD2310016682</v>
          </cell>
          <cell r="D422">
            <v>45211</v>
          </cell>
          <cell r="E422">
            <v>45821</v>
          </cell>
          <cell r="F422" t="str">
            <v>99211</v>
          </cell>
          <cell r="G422" t="str">
            <v>巨大一</v>
          </cell>
          <cell r="H422">
            <v>500000</v>
          </cell>
          <cell r="I422">
            <v>3.5</v>
          </cell>
          <cell r="J422">
            <v>45821</v>
          </cell>
          <cell r="K422">
            <v>100</v>
          </cell>
          <cell r="L422">
            <v>45800</v>
          </cell>
          <cell r="M422">
            <v>-27856</v>
          </cell>
          <cell r="N422">
            <v>472144</v>
          </cell>
        </row>
        <row r="423">
          <cell r="A423">
            <v>44382</v>
          </cell>
          <cell r="B423">
            <v>417</v>
          </cell>
          <cell r="C423" t="str">
            <v>IASWD2310016692</v>
          </cell>
          <cell r="D423">
            <v>45212</v>
          </cell>
          <cell r="E423">
            <v>45933</v>
          </cell>
          <cell r="F423" t="str">
            <v>44382</v>
          </cell>
          <cell r="G423" t="str">
            <v>廣越二</v>
          </cell>
          <cell r="H423">
            <v>200000</v>
          </cell>
          <cell r="I423">
            <v>3.25</v>
          </cell>
          <cell r="J423">
            <v>45933</v>
          </cell>
          <cell r="K423">
            <v>100</v>
          </cell>
          <cell r="L423">
            <v>45915</v>
          </cell>
          <cell r="M423">
            <v>-10329</v>
          </cell>
          <cell r="N423">
            <v>189671</v>
          </cell>
        </row>
        <row r="424">
          <cell r="A424">
            <v>99211</v>
          </cell>
          <cell r="B424">
            <v>418</v>
          </cell>
          <cell r="C424" t="str">
            <v>IASWD2310016694</v>
          </cell>
          <cell r="D424">
            <v>45212</v>
          </cell>
          <cell r="E424">
            <v>45821</v>
          </cell>
          <cell r="F424" t="str">
            <v>99211</v>
          </cell>
          <cell r="G424" t="str">
            <v>巨大一</v>
          </cell>
          <cell r="H424">
            <v>100000</v>
          </cell>
          <cell r="I424">
            <v>3.5</v>
          </cell>
          <cell r="J424">
            <v>45821</v>
          </cell>
          <cell r="K424">
            <v>100</v>
          </cell>
          <cell r="L424">
            <v>45800</v>
          </cell>
          <cell r="M424">
            <v>-5562</v>
          </cell>
          <cell r="N424">
            <v>94438</v>
          </cell>
        </row>
        <row r="425">
          <cell r="A425">
            <v>15991</v>
          </cell>
          <cell r="B425">
            <v>419</v>
          </cell>
          <cell r="C425" t="str">
            <v>IASWD2310016697</v>
          </cell>
          <cell r="D425">
            <v>45212</v>
          </cell>
          <cell r="E425">
            <v>45979</v>
          </cell>
          <cell r="F425" t="str">
            <v>15991</v>
          </cell>
          <cell r="G425" t="str">
            <v>宏佳騰一</v>
          </cell>
          <cell r="H425">
            <v>100000</v>
          </cell>
          <cell r="I425">
            <v>2.15</v>
          </cell>
          <cell r="J425">
            <v>45979</v>
          </cell>
          <cell r="K425">
            <v>100</v>
          </cell>
          <cell r="L425">
            <v>45959</v>
          </cell>
          <cell r="M425">
            <v>-3416</v>
          </cell>
          <cell r="N425">
            <v>96584</v>
          </cell>
        </row>
        <row r="426">
          <cell r="A426">
            <v>27271</v>
          </cell>
          <cell r="B426">
            <v>420</v>
          </cell>
          <cell r="C426" t="str">
            <v>IASWD2310016703</v>
          </cell>
          <cell r="D426">
            <v>45212</v>
          </cell>
          <cell r="E426">
            <v>46111</v>
          </cell>
          <cell r="F426" t="str">
            <v>27271</v>
          </cell>
          <cell r="G426" t="str">
            <v>王品一</v>
          </cell>
          <cell r="H426">
            <v>500000</v>
          </cell>
          <cell r="I426">
            <v>3.25</v>
          </cell>
          <cell r="J426">
            <v>46110</v>
          </cell>
          <cell r="K426">
            <v>100.75190000000001</v>
          </cell>
          <cell r="L426">
            <v>46091</v>
          </cell>
          <cell r="M426">
            <v>-25822</v>
          </cell>
          <cell r="N426">
            <v>474178</v>
          </cell>
        </row>
        <row r="427">
          <cell r="A427">
            <v>99211</v>
          </cell>
          <cell r="B427">
            <v>421</v>
          </cell>
          <cell r="C427" t="str">
            <v>IASWD2310016713</v>
          </cell>
          <cell r="D427">
            <v>45212</v>
          </cell>
          <cell r="E427">
            <v>45821</v>
          </cell>
          <cell r="F427" t="str">
            <v>99211</v>
          </cell>
          <cell r="G427" t="str">
            <v>巨大一</v>
          </cell>
          <cell r="H427">
            <v>400000</v>
          </cell>
          <cell r="I427">
            <v>3.5</v>
          </cell>
          <cell r="J427">
            <v>45821</v>
          </cell>
          <cell r="K427">
            <v>100</v>
          </cell>
          <cell r="L427">
            <v>45800</v>
          </cell>
          <cell r="M427">
            <v>-22247</v>
          </cell>
          <cell r="N427">
            <v>377753</v>
          </cell>
        </row>
        <row r="428">
          <cell r="A428">
            <v>27271</v>
          </cell>
          <cell r="B428">
            <v>422</v>
          </cell>
          <cell r="C428" t="str">
            <v>IASWD2310016716</v>
          </cell>
          <cell r="D428">
            <v>45212</v>
          </cell>
          <cell r="E428">
            <v>46111</v>
          </cell>
          <cell r="F428" t="str">
            <v>27271</v>
          </cell>
          <cell r="G428" t="str">
            <v>王品一</v>
          </cell>
          <cell r="H428">
            <v>300000</v>
          </cell>
          <cell r="I428">
            <v>3.25</v>
          </cell>
          <cell r="J428">
            <v>46110</v>
          </cell>
          <cell r="K428">
            <v>100.75190000000001</v>
          </cell>
          <cell r="L428">
            <v>46091</v>
          </cell>
          <cell r="M428">
            <v>-15493</v>
          </cell>
          <cell r="N428">
            <v>284507</v>
          </cell>
        </row>
        <row r="429">
          <cell r="A429">
            <v>44382</v>
          </cell>
          <cell r="B429">
            <v>423</v>
          </cell>
          <cell r="C429" t="str">
            <v>IASWD2310016719</v>
          </cell>
          <cell r="D429">
            <v>45212</v>
          </cell>
          <cell r="E429">
            <v>45933</v>
          </cell>
          <cell r="F429" t="str">
            <v>44382</v>
          </cell>
          <cell r="G429" t="str">
            <v>廣越二</v>
          </cell>
          <cell r="H429">
            <v>300000</v>
          </cell>
          <cell r="I429">
            <v>3.25</v>
          </cell>
          <cell r="J429">
            <v>45933</v>
          </cell>
          <cell r="K429">
            <v>100</v>
          </cell>
          <cell r="L429">
            <v>45915</v>
          </cell>
          <cell r="M429">
            <v>-15493</v>
          </cell>
          <cell r="N429">
            <v>284507</v>
          </cell>
        </row>
        <row r="430">
          <cell r="A430">
            <v>99211</v>
          </cell>
          <cell r="B430">
            <v>424</v>
          </cell>
          <cell r="C430" t="str">
            <v>IASWD2310016722</v>
          </cell>
          <cell r="D430">
            <v>45212</v>
          </cell>
          <cell r="E430">
            <v>45821</v>
          </cell>
          <cell r="F430" t="str">
            <v>99211</v>
          </cell>
          <cell r="G430" t="str">
            <v>巨大一</v>
          </cell>
          <cell r="H430">
            <v>100000</v>
          </cell>
          <cell r="I430">
            <v>3.5</v>
          </cell>
          <cell r="J430">
            <v>45821</v>
          </cell>
          <cell r="K430">
            <v>100</v>
          </cell>
          <cell r="L430">
            <v>45800</v>
          </cell>
          <cell r="M430">
            <v>-5562</v>
          </cell>
          <cell r="N430">
            <v>94438</v>
          </cell>
        </row>
        <row r="431">
          <cell r="A431">
            <v>99211</v>
          </cell>
          <cell r="B431">
            <v>425</v>
          </cell>
          <cell r="C431" t="str">
            <v>IASWD2310016750</v>
          </cell>
          <cell r="D431">
            <v>45216</v>
          </cell>
          <cell r="E431">
            <v>45821</v>
          </cell>
          <cell r="F431" t="str">
            <v>99211</v>
          </cell>
          <cell r="G431" t="str">
            <v>巨大一</v>
          </cell>
          <cell r="H431">
            <v>100000</v>
          </cell>
          <cell r="I431">
            <v>3.5</v>
          </cell>
          <cell r="J431">
            <v>45821</v>
          </cell>
          <cell r="K431">
            <v>100</v>
          </cell>
          <cell r="L431">
            <v>45800</v>
          </cell>
          <cell r="M431">
            <v>-5523</v>
          </cell>
          <cell r="N431">
            <v>94477</v>
          </cell>
        </row>
        <row r="432">
          <cell r="A432">
            <v>44382</v>
          </cell>
          <cell r="B432">
            <v>426</v>
          </cell>
          <cell r="C432" t="str">
            <v>IASWD2310016761</v>
          </cell>
          <cell r="D432">
            <v>45216</v>
          </cell>
          <cell r="E432">
            <v>45933</v>
          </cell>
          <cell r="F432" t="str">
            <v>44382</v>
          </cell>
          <cell r="G432" t="str">
            <v>廣越二</v>
          </cell>
          <cell r="H432">
            <v>200000</v>
          </cell>
          <cell r="I432">
            <v>3.25</v>
          </cell>
          <cell r="J432">
            <v>45933</v>
          </cell>
          <cell r="K432">
            <v>100</v>
          </cell>
          <cell r="L432">
            <v>45915</v>
          </cell>
          <cell r="M432">
            <v>-10258</v>
          </cell>
          <cell r="N432">
            <v>189742</v>
          </cell>
        </row>
        <row r="433">
          <cell r="A433">
            <v>44382</v>
          </cell>
          <cell r="B433">
            <v>427</v>
          </cell>
          <cell r="C433" t="str">
            <v>IASWD2310016762</v>
          </cell>
          <cell r="D433">
            <v>45216</v>
          </cell>
          <cell r="E433">
            <v>45933</v>
          </cell>
          <cell r="F433" t="str">
            <v>44382</v>
          </cell>
          <cell r="G433" t="str">
            <v>廣越二</v>
          </cell>
          <cell r="H433">
            <v>100000</v>
          </cell>
          <cell r="I433">
            <v>3.25</v>
          </cell>
          <cell r="J433">
            <v>45933</v>
          </cell>
          <cell r="K433">
            <v>100</v>
          </cell>
          <cell r="L433">
            <v>45915</v>
          </cell>
          <cell r="M433">
            <v>-5129</v>
          </cell>
          <cell r="N433">
            <v>94871</v>
          </cell>
        </row>
        <row r="434">
          <cell r="A434">
            <v>44382</v>
          </cell>
          <cell r="B434">
            <v>428</v>
          </cell>
          <cell r="C434" t="str">
            <v>IASWD2310016766</v>
          </cell>
          <cell r="D434">
            <v>45216</v>
          </cell>
          <cell r="E434">
            <v>45933</v>
          </cell>
          <cell r="F434" t="str">
            <v>44382</v>
          </cell>
          <cell r="G434" t="str">
            <v>廣越二</v>
          </cell>
          <cell r="H434">
            <v>400000</v>
          </cell>
          <cell r="I434">
            <v>3.25</v>
          </cell>
          <cell r="J434">
            <v>45933</v>
          </cell>
          <cell r="K434">
            <v>100</v>
          </cell>
          <cell r="L434">
            <v>45915</v>
          </cell>
          <cell r="M434">
            <v>-20515</v>
          </cell>
          <cell r="N434">
            <v>379485</v>
          </cell>
        </row>
        <row r="435">
          <cell r="A435">
            <v>44382</v>
          </cell>
          <cell r="B435">
            <v>429</v>
          </cell>
          <cell r="C435" t="str">
            <v>IASWD2310016771</v>
          </cell>
          <cell r="D435">
            <v>45216</v>
          </cell>
          <cell r="E435">
            <v>45933</v>
          </cell>
          <cell r="F435" t="str">
            <v>44382</v>
          </cell>
          <cell r="G435" t="str">
            <v>廣越二</v>
          </cell>
          <cell r="H435">
            <v>100000</v>
          </cell>
          <cell r="I435">
            <v>3.25</v>
          </cell>
          <cell r="J435">
            <v>45933</v>
          </cell>
          <cell r="K435">
            <v>100</v>
          </cell>
          <cell r="L435">
            <v>45915</v>
          </cell>
          <cell r="M435">
            <v>-5129</v>
          </cell>
          <cell r="N435">
            <v>94871</v>
          </cell>
        </row>
        <row r="436">
          <cell r="A436">
            <v>44382</v>
          </cell>
          <cell r="B436">
            <v>430</v>
          </cell>
          <cell r="C436" t="str">
            <v>IASWD2310016778</v>
          </cell>
          <cell r="D436">
            <v>45216</v>
          </cell>
          <cell r="E436">
            <v>45933</v>
          </cell>
          <cell r="F436" t="str">
            <v>44382</v>
          </cell>
          <cell r="G436" t="str">
            <v>廣越二</v>
          </cell>
          <cell r="H436">
            <v>100000</v>
          </cell>
          <cell r="I436">
            <v>3.25</v>
          </cell>
          <cell r="J436">
            <v>45933</v>
          </cell>
          <cell r="K436">
            <v>100</v>
          </cell>
          <cell r="L436">
            <v>45915</v>
          </cell>
          <cell r="M436">
            <v>-5129</v>
          </cell>
          <cell r="N436">
            <v>94871</v>
          </cell>
        </row>
        <row r="437">
          <cell r="A437">
            <v>99211</v>
          </cell>
          <cell r="B437">
            <v>431</v>
          </cell>
          <cell r="C437" t="str">
            <v>IASWD2310016784</v>
          </cell>
          <cell r="D437">
            <v>45217</v>
          </cell>
          <cell r="E437">
            <v>45821</v>
          </cell>
          <cell r="F437" t="str">
            <v>99211</v>
          </cell>
          <cell r="G437" t="str">
            <v>巨大一</v>
          </cell>
          <cell r="H437">
            <v>200000</v>
          </cell>
          <cell r="I437">
            <v>3.5</v>
          </cell>
          <cell r="J437">
            <v>45821</v>
          </cell>
          <cell r="K437">
            <v>100</v>
          </cell>
          <cell r="L437">
            <v>45800</v>
          </cell>
          <cell r="M437">
            <v>-11027</v>
          </cell>
          <cell r="N437">
            <v>188973</v>
          </cell>
        </row>
        <row r="438">
          <cell r="A438">
            <v>99211</v>
          </cell>
          <cell r="B438">
            <v>432</v>
          </cell>
          <cell r="C438" t="str">
            <v>IASWD2310016790</v>
          </cell>
          <cell r="D438">
            <v>45217</v>
          </cell>
          <cell r="E438">
            <v>45821</v>
          </cell>
          <cell r="F438" t="str">
            <v>99211</v>
          </cell>
          <cell r="G438" t="str">
            <v>巨大一</v>
          </cell>
          <cell r="H438">
            <v>1000000</v>
          </cell>
          <cell r="I438">
            <v>3.5</v>
          </cell>
          <cell r="J438">
            <v>45821</v>
          </cell>
          <cell r="K438">
            <v>100</v>
          </cell>
          <cell r="L438">
            <v>45800</v>
          </cell>
          <cell r="M438">
            <v>-55137</v>
          </cell>
          <cell r="N438">
            <v>944863</v>
          </cell>
        </row>
        <row r="439">
          <cell r="A439">
            <v>99211</v>
          </cell>
          <cell r="B439">
            <v>433</v>
          </cell>
          <cell r="C439" t="str">
            <v>IASWD2310016804</v>
          </cell>
          <cell r="D439">
            <v>45217</v>
          </cell>
          <cell r="E439">
            <v>45821</v>
          </cell>
          <cell r="F439" t="str">
            <v>99211</v>
          </cell>
          <cell r="G439" t="str">
            <v>巨大一</v>
          </cell>
          <cell r="H439">
            <v>100000</v>
          </cell>
          <cell r="I439">
            <v>3.5</v>
          </cell>
          <cell r="J439">
            <v>45821</v>
          </cell>
          <cell r="K439">
            <v>100</v>
          </cell>
          <cell r="L439">
            <v>45800</v>
          </cell>
          <cell r="M439">
            <v>-5514</v>
          </cell>
          <cell r="N439">
            <v>94486</v>
          </cell>
        </row>
        <row r="440">
          <cell r="A440">
            <v>99211</v>
          </cell>
          <cell r="B440">
            <v>434</v>
          </cell>
          <cell r="C440" t="str">
            <v>IASWD2310016807</v>
          </cell>
          <cell r="D440">
            <v>45217</v>
          </cell>
          <cell r="E440">
            <v>45821</v>
          </cell>
          <cell r="F440" t="str">
            <v>99211</v>
          </cell>
          <cell r="G440" t="str">
            <v>巨大一</v>
          </cell>
          <cell r="H440">
            <v>100000</v>
          </cell>
          <cell r="I440">
            <v>3.5</v>
          </cell>
          <cell r="J440">
            <v>45821</v>
          </cell>
          <cell r="K440">
            <v>100</v>
          </cell>
          <cell r="L440">
            <v>45800</v>
          </cell>
          <cell r="M440">
            <v>-5514</v>
          </cell>
          <cell r="N440">
            <v>94486</v>
          </cell>
        </row>
        <row r="441">
          <cell r="A441">
            <v>44382</v>
          </cell>
          <cell r="B441">
            <v>435</v>
          </cell>
          <cell r="C441" t="str">
            <v>IASWD2310016814</v>
          </cell>
          <cell r="D441">
            <v>45218</v>
          </cell>
          <cell r="E441">
            <v>45933</v>
          </cell>
          <cell r="F441" t="str">
            <v>44382</v>
          </cell>
          <cell r="G441" t="str">
            <v>廣越二</v>
          </cell>
          <cell r="H441">
            <v>200000</v>
          </cell>
          <cell r="I441">
            <v>3.25</v>
          </cell>
          <cell r="J441">
            <v>45933</v>
          </cell>
          <cell r="K441">
            <v>100</v>
          </cell>
          <cell r="L441">
            <v>45915</v>
          </cell>
          <cell r="M441">
            <v>-10222</v>
          </cell>
          <cell r="N441">
            <v>189778</v>
          </cell>
        </row>
        <row r="442">
          <cell r="A442">
            <v>44382</v>
          </cell>
          <cell r="B442">
            <v>436</v>
          </cell>
          <cell r="C442" t="str">
            <v>IASWD2310016821</v>
          </cell>
          <cell r="D442">
            <v>45218</v>
          </cell>
          <cell r="E442">
            <v>45933</v>
          </cell>
          <cell r="F442" t="str">
            <v>44382</v>
          </cell>
          <cell r="G442" t="str">
            <v>廣越二</v>
          </cell>
          <cell r="H442">
            <v>1000000</v>
          </cell>
          <cell r="I442">
            <v>3.25</v>
          </cell>
          <cell r="J442">
            <v>45933</v>
          </cell>
          <cell r="K442">
            <v>100</v>
          </cell>
          <cell r="L442">
            <v>45915</v>
          </cell>
          <cell r="M442">
            <v>-51110</v>
          </cell>
          <cell r="N442">
            <v>948890</v>
          </cell>
        </row>
        <row r="443">
          <cell r="A443">
            <v>99211</v>
          </cell>
          <cell r="B443">
            <v>437</v>
          </cell>
          <cell r="C443" t="str">
            <v>IASWD2310016826</v>
          </cell>
          <cell r="D443">
            <v>45218</v>
          </cell>
          <cell r="E443">
            <v>45821</v>
          </cell>
          <cell r="F443" t="str">
            <v>99211</v>
          </cell>
          <cell r="G443" t="str">
            <v>巨大一</v>
          </cell>
          <cell r="H443">
            <v>500000</v>
          </cell>
          <cell r="I443">
            <v>3.5</v>
          </cell>
          <cell r="J443">
            <v>45821</v>
          </cell>
          <cell r="K443">
            <v>100</v>
          </cell>
          <cell r="L443">
            <v>45800</v>
          </cell>
          <cell r="M443">
            <v>-27521</v>
          </cell>
          <cell r="N443">
            <v>472479</v>
          </cell>
        </row>
        <row r="444">
          <cell r="A444">
            <v>99211</v>
          </cell>
          <cell r="B444">
            <v>438</v>
          </cell>
          <cell r="C444" t="str">
            <v>IASWD2310016830</v>
          </cell>
          <cell r="D444">
            <v>45218</v>
          </cell>
          <cell r="E444">
            <v>45821</v>
          </cell>
          <cell r="F444" t="str">
            <v>99211</v>
          </cell>
          <cell r="G444" t="str">
            <v>巨大一</v>
          </cell>
          <cell r="H444">
            <v>600000</v>
          </cell>
          <cell r="I444">
            <v>3.5</v>
          </cell>
          <cell r="J444">
            <v>45821</v>
          </cell>
          <cell r="K444">
            <v>100</v>
          </cell>
          <cell r="L444">
            <v>45800</v>
          </cell>
          <cell r="M444">
            <v>-33025</v>
          </cell>
          <cell r="N444">
            <v>566975</v>
          </cell>
        </row>
        <row r="445">
          <cell r="A445">
            <v>15991</v>
          </cell>
          <cell r="B445">
            <v>439</v>
          </cell>
          <cell r="C445" t="str">
            <v>IASWD2310016835</v>
          </cell>
          <cell r="D445">
            <v>45219</v>
          </cell>
          <cell r="E445">
            <v>45979</v>
          </cell>
          <cell r="F445" t="str">
            <v>15991</v>
          </cell>
          <cell r="G445" t="str">
            <v>宏佳騰一</v>
          </cell>
          <cell r="H445">
            <v>100000</v>
          </cell>
          <cell r="I445">
            <v>2.15</v>
          </cell>
          <cell r="J445">
            <v>45979</v>
          </cell>
          <cell r="K445">
            <v>100</v>
          </cell>
          <cell r="L445">
            <v>45959</v>
          </cell>
          <cell r="M445">
            <v>-3375</v>
          </cell>
          <cell r="N445">
            <v>96625</v>
          </cell>
        </row>
        <row r="446">
          <cell r="A446">
            <v>99211</v>
          </cell>
          <cell r="B446">
            <v>440</v>
          </cell>
          <cell r="C446" t="str">
            <v>IASWD2310016841</v>
          </cell>
          <cell r="D446">
            <v>45219</v>
          </cell>
          <cell r="E446">
            <v>45821</v>
          </cell>
          <cell r="F446" t="str">
            <v>99211</v>
          </cell>
          <cell r="G446" t="str">
            <v>巨大一</v>
          </cell>
          <cell r="H446">
            <v>100000</v>
          </cell>
          <cell r="I446">
            <v>3.5</v>
          </cell>
          <cell r="J446">
            <v>45821</v>
          </cell>
          <cell r="K446">
            <v>100</v>
          </cell>
          <cell r="L446">
            <v>45800</v>
          </cell>
          <cell r="M446">
            <v>-5495</v>
          </cell>
          <cell r="N446">
            <v>94505</v>
          </cell>
        </row>
        <row r="447">
          <cell r="A447">
            <v>27271</v>
          </cell>
          <cell r="B447">
            <v>441</v>
          </cell>
          <cell r="C447" t="str">
            <v>IASWD2310016844</v>
          </cell>
          <cell r="D447">
            <v>45219</v>
          </cell>
          <cell r="E447">
            <v>46110</v>
          </cell>
          <cell r="F447" t="str">
            <v>27271</v>
          </cell>
          <cell r="G447" t="str">
            <v>王品一</v>
          </cell>
          <cell r="H447">
            <v>600000</v>
          </cell>
          <cell r="I447">
            <v>3.25</v>
          </cell>
          <cell r="J447">
            <v>46110</v>
          </cell>
          <cell r="K447">
            <v>100.75190000000001</v>
          </cell>
          <cell r="L447">
            <v>46091</v>
          </cell>
          <cell r="M447">
            <v>-30612</v>
          </cell>
          <cell r="N447">
            <v>569388</v>
          </cell>
        </row>
        <row r="448">
          <cell r="A448">
            <v>99211</v>
          </cell>
          <cell r="B448">
            <v>442</v>
          </cell>
          <cell r="C448" t="str">
            <v>IASWD2310016846</v>
          </cell>
          <cell r="D448">
            <v>45219</v>
          </cell>
          <cell r="E448">
            <v>45821</v>
          </cell>
          <cell r="F448" t="str">
            <v>99211</v>
          </cell>
          <cell r="G448" t="str">
            <v>巨大一</v>
          </cell>
          <cell r="H448">
            <v>100000</v>
          </cell>
          <cell r="I448">
            <v>3.5</v>
          </cell>
          <cell r="J448">
            <v>45821</v>
          </cell>
          <cell r="K448">
            <v>100</v>
          </cell>
          <cell r="L448">
            <v>45800</v>
          </cell>
          <cell r="M448">
            <v>-5495</v>
          </cell>
          <cell r="N448">
            <v>94505</v>
          </cell>
        </row>
        <row r="449">
          <cell r="A449">
            <v>99211</v>
          </cell>
          <cell r="B449">
            <v>443</v>
          </cell>
          <cell r="C449" t="str">
            <v>IASWD2310016847</v>
          </cell>
          <cell r="D449">
            <v>45219</v>
          </cell>
          <cell r="E449">
            <v>45821</v>
          </cell>
          <cell r="F449" t="str">
            <v>99211</v>
          </cell>
          <cell r="G449" t="str">
            <v>巨大一</v>
          </cell>
          <cell r="H449">
            <v>100000</v>
          </cell>
          <cell r="I449">
            <v>3.5</v>
          </cell>
          <cell r="J449">
            <v>45821</v>
          </cell>
          <cell r="K449">
            <v>100</v>
          </cell>
          <cell r="L449">
            <v>45800</v>
          </cell>
          <cell r="M449">
            <v>-5495</v>
          </cell>
          <cell r="N449">
            <v>94505</v>
          </cell>
        </row>
        <row r="450">
          <cell r="A450">
            <v>44382</v>
          </cell>
          <cell r="B450">
            <v>444</v>
          </cell>
          <cell r="C450" t="str">
            <v>IASWD2310016849</v>
          </cell>
          <cell r="D450">
            <v>45219</v>
          </cell>
          <cell r="E450">
            <v>45933</v>
          </cell>
          <cell r="F450" t="str">
            <v>44382</v>
          </cell>
          <cell r="G450" t="str">
            <v>廣越二</v>
          </cell>
          <cell r="H450">
            <v>300000</v>
          </cell>
          <cell r="I450">
            <v>3.25</v>
          </cell>
          <cell r="J450">
            <v>45933</v>
          </cell>
          <cell r="K450">
            <v>100</v>
          </cell>
          <cell r="L450">
            <v>45915</v>
          </cell>
          <cell r="M450">
            <v>-15306</v>
          </cell>
          <cell r="N450">
            <v>284694</v>
          </cell>
        </row>
        <row r="451">
          <cell r="A451">
            <v>44382</v>
          </cell>
          <cell r="B451">
            <v>445</v>
          </cell>
          <cell r="C451" t="str">
            <v>IASWD2310016879</v>
          </cell>
          <cell r="D451">
            <v>45223</v>
          </cell>
          <cell r="E451">
            <v>45933</v>
          </cell>
          <cell r="F451" t="str">
            <v>44382</v>
          </cell>
          <cell r="G451" t="str">
            <v>廣越二</v>
          </cell>
          <cell r="H451">
            <v>100000</v>
          </cell>
          <cell r="I451">
            <v>3.25</v>
          </cell>
          <cell r="J451">
            <v>45933</v>
          </cell>
          <cell r="K451">
            <v>100</v>
          </cell>
          <cell r="L451">
            <v>45915</v>
          </cell>
          <cell r="M451">
            <v>-5066</v>
          </cell>
          <cell r="N451">
            <v>94934</v>
          </cell>
        </row>
        <row r="452">
          <cell r="A452">
            <v>14362</v>
          </cell>
          <cell r="B452">
            <v>446</v>
          </cell>
          <cell r="C452" t="str">
            <v>IASWD2310016880</v>
          </cell>
          <cell r="D452">
            <v>45223</v>
          </cell>
          <cell r="E452">
            <v>45992</v>
          </cell>
          <cell r="F452" t="str">
            <v>14362</v>
          </cell>
          <cell r="G452" t="str">
            <v>華友聯二</v>
          </cell>
          <cell r="H452">
            <v>100000</v>
          </cell>
          <cell r="I452">
            <v>2.1</v>
          </cell>
          <cell r="J452">
            <v>45992</v>
          </cell>
          <cell r="K452">
            <v>100</v>
          </cell>
          <cell r="L452">
            <v>45972</v>
          </cell>
          <cell r="M452">
            <v>-3274</v>
          </cell>
          <cell r="N452">
            <v>96726</v>
          </cell>
        </row>
        <row r="453">
          <cell r="A453">
            <v>44382</v>
          </cell>
          <cell r="B453">
            <v>447</v>
          </cell>
          <cell r="C453" t="str">
            <v>IASWD2310016889</v>
          </cell>
          <cell r="D453">
            <v>45223</v>
          </cell>
          <cell r="E453">
            <v>45933</v>
          </cell>
          <cell r="F453" t="str">
            <v>44382</v>
          </cell>
          <cell r="G453" t="str">
            <v>廣越二</v>
          </cell>
          <cell r="H453">
            <v>200000</v>
          </cell>
          <cell r="I453">
            <v>3.25</v>
          </cell>
          <cell r="J453">
            <v>45933</v>
          </cell>
          <cell r="K453">
            <v>100</v>
          </cell>
          <cell r="L453">
            <v>45915</v>
          </cell>
          <cell r="M453">
            <v>-10133</v>
          </cell>
          <cell r="N453">
            <v>189867</v>
          </cell>
        </row>
        <row r="454">
          <cell r="A454">
            <v>22313</v>
          </cell>
          <cell r="B454">
            <v>448</v>
          </cell>
          <cell r="C454" t="str">
            <v>IASWD2310016921</v>
          </cell>
          <cell r="D454">
            <v>45224</v>
          </cell>
          <cell r="E454">
            <v>45898</v>
          </cell>
          <cell r="F454" t="str">
            <v>22313</v>
          </cell>
          <cell r="G454" t="str">
            <v>為升三</v>
          </cell>
          <cell r="H454">
            <v>100000</v>
          </cell>
          <cell r="I454">
            <v>4</v>
          </cell>
          <cell r="J454">
            <v>45898</v>
          </cell>
          <cell r="K454">
            <v>101.50749999999999</v>
          </cell>
          <cell r="L454">
            <v>45880</v>
          </cell>
          <cell r="M454">
            <v>-6225</v>
          </cell>
          <cell r="N454">
            <v>93775</v>
          </cell>
        </row>
        <row r="455">
          <cell r="A455">
            <v>14362</v>
          </cell>
          <cell r="B455">
            <v>449</v>
          </cell>
          <cell r="C455" t="str">
            <v>IASWD2310016922</v>
          </cell>
          <cell r="D455">
            <v>45224</v>
          </cell>
          <cell r="E455">
            <v>45992</v>
          </cell>
          <cell r="F455" t="str">
            <v>14362</v>
          </cell>
          <cell r="G455" t="str">
            <v>華友聯二</v>
          </cell>
          <cell r="H455">
            <v>100000</v>
          </cell>
          <cell r="I455">
            <v>2.1</v>
          </cell>
          <cell r="J455">
            <v>45992</v>
          </cell>
          <cell r="K455">
            <v>100</v>
          </cell>
          <cell r="L455">
            <v>45972</v>
          </cell>
          <cell r="M455">
            <v>-3268</v>
          </cell>
          <cell r="N455">
            <v>96732</v>
          </cell>
        </row>
        <row r="456">
          <cell r="A456">
            <v>44382</v>
          </cell>
          <cell r="B456">
            <v>450</v>
          </cell>
          <cell r="C456" t="str">
            <v>IASWD2310016944</v>
          </cell>
          <cell r="D456">
            <v>45224</v>
          </cell>
          <cell r="E456">
            <v>45933</v>
          </cell>
          <cell r="F456" t="str">
            <v>44382</v>
          </cell>
          <cell r="G456" t="str">
            <v>廣越二</v>
          </cell>
          <cell r="H456">
            <v>100000</v>
          </cell>
          <cell r="I456">
            <v>3.25</v>
          </cell>
          <cell r="J456">
            <v>45933</v>
          </cell>
          <cell r="K456">
            <v>100</v>
          </cell>
          <cell r="L456">
            <v>45915</v>
          </cell>
          <cell r="M456">
            <v>-5058</v>
          </cell>
          <cell r="N456">
            <v>94942</v>
          </cell>
        </row>
        <row r="457">
          <cell r="A457">
            <v>22313</v>
          </cell>
          <cell r="B457">
            <v>451</v>
          </cell>
          <cell r="C457" t="str">
            <v>IASWD2310016978</v>
          </cell>
          <cell r="D457">
            <v>45226</v>
          </cell>
          <cell r="E457">
            <v>45898</v>
          </cell>
          <cell r="F457" t="str">
            <v>22313</v>
          </cell>
          <cell r="G457" t="str">
            <v>為升三</v>
          </cell>
          <cell r="H457">
            <v>200000</v>
          </cell>
          <cell r="I457">
            <v>3.75</v>
          </cell>
          <cell r="J457">
            <v>45898</v>
          </cell>
          <cell r="K457">
            <v>101.50749999999999</v>
          </cell>
          <cell r="L457">
            <v>45880</v>
          </cell>
          <cell r="M457">
            <v>-11630</v>
          </cell>
          <cell r="N457">
            <v>188370</v>
          </cell>
        </row>
        <row r="458">
          <cell r="A458">
            <v>15991</v>
          </cell>
          <cell r="B458">
            <v>452</v>
          </cell>
          <cell r="C458" t="str">
            <v>IASWD2310016981</v>
          </cell>
          <cell r="D458">
            <v>45226</v>
          </cell>
          <cell r="E458">
            <v>45979</v>
          </cell>
          <cell r="F458" t="str">
            <v>15991</v>
          </cell>
          <cell r="G458" t="str">
            <v>宏佳騰一</v>
          </cell>
          <cell r="H458">
            <v>100000</v>
          </cell>
          <cell r="I458">
            <v>2.15</v>
          </cell>
          <cell r="J458">
            <v>45979</v>
          </cell>
          <cell r="K458">
            <v>100</v>
          </cell>
          <cell r="L458">
            <v>45959</v>
          </cell>
          <cell r="M458">
            <v>-3334</v>
          </cell>
          <cell r="N458">
            <v>96666</v>
          </cell>
        </row>
        <row r="459">
          <cell r="A459">
            <v>99211</v>
          </cell>
          <cell r="B459">
            <v>453</v>
          </cell>
          <cell r="C459" t="str">
            <v>IASWD2310016983</v>
          </cell>
          <cell r="D459">
            <v>45226</v>
          </cell>
          <cell r="E459">
            <v>45821</v>
          </cell>
          <cell r="F459" t="str">
            <v>99211</v>
          </cell>
          <cell r="G459" t="str">
            <v>巨大一</v>
          </cell>
          <cell r="H459">
            <v>100000</v>
          </cell>
          <cell r="I459">
            <v>3</v>
          </cell>
          <cell r="J459">
            <v>45821</v>
          </cell>
          <cell r="K459">
            <v>100</v>
          </cell>
          <cell r="L459">
            <v>45800</v>
          </cell>
          <cell r="M459">
            <v>-4652</v>
          </cell>
          <cell r="N459">
            <v>95348</v>
          </cell>
        </row>
        <row r="460">
          <cell r="A460">
            <v>99211</v>
          </cell>
          <cell r="B460">
            <v>454</v>
          </cell>
          <cell r="C460" t="str">
            <v>IASWD2310016989</v>
          </cell>
          <cell r="D460">
            <v>45229</v>
          </cell>
          <cell r="E460">
            <v>45821</v>
          </cell>
          <cell r="F460" t="str">
            <v>99211</v>
          </cell>
          <cell r="G460" t="str">
            <v>巨大一</v>
          </cell>
          <cell r="H460">
            <v>100000</v>
          </cell>
          <cell r="I460">
            <v>3</v>
          </cell>
          <cell r="J460">
            <v>45821</v>
          </cell>
          <cell r="K460">
            <v>100</v>
          </cell>
          <cell r="L460">
            <v>45800</v>
          </cell>
          <cell r="M460">
            <v>-4627</v>
          </cell>
          <cell r="N460">
            <v>95373</v>
          </cell>
        </row>
        <row r="461">
          <cell r="A461">
            <v>99211</v>
          </cell>
          <cell r="B461">
            <v>455</v>
          </cell>
          <cell r="C461" t="str">
            <v>IASWD2310016991</v>
          </cell>
          <cell r="D461">
            <v>45230</v>
          </cell>
          <cell r="E461">
            <v>45821</v>
          </cell>
          <cell r="F461" t="str">
            <v>99211</v>
          </cell>
          <cell r="G461" t="str">
            <v>巨大一</v>
          </cell>
          <cell r="H461">
            <v>100000</v>
          </cell>
          <cell r="I461">
            <v>3</v>
          </cell>
          <cell r="J461">
            <v>45821</v>
          </cell>
          <cell r="K461">
            <v>100</v>
          </cell>
          <cell r="L461">
            <v>45800</v>
          </cell>
          <cell r="M461">
            <v>-4619</v>
          </cell>
          <cell r="N461">
            <v>95381</v>
          </cell>
        </row>
        <row r="462">
          <cell r="A462">
            <v>99211</v>
          </cell>
          <cell r="B462">
            <v>456</v>
          </cell>
          <cell r="C462" t="str">
            <v>IASWD2310016995</v>
          </cell>
          <cell r="D462">
            <v>45230</v>
          </cell>
          <cell r="E462">
            <v>45821</v>
          </cell>
          <cell r="F462" t="str">
            <v>99211</v>
          </cell>
          <cell r="G462" t="str">
            <v>巨大一</v>
          </cell>
          <cell r="H462">
            <v>400000</v>
          </cell>
          <cell r="I462">
            <v>3</v>
          </cell>
          <cell r="J462">
            <v>45821</v>
          </cell>
          <cell r="K462">
            <v>100</v>
          </cell>
          <cell r="L462">
            <v>45800</v>
          </cell>
          <cell r="M462">
            <v>-18477</v>
          </cell>
          <cell r="N462">
            <v>381523</v>
          </cell>
        </row>
        <row r="463">
          <cell r="A463">
            <v>99211</v>
          </cell>
          <cell r="B463">
            <v>457</v>
          </cell>
          <cell r="C463" t="str">
            <v>IASWD2310017002</v>
          </cell>
          <cell r="D463">
            <v>45230</v>
          </cell>
          <cell r="E463">
            <v>45821</v>
          </cell>
          <cell r="F463" t="str">
            <v>99211</v>
          </cell>
          <cell r="G463" t="str">
            <v>巨大一</v>
          </cell>
          <cell r="H463">
            <v>100000</v>
          </cell>
          <cell r="I463">
            <v>3</v>
          </cell>
          <cell r="J463">
            <v>45821</v>
          </cell>
          <cell r="K463">
            <v>100</v>
          </cell>
          <cell r="L463">
            <v>45800</v>
          </cell>
          <cell r="M463">
            <v>-4619</v>
          </cell>
          <cell r="N463">
            <v>95381</v>
          </cell>
        </row>
        <row r="464">
          <cell r="A464">
            <v>99211</v>
          </cell>
          <cell r="B464">
            <v>458</v>
          </cell>
          <cell r="C464" t="str">
            <v>IASWD2310017006</v>
          </cell>
          <cell r="D464">
            <v>45230</v>
          </cell>
          <cell r="E464">
            <v>45821</v>
          </cell>
          <cell r="F464" t="str">
            <v>99211</v>
          </cell>
          <cell r="G464" t="str">
            <v>巨大一</v>
          </cell>
          <cell r="H464">
            <v>300000</v>
          </cell>
          <cell r="I464">
            <v>3</v>
          </cell>
          <cell r="J464">
            <v>45821</v>
          </cell>
          <cell r="K464">
            <v>100</v>
          </cell>
          <cell r="L464">
            <v>45800</v>
          </cell>
          <cell r="M464">
            <v>-13858</v>
          </cell>
          <cell r="N464">
            <v>286142</v>
          </cell>
        </row>
        <row r="465">
          <cell r="A465">
            <v>99211</v>
          </cell>
          <cell r="B465">
            <v>459</v>
          </cell>
          <cell r="C465" t="str">
            <v>IASWD2311017014</v>
          </cell>
          <cell r="D465">
            <v>45231</v>
          </cell>
          <cell r="E465">
            <v>45821</v>
          </cell>
          <cell r="F465" t="str">
            <v>99211</v>
          </cell>
          <cell r="G465" t="str">
            <v>巨大一</v>
          </cell>
          <cell r="H465">
            <v>200000</v>
          </cell>
          <cell r="I465">
            <v>3</v>
          </cell>
          <cell r="J465">
            <v>45821</v>
          </cell>
          <cell r="K465">
            <v>100</v>
          </cell>
          <cell r="L465">
            <v>45800</v>
          </cell>
          <cell r="M465">
            <v>-9222</v>
          </cell>
          <cell r="N465">
            <v>190778</v>
          </cell>
        </row>
        <row r="466">
          <cell r="A466">
            <v>15991</v>
          </cell>
          <cell r="B466">
            <v>460</v>
          </cell>
          <cell r="C466" t="str">
            <v>IASWD2311017018</v>
          </cell>
          <cell r="D466">
            <v>45231</v>
          </cell>
          <cell r="E466">
            <v>45979</v>
          </cell>
          <cell r="F466" t="str">
            <v>15991</v>
          </cell>
          <cell r="G466" t="str">
            <v>宏佳騰一</v>
          </cell>
          <cell r="H466">
            <v>100000</v>
          </cell>
          <cell r="I466">
            <v>2.15</v>
          </cell>
          <cell r="J466">
            <v>45979</v>
          </cell>
          <cell r="K466">
            <v>100</v>
          </cell>
          <cell r="L466">
            <v>45959</v>
          </cell>
          <cell r="M466">
            <v>-3305</v>
          </cell>
          <cell r="N466">
            <v>96695</v>
          </cell>
        </row>
        <row r="467">
          <cell r="A467">
            <v>99211</v>
          </cell>
          <cell r="B467">
            <v>461</v>
          </cell>
          <cell r="C467" t="str">
            <v>IASWD2311017022</v>
          </cell>
          <cell r="D467">
            <v>45232</v>
          </cell>
          <cell r="E467">
            <v>45821</v>
          </cell>
          <cell r="F467" t="str">
            <v>99211</v>
          </cell>
          <cell r="G467" t="str">
            <v>巨大一</v>
          </cell>
          <cell r="H467">
            <v>100000</v>
          </cell>
          <cell r="I467">
            <v>3</v>
          </cell>
          <cell r="J467">
            <v>45821</v>
          </cell>
          <cell r="K467">
            <v>100</v>
          </cell>
          <cell r="L467">
            <v>45800</v>
          </cell>
          <cell r="M467">
            <v>-4603</v>
          </cell>
          <cell r="N467">
            <v>95397</v>
          </cell>
        </row>
        <row r="468">
          <cell r="A468">
            <v>15991</v>
          </cell>
          <cell r="B468">
            <v>462</v>
          </cell>
          <cell r="C468" t="str">
            <v>IASWD2311017023</v>
          </cell>
          <cell r="D468">
            <v>45232</v>
          </cell>
          <cell r="E468">
            <v>45979</v>
          </cell>
          <cell r="F468" t="str">
            <v>15991</v>
          </cell>
          <cell r="G468" t="str">
            <v>宏佳騰一</v>
          </cell>
          <cell r="H468">
            <v>200000</v>
          </cell>
          <cell r="I468">
            <v>2.15</v>
          </cell>
          <cell r="J468">
            <v>45979</v>
          </cell>
          <cell r="K468">
            <v>100</v>
          </cell>
          <cell r="L468">
            <v>45959</v>
          </cell>
          <cell r="M468">
            <v>-6597</v>
          </cell>
          <cell r="N468">
            <v>193403</v>
          </cell>
        </row>
        <row r="469">
          <cell r="A469">
            <v>99211</v>
          </cell>
          <cell r="B469">
            <v>463</v>
          </cell>
          <cell r="C469" t="str">
            <v>IASWD2311017028</v>
          </cell>
          <cell r="D469">
            <v>45233</v>
          </cell>
          <cell r="E469">
            <v>45821</v>
          </cell>
          <cell r="F469" t="str">
            <v>99211</v>
          </cell>
          <cell r="G469" t="str">
            <v>巨大一</v>
          </cell>
          <cell r="H469">
            <v>2000000</v>
          </cell>
          <cell r="I469">
            <v>3</v>
          </cell>
          <cell r="J469">
            <v>45821</v>
          </cell>
          <cell r="K469">
            <v>100</v>
          </cell>
          <cell r="L469">
            <v>45800</v>
          </cell>
          <cell r="M469">
            <v>-91890</v>
          </cell>
          <cell r="N469">
            <v>1908110</v>
          </cell>
        </row>
        <row r="470">
          <cell r="A470">
            <v>99211</v>
          </cell>
          <cell r="B470">
            <v>464</v>
          </cell>
          <cell r="C470" t="str">
            <v>IASWD2311017030</v>
          </cell>
          <cell r="D470">
            <v>45233</v>
          </cell>
          <cell r="E470">
            <v>45821</v>
          </cell>
          <cell r="F470" t="str">
            <v>99211</v>
          </cell>
          <cell r="G470" t="str">
            <v>巨大一</v>
          </cell>
          <cell r="H470">
            <v>200000</v>
          </cell>
          <cell r="I470">
            <v>3</v>
          </cell>
          <cell r="J470">
            <v>45821</v>
          </cell>
          <cell r="K470">
            <v>100</v>
          </cell>
          <cell r="L470">
            <v>45800</v>
          </cell>
          <cell r="M470">
            <v>-9189</v>
          </cell>
          <cell r="N470">
            <v>190811</v>
          </cell>
        </row>
        <row r="471">
          <cell r="A471">
            <v>99211</v>
          </cell>
          <cell r="B471">
            <v>465</v>
          </cell>
          <cell r="C471" t="str">
            <v>IASWD2311017031</v>
          </cell>
          <cell r="D471">
            <v>45233</v>
          </cell>
          <cell r="E471">
            <v>45821</v>
          </cell>
          <cell r="F471" t="str">
            <v>99211</v>
          </cell>
          <cell r="G471" t="str">
            <v>巨大一</v>
          </cell>
          <cell r="H471">
            <v>100000</v>
          </cell>
          <cell r="I471">
            <v>3</v>
          </cell>
          <cell r="J471">
            <v>45821</v>
          </cell>
          <cell r="K471">
            <v>100</v>
          </cell>
          <cell r="L471">
            <v>45800</v>
          </cell>
          <cell r="M471">
            <v>-4595</v>
          </cell>
          <cell r="N471">
            <v>95405</v>
          </cell>
        </row>
        <row r="472">
          <cell r="A472">
            <v>22313</v>
          </cell>
          <cell r="B472">
            <v>466</v>
          </cell>
          <cell r="C472" t="str">
            <v>IASWD2311017032</v>
          </cell>
          <cell r="D472">
            <v>45233</v>
          </cell>
          <cell r="E472">
            <v>45898</v>
          </cell>
          <cell r="F472" t="str">
            <v>22313</v>
          </cell>
          <cell r="G472" t="str">
            <v>為升三</v>
          </cell>
          <cell r="H472">
            <v>100000</v>
          </cell>
          <cell r="I472">
            <v>3.75</v>
          </cell>
          <cell r="J472">
            <v>45898</v>
          </cell>
          <cell r="K472">
            <v>101.50749999999999</v>
          </cell>
          <cell r="L472">
            <v>45880</v>
          </cell>
          <cell r="M472">
            <v>-5743</v>
          </cell>
          <cell r="N472">
            <v>94257</v>
          </cell>
        </row>
        <row r="473">
          <cell r="A473">
            <v>99211</v>
          </cell>
          <cell r="B473">
            <v>467</v>
          </cell>
          <cell r="C473" t="str">
            <v>IASWD2311017033</v>
          </cell>
          <cell r="D473">
            <v>45233</v>
          </cell>
          <cell r="E473">
            <v>45821</v>
          </cell>
          <cell r="F473" t="str">
            <v>99211</v>
          </cell>
          <cell r="G473" t="str">
            <v>巨大一</v>
          </cell>
          <cell r="H473">
            <v>300000</v>
          </cell>
          <cell r="I473">
            <v>3</v>
          </cell>
          <cell r="J473">
            <v>45821</v>
          </cell>
          <cell r="K473">
            <v>100</v>
          </cell>
          <cell r="L473">
            <v>45800</v>
          </cell>
          <cell r="M473">
            <v>-13784</v>
          </cell>
          <cell r="N473">
            <v>286216</v>
          </cell>
        </row>
        <row r="474">
          <cell r="A474">
            <v>99211</v>
          </cell>
          <cell r="B474">
            <v>468</v>
          </cell>
          <cell r="C474" t="str">
            <v>IASWD2311017034</v>
          </cell>
          <cell r="D474">
            <v>45233</v>
          </cell>
          <cell r="E474">
            <v>45821</v>
          </cell>
          <cell r="F474" t="str">
            <v>99211</v>
          </cell>
          <cell r="G474" t="str">
            <v>巨大一</v>
          </cell>
          <cell r="H474">
            <v>200000</v>
          </cell>
          <cell r="I474">
            <v>3</v>
          </cell>
          <cell r="J474">
            <v>45821</v>
          </cell>
          <cell r="K474">
            <v>100</v>
          </cell>
          <cell r="L474">
            <v>45800</v>
          </cell>
          <cell r="M474">
            <v>-9189</v>
          </cell>
          <cell r="N474">
            <v>190811</v>
          </cell>
        </row>
        <row r="475">
          <cell r="A475">
            <v>99211</v>
          </cell>
          <cell r="B475">
            <v>469</v>
          </cell>
          <cell r="C475" t="str">
            <v>IASWD2311017036</v>
          </cell>
          <cell r="D475">
            <v>45233</v>
          </cell>
          <cell r="E475">
            <v>45821</v>
          </cell>
          <cell r="F475" t="str">
            <v>99211</v>
          </cell>
          <cell r="G475" t="str">
            <v>巨大一</v>
          </cell>
          <cell r="H475">
            <v>100000</v>
          </cell>
          <cell r="I475">
            <v>3</v>
          </cell>
          <cell r="J475">
            <v>45821</v>
          </cell>
          <cell r="K475">
            <v>100</v>
          </cell>
          <cell r="L475">
            <v>45800</v>
          </cell>
          <cell r="M475">
            <v>-4595</v>
          </cell>
          <cell r="N475">
            <v>95405</v>
          </cell>
        </row>
        <row r="476">
          <cell r="A476">
            <v>22313</v>
          </cell>
          <cell r="B476">
            <v>470</v>
          </cell>
          <cell r="C476" t="str">
            <v>IASWD2311017038</v>
          </cell>
          <cell r="D476">
            <v>45233</v>
          </cell>
          <cell r="E476">
            <v>45898</v>
          </cell>
          <cell r="F476" t="str">
            <v>22313</v>
          </cell>
          <cell r="G476" t="str">
            <v>為升三</v>
          </cell>
          <cell r="H476">
            <v>100000</v>
          </cell>
          <cell r="I476">
            <v>3.75</v>
          </cell>
          <cell r="J476">
            <v>45898</v>
          </cell>
          <cell r="K476">
            <v>101.50749999999999</v>
          </cell>
          <cell r="L476">
            <v>45880</v>
          </cell>
          <cell r="M476">
            <v>-5743</v>
          </cell>
          <cell r="N476">
            <v>94257</v>
          </cell>
        </row>
        <row r="477">
          <cell r="A477">
            <v>99211</v>
          </cell>
          <cell r="B477">
            <v>471</v>
          </cell>
          <cell r="C477" t="str">
            <v>IASWD2311017043</v>
          </cell>
          <cell r="D477">
            <v>45236</v>
          </cell>
          <cell r="E477">
            <v>45821</v>
          </cell>
          <cell r="F477" t="str">
            <v>99211</v>
          </cell>
          <cell r="G477" t="str">
            <v>巨大一</v>
          </cell>
          <cell r="H477">
            <v>100000</v>
          </cell>
          <cell r="I477">
            <v>3</v>
          </cell>
          <cell r="J477">
            <v>45821</v>
          </cell>
          <cell r="K477">
            <v>100</v>
          </cell>
          <cell r="L477">
            <v>45800</v>
          </cell>
          <cell r="M477">
            <v>-4570</v>
          </cell>
          <cell r="N477">
            <v>95430</v>
          </cell>
        </row>
        <row r="478">
          <cell r="A478">
            <v>99211</v>
          </cell>
          <cell r="B478">
            <v>472</v>
          </cell>
          <cell r="C478" t="str">
            <v>IASWD2311017044</v>
          </cell>
          <cell r="D478">
            <v>45236</v>
          </cell>
          <cell r="E478">
            <v>45821</v>
          </cell>
          <cell r="F478" t="str">
            <v>99211</v>
          </cell>
          <cell r="G478" t="str">
            <v>巨大一</v>
          </cell>
          <cell r="H478">
            <v>200000</v>
          </cell>
          <cell r="I478">
            <v>3</v>
          </cell>
          <cell r="J478">
            <v>45821</v>
          </cell>
          <cell r="K478">
            <v>100</v>
          </cell>
          <cell r="L478">
            <v>45800</v>
          </cell>
          <cell r="M478">
            <v>-9140</v>
          </cell>
          <cell r="N478">
            <v>190860</v>
          </cell>
        </row>
        <row r="479">
          <cell r="A479">
            <v>99211</v>
          </cell>
          <cell r="B479">
            <v>473</v>
          </cell>
          <cell r="C479" t="str">
            <v>IASWD2311017050</v>
          </cell>
          <cell r="D479">
            <v>45236</v>
          </cell>
          <cell r="E479">
            <v>45821</v>
          </cell>
          <cell r="F479" t="str">
            <v>99211</v>
          </cell>
          <cell r="G479" t="str">
            <v>巨大一</v>
          </cell>
          <cell r="H479">
            <v>300000</v>
          </cell>
          <cell r="I479">
            <v>3</v>
          </cell>
          <cell r="J479">
            <v>45821</v>
          </cell>
          <cell r="K479">
            <v>100</v>
          </cell>
          <cell r="L479">
            <v>45800</v>
          </cell>
          <cell r="M479">
            <v>-13710</v>
          </cell>
          <cell r="N479">
            <v>286290</v>
          </cell>
        </row>
        <row r="480">
          <cell r="A480">
            <v>99211</v>
          </cell>
          <cell r="B480">
            <v>474</v>
          </cell>
          <cell r="C480" t="str">
            <v>IASWD2311017053</v>
          </cell>
          <cell r="D480">
            <v>45236</v>
          </cell>
          <cell r="E480">
            <v>45821</v>
          </cell>
          <cell r="F480" t="str">
            <v>99211</v>
          </cell>
          <cell r="G480" t="str">
            <v>巨大一</v>
          </cell>
          <cell r="H480">
            <v>100000</v>
          </cell>
          <cell r="I480">
            <v>3</v>
          </cell>
          <cell r="J480">
            <v>45821</v>
          </cell>
          <cell r="K480">
            <v>100</v>
          </cell>
          <cell r="L480">
            <v>45800</v>
          </cell>
          <cell r="M480">
            <v>-4570</v>
          </cell>
          <cell r="N480">
            <v>95430</v>
          </cell>
        </row>
        <row r="481">
          <cell r="A481">
            <v>22313</v>
          </cell>
          <cell r="B481">
            <v>475</v>
          </cell>
          <cell r="C481" t="str">
            <v>IASWD2311017058</v>
          </cell>
          <cell r="D481">
            <v>45236</v>
          </cell>
          <cell r="E481">
            <v>45898</v>
          </cell>
          <cell r="F481" t="str">
            <v>22313</v>
          </cell>
          <cell r="G481" t="str">
            <v>為升三</v>
          </cell>
          <cell r="H481">
            <v>100000</v>
          </cell>
          <cell r="I481">
            <v>3.75</v>
          </cell>
          <cell r="J481">
            <v>45898</v>
          </cell>
          <cell r="K481">
            <v>101.50749999999999</v>
          </cell>
          <cell r="L481">
            <v>45880</v>
          </cell>
          <cell r="M481">
            <v>-5712</v>
          </cell>
          <cell r="N481">
            <v>94288</v>
          </cell>
        </row>
        <row r="482">
          <cell r="A482">
            <v>99211</v>
          </cell>
          <cell r="B482">
            <v>476</v>
          </cell>
          <cell r="C482" t="str">
            <v>IASWD2311017060</v>
          </cell>
          <cell r="D482">
            <v>45237</v>
          </cell>
          <cell r="E482">
            <v>45821</v>
          </cell>
          <cell r="F482" t="str">
            <v>99211</v>
          </cell>
          <cell r="G482" t="str">
            <v>巨大一</v>
          </cell>
          <cell r="H482">
            <v>100000</v>
          </cell>
          <cell r="I482">
            <v>3.3</v>
          </cell>
          <cell r="J482">
            <v>45821</v>
          </cell>
          <cell r="K482">
            <v>100</v>
          </cell>
          <cell r="L482">
            <v>45800</v>
          </cell>
          <cell r="M482">
            <v>-5018</v>
          </cell>
          <cell r="N482">
            <v>94982</v>
          </cell>
        </row>
        <row r="483">
          <cell r="A483">
            <v>99211</v>
          </cell>
          <cell r="B483">
            <v>477</v>
          </cell>
          <cell r="C483" t="str">
            <v>IASWD2311017063</v>
          </cell>
          <cell r="D483">
            <v>45237</v>
          </cell>
          <cell r="E483">
            <v>45821</v>
          </cell>
          <cell r="F483" t="str">
            <v>99211</v>
          </cell>
          <cell r="G483" t="str">
            <v>巨大一</v>
          </cell>
          <cell r="H483">
            <v>100000</v>
          </cell>
          <cell r="I483">
            <v>3.3</v>
          </cell>
          <cell r="J483">
            <v>45821</v>
          </cell>
          <cell r="K483">
            <v>100</v>
          </cell>
          <cell r="L483">
            <v>45800</v>
          </cell>
          <cell r="M483">
            <v>-5018</v>
          </cell>
          <cell r="N483">
            <v>94982</v>
          </cell>
        </row>
        <row r="484">
          <cell r="A484">
            <v>99211</v>
          </cell>
          <cell r="B484">
            <v>478</v>
          </cell>
          <cell r="C484" t="str">
            <v>IASWD2311017067</v>
          </cell>
          <cell r="D484">
            <v>45237</v>
          </cell>
          <cell r="E484">
            <v>45821</v>
          </cell>
          <cell r="F484" t="str">
            <v>99211</v>
          </cell>
          <cell r="G484" t="str">
            <v>巨大一</v>
          </cell>
          <cell r="H484">
            <v>100000</v>
          </cell>
          <cell r="I484">
            <v>3.3</v>
          </cell>
          <cell r="J484">
            <v>45821</v>
          </cell>
          <cell r="K484">
            <v>100</v>
          </cell>
          <cell r="L484">
            <v>45800</v>
          </cell>
          <cell r="M484">
            <v>-5018</v>
          </cell>
          <cell r="N484">
            <v>94982</v>
          </cell>
        </row>
        <row r="485">
          <cell r="A485">
            <v>99211</v>
          </cell>
          <cell r="B485">
            <v>479</v>
          </cell>
          <cell r="C485" t="str">
            <v>IASWD2311017069</v>
          </cell>
          <cell r="D485">
            <v>45237</v>
          </cell>
          <cell r="E485">
            <v>45821</v>
          </cell>
          <cell r="F485" t="str">
            <v>99211</v>
          </cell>
          <cell r="G485" t="str">
            <v>巨大一</v>
          </cell>
          <cell r="H485">
            <v>200000</v>
          </cell>
          <cell r="I485">
            <v>3.3</v>
          </cell>
          <cell r="J485">
            <v>45821</v>
          </cell>
          <cell r="K485">
            <v>100</v>
          </cell>
          <cell r="L485">
            <v>45800</v>
          </cell>
          <cell r="M485">
            <v>-10036</v>
          </cell>
          <cell r="N485">
            <v>189964</v>
          </cell>
        </row>
        <row r="486">
          <cell r="A486">
            <v>99211</v>
          </cell>
          <cell r="B486">
            <v>480</v>
          </cell>
          <cell r="C486" t="str">
            <v>IASWD2311017073</v>
          </cell>
          <cell r="D486">
            <v>45237</v>
          </cell>
          <cell r="E486">
            <v>45821</v>
          </cell>
          <cell r="F486" t="str">
            <v>99211</v>
          </cell>
          <cell r="G486" t="str">
            <v>巨大一</v>
          </cell>
          <cell r="H486">
            <v>700000</v>
          </cell>
          <cell r="I486">
            <v>3.3</v>
          </cell>
          <cell r="J486">
            <v>45821</v>
          </cell>
          <cell r="K486">
            <v>100</v>
          </cell>
          <cell r="L486">
            <v>45800</v>
          </cell>
          <cell r="M486">
            <v>-35125</v>
          </cell>
          <cell r="N486">
            <v>664875</v>
          </cell>
        </row>
        <row r="487">
          <cell r="A487">
            <v>99211</v>
          </cell>
          <cell r="B487">
            <v>481</v>
          </cell>
          <cell r="C487" t="str">
            <v>IASWD2311017076</v>
          </cell>
          <cell r="D487">
            <v>45237</v>
          </cell>
          <cell r="E487">
            <v>45821</v>
          </cell>
          <cell r="F487" t="str">
            <v>99211</v>
          </cell>
          <cell r="G487" t="str">
            <v>巨大一</v>
          </cell>
          <cell r="H487">
            <v>200000</v>
          </cell>
          <cell r="I487">
            <v>3.3</v>
          </cell>
          <cell r="J487">
            <v>45821</v>
          </cell>
          <cell r="K487">
            <v>100</v>
          </cell>
          <cell r="L487">
            <v>45800</v>
          </cell>
          <cell r="M487">
            <v>-10036</v>
          </cell>
          <cell r="N487">
            <v>189964</v>
          </cell>
        </row>
        <row r="488">
          <cell r="A488">
            <v>22313</v>
          </cell>
          <cell r="B488">
            <v>482</v>
          </cell>
          <cell r="C488" t="str">
            <v>IASWD2311017085</v>
          </cell>
          <cell r="D488">
            <v>45238</v>
          </cell>
          <cell r="E488">
            <v>45898</v>
          </cell>
          <cell r="F488" t="str">
            <v>22313</v>
          </cell>
          <cell r="G488" t="str">
            <v>為升三</v>
          </cell>
          <cell r="H488">
            <v>100000</v>
          </cell>
          <cell r="I488">
            <v>3.75</v>
          </cell>
          <cell r="J488">
            <v>45898</v>
          </cell>
          <cell r="K488">
            <v>101.50749999999999</v>
          </cell>
          <cell r="L488">
            <v>45880</v>
          </cell>
          <cell r="M488">
            <v>-5692</v>
          </cell>
          <cell r="N488">
            <v>94308</v>
          </cell>
        </row>
        <row r="489">
          <cell r="A489">
            <v>99211</v>
          </cell>
          <cell r="B489">
            <v>483</v>
          </cell>
          <cell r="C489" t="str">
            <v>IASWD2311017101</v>
          </cell>
          <cell r="D489">
            <v>45240</v>
          </cell>
          <cell r="E489">
            <v>45821</v>
          </cell>
          <cell r="F489" t="str">
            <v>99211</v>
          </cell>
          <cell r="G489" t="str">
            <v>巨大一</v>
          </cell>
          <cell r="H489">
            <v>200000</v>
          </cell>
          <cell r="I489">
            <v>3.3</v>
          </cell>
          <cell r="J489">
            <v>45821</v>
          </cell>
          <cell r="K489">
            <v>100</v>
          </cell>
          <cell r="L489">
            <v>45800</v>
          </cell>
          <cell r="M489">
            <v>-9981</v>
          </cell>
          <cell r="N489">
            <v>190019</v>
          </cell>
        </row>
        <row r="490">
          <cell r="A490">
            <v>99211</v>
          </cell>
          <cell r="B490">
            <v>484</v>
          </cell>
          <cell r="C490" t="str">
            <v>IASWD2311017103</v>
          </cell>
          <cell r="D490">
            <v>45240</v>
          </cell>
          <cell r="E490">
            <v>45821</v>
          </cell>
          <cell r="F490" t="str">
            <v>99211</v>
          </cell>
          <cell r="G490" t="str">
            <v>巨大一</v>
          </cell>
          <cell r="H490">
            <v>300000</v>
          </cell>
          <cell r="I490">
            <v>3.3</v>
          </cell>
          <cell r="J490">
            <v>45821</v>
          </cell>
          <cell r="K490">
            <v>100</v>
          </cell>
          <cell r="L490">
            <v>45800</v>
          </cell>
          <cell r="M490">
            <v>-14972</v>
          </cell>
          <cell r="N490">
            <v>285028</v>
          </cell>
        </row>
        <row r="491">
          <cell r="A491">
            <v>99211</v>
          </cell>
          <cell r="B491">
            <v>485</v>
          </cell>
          <cell r="C491" t="str">
            <v>IASWD2311017107</v>
          </cell>
          <cell r="D491">
            <v>45240</v>
          </cell>
          <cell r="E491">
            <v>45821</v>
          </cell>
          <cell r="F491" t="str">
            <v>99211</v>
          </cell>
          <cell r="G491" t="str">
            <v>巨大一</v>
          </cell>
          <cell r="H491">
            <v>400000</v>
          </cell>
          <cell r="I491">
            <v>3.3</v>
          </cell>
          <cell r="J491">
            <v>45821</v>
          </cell>
          <cell r="K491">
            <v>100</v>
          </cell>
          <cell r="L491">
            <v>45800</v>
          </cell>
          <cell r="M491">
            <v>-19963</v>
          </cell>
          <cell r="N491">
            <v>380037</v>
          </cell>
        </row>
        <row r="492">
          <cell r="A492">
            <v>99211</v>
          </cell>
          <cell r="B492">
            <v>486</v>
          </cell>
          <cell r="C492" t="str">
            <v>IASWD2311017108</v>
          </cell>
          <cell r="D492">
            <v>45240</v>
          </cell>
          <cell r="E492">
            <v>45821</v>
          </cell>
          <cell r="F492" t="str">
            <v>99211</v>
          </cell>
          <cell r="G492" t="str">
            <v>巨大一</v>
          </cell>
          <cell r="H492">
            <v>100000</v>
          </cell>
          <cell r="I492">
            <v>3.3</v>
          </cell>
          <cell r="J492">
            <v>45821</v>
          </cell>
          <cell r="K492">
            <v>100</v>
          </cell>
          <cell r="L492">
            <v>45800</v>
          </cell>
          <cell r="M492">
            <v>-4991</v>
          </cell>
          <cell r="N492">
            <v>95009</v>
          </cell>
        </row>
        <row r="493">
          <cell r="A493">
            <v>99211</v>
          </cell>
          <cell r="B493">
            <v>487</v>
          </cell>
          <cell r="C493" t="str">
            <v>IASWD2311017113</v>
          </cell>
          <cell r="D493">
            <v>45240</v>
          </cell>
          <cell r="E493">
            <v>45821</v>
          </cell>
          <cell r="F493" t="str">
            <v>99211</v>
          </cell>
          <cell r="G493" t="str">
            <v>巨大一</v>
          </cell>
          <cell r="H493">
            <v>500000</v>
          </cell>
          <cell r="I493">
            <v>3.3</v>
          </cell>
          <cell r="J493">
            <v>45821</v>
          </cell>
          <cell r="K493">
            <v>100</v>
          </cell>
          <cell r="L493">
            <v>45800</v>
          </cell>
          <cell r="M493">
            <v>-24953</v>
          </cell>
          <cell r="N493">
            <v>475047</v>
          </cell>
        </row>
        <row r="494">
          <cell r="A494">
            <v>22313</v>
          </cell>
          <cell r="B494">
            <v>488</v>
          </cell>
          <cell r="C494" t="str">
            <v>IASWD2311017115</v>
          </cell>
          <cell r="D494">
            <v>45240</v>
          </cell>
          <cell r="E494">
            <v>45898</v>
          </cell>
          <cell r="F494" t="str">
            <v>22313</v>
          </cell>
          <cell r="G494" t="str">
            <v>為升三</v>
          </cell>
          <cell r="H494">
            <v>200000</v>
          </cell>
          <cell r="I494">
            <v>3.75</v>
          </cell>
          <cell r="J494">
            <v>45898</v>
          </cell>
          <cell r="K494">
            <v>101.50749999999999</v>
          </cell>
          <cell r="L494">
            <v>45880</v>
          </cell>
          <cell r="M494">
            <v>-11342</v>
          </cell>
          <cell r="N494">
            <v>188658</v>
          </cell>
        </row>
        <row r="495">
          <cell r="A495">
            <v>15991</v>
          </cell>
          <cell r="B495">
            <v>489</v>
          </cell>
          <cell r="C495" t="str">
            <v>IASWD2311017124</v>
          </cell>
          <cell r="D495">
            <v>45243</v>
          </cell>
          <cell r="E495">
            <v>45979</v>
          </cell>
          <cell r="F495" t="str">
            <v>15991</v>
          </cell>
          <cell r="G495" t="str">
            <v>宏佳騰一</v>
          </cell>
          <cell r="H495">
            <v>100000</v>
          </cell>
          <cell r="I495">
            <v>2.15</v>
          </cell>
          <cell r="J495">
            <v>45979</v>
          </cell>
          <cell r="K495">
            <v>100</v>
          </cell>
          <cell r="L495">
            <v>45959</v>
          </cell>
          <cell r="M495">
            <v>-3234</v>
          </cell>
          <cell r="N495">
            <v>96766</v>
          </cell>
        </row>
        <row r="496">
          <cell r="A496">
            <v>15991</v>
          </cell>
          <cell r="B496">
            <v>490</v>
          </cell>
          <cell r="C496" t="str">
            <v>IASWD2311017131</v>
          </cell>
          <cell r="D496">
            <v>45243</v>
          </cell>
          <cell r="E496">
            <v>45979</v>
          </cell>
          <cell r="F496" t="str">
            <v>15991</v>
          </cell>
          <cell r="G496" t="str">
            <v>宏佳騰一</v>
          </cell>
          <cell r="H496">
            <v>800000</v>
          </cell>
          <cell r="I496">
            <v>2.15</v>
          </cell>
          <cell r="J496">
            <v>45979</v>
          </cell>
          <cell r="K496">
            <v>100</v>
          </cell>
          <cell r="L496">
            <v>45959</v>
          </cell>
          <cell r="M496">
            <v>-25871</v>
          </cell>
          <cell r="N496">
            <v>774129</v>
          </cell>
        </row>
        <row r="497">
          <cell r="A497">
            <v>99211</v>
          </cell>
          <cell r="B497">
            <v>491</v>
          </cell>
          <cell r="C497" t="str">
            <v>IASWD2311017148</v>
          </cell>
          <cell r="D497">
            <v>45244</v>
          </cell>
          <cell r="E497">
            <v>45821</v>
          </cell>
          <cell r="F497" t="str">
            <v>99211</v>
          </cell>
          <cell r="G497" t="str">
            <v>巨大一</v>
          </cell>
          <cell r="H497">
            <v>100000</v>
          </cell>
          <cell r="I497">
            <v>3.3</v>
          </cell>
          <cell r="J497">
            <v>45821</v>
          </cell>
          <cell r="K497">
            <v>100</v>
          </cell>
          <cell r="L497">
            <v>45800</v>
          </cell>
          <cell r="M497">
            <v>-4955</v>
          </cell>
          <cell r="N497">
            <v>95045</v>
          </cell>
        </row>
        <row r="498">
          <cell r="A498">
            <v>99211</v>
          </cell>
          <cell r="B498">
            <v>492</v>
          </cell>
          <cell r="C498" t="str">
            <v>IASWD2311017151</v>
          </cell>
          <cell r="D498">
            <v>45244</v>
          </cell>
          <cell r="E498">
            <v>45821</v>
          </cell>
          <cell r="F498" t="str">
            <v>99211</v>
          </cell>
          <cell r="G498" t="str">
            <v>巨大一</v>
          </cell>
          <cell r="H498">
            <v>500000</v>
          </cell>
          <cell r="I498">
            <v>3.3</v>
          </cell>
          <cell r="J498">
            <v>45821</v>
          </cell>
          <cell r="K498">
            <v>100</v>
          </cell>
          <cell r="L498">
            <v>45800</v>
          </cell>
          <cell r="M498">
            <v>-24773</v>
          </cell>
          <cell r="N498">
            <v>475227</v>
          </cell>
        </row>
        <row r="499">
          <cell r="A499">
            <v>99211</v>
          </cell>
          <cell r="B499">
            <v>493</v>
          </cell>
          <cell r="C499" t="str">
            <v>IASWD2311017159</v>
          </cell>
          <cell r="D499">
            <v>45245</v>
          </cell>
          <cell r="E499">
            <v>45821</v>
          </cell>
          <cell r="F499" t="str">
            <v>99211</v>
          </cell>
          <cell r="G499" t="str">
            <v>巨大一</v>
          </cell>
          <cell r="H499">
            <v>300000</v>
          </cell>
          <cell r="I499">
            <v>3.3</v>
          </cell>
          <cell r="J499">
            <v>45821</v>
          </cell>
          <cell r="K499">
            <v>100</v>
          </cell>
          <cell r="L499">
            <v>45800</v>
          </cell>
          <cell r="M499">
            <v>-14836</v>
          </cell>
          <cell r="N499">
            <v>285164</v>
          </cell>
        </row>
        <row r="500">
          <cell r="A500">
            <v>99211</v>
          </cell>
          <cell r="B500">
            <v>494</v>
          </cell>
          <cell r="C500" t="str">
            <v>IASWD2311017162</v>
          </cell>
          <cell r="D500">
            <v>45245</v>
          </cell>
          <cell r="E500">
            <v>45821</v>
          </cell>
          <cell r="F500" t="str">
            <v>99211</v>
          </cell>
          <cell r="G500" t="str">
            <v>巨大一</v>
          </cell>
          <cell r="H500">
            <v>100000</v>
          </cell>
          <cell r="I500">
            <v>3.3</v>
          </cell>
          <cell r="J500">
            <v>45821</v>
          </cell>
          <cell r="K500">
            <v>100</v>
          </cell>
          <cell r="L500">
            <v>45800</v>
          </cell>
          <cell r="M500">
            <v>-4945</v>
          </cell>
          <cell r="N500">
            <v>95055</v>
          </cell>
        </row>
        <row r="501">
          <cell r="A501">
            <v>99211</v>
          </cell>
          <cell r="B501">
            <v>495</v>
          </cell>
          <cell r="C501" t="str">
            <v>IASWD2311017173</v>
          </cell>
          <cell r="D501">
            <v>45245</v>
          </cell>
          <cell r="E501">
            <v>45821</v>
          </cell>
          <cell r="F501" t="str">
            <v>99211</v>
          </cell>
          <cell r="G501" t="str">
            <v>巨大一</v>
          </cell>
          <cell r="H501">
            <v>100000</v>
          </cell>
          <cell r="I501">
            <v>3.3</v>
          </cell>
          <cell r="J501">
            <v>45821</v>
          </cell>
          <cell r="K501">
            <v>100</v>
          </cell>
          <cell r="L501">
            <v>45800</v>
          </cell>
          <cell r="M501">
            <v>-4945</v>
          </cell>
          <cell r="N501">
            <v>95055</v>
          </cell>
        </row>
        <row r="502">
          <cell r="A502">
            <v>99211</v>
          </cell>
          <cell r="B502">
            <v>496</v>
          </cell>
          <cell r="C502" t="str">
            <v>IASWD2311017178</v>
          </cell>
          <cell r="D502">
            <v>45246</v>
          </cell>
          <cell r="E502">
            <v>45821</v>
          </cell>
          <cell r="F502" t="str">
            <v>99211</v>
          </cell>
          <cell r="G502" t="str">
            <v>巨大一</v>
          </cell>
          <cell r="H502">
            <v>200000</v>
          </cell>
          <cell r="I502">
            <v>3.3</v>
          </cell>
          <cell r="J502">
            <v>45821</v>
          </cell>
          <cell r="K502">
            <v>100</v>
          </cell>
          <cell r="L502">
            <v>45800</v>
          </cell>
          <cell r="M502">
            <v>-9873</v>
          </cell>
          <cell r="N502">
            <v>190127</v>
          </cell>
        </row>
        <row r="503">
          <cell r="A503">
            <v>15991</v>
          </cell>
          <cell r="B503">
            <v>497</v>
          </cell>
          <cell r="C503" t="str">
            <v>IASWD2311017184</v>
          </cell>
          <cell r="D503">
            <v>45246</v>
          </cell>
          <cell r="E503">
            <v>45979</v>
          </cell>
          <cell r="F503" t="str">
            <v>15991</v>
          </cell>
          <cell r="G503" t="str">
            <v>宏佳騰一</v>
          </cell>
          <cell r="H503">
            <v>100000</v>
          </cell>
          <cell r="I503">
            <v>2.15</v>
          </cell>
          <cell r="J503">
            <v>45979</v>
          </cell>
          <cell r="K503">
            <v>100</v>
          </cell>
          <cell r="L503">
            <v>45959</v>
          </cell>
          <cell r="M503">
            <v>-3216</v>
          </cell>
          <cell r="N503">
            <v>96784</v>
          </cell>
        </row>
        <row r="504">
          <cell r="A504">
            <v>22313</v>
          </cell>
          <cell r="B504">
            <v>498</v>
          </cell>
          <cell r="C504" t="str">
            <v>IASWD2311017197</v>
          </cell>
          <cell r="D504">
            <v>45247</v>
          </cell>
          <cell r="E504">
            <v>45898</v>
          </cell>
          <cell r="F504" t="str">
            <v>22313</v>
          </cell>
          <cell r="G504" t="str">
            <v>為升三</v>
          </cell>
          <cell r="H504">
            <v>200000</v>
          </cell>
          <cell r="I504">
            <v>3.75</v>
          </cell>
          <cell r="J504">
            <v>45898</v>
          </cell>
          <cell r="K504">
            <v>101.50749999999999</v>
          </cell>
          <cell r="L504">
            <v>45880</v>
          </cell>
          <cell r="M504">
            <v>-11199</v>
          </cell>
          <cell r="N504">
            <v>188801</v>
          </cell>
        </row>
        <row r="505">
          <cell r="A505">
            <v>22313</v>
          </cell>
          <cell r="B505">
            <v>499</v>
          </cell>
          <cell r="C505" t="str">
            <v>IASWD2311017205</v>
          </cell>
          <cell r="D505">
            <v>45250</v>
          </cell>
          <cell r="E505">
            <v>45898</v>
          </cell>
          <cell r="F505" t="str">
            <v>22313</v>
          </cell>
          <cell r="G505" t="str">
            <v>為升三</v>
          </cell>
          <cell r="H505">
            <v>100000</v>
          </cell>
          <cell r="I505">
            <v>3.75</v>
          </cell>
          <cell r="J505">
            <v>45898</v>
          </cell>
          <cell r="K505">
            <v>101.50749999999999</v>
          </cell>
          <cell r="L505">
            <v>45880</v>
          </cell>
          <cell r="M505">
            <v>-5568</v>
          </cell>
          <cell r="N505">
            <v>94432</v>
          </cell>
        </row>
        <row r="506">
          <cell r="A506">
            <v>99211</v>
          </cell>
          <cell r="B506">
            <v>500</v>
          </cell>
          <cell r="C506" t="str">
            <v>IASWD2311017211</v>
          </cell>
          <cell r="D506">
            <v>45250</v>
          </cell>
          <cell r="E506">
            <v>45821</v>
          </cell>
          <cell r="F506" t="str">
            <v>99211</v>
          </cell>
          <cell r="G506" t="str">
            <v>巨大一</v>
          </cell>
          <cell r="H506">
            <v>100000</v>
          </cell>
          <cell r="I506">
            <v>3.3</v>
          </cell>
          <cell r="J506">
            <v>45821</v>
          </cell>
          <cell r="K506">
            <v>100</v>
          </cell>
          <cell r="L506">
            <v>45800</v>
          </cell>
          <cell r="M506">
            <v>-4900</v>
          </cell>
          <cell r="N506">
            <v>95100</v>
          </cell>
        </row>
        <row r="507">
          <cell r="A507">
            <v>99211</v>
          </cell>
          <cell r="B507">
            <v>501</v>
          </cell>
          <cell r="C507" t="str">
            <v>IASWD2311017229</v>
          </cell>
          <cell r="D507">
            <v>45251</v>
          </cell>
          <cell r="E507">
            <v>45821</v>
          </cell>
          <cell r="F507" t="str">
            <v>99211</v>
          </cell>
          <cell r="G507" t="str">
            <v>巨大一</v>
          </cell>
          <cell r="H507">
            <v>400000</v>
          </cell>
          <cell r="I507">
            <v>3.3</v>
          </cell>
          <cell r="J507">
            <v>45821</v>
          </cell>
          <cell r="K507">
            <v>100</v>
          </cell>
          <cell r="L507">
            <v>45800</v>
          </cell>
          <cell r="M507">
            <v>-19565</v>
          </cell>
          <cell r="N507">
            <v>380435</v>
          </cell>
        </row>
        <row r="508">
          <cell r="A508">
            <v>15991</v>
          </cell>
          <cell r="B508">
            <v>502</v>
          </cell>
          <cell r="C508" t="str">
            <v>IASWD2311017238</v>
          </cell>
          <cell r="D508">
            <v>45252</v>
          </cell>
          <cell r="E508">
            <v>45979</v>
          </cell>
          <cell r="F508" t="str">
            <v>15991</v>
          </cell>
          <cell r="G508" t="str">
            <v>宏佳騰一</v>
          </cell>
          <cell r="H508">
            <v>100000</v>
          </cell>
          <cell r="I508">
            <v>2.15</v>
          </cell>
          <cell r="J508">
            <v>45979</v>
          </cell>
          <cell r="K508">
            <v>100</v>
          </cell>
          <cell r="L508">
            <v>45959</v>
          </cell>
          <cell r="M508">
            <v>-3181</v>
          </cell>
          <cell r="N508">
            <v>96819</v>
          </cell>
        </row>
        <row r="509">
          <cell r="A509">
            <v>99211</v>
          </cell>
          <cell r="B509">
            <v>503</v>
          </cell>
          <cell r="C509" t="str">
            <v>IASWD2311017251</v>
          </cell>
          <cell r="D509">
            <v>45252</v>
          </cell>
          <cell r="E509">
            <v>45821</v>
          </cell>
          <cell r="F509" t="str">
            <v>99211</v>
          </cell>
          <cell r="G509" t="str">
            <v>巨大一</v>
          </cell>
          <cell r="H509">
            <v>100000</v>
          </cell>
          <cell r="I509">
            <v>3.3</v>
          </cell>
          <cell r="J509">
            <v>45821</v>
          </cell>
          <cell r="K509">
            <v>100</v>
          </cell>
          <cell r="L509">
            <v>45800</v>
          </cell>
          <cell r="M509">
            <v>-4882</v>
          </cell>
          <cell r="N509">
            <v>95118</v>
          </cell>
        </row>
        <row r="510">
          <cell r="A510">
            <v>99211</v>
          </cell>
          <cell r="B510">
            <v>504</v>
          </cell>
          <cell r="C510" t="str">
            <v>IASWD2311017264</v>
          </cell>
          <cell r="D510">
            <v>45253</v>
          </cell>
          <cell r="E510">
            <v>45821</v>
          </cell>
          <cell r="F510" t="str">
            <v>99211</v>
          </cell>
          <cell r="G510" t="str">
            <v>巨大一</v>
          </cell>
          <cell r="H510">
            <v>200000</v>
          </cell>
          <cell r="I510">
            <v>3.3</v>
          </cell>
          <cell r="J510">
            <v>45821</v>
          </cell>
          <cell r="K510">
            <v>100</v>
          </cell>
          <cell r="L510">
            <v>45800</v>
          </cell>
          <cell r="M510">
            <v>-9746</v>
          </cell>
          <cell r="N510">
            <v>190254</v>
          </cell>
        </row>
        <row r="511">
          <cell r="A511">
            <v>99211</v>
          </cell>
          <cell r="B511">
            <v>505</v>
          </cell>
          <cell r="C511" t="str">
            <v>IASWD2311017270</v>
          </cell>
          <cell r="D511">
            <v>45253</v>
          </cell>
          <cell r="E511">
            <v>45821</v>
          </cell>
          <cell r="F511" t="str">
            <v>99211</v>
          </cell>
          <cell r="G511" t="str">
            <v>巨大一</v>
          </cell>
          <cell r="H511">
            <v>100000</v>
          </cell>
          <cell r="I511">
            <v>3.3</v>
          </cell>
          <cell r="J511">
            <v>45821</v>
          </cell>
          <cell r="K511">
            <v>100</v>
          </cell>
          <cell r="L511">
            <v>45800</v>
          </cell>
          <cell r="M511">
            <v>-4873</v>
          </cell>
          <cell r="N511">
            <v>95127</v>
          </cell>
        </row>
        <row r="512">
          <cell r="A512">
            <v>99211</v>
          </cell>
          <cell r="B512">
            <v>506</v>
          </cell>
          <cell r="C512" t="str">
            <v>IASWD2311017301</v>
          </cell>
          <cell r="D512">
            <v>45254</v>
          </cell>
          <cell r="E512">
            <v>45821</v>
          </cell>
          <cell r="F512" t="str">
            <v>99211</v>
          </cell>
          <cell r="G512" t="str">
            <v>巨大一</v>
          </cell>
          <cell r="H512">
            <v>500000</v>
          </cell>
          <cell r="I512">
            <v>3.3</v>
          </cell>
          <cell r="J512">
            <v>45821</v>
          </cell>
          <cell r="K512">
            <v>100</v>
          </cell>
          <cell r="L512">
            <v>45800</v>
          </cell>
          <cell r="M512">
            <v>-24321</v>
          </cell>
          <cell r="N512">
            <v>475679</v>
          </cell>
        </row>
        <row r="513">
          <cell r="A513">
            <v>62822</v>
          </cell>
          <cell r="B513">
            <v>507</v>
          </cell>
          <cell r="C513" t="str">
            <v>IASWD2311017307</v>
          </cell>
          <cell r="D513">
            <v>45254</v>
          </cell>
          <cell r="E513">
            <v>46186</v>
          </cell>
          <cell r="F513" t="str">
            <v>62822</v>
          </cell>
          <cell r="G513" t="str">
            <v>康舒二</v>
          </cell>
          <cell r="H513">
            <v>300000</v>
          </cell>
          <cell r="I513">
            <v>3.5</v>
          </cell>
          <cell r="J513">
            <v>46186</v>
          </cell>
          <cell r="K513">
            <v>100</v>
          </cell>
          <cell r="L513">
            <v>46168</v>
          </cell>
          <cell r="M513">
            <v>-15477</v>
          </cell>
          <cell r="N513">
            <v>284523</v>
          </cell>
        </row>
        <row r="514">
          <cell r="A514">
            <v>62822</v>
          </cell>
          <cell r="B514">
            <v>508</v>
          </cell>
          <cell r="C514" t="str">
            <v>IASWD2311017313</v>
          </cell>
          <cell r="D514">
            <v>45254</v>
          </cell>
          <cell r="E514">
            <v>46186</v>
          </cell>
          <cell r="F514" t="str">
            <v>62822</v>
          </cell>
          <cell r="G514" t="str">
            <v>康舒二</v>
          </cell>
          <cell r="H514">
            <v>300000</v>
          </cell>
          <cell r="I514">
            <v>3.5</v>
          </cell>
          <cell r="J514">
            <v>46186</v>
          </cell>
          <cell r="K514">
            <v>100</v>
          </cell>
          <cell r="L514">
            <v>46168</v>
          </cell>
          <cell r="M514">
            <v>-15477</v>
          </cell>
          <cell r="N514">
            <v>284523</v>
          </cell>
        </row>
        <row r="515">
          <cell r="A515">
            <v>22313</v>
          </cell>
          <cell r="B515">
            <v>509</v>
          </cell>
          <cell r="C515" t="str">
            <v>IASWD2311017320</v>
          </cell>
          <cell r="D515">
            <v>45254</v>
          </cell>
          <cell r="E515">
            <v>45898</v>
          </cell>
          <cell r="F515" t="str">
            <v>22313</v>
          </cell>
          <cell r="G515" t="str">
            <v>為升三</v>
          </cell>
          <cell r="H515">
            <v>100000</v>
          </cell>
          <cell r="I515">
            <v>3.75</v>
          </cell>
          <cell r="J515">
            <v>45898</v>
          </cell>
          <cell r="K515">
            <v>101.50749999999999</v>
          </cell>
          <cell r="L515">
            <v>45880</v>
          </cell>
          <cell r="M515">
            <v>-5527</v>
          </cell>
          <cell r="N515">
            <v>94473</v>
          </cell>
        </row>
        <row r="516">
          <cell r="A516">
            <v>99412</v>
          </cell>
          <cell r="B516">
            <v>510</v>
          </cell>
          <cell r="C516" t="str">
            <v>IASWD2311017322</v>
          </cell>
          <cell r="D516">
            <v>45257</v>
          </cell>
          <cell r="E516">
            <v>46346</v>
          </cell>
          <cell r="F516" t="str">
            <v>99412</v>
          </cell>
          <cell r="G516" t="str">
            <v>裕融二</v>
          </cell>
          <cell r="H516">
            <v>3000000</v>
          </cell>
          <cell r="I516">
            <v>3.25</v>
          </cell>
          <cell r="J516">
            <v>46346</v>
          </cell>
          <cell r="K516">
            <v>100</v>
          </cell>
          <cell r="L516">
            <v>46328</v>
          </cell>
          <cell r="M516">
            <v>-142911</v>
          </cell>
          <cell r="N516">
            <v>2857089</v>
          </cell>
        </row>
        <row r="517">
          <cell r="A517">
            <v>99412</v>
          </cell>
          <cell r="B517">
            <v>511</v>
          </cell>
          <cell r="C517" t="str">
            <v>IASWD2311017323</v>
          </cell>
          <cell r="D517">
            <v>45257</v>
          </cell>
          <cell r="E517">
            <v>46346</v>
          </cell>
          <cell r="F517" t="str">
            <v>99412</v>
          </cell>
          <cell r="G517" t="str">
            <v>裕融二</v>
          </cell>
          <cell r="H517">
            <v>100000</v>
          </cell>
          <cell r="I517">
            <v>3.25</v>
          </cell>
          <cell r="J517">
            <v>46346</v>
          </cell>
          <cell r="K517">
            <v>100</v>
          </cell>
          <cell r="L517">
            <v>46328</v>
          </cell>
          <cell r="M517">
            <v>-4764</v>
          </cell>
          <cell r="N517">
            <v>95236</v>
          </cell>
        </row>
        <row r="518">
          <cell r="A518">
            <v>99412</v>
          </cell>
          <cell r="B518">
            <v>512</v>
          </cell>
          <cell r="C518" t="str">
            <v>IASWD2311017324</v>
          </cell>
          <cell r="D518">
            <v>45257</v>
          </cell>
          <cell r="E518">
            <v>46346</v>
          </cell>
          <cell r="F518" t="str">
            <v>99412</v>
          </cell>
          <cell r="G518" t="str">
            <v>裕融二</v>
          </cell>
          <cell r="H518">
            <v>1000000</v>
          </cell>
          <cell r="I518">
            <v>3.25</v>
          </cell>
          <cell r="J518">
            <v>46346</v>
          </cell>
          <cell r="K518">
            <v>100</v>
          </cell>
          <cell r="L518">
            <v>46328</v>
          </cell>
          <cell r="M518">
            <v>-47637</v>
          </cell>
          <cell r="N518">
            <v>952363</v>
          </cell>
        </row>
        <row r="519">
          <cell r="A519">
            <v>99412</v>
          </cell>
          <cell r="B519">
            <v>513</v>
          </cell>
          <cell r="C519" t="str">
            <v>IASWD2311017325</v>
          </cell>
          <cell r="D519">
            <v>45257</v>
          </cell>
          <cell r="E519">
            <v>46346</v>
          </cell>
          <cell r="F519" t="str">
            <v>99412</v>
          </cell>
          <cell r="G519" t="str">
            <v>裕融二</v>
          </cell>
          <cell r="H519">
            <v>2000000</v>
          </cell>
          <cell r="I519">
            <v>3.25</v>
          </cell>
          <cell r="J519">
            <v>46346</v>
          </cell>
          <cell r="K519">
            <v>100</v>
          </cell>
          <cell r="L519">
            <v>46328</v>
          </cell>
          <cell r="M519">
            <v>-95274</v>
          </cell>
          <cell r="N519">
            <v>1904726</v>
          </cell>
        </row>
        <row r="520">
          <cell r="A520">
            <v>99412</v>
          </cell>
          <cell r="B520">
            <v>514</v>
          </cell>
          <cell r="C520" t="str">
            <v>IASWD2311017326</v>
          </cell>
          <cell r="D520">
            <v>45257</v>
          </cell>
          <cell r="E520">
            <v>46346</v>
          </cell>
          <cell r="F520" t="str">
            <v>99412</v>
          </cell>
          <cell r="G520" t="str">
            <v>裕融二</v>
          </cell>
          <cell r="H520">
            <v>2000000</v>
          </cell>
          <cell r="I520">
            <v>3.25</v>
          </cell>
          <cell r="J520">
            <v>46346</v>
          </cell>
          <cell r="K520">
            <v>100</v>
          </cell>
          <cell r="L520">
            <v>46328</v>
          </cell>
          <cell r="M520">
            <v>-95274</v>
          </cell>
          <cell r="N520">
            <v>1904726</v>
          </cell>
        </row>
        <row r="521">
          <cell r="A521">
            <v>99412</v>
          </cell>
          <cell r="B521">
            <v>515</v>
          </cell>
          <cell r="C521" t="str">
            <v>IASWD2311017327</v>
          </cell>
          <cell r="D521">
            <v>45257</v>
          </cell>
          <cell r="E521">
            <v>46346</v>
          </cell>
          <cell r="F521" t="str">
            <v>99412</v>
          </cell>
          <cell r="G521" t="str">
            <v>裕融二</v>
          </cell>
          <cell r="H521">
            <v>100000</v>
          </cell>
          <cell r="I521">
            <v>3.25</v>
          </cell>
          <cell r="J521">
            <v>46346</v>
          </cell>
          <cell r="K521">
            <v>100</v>
          </cell>
          <cell r="L521">
            <v>46328</v>
          </cell>
          <cell r="M521">
            <v>-4764</v>
          </cell>
          <cell r="N521">
            <v>95236</v>
          </cell>
        </row>
        <row r="522">
          <cell r="A522">
            <v>99412</v>
          </cell>
          <cell r="B522">
            <v>516</v>
          </cell>
          <cell r="C522" t="str">
            <v>IASWD2311017329</v>
          </cell>
          <cell r="D522">
            <v>45257</v>
          </cell>
          <cell r="E522">
            <v>46346</v>
          </cell>
          <cell r="F522" t="str">
            <v>99412</v>
          </cell>
          <cell r="G522" t="str">
            <v>裕融二</v>
          </cell>
          <cell r="H522">
            <v>3300000</v>
          </cell>
          <cell r="I522">
            <v>3.25</v>
          </cell>
          <cell r="J522">
            <v>46346</v>
          </cell>
          <cell r="K522">
            <v>100</v>
          </cell>
          <cell r="L522">
            <v>46328</v>
          </cell>
          <cell r="M522">
            <v>-157202</v>
          </cell>
          <cell r="N522">
            <v>3142798</v>
          </cell>
        </row>
        <row r="523">
          <cell r="A523">
            <v>99412</v>
          </cell>
          <cell r="B523">
            <v>517</v>
          </cell>
          <cell r="C523" t="str">
            <v>IASWD2311017330</v>
          </cell>
          <cell r="D523">
            <v>45257</v>
          </cell>
          <cell r="E523">
            <v>46346</v>
          </cell>
          <cell r="F523" t="str">
            <v>99412</v>
          </cell>
          <cell r="G523" t="str">
            <v>裕融二</v>
          </cell>
          <cell r="H523">
            <v>2000000</v>
          </cell>
          <cell r="I523">
            <v>3.25</v>
          </cell>
          <cell r="J523">
            <v>46346</v>
          </cell>
          <cell r="K523">
            <v>100</v>
          </cell>
          <cell r="L523">
            <v>46328</v>
          </cell>
          <cell r="M523">
            <v>-95274</v>
          </cell>
          <cell r="N523">
            <v>1904726</v>
          </cell>
        </row>
        <row r="524">
          <cell r="A524">
            <v>99412</v>
          </cell>
          <cell r="B524">
            <v>518</v>
          </cell>
          <cell r="C524" t="str">
            <v>IASWD2311017331</v>
          </cell>
          <cell r="D524">
            <v>45257</v>
          </cell>
          <cell r="E524">
            <v>46346</v>
          </cell>
          <cell r="F524" t="str">
            <v>99412</v>
          </cell>
          <cell r="G524" t="str">
            <v>裕融二</v>
          </cell>
          <cell r="H524">
            <v>300000</v>
          </cell>
          <cell r="I524">
            <v>3.25</v>
          </cell>
          <cell r="J524">
            <v>46346</v>
          </cell>
          <cell r="K524">
            <v>100</v>
          </cell>
          <cell r="L524">
            <v>46328</v>
          </cell>
          <cell r="M524">
            <v>-14291</v>
          </cell>
          <cell r="N524">
            <v>285709</v>
          </cell>
        </row>
        <row r="525">
          <cell r="A525">
            <v>99412</v>
          </cell>
          <cell r="B525">
            <v>519</v>
          </cell>
          <cell r="C525" t="str">
            <v>IASWD2311017332</v>
          </cell>
          <cell r="D525">
            <v>45257</v>
          </cell>
          <cell r="E525">
            <v>46346</v>
          </cell>
          <cell r="F525" t="str">
            <v>99412</v>
          </cell>
          <cell r="G525" t="str">
            <v>裕融二</v>
          </cell>
          <cell r="H525">
            <v>500000</v>
          </cell>
          <cell r="I525">
            <v>3.25</v>
          </cell>
          <cell r="J525">
            <v>46346</v>
          </cell>
          <cell r="K525">
            <v>100</v>
          </cell>
          <cell r="L525">
            <v>46328</v>
          </cell>
          <cell r="M525">
            <v>-23818</v>
          </cell>
          <cell r="N525">
            <v>476182</v>
          </cell>
        </row>
        <row r="526">
          <cell r="A526">
            <v>99412</v>
          </cell>
          <cell r="B526">
            <v>520</v>
          </cell>
          <cell r="C526" t="str">
            <v>IASWD2311017340</v>
          </cell>
          <cell r="D526">
            <v>45257</v>
          </cell>
          <cell r="E526">
            <v>46346</v>
          </cell>
          <cell r="F526" t="str">
            <v>99412</v>
          </cell>
          <cell r="G526" t="str">
            <v>裕融二</v>
          </cell>
          <cell r="H526">
            <v>1100000</v>
          </cell>
          <cell r="I526">
            <v>3.25</v>
          </cell>
          <cell r="J526">
            <v>46346</v>
          </cell>
          <cell r="K526">
            <v>100</v>
          </cell>
          <cell r="L526">
            <v>46328</v>
          </cell>
          <cell r="M526">
            <v>-52401</v>
          </cell>
          <cell r="N526">
            <v>1047599</v>
          </cell>
        </row>
        <row r="527">
          <cell r="A527">
            <v>99412</v>
          </cell>
          <cell r="B527">
            <v>521</v>
          </cell>
          <cell r="C527" t="str">
            <v>IASWD2311017342</v>
          </cell>
          <cell r="D527">
            <v>45257</v>
          </cell>
          <cell r="E527">
            <v>46346</v>
          </cell>
          <cell r="F527" t="str">
            <v>99412</v>
          </cell>
          <cell r="G527" t="str">
            <v>裕融二</v>
          </cell>
          <cell r="H527">
            <v>2000000</v>
          </cell>
          <cell r="I527">
            <v>3.25</v>
          </cell>
          <cell r="J527">
            <v>46346</v>
          </cell>
          <cell r="K527">
            <v>100</v>
          </cell>
          <cell r="L527">
            <v>46328</v>
          </cell>
          <cell r="M527">
            <v>-95274</v>
          </cell>
          <cell r="N527">
            <v>1904726</v>
          </cell>
        </row>
        <row r="528">
          <cell r="A528">
            <v>99412</v>
          </cell>
          <cell r="B528">
            <v>522</v>
          </cell>
          <cell r="C528" t="str">
            <v>IASWD2311017345</v>
          </cell>
          <cell r="D528">
            <v>45257</v>
          </cell>
          <cell r="E528">
            <v>46346</v>
          </cell>
          <cell r="F528" t="str">
            <v>99412</v>
          </cell>
          <cell r="G528" t="str">
            <v>裕融二</v>
          </cell>
          <cell r="H528">
            <v>100000</v>
          </cell>
          <cell r="I528">
            <v>3.25</v>
          </cell>
          <cell r="J528">
            <v>46346</v>
          </cell>
          <cell r="K528">
            <v>100</v>
          </cell>
          <cell r="L528">
            <v>46328</v>
          </cell>
          <cell r="M528">
            <v>-4764</v>
          </cell>
          <cell r="N528">
            <v>95236</v>
          </cell>
        </row>
        <row r="529">
          <cell r="A529">
            <v>99412</v>
          </cell>
          <cell r="B529">
            <v>523</v>
          </cell>
          <cell r="C529" t="str">
            <v>IASWD2311017346</v>
          </cell>
          <cell r="D529">
            <v>45257</v>
          </cell>
          <cell r="E529">
            <v>46346</v>
          </cell>
          <cell r="F529" t="str">
            <v>99412</v>
          </cell>
          <cell r="G529" t="str">
            <v>裕融二</v>
          </cell>
          <cell r="H529">
            <v>500000</v>
          </cell>
          <cell r="I529">
            <v>3.25</v>
          </cell>
          <cell r="J529">
            <v>46346</v>
          </cell>
          <cell r="K529">
            <v>100</v>
          </cell>
          <cell r="L529">
            <v>46328</v>
          </cell>
          <cell r="M529">
            <v>-23818</v>
          </cell>
          <cell r="N529">
            <v>476182</v>
          </cell>
        </row>
        <row r="530">
          <cell r="A530">
            <v>99412</v>
          </cell>
          <cell r="B530">
            <v>524</v>
          </cell>
          <cell r="C530" t="str">
            <v>IASWD2311017347</v>
          </cell>
          <cell r="D530">
            <v>45257</v>
          </cell>
          <cell r="E530">
            <v>46346</v>
          </cell>
          <cell r="F530" t="str">
            <v>99412</v>
          </cell>
          <cell r="G530" t="str">
            <v>裕融二</v>
          </cell>
          <cell r="H530">
            <v>100000</v>
          </cell>
          <cell r="I530">
            <v>3.25</v>
          </cell>
          <cell r="J530">
            <v>46346</v>
          </cell>
          <cell r="K530">
            <v>100</v>
          </cell>
          <cell r="L530">
            <v>46328</v>
          </cell>
          <cell r="M530">
            <v>-4764</v>
          </cell>
          <cell r="N530">
            <v>95236</v>
          </cell>
        </row>
        <row r="531">
          <cell r="A531">
            <v>99412</v>
          </cell>
          <cell r="B531">
            <v>525</v>
          </cell>
          <cell r="C531" t="str">
            <v>IASWD2311017352</v>
          </cell>
          <cell r="D531">
            <v>45257</v>
          </cell>
          <cell r="E531">
            <v>46346</v>
          </cell>
          <cell r="F531" t="str">
            <v>99412</v>
          </cell>
          <cell r="G531" t="str">
            <v>裕融二</v>
          </cell>
          <cell r="H531">
            <v>200000</v>
          </cell>
          <cell r="I531">
            <v>3.25</v>
          </cell>
          <cell r="J531">
            <v>46346</v>
          </cell>
          <cell r="K531">
            <v>100</v>
          </cell>
          <cell r="L531">
            <v>46328</v>
          </cell>
          <cell r="M531">
            <v>-9527</v>
          </cell>
          <cell r="N531">
            <v>190473</v>
          </cell>
        </row>
        <row r="532">
          <cell r="A532">
            <v>99412</v>
          </cell>
          <cell r="B532">
            <v>526</v>
          </cell>
          <cell r="C532" t="str">
            <v>IASWD2311017355</v>
          </cell>
          <cell r="D532">
            <v>45257</v>
          </cell>
          <cell r="E532">
            <v>46346</v>
          </cell>
          <cell r="F532" t="str">
            <v>99412</v>
          </cell>
          <cell r="G532" t="str">
            <v>裕融二</v>
          </cell>
          <cell r="H532">
            <v>100000</v>
          </cell>
          <cell r="I532">
            <v>3.25</v>
          </cell>
          <cell r="J532">
            <v>46346</v>
          </cell>
          <cell r="K532">
            <v>100</v>
          </cell>
          <cell r="L532">
            <v>46328</v>
          </cell>
          <cell r="M532">
            <v>-4764</v>
          </cell>
          <cell r="N532">
            <v>95236</v>
          </cell>
        </row>
        <row r="533">
          <cell r="A533">
            <v>99412</v>
          </cell>
          <cell r="B533">
            <v>527</v>
          </cell>
          <cell r="C533" t="str">
            <v>IASWD2311017357</v>
          </cell>
          <cell r="D533">
            <v>45257</v>
          </cell>
          <cell r="E533">
            <v>46346</v>
          </cell>
          <cell r="F533" t="str">
            <v>99412</v>
          </cell>
          <cell r="G533" t="str">
            <v>裕融二</v>
          </cell>
          <cell r="H533">
            <v>200000</v>
          </cell>
          <cell r="I533">
            <v>3.25</v>
          </cell>
          <cell r="J533">
            <v>46346</v>
          </cell>
          <cell r="K533">
            <v>100</v>
          </cell>
          <cell r="L533">
            <v>46328</v>
          </cell>
          <cell r="M533">
            <v>-9527</v>
          </cell>
          <cell r="N533">
            <v>190473</v>
          </cell>
        </row>
        <row r="534">
          <cell r="A534">
            <v>99412</v>
          </cell>
          <cell r="B534">
            <v>528</v>
          </cell>
          <cell r="C534" t="str">
            <v>IASWD2311017361</v>
          </cell>
          <cell r="D534">
            <v>45257</v>
          </cell>
          <cell r="E534">
            <v>46346</v>
          </cell>
          <cell r="F534" t="str">
            <v>99412</v>
          </cell>
          <cell r="G534" t="str">
            <v>裕融二</v>
          </cell>
          <cell r="H534">
            <v>400000</v>
          </cell>
          <cell r="I534">
            <v>3.25</v>
          </cell>
          <cell r="J534">
            <v>46346</v>
          </cell>
          <cell r="K534">
            <v>100</v>
          </cell>
          <cell r="L534">
            <v>46328</v>
          </cell>
          <cell r="M534">
            <v>-19055</v>
          </cell>
          <cell r="N534">
            <v>380945</v>
          </cell>
        </row>
        <row r="535">
          <cell r="A535">
            <v>99412</v>
          </cell>
          <cell r="B535">
            <v>529</v>
          </cell>
          <cell r="C535" t="str">
            <v>IASWD2311017362</v>
          </cell>
          <cell r="D535">
            <v>45257</v>
          </cell>
          <cell r="E535">
            <v>46346</v>
          </cell>
          <cell r="F535" t="str">
            <v>99412</v>
          </cell>
          <cell r="G535" t="str">
            <v>裕融二</v>
          </cell>
          <cell r="H535">
            <v>600000</v>
          </cell>
          <cell r="I535">
            <v>3.25</v>
          </cell>
          <cell r="J535">
            <v>46346</v>
          </cell>
          <cell r="K535">
            <v>100</v>
          </cell>
          <cell r="L535">
            <v>46328</v>
          </cell>
          <cell r="M535">
            <v>-28582</v>
          </cell>
          <cell r="N535">
            <v>571418</v>
          </cell>
        </row>
        <row r="536">
          <cell r="A536">
            <v>99412</v>
          </cell>
          <cell r="B536">
            <v>530</v>
          </cell>
          <cell r="C536" t="str">
            <v>IASWD2311017363</v>
          </cell>
          <cell r="D536">
            <v>45257</v>
          </cell>
          <cell r="E536">
            <v>46346</v>
          </cell>
          <cell r="F536" t="str">
            <v>99412</v>
          </cell>
          <cell r="G536" t="str">
            <v>裕融二</v>
          </cell>
          <cell r="H536">
            <v>1000000</v>
          </cell>
          <cell r="I536">
            <v>3.25</v>
          </cell>
          <cell r="J536">
            <v>46346</v>
          </cell>
          <cell r="K536">
            <v>100</v>
          </cell>
          <cell r="L536">
            <v>46328</v>
          </cell>
          <cell r="M536">
            <v>-47637</v>
          </cell>
          <cell r="N536">
            <v>952363</v>
          </cell>
        </row>
        <row r="537">
          <cell r="A537">
            <v>99211</v>
          </cell>
          <cell r="B537">
            <v>531</v>
          </cell>
          <cell r="C537" t="str">
            <v>IASWD2311017367</v>
          </cell>
          <cell r="D537">
            <v>45258</v>
          </cell>
          <cell r="E537">
            <v>45821</v>
          </cell>
          <cell r="F537" t="str">
            <v>99211</v>
          </cell>
          <cell r="G537" t="str">
            <v>巨大一</v>
          </cell>
          <cell r="H537">
            <v>500000</v>
          </cell>
          <cell r="I537">
            <v>3.3</v>
          </cell>
          <cell r="J537">
            <v>45821</v>
          </cell>
          <cell r="K537">
            <v>100</v>
          </cell>
          <cell r="L537">
            <v>45800</v>
          </cell>
          <cell r="M537">
            <v>-24140</v>
          </cell>
          <cell r="N537">
            <v>475860</v>
          </cell>
        </row>
        <row r="538">
          <cell r="A538">
            <v>99211</v>
          </cell>
          <cell r="B538">
            <v>532</v>
          </cell>
          <cell r="C538" t="str">
            <v>IASWD2311017368</v>
          </cell>
          <cell r="D538">
            <v>45258</v>
          </cell>
          <cell r="E538">
            <v>45821</v>
          </cell>
          <cell r="F538" t="str">
            <v>99211</v>
          </cell>
          <cell r="G538" t="str">
            <v>巨大一</v>
          </cell>
          <cell r="H538">
            <v>100000</v>
          </cell>
          <cell r="I538">
            <v>3.3</v>
          </cell>
          <cell r="J538">
            <v>45821</v>
          </cell>
          <cell r="K538">
            <v>100</v>
          </cell>
          <cell r="L538">
            <v>45800</v>
          </cell>
          <cell r="M538">
            <v>-4828</v>
          </cell>
          <cell r="N538">
            <v>95172</v>
          </cell>
        </row>
        <row r="539">
          <cell r="A539">
            <v>99211</v>
          </cell>
          <cell r="B539">
            <v>533</v>
          </cell>
          <cell r="C539" t="str">
            <v>IASWD2311017369</v>
          </cell>
          <cell r="D539">
            <v>45258</v>
          </cell>
          <cell r="E539">
            <v>45821</v>
          </cell>
          <cell r="F539" t="str">
            <v>99211</v>
          </cell>
          <cell r="G539" t="str">
            <v>巨大一</v>
          </cell>
          <cell r="H539">
            <v>200000</v>
          </cell>
          <cell r="I539">
            <v>3.3</v>
          </cell>
          <cell r="J539">
            <v>45821</v>
          </cell>
          <cell r="K539">
            <v>100</v>
          </cell>
          <cell r="L539">
            <v>45800</v>
          </cell>
          <cell r="M539">
            <v>-9656</v>
          </cell>
          <cell r="N539">
            <v>190344</v>
          </cell>
        </row>
        <row r="540">
          <cell r="A540">
            <v>99211</v>
          </cell>
          <cell r="B540">
            <v>534</v>
          </cell>
          <cell r="C540" t="str">
            <v>IASWD2311017371</v>
          </cell>
          <cell r="D540">
            <v>45258</v>
          </cell>
          <cell r="E540">
            <v>45821</v>
          </cell>
          <cell r="F540" t="str">
            <v>99211</v>
          </cell>
          <cell r="G540" t="str">
            <v>巨大一</v>
          </cell>
          <cell r="H540">
            <v>400000</v>
          </cell>
          <cell r="I540">
            <v>3.3</v>
          </cell>
          <cell r="J540">
            <v>45821</v>
          </cell>
          <cell r="K540">
            <v>100</v>
          </cell>
          <cell r="L540">
            <v>45800</v>
          </cell>
          <cell r="M540">
            <v>-19312</v>
          </cell>
          <cell r="N540">
            <v>380688</v>
          </cell>
        </row>
        <row r="541">
          <cell r="A541">
            <v>22313</v>
          </cell>
          <cell r="B541">
            <v>535</v>
          </cell>
          <cell r="C541" t="str">
            <v>IASWD2311017372</v>
          </cell>
          <cell r="D541">
            <v>45258</v>
          </cell>
          <cell r="E541">
            <v>45898</v>
          </cell>
          <cell r="F541" t="str">
            <v>22313</v>
          </cell>
          <cell r="G541" t="str">
            <v>為升三</v>
          </cell>
          <cell r="H541">
            <v>400000</v>
          </cell>
          <cell r="I541">
            <v>3.75</v>
          </cell>
          <cell r="J541">
            <v>45898</v>
          </cell>
          <cell r="K541">
            <v>101.50749999999999</v>
          </cell>
          <cell r="L541">
            <v>45880</v>
          </cell>
          <cell r="M541">
            <v>-21945</v>
          </cell>
          <cell r="N541">
            <v>378055</v>
          </cell>
        </row>
        <row r="542">
          <cell r="A542">
            <v>99211</v>
          </cell>
          <cell r="B542">
            <v>536</v>
          </cell>
          <cell r="C542" t="str">
            <v>IASWD2311017375</v>
          </cell>
          <cell r="D542">
            <v>45258</v>
          </cell>
          <cell r="E542">
            <v>45821</v>
          </cell>
          <cell r="F542" t="str">
            <v>99211</v>
          </cell>
          <cell r="G542" t="str">
            <v>巨大一</v>
          </cell>
          <cell r="H542">
            <v>200000</v>
          </cell>
          <cell r="I542">
            <v>3.3</v>
          </cell>
          <cell r="J542">
            <v>45821</v>
          </cell>
          <cell r="K542">
            <v>100</v>
          </cell>
          <cell r="L542">
            <v>45800</v>
          </cell>
          <cell r="M542">
            <v>-9656</v>
          </cell>
          <cell r="N542">
            <v>190344</v>
          </cell>
        </row>
        <row r="543">
          <cell r="A543">
            <v>99211</v>
          </cell>
          <cell r="B543">
            <v>537</v>
          </cell>
          <cell r="C543" t="str">
            <v>IASWD2311017383</v>
          </cell>
          <cell r="D543">
            <v>45258</v>
          </cell>
          <cell r="E543">
            <v>45821</v>
          </cell>
          <cell r="F543" t="str">
            <v>99211</v>
          </cell>
          <cell r="G543" t="str">
            <v>巨大一</v>
          </cell>
          <cell r="H543">
            <v>100000</v>
          </cell>
          <cell r="I543">
            <v>3.3</v>
          </cell>
          <cell r="J543">
            <v>45821</v>
          </cell>
          <cell r="K543">
            <v>100</v>
          </cell>
          <cell r="L543">
            <v>45800</v>
          </cell>
          <cell r="M543">
            <v>-4828</v>
          </cell>
          <cell r="N543">
            <v>95172</v>
          </cell>
        </row>
        <row r="544">
          <cell r="A544">
            <v>99211</v>
          </cell>
          <cell r="B544">
            <v>538</v>
          </cell>
          <cell r="C544" t="str">
            <v>IASWD2311017384</v>
          </cell>
          <cell r="D544">
            <v>45258</v>
          </cell>
          <cell r="E544">
            <v>45821</v>
          </cell>
          <cell r="F544" t="str">
            <v>99211</v>
          </cell>
          <cell r="G544" t="str">
            <v>巨大一</v>
          </cell>
          <cell r="H544">
            <v>100000</v>
          </cell>
          <cell r="I544">
            <v>3.3</v>
          </cell>
          <cell r="J544">
            <v>45821</v>
          </cell>
          <cell r="K544">
            <v>100</v>
          </cell>
          <cell r="L544">
            <v>45800</v>
          </cell>
          <cell r="M544">
            <v>-4828</v>
          </cell>
          <cell r="N544">
            <v>95172</v>
          </cell>
        </row>
        <row r="545">
          <cell r="A545">
            <v>99211</v>
          </cell>
          <cell r="B545">
            <v>539</v>
          </cell>
          <cell r="C545" t="str">
            <v>IASWD2311017393</v>
          </cell>
          <cell r="D545">
            <v>45258</v>
          </cell>
          <cell r="E545">
            <v>45821</v>
          </cell>
          <cell r="F545" t="str">
            <v>99211</v>
          </cell>
          <cell r="G545" t="str">
            <v>巨大一</v>
          </cell>
          <cell r="H545">
            <v>100000</v>
          </cell>
          <cell r="I545">
            <v>3.3</v>
          </cell>
          <cell r="J545">
            <v>45821</v>
          </cell>
          <cell r="K545">
            <v>100</v>
          </cell>
          <cell r="L545">
            <v>45800</v>
          </cell>
          <cell r="M545">
            <v>-4828</v>
          </cell>
          <cell r="N545">
            <v>95172</v>
          </cell>
        </row>
        <row r="546">
          <cell r="A546">
            <v>99211</v>
          </cell>
          <cell r="B546">
            <v>540</v>
          </cell>
          <cell r="C546" t="str">
            <v>IASWD2311017395</v>
          </cell>
          <cell r="D546">
            <v>45258</v>
          </cell>
          <cell r="E546">
            <v>45821</v>
          </cell>
          <cell r="F546" t="str">
            <v>99211</v>
          </cell>
          <cell r="G546" t="str">
            <v>巨大一</v>
          </cell>
          <cell r="H546">
            <v>1100000</v>
          </cell>
          <cell r="I546">
            <v>3.3</v>
          </cell>
          <cell r="J546">
            <v>45821</v>
          </cell>
          <cell r="K546">
            <v>100</v>
          </cell>
          <cell r="L546">
            <v>45800</v>
          </cell>
          <cell r="M546">
            <v>-53107</v>
          </cell>
          <cell r="N546">
            <v>1046893</v>
          </cell>
        </row>
        <row r="547">
          <cell r="A547">
            <v>62822</v>
          </cell>
          <cell r="B547">
            <v>541</v>
          </cell>
          <cell r="C547" t="str">
            <v>IASWD2311017415</v>
          </cell>
          <cell r="D547">
            <v>45259</v>
          </cell>
          <cell r="E547">
            <v>46186</v>
          </cell>
          <cell r="F547" t="str">
            <v>62822</v>
          </cell>
          <cell r="G547" t="str">
            <v>康舒二</v>
          </cell>
          <cell r="H547">
            <v>100000</v>
          </cell>
          <cell r="I547">
            <v>3.5</v>
          </cell>
          <cell r="J547">
            <v>46186</v>
          </cell>
          <cell r="K547">
            <v>100</v>
          </cell>
          <cell r="L547">
            <v>46168</v>
          </cell>
          <cell r="M547">
            <v>-5111</v>
          </cell>
          <cell r="N547">
            <v>94889</v>
          </cell>
        </row>
        <row r="548">
          <cell r="A548">
            <v>99211</v>
          </cell>
          <cell r="B548">
            <v>542</v>
          </cell>
          <cell r="C548" t="str">
            <v>IASWD2311017420</v>
          </cell>
          <cell r="D548">
            <v>45259</v>
          </cell>
          <cell r="E548">
            <v>45821</v>
          </cell>
          <cell r="F548" t="str">
            <v>99211</v>
          </cell>
          <cell r="G548" t="str">
            <v>巨大一</v>
          </cell>
          <cell r="H548">
            <v>1000000</v>
          </cell>
          <cell r="I548">
            <v>3.3</v>
          </cell>
          <cell r="J548">
            <v>45821</v>
          </cell>
          <cell r="K548">
            <v>100</v>
          </cell>
          <cell r="L548">
            <v>45800</v>
          </cell>
          <cell r="M548">
            <v>-48189</v>
          </cell>
          <cell r="N548">
            <v>951811</v>
          </cell>
        </row>
        <row r="549">
          <cell r="A549">
            <v>99211</v>
          </cell>
          <cell r="B549">
            <v>543</v>
          </cell>
          <cell r="C549" t="str">
            <v>IASWD2311017424</v>
          </cell>
          <cell r="D549">
            <v>45259</v>
          </cell>
          <cell r="E549">
            <v>45821</v>
          </cell>
          <cell r="F549" t="str">
            <v>99211</v>
          </cell>
          <cell r="G549" t="str">
            <v>巨大一</v>
          </cell>
          <cell r="H549">
            <v>300000</v>
          </cell>
          <cell r="I549">
            <v>3.3</v>
          </cell>
          <cell r="J549">
            <v>45821</v>
          </cell>
          <cell r="K549">
            <v>100</v>
          </cell>
          <cell r="L549">
            <v>45800</v>
          </cell>
          <cell r="M549">
            <v>-14457</v>
          </cell>
          <cell r="N549">
            <v>285543</v>
          </cell>
        </row>
        <row r="550">
          <cell r="A550">
            <v>99211</v>
          </cell>
          <cell r="B550">
            <v>544</v>
          </cell>
          <cell r="C550" t="str">
            <v>IASWD2311017436</v>
          </cell>
          <cell r="D550">
            <v>45259</v>
          </cell>
          <cell r="E550">
            <v>45821</v>
          </cell>
          <cell r="F550" t="str">
            <v>99211</v>
          </cell>
          <cell r="G550" t="str">
            <v>巨大一</v>
          </cell>
          <cell r="H550">
            <v>600000</v>
          </cell>
          <cell r="I550">
            <v>3.3</v>
          </cell>
          <cell r="J550">
            <v>45821</v>
          </cell>
          <cell r="K550">
            <v>100</v>
          </cell>
          <cell r="L550">
            <v>45800</v>
          </cell>
          <cell r="M550">
            <v>-28913</v>
          </cell>
          <cell r="N550">
            <v>571087</v>
          </cell>
        </row>
        <row r="551">
          <cell r="A551">
            <v>68061</v>
          </cell>
          <cell r="B551">
            <v>545</v>
          </cell>
          <cell r="C551" t="str">
            <v>IASWD2311017444</v>
          </cell>
          <cell r="D551">
            <v>45259</v>
          </cell>
          <cell r="E551">
            <v>46348</v>
          </cell>
          <cell r="F551" t="str">
            <v>68061</v>
          </cell>
          <cell r="G551" t="str">
            <v>森崴能源一</v>
          </cell>
          <cell r="H551">
            <v>1400000</v>
          </cell>
          <cell r="I551">
            <v>2.1</v>
          </cell>
          <cell r="J551">
            <v>46348</v>
          </cell>
          <cell r="K551">
            <v>100</v>
          </cell>
          <cell r="L551">
            <v>46329</v>
          </cell>
          <cell r="M551">
            <v>-42932</v>
          </cell>
          <cell r="N551">
            <v>1357068</v>
          </cell>
        </row>
        <row r="552">
          <cell r="A552">
            <v>68061</v>
          </cell>
          <cell r="B552">
            <v>546</v>
          </cell>
          <cell r="C552" t="str">
            <v>IASWD2311017446</v>
          </cell>
          <cell r="D552">
            <v>45259</v>
          </cell>
          <cell r="E552">
            <v>46348</v>
          </cell>
          <cell r="F552" t="str">
            <v>68061</v>
          </cell>
          <cell r="G552" t="str">
            <v>森崴能源一</v>
          </cell>
          <cell r="H552">
            <v>100000</v>
          </cell>
          <cell r="I552">
            <v>2.1</v>
          </cell>
          <cell r="J552">
            <v>46348</v>
          </cell>
          <cell r="K552">
            <v>100</v>
          </cell>
          <cell r="L552">
            <v>46329</v>
          </cell>
          <cell r="M552">
            <v>-3067</v>
          </cell>
          <cell r="N552">
            <v>96933</v>
          </cell>
        </row>
        <row r="553">
          <cell r="A553">
            <v>99211</v>
          </cell>
          <cell r="B553">
            <v>547</v>
          </cell>
          <cell r="C553" t="str">
            <v>IASWD2311017447</v>
          </cell>
          <cell r="D553">
            <v>45260</v>
          </cell>
          <cell r="E553">
            <v>45821</v>
          </cell>
          <cell r="F553" t="str">
            <v>99211</v>
          </cell>
          <cell r="G553" t="str">
            <v>巨大一</v>
          </cell>
          <cell r="H553">
            <v>200000</v>
          </cell>
          <cell r="I553">
            <v>3.3</v>
          </cell>
          <cell r="J553">
            <v>45821</v>
          </cell>
          <cell r="K553">
            <v>100</v>
          </cell>
          <cell r="L553">
            <v>45800</v>
          </cell>
          <cell r="M553">
            <v>-9620</v>
          </cell>
          <cell r="N553">
            <v>190380</v>
          </cell>
        </row>
        <row r="554">
          <cell r="A554">
            <v>99211</v>
          </cell>
          <cell r="B554">
            <v>548</v>
          </cell>
          <cell r="C554" t="str">
            <v>IASWD2311017450</v>
          </cell>
          <cell r="D554">
            <v>45260</v>
          </cell>
          <cell r="E554">
            <v>45821</v>
          </cell>
          <cell r="F554" t="str">
            <v>99211</v>
          </cell>
          <cell r="G554" t="str">
            <v>巨大一</v>
          </cell>
          <cell r="H554">
            <v>400000</v>
          </cell>
          <cell r="I554">
            <v>3.3</v>
          </cell>
          <cell r="J554">
            <v>45821</v>
          </cell>
          <cell r="K554">
            <v>100</v>
          </cell>
          <cell r="L554">
            <v>45800</v>
          </cell>
          <cell r="M554">
            <v>-19239</v>
          </cell>
          <cell r="N554">
            <v>380761</v>
          </cell>
        </row>
        <row r="555">
          <cell r="A555">
            <v>99211</v>
          </cell>
          <cell r="B555">
            <v>549</v>
          </cell>
          <cell r="C555" t="str">
            <v>IASWD2311017458</v>
          </cell>
          <cell r="D555">
            <v>45260</v>
          </cell>
          <cell r="E555">
            <v>45821</v>
          </cell>
          <cell r="F555" t="str">
            <v>99211</v>
          </cell>
          <cell r="G555" t="str">
            <v>巨大一</v>
          </cell>
          <cell r="H555">
            <v>200000</v>
          </cell>
          <cell r="I555">
            <v>3.3</v>
          </cell>
          <cell r="J555">
            <v>45821</v>
          </cell>
          <cell r="K555">
            <v>100</v>
          </cell>
          <cell r="L555">
            <v>45800</v>
          </cell>
          <cell r="M555">
            <v>-9620</v>
          </cell>
          <cell r="N555">
            <v>190380</v>
          </cell>
        </row>
        <row r="556">
          <cell r="A556">
            <v>99211</v>
          </cell>
          <cell r="B556">
            <v>550</v>
          </cell>
          <cell r="C556" t="str">
            <v>IASWD2311017466</v>
          </cell>
          <cell r="D556">
            <v>45260</v>
          </cell>
          <cell r="E556">
            <v>45821</v>
          </cell>
          <cell r="F556" t="str">
            <v>99211</v>
          </cell>
          <cell r="G556" t="str">
            <v>巨大一</v>
          </cell>
          <cell r="H556">
            <v>500000</v>
          </cell>
          <cell r="I556">
            <v>3.3</v>
          </cell>
          <cell r="J556">
            <v>45821</v>
          </cell>
          <cell r="K556">
            <v>100</v>
          </cell>
          <cell r="L556">
            <v>45800</v>
          </cell>
          <cell r="M556">
            <v>-24049</v>
          </cell>
          <cell r="N556">
            <v>475951</v>
          </cell>
        </row>
        <row r="557">
          <cell r="A557">
            <v>21043</v>
          </cell>
          <cell r="B557">
            <v>551</v>
          </cell>
          <cell r="C557" t="str">
            <v>IASWD2311017469</v>
          </cell>
          <cell r="D557">
            <v>45260</v>
          </cell>
          <cell r="E557">
            <v>46308</v>
          </cell>
          <cell r="F557" t="str">
            <v>21043</v>
          </cell>
          <cell r="G557" t="str">
            <v>國際中橡三</v>
          </cell>
          <cell r="H557">
            <v>100000</v>
          </cell>
          <cell r="I557">
            <v>2.9</v>
          </cell>
          <cell r="J557">
            <v>46308</v>
          </cell>
          <cell r="K557">
            <v>100.9</v>
          </cell>
          <cell r="L557">
            <v>46288</v>
          </cell>
          <cell r="M557">
            <v>-4227</v>
          </cell>
          <cell r="N557">
            <v>95773</v>
          </cell>
        </row>
        <row r="558">
          <cell r="A558">
            <v>99211</v>
          </cell>
          <cell r="B558">
            <v>552</v>
          </cell>
          <cell r="C558" t="str">
            <v>IASWD2311017471</v>
          </cell>
          <cell r="D558">
            <v>45260</v>
          </cell>
          <cell r="E558">
            <v>45821</v>
          </cell>
          <cell r="F558" t="str">
            <v>99211</v>
          </cell>
          <cell r="G558" t="str">
            <v>巨大一</v>
          </cell>
          <cell r="H558">
            <v>200000</v>
          </cell>
          <cell r="I558">
            <v>3.3</v>
          </cell>
          <cell r="J558">
            <v>45821</v>
          </cell>
          <cell r="K558">
            <v>100</v>
          </cell>
          <cell r="L558">
            <v>45800</v>
          </cell>
          <cell r="M558">
            <v>-9620</v>
          </cell>
          <cell r="N558">
            <v>190380</v>
          </cell>
        </row>
        <row r="559">
          <cell r="A559">
            <v>99211</v>
          </cell>
          <cell r="B559">
            <v>553</v>
          </cell>
          <cell r="C559" t="str">
            <v>IASWD2311017476</v>
          </cell>
          <cell r="D559">
            <v>45260</v>
          </cell>
          <cell r="E559">
            <v>45821</v>
          </cell>
          <cell r="F559" t="str">
            <v>99211</v>
          </cell>
          <cell r="G559" t="str">
            <v>巨大一</v>
          </cell>
          <cell r="H559">
            <v>100000</v>
          </cell>
          <cell r="I559">
            <v>3.3</v>
          </cell>
          <cell r="J559">
            <v>45821</v>
          </cell>
          <cell r="K559">
            <v>100</v>
          </cell>
          <cell r="L559">
            <v>45800</v>
          </cell>
          <cell r="M559">
            <v>-4810</v>
          </cell>
          <cell r="N559">
            <v>95190</v>
          </cell>
        </row>
        <row r="560">
          <cell r="A560">
            <v>99211</v>
          </cell>
          <cell r="B560">
            <v>554</v>
          </cell>
          <cell r="C560" t="str">
            <v>IASWD2311017479</v>
          </cell>
          <cell r="D560">
            <v>45260</v>
          </cell>
          <cell r="E560">
            <v>45821</v>
          </cell>
          <cell r="F560" t="str">
            <v>99211</v>
          </cell>
          <cell r="G560" t="str">
            <v>巨大一</v>
          </cell>
          <cell r="H560">
            <v>100000</v>
          </cell>
          <cell r="I560">
            <v>3.3</v>
          </cell>
          <cell r="J560">
            <v>45821</v>
          </cell>
          <cell r="K560">
            <v>100</v>
          </cell>
          <cell r="L560">
            <v>45800</v>
          </cell>
          <cell r="M560">
            <v>-4810</v>
          </cell>
          <cell r="N560">
            <v>95190</v>
          </cell>
        </row>
        <row r="561">
          <cell r="A561">
            <v>21043</v>
          </cell>
          <cell r="B561">
            <v>555</v>
          </cell>
          <cell r="C561" t="str">
            <v>IASWD2311017485</v>
          </cell>
          <cell r="D561">
            <v>45260</v>
          </cell>
          <cell r="E561">
            <v>46308</v>
          </cell>
          <cell r="F561" t="str">
            <v>21043</v>
          </cell>
          <cell r="G561" t="str">
            <v>國際中橡三</v>
          </cell>
          <cell r="H561">
            <v>100000</v>
          </cell>
          <cell r="I561">
            <v>2.9</v>
          </cell>
          <cell r="J561">
            <v>46308</v>
          </cell>
          <cell r="K561">
            <v>100.9</v>
          </cell>
          <cell r="L561">
            <v>46288</v>
          </cell>
          <cell r="M561">
            <v>-4227</v>
          </cell>
          <cell r="N561">
            <v>95773</v>
          </cell>
        </row>
        <row r="562">
          <cell r="A562">
            <v>99211</v>
          </cell>
          <cell r="B562">
            <v>556</v>
          </cell>
          <cell r="C562" t="str">
            <v>IASWD2312000003</v>
          </cell>
          <cell r="D562">
            <v>45261</v>
          </cell>
          <cell r="E562">
            <v>45821</v>
          </cell>
          <cell r="F562" t="str">
            <v>99211</v>
          </cell>
          <cell r="G562" t="str">
            <v>巨大一</v>
          </cell>
          <cell r="H562">
            <v>1000000</v>
          </cell>
          <cell r="I562">
            <v>3.3</v>
          </cell>
          <cell r="J562">
            <v>45821</v>
          </cell>
          <cell r="K562">
            <v>100</v>
          </cell>
          <cell r="L562">
            <v>45800</v>
          </cell>
          <cell r="M562">
            <v>-48008</v>
          </cell>
          <cell r="N562">
            <v>951992</v>
          </cell>
        </row>
        <row r="563">
          <cell r="A563">
            <v>21043</v>
          </cell>
          <cell r="B563">
            <v>557</v>
          </cell>
          <cell r="C563" t="str">
            <v>IASWD2312000010</v>
          </cell>
          <cell r="D563">
            <v>45261</v>
          </cell>
          <cell r="E563">
            <v>46308</v>
          </cell>
          <cell r="F563" t="str">
            <v>21043</v>
          </cell>
          <cell r="G563" t="str">
            <v>國際中橡三</v>
          </cell>
          <cell r="H563">
            <v>100000</v>
          </cell>
          <cell r="I563">
            <v>2.9</v>
          </cell>
          <cell r="J563">
            <v>46308</v>
          </cell>
          <cell r="K563">
            <v>100.9</v>
          </cell>
          <cell r="L563">
            <v>46288</v>
          </cell>
          <cell r="M563">
            <v>-4219</v>
          </cell>
          <cell r="N563">
            <v>95781</v>
          </cell>
        </row>
        <row r="564">
          <cell r="A564">
            <v>99412</v>
          </cell>
          <cell r="B564">
            <v>558</v>
          </cell>
          <cell r="C564" t="str">
            <v>IASWD2312000011</v>
          </cell>
          <cell r="D564">
            <v>45261</v>
          </cell>
          <cell r="E564">
            <v>46346</v>
          </cell>
          <cell r="F564" t="str">
            <v>99412</v>
          </cell>
          <cell r="G564" t="str">
            <v>裕融二</v>
          </cell>
          <cell r="H564">
            <v>1000000</v>
          </cell>
          <cell r="I564">
            <v>3.5</v>
          </cell>
          <cell r="J564">
            <v>46346</v>
          </cell>
          <cell r="K564">
            <v>100</v>
          </cell>
          <cell r="L564">
            <v>46328</v>
          </cell>
          <cell r="M564">
            <v>-50918</v>
          </cell>
          <cell r="N564">
            <v>949082</v>
          </cell>
        </row>
        <row r="565">
          <cell r="A565">
            <v>62822</v>
          </cell>
          <cell r="B565">
            <v>559</v>
          </cell>
          <cell r="C565" t="str">
            <v>IASWD2312000012</v>
          </cell>
          <cell r="D565">
            <v>45261</v>
          </cell>
          <cell r="E565">
            <v>46186</v>
          </cell>
          <cell r="F565" t="str">
            <v>62822</v>
          </cell>
          <cell r="G565" t="str">
            <v>康舒二</v>
          </cell>
          <cell r="H565">
            <v>100000</v>
          </cell>
          <cell r="I565">
            <v>3.5</v>
          </cell>
          <cell r="J565">
            <v>46186</v>
          </cell>
          <cell r="K565">
            <v>100</v>
          </cell>
          <cell r="L565">
            <v>46168</v>
          </cell>
          <cell r="M565">
            <v>-5092</v>
          </cell>
          <cell r="N565">
            <v>94908</v>
          </cell>
        </row>
        <row r="566">
          <cell r="A566">
            <v>99211</v>
          </cell>
          <cell r="B566">
            <v>560</v>
          </cell>
          <cell r="C566" t="str">
            <v>IASWD2312000020</v>
          </cell>
          <cell r="D566">
            <v>45261</v>
          </cell>
          <cell r="E566">
            <v>45821</v>
          </cell>
          <cell r="F566" t="str">
            <v>99211</v>
          </cell>
          <cell r="G566" t="str">
            <v>巨大一</v>
          </cell>
          <cell r="H566">
            <v>100000</v>
          </cell>
          <cell r="I566">
            <v>3.3</v>
          </cell>
          <cell r="J566">
            <v>45821</v>
          </cell>
          <cell r="K566">
            <v>100</v>
          </cell>
          <cell r="L566">
            <v>45800</v>
          </cell>
          <cell r="M566">
            <v>-4801</v>
          </cell>
          <cell r="N566">
            <v>95199</v>
          </cell>
        </row>
        <row r="567">
          <cell r="A567">
            <v>99211</v>
          </cell>
          <cell r="B567">
            <v>561</v>
          </cell>
          <cell r="C567" t="str">
            <v>IASWD2312000023</v>
          </cell>
          <cell r="D567">
            <v>45261</v>
          </cell>
          <cell r="E567">
            <v>45821</v>
          </cell>
          <cell r="F567" t="str">
            <v>99211</v>
          </cell>
          <cell r="G567" t="str">
            <v>巨大一</v>
          </cell>
          <cell r="H567">
            <v>200000</v>
          </cell>
          <cell r="I567">
            <v>3.3</v>
          </cell>
          <cell r="J567">
            <v>45821</v>
          </cell>
          <cell r="K567">
            <v>100</v>
          </cell>
          <cell r="L567">
            <v>45800</v>
          </cell>
          <cell r="M567">
            <v>-9602</v>
          </cell>
          <cell r="N567">
            <v>190398</v>
          </cell>
        </row>
        <row r="568">
          <cell r="A568">
            <v>99412</v>
          </cell>
          <cell r="B568">
            <v>562</v>
          </cell>
          <cell r="C568" t="str">
            <v>IASWD2312000025</v>
          </cell>
          <cell r="D568">
            <v>45261</v>
          </cell>
          <cell r="E568">
            <v>46346</v>
          </cell>
          <cell r="F568" t="str">
            <v>99412</v>
          </cell>
          <cell r="G568" t="str">
            <v>裕融二</v>
          </cell>
          <cell r="H568">
            <v>1000000</v>
          </cell>
          <cell r="I568">
            <v>3.5</v>
          </cell>
          <cell r="J568">
            <v>46346</v>
          </cell>
          <cell r="K568">
            <v>100</v>
          </cell>
          <cell r="L568">
            <v>46328</v>
          </cell>
          <cell r="M568">
            <v>-50918</v>
          </cell>
          <cell r="N568">
            <v>949082</v>
          </cell>
        </row>
        <row r="569">
          <cell r="A569">
            <v>99412</v>
          </cell>
          <cell r="B569">
            <v>563</v>
          </cell>
          <cell r="C569" t="str">
            <v>IASWD2312000032</v>
          </cell>
          <cell r="D569">
            <v>45261</v>
          </cell>
          <cell r="E569">
            <v>46346</v>
          </cell>
          <cell r="F569" t="str">
            <v>99412</v>
          </cell>
          <cell r="G569" t="str">
            <v>裕融二</v>
          </cell>
          <cell r="H569">
            <v>2000000</v>
          </cell>
          <cell r="I569">
            <v>3.5</v>
          </cell>
          <cell r="J569">
            <v>46346</v>
          </cell>
          <cell r="K569">
            <v>100</v>
          </cell>
          <cell r="L569">
            <v>46328</v>
          </cell>
          <cell r="M569">
            <v>-101836</v>
          </cell>
          <cell r="N569">
            <v>1898164</v>
          </cell>
        </row>
        <row r="570">
          <cell r="A570">
            <v>99412</v>
          </cell>
          <cell r="B570">
            <v>564</v>
          </cell>
          <cell r="C570" t="str">
            <v>IASWD2312000142</v>
          </cell>
          <cell r="D570">
            <v>45264</v>
          </cell>
          <cell r="E570">
            <v>46346</v>
          </cell>
          <cell r="F570" t="str">
            <v>99412</v>
          </cell>
          <cell r="G570" t="str">
            <v>裕融二</v>
          </cell>
          <cell r="H570">
            <v>1000000</v>
          </cell>
          <cell r="I570">
            <v>3.5</v>
          </cell>
          <cell r="J570">
            <v>46346</v>
          </cell>
          <cell r="K570">
            <v>100</v>
          </cell>
          <cell r="L570">
            <v>46328</v>
          </cell>
          <cell r="M570">
            <v>-50630</v>
          </cell>
          <cell r="N570">
            <v>949370</v>
          </cell>
        </row>
        <row r="571">
          <cell r="A571">
            <v>99412</v>
          </cell>
          <cell r="B571">
            <v>565</v>
          </cell>
          <cell r="C571" t="str">
            <v>IASWD2312000158</v>
          </cell>
          <cell r="D571">
            <v>45264</v>
          </cell>
          <cell r="E571">
            <v>46346</v>
          </cell>
          <cell r="F571" t="str">
            <v>99412</v>
          </cell>
          <cell r="G571" t="str">
            <v>裕融二</v>
          </cell>
          <cell r="H571">
            <v>1000000</v>
          </cell>
          <cell r="I571">
            <v>3.5</v>
          </cell>
          <cell r="J571">
            <v>46346</v>
          </cell>
          <cell r="K571">
            <v>100</v>
          </cell>
          <cell r="L571">
            <v>46328</v>
          </cell>
          <cell r="M571">
            <v>-50630</v>
          </cell>
          <cell r="N571">
            <v>949370</v>
          </cell>
        </row>
        <row r="572">
          <cell r="A572">
            <v>99211</v>
          </cell>
          <cell r="B572">
            <v>566</v>
          </cell>
          <cell r="C572" t="str">
            <v>IASWD2312000162</v>
          </cell>
          <cell r="D572">
            <v>45264</v>
          </cell>
          <cell r="E572">
            <v>45821</v>
          </cell>
          <cell r="F572" t="str">
            <v>99211</v>
          </cell>
          <cell r="G572" t="str">
            <v>巨大一</v>
          </cell>
          <cell r="H572">
            <v>1700000</v>
          </cell>
          <cell r="I572">
            <v>3.3</v>
          </cell>
          <cell r="J572">
            <v>45821</v>
          </cell>
          <cell r="K572">
            <v>100</v>
          </cell>
          <cell r="L572">
            <v>45800</v>
          </cell>
          <cell r="M572">
            <v>-81153</v>
          </cell>
          <cell r="N572">
            <v>1618847</v>
          </cell>
        </row>
        <row r="573">
          <cell r="A573">
            <v>21043</v>
          </cell>
          <cell r="B573">
            <v>567</v>
          </cell>
          <cell r="C573" t="str">
            <v>IASWD2312000165</v>
          </cell>
          <cell r="D573">
            <v>45264</v>
          </cell>
          <cell r="E573">
            <v>46308</v>
          </cell>
          <cell r="F573" t="str">
            <v>21043</v>
          </cell>
          <cell r="G573" t="str">
            <v>國際中橡三</v>
          </cell>
          <cell r="H573">
            <v>200000</v>
          </cell>
          <cell r="I573">
            <v>2.9</v>
          </cell>
          <cell r="J573">
            <v>46308</v>
          </cell>
          <cell r="K573">
            <v>100.9</v>
          </cell>
          <cell r="L573">
            <v>46288</v>
          </cell>
          <cell r="M573">
            <v>-8390</v>
          </cell>
          <cell r="N573">
            <v>191610</v>
          </cell>
        </row>
        <row r="574">
          <cell r="A574">
            <v>21043</v>
          </cell>
          <cell r="B574">
            <v>568</v>
          </cell>
          <cell r="C574" t="str">
            <v>IASWD2312000166</v>
          </cell>
          <cell r="D574">
            <v>45264</v>
          </cell>
          <cell r="E574">
            <v>46308</v>
          </cell>
          <cell r="F574" t="str">
            <v>21043</v>
          </cell>
          <cell r="G574" t="str">
            <v>國際中橡三</v>
          </cell>
          <cell r="H574">
            <v>500000</v>
          </cell>
          <cell r="I574">
            <v>2.9</v>
          </cell>
          <cell r="J574">
            <v>46308</v>
          </cell>
          <cell r="K574">
            <v>100.9</v>
          </cell>
          <cell r="L574">
            <v>46288</v>
          </cell>
          <cell r="M574">
            <v>-20975</v>
          </cell>
          <cell r="N574">
            <v>479025</v>
          </cell>
        </row>
        <row r="575">
          <cell r="A575">
            <v>62822</v>
          </cell>
          <cell r="B575">
            <v>569</v>
          </cell>
          <cell r="C575" t="str">
            <v>IASWD2312000170</v>
          </cell>
          <cell r="D575">
            <v>45264</v>
          </cell>
          <cell r="E575">
            <v>46186</v>
          </cell>
          <cell r="F575" t="str">
            <v>62822</v>
          </cell>
          <cell r="G575" t="str">
            <v>康舒二</v>
          </cell>
          <cell r="H575">
            <v>100000</v>
          </cell>
          <cell r="I575">
            <v>3.5</v>
          </cell>
          <cell r="J575">
            <v>46186</v>
          </cell>
          <cell r="K575">
            <v>100</v>
          </cell>
          <cell r="L575">
            <v>46168</v>
          </cell>
          <cell r="M575">
            <v>-5063</v>
          </cell>
          <cell r="N575">
            <v>94937</v>
          </cell>
        </row>
        <row r="576">
          <cell r="A576">
            <v>99412</v>
          </cell>
          <cell r="B576">
            <v>570</v>
          </cell>
          <cell r="C576" t="str">
            <v>IASWD2312000171</v>
          </cell>
          <cell r="D576">
            <v>45264</v>
          </cell>
          <cell r="E576">
            <v>46346</v>
          </cell>
          <cell r="F576" t="str">
            <v>99412</v>
          </cell>
          <cell r="G576" t="str">
            <v>裕融二</v>
          </cell>
          <cell r="H576">
            <v>100000</v>
          </cell>
          <cell r="I576">
            <v>3.5</v>
          </cell>
          <cell r="J576">
            <v>46346</v>
          </cell>
          <cell r="K576">
            <v>100</v>
          </cell>
          <cell r="L576">
            <v>46328</v>
          </cell>
          <cell r="M576">
            <v>-5063</v>
          </cell>
          <cell r="N576">
            <v>94937</v>
          </cell>
        </row>
        <row r="577">
          <cell r="A577">
            <v>99211</v>
          </cell>
          <cell r="B577">
            <v>571</v>
          </cell>
          <cell r="C577" t="str">
            <v>IASWD2312000176</v>
          </cell>
          <cell r="D577">
            <v>45264</v>
          </cell>
          <cell r="E577">
            <v>45821</v>
          </cell>
          <cell r="F577" t="str">
            <v>99211</v>
          </cell>
          <cell r="G577" t="str">
            <v>巨大一</v>
          </cell>
          <cell r="H577">
            <v>100000</v>
          </cell>
          <cell r="I577">
            <v>3.3</v>
          </cell>
          <cell r="J577">
            <v>45821</v>
          </cell>
          <cell r="K577">
            <v>100</v>
          </cell>
          <cell r="L577">
            <v>45800</v>
          </cell>
          <cell r="M577">
            <v>-4774</v>
          </cell>
          <cell r="N577">
            <v>95226</v>
          </cell>
        </row>
        <row r="578">
          <cell r="A578">
            <v>21043</v>
          </cell>
          <cell r="B578">
            <v>572</v>
          </cell>
          <cell r="C578" t="str">
            <v>IASWD2312000178</v>
          </cell>
          <cell r="D578">
            <v>45264</v>
          </cell>
          <cell r="E578">
            <v>46308</v>
          </cell>
          <cell r="F578" t="str">
            <v>21043</v>
          </cell>
          <cell r="G578" t="str">
            <v>國際中橡三</v>
          </cell>
          <cell r="H578">
            <v>200000</v>
          </cell>
          <cell r="I578">
            <v>2.9</v>
          </cell>
          <cell r="J578">
            <v>46308</v>
          </cell>
          <cell r="K578">
            <v>100.9</v>
          </cell>
          <cell r="L578">
            <v>46288</v>
          </cell>
          <cell r="M578">
            <v>-8390</v>
          </cell>
          <cell r="N578">
            <v>191610</v>
          </cell>
        </row>
        <row r="579">
          <cell r="A579">
            <v>99412</v>
          </cell>
          <cell r="B579">
            <v>573</v>
          </cell>
          <cell r="C579" t="str">
            <v>IASWD2312000182</v>
          </cell>
          <cell r="D579">
            <v>45264</v>
          </cell>
          <cell r="E579">
            <v>46346</v>
          </cell>
          <cell r="F579" t="str">
            <v>99412</v>
          </cell>
          <cell r="G579" t="str">
            <v>裕融二</v>
          </cell>
          <cell r="H579">
            <v>3000000</v>
          </cell>
          <cell r="I579">
            <v>3.5</v>
          </cell>
          <cell r="J579">
            <v>46346</v>
          </cell>
          <cell r="K579">
            <v>100</v>
          </cell>
          <cell r="L579">
            <v>46328</v>
          </cell>
          <cell r="M579">
            <v>-151890</v>
          </cell>
          <cell r="N579">
            <v>2848110</v>
          </cell>
        </row>
        <row r="580">
          <cell r="A580">
            <v>99211</v>
          </cell>
          <cell r="B580">
            <v>574</v>
          </cell>
          <cell r="C580" t="str">
            <v>IASWD2312000183</v>
          </cell>
          <cell r="D580">
            <v>45264</v>
          </cell>
          <cell r="E580">
            <v>45821</v>
          </cell>
          <cell r="F580" t="str">
            <v>99211</v>
          </cell>
          <cell r="G580" t="str">
            <v>巨大一</v>
          </cell>
          <cell r="H580">
            <v>100000</v>
          </cell>
          <cell r="I580">
            <v>3.3</v>
          </cell>
          <cell r="J580">
            <v>45821</v>
          </cell>
          <cell r="K580">
            <v>100</v>
          </cell>
          <cell r="L580">
            <v>45800</v>
          </cell>
          <cell r="M580">
            <v>-4774</v>
          </cell>
          <cell r="N580">
            <v>95226</v>
          </cell>
        </row>
        <row r="581">
          <cell r="A581">
            <v>99211</v>
          </cell>
          <cell r="B581">
            <v>575</v>
          </cell>
          <cell r="C581" t="str">
            <v>IASWD2312000187</v>
          </cell>
          <cell r="D581">
            <v>45264</v>
          </cell>
          <cell r="E581">
            <v>45821</v>
          </cell>
          <cell r="F581" t="str">
            <v>99211</v>
          </cell>
          <cell r="G581" t="str">
            <v>巨大一</v>
          </cell>
          <cell r="H581">
            <v>300000</v>
          </cell>
          <cell r="I581">
            <v>3.3</v>
          </cell>
          <cell r="J581">
            <v>45821</v>
          </cell>
          <cell r="K581">
            <v>100</v>
          </cell>
          <cell r="L581">
            <v>45800</v>
          </cell>
          <cell r="M581">
            <v>-14321</v>
          </cell>
          <cell r="N581">
            <v>285679</v>
          </cell>
        </row>
        <row r="582">
          <cell r="A582">
            <v>99211</v>
          </cell>
          <cell r="B582">
            <v>576</v>
          </cell>
          <cell r="C582" t="str">
            <v>IASWD2312000189</v>
          </cell>
          <cell r="D582">
            <v>45264</v>
          </cell>
          <cell r="E582">
            <v>45821</v>
          </cell>
          <cell r="F582" t="str">
            <v>99211</v>
          </cell>
          <cell r="G582" t="str">
            <v>巨大一</v>
          </cell>
          <cell r="H582">
            <v>1000000</v>
          </cell>
          <cell r="I582">
            <v>3.3</v>
          </cell>
          <cell r="J582">
            <v>45821</v>
          </cell>
          <cell r="K582">
            <v>100</v>
          </cell>
          <cell r="L582">
            <v>45800</v>
          </cell>
          <cell r="M582">
            <v>-47737</v>
          </cell>
          <cell r="N582">
            <v>952263</v>
          </cell>
        </row>
        <row r="583">
          <cell r="A583">
            <v>62822</v>
          </cell>
          <cell r="B583">
            <v>577</v>
          </cell>
          <cell r="C583" t="str">
            <v>IASWD2312000190</v>
          </cell>
          <cell r="D583">
            <v>45264</v>
          </cell>
          <cell r="E583">
            <v>46186</v>
          </cell>
          <cell r="F583" t="str">
            <v>62822</v>
          </cell>
          <cell r="G583" t="str">
            <v>康舒二</v>
          </cell>
          <cell r="H583">
            <v>200000</v>
          </cell>
          <cell r="I583">
            <v>3.5</v>
          </cell>
          <cell r="J583">
            <v>46186</v>
          </cell>
          <cell r="K583">
            <v>100</v>
          </cell>
          <cell r="L583">
            <v>46168</v>
          </cell>
          <cell r="M583">
            <v>-10126</v>
          </cell>
          <cell r="N583">
            <v>189874</v>
          </cell>
        </row>
        <row r="584">
          <cell r="A584">
            <v>99412</v>
          </cell>
          <cell r="B584">
            <v>578</v>
          </cell>
          <cell r="C584" t="str">
            <v>IASWD2312000195</v>
          </cell>
          <cell r="D584">
            <v>45265</v>
          </cell>
          <cell r="E584">
            <v>46346</v>
          </cell>
          <cell r="F584" t="str">
            <v>99412</v>
          </cell>
          <cell r="G584" t="str">
            <v>裕融二</v>
          </cell>
          <cell r="H584">
            <v>400000</v>
          </cell>
          <cell r="I584">
            <v>3.5</v>
          </cell>
          <cell r="J584">
            <v>46346</v>
          </cell>
          <cell r="K584">
            <v>100</v>
          </cell>
          <cell r="L584">
            <v>46328</v>
          </cell>
          <cell r="M584">
            <v>-20214</v>
          </cell>
          <cell r="N584">
            <v>379786</v>
          </cell>
        </row>
        <row r="585">
          <cell r="A585">
            <v>99412</v>
          </cell>
          <cell r="B585">
            <v>579</v>
          </cell>
          <cell r="C585" t="str">
            <v>IASWD2312000198</v>
          </cell>
          <cell r="D585">
            <v>45265</v>
          </cell>
          <cell r="E585">
            <v>46346</v>
          </cell>
          <cell r="F585" t="str">
            <v>99412</v>
          </cell>
          <cell r="G585" t="str">
            <v>裕融二</v>
          </cell>
          <cell r="H585">
            <v>300000</v>
          </cell>
          <cell r="I585">
            <v>3.5</v>
          </cell>
          <cell r="J585">
            <v>46346</v>
          </cell>
          <cell r="K585">
            <v>100</v>
          </cell>
          <cell r="L585">
            <v>46328</v>
          </cell>
          <cell r="M585">
            <v>-15160</v>
          </cell>
          <cell r="N585">
            <v>284840</v>
          </cell>
        </row>
        <row r="586">
          <cell r="A586">
            <v>99412</v>
          </cell>
          <cell r="B586">
            <v>580</v>
          </cell>
          <cell r="C586" t="str">
            <v>IASWD2312000201</v>
          </cell>
          <cell r="D586">
            <v>45265</v>
          </cell>
          <cell r="E586">
            <v>46346</v>
          </cell>
          <cell r="F586" t="str">
            <v>99412</v>
          </cell>
          <cell r="G586" t="str">
            <v>裕融二</v>
          </cell>
          <cell r="H586">
            <v>100000</v>
          </cell>
          <cell r="I586">
            <v>3.5</v>
          </cell>
          <cell r="J586">
            <v>46346</v>
          </cell>
          <cell r="K586">
            <v>100</v>
          </cell>
          <cell r="L586">
            <v>46328</v>
          </cell>
          <cell r="M586">
            <v>-5053</v>
          </cell>
          <cell r="N586">
            <v>94947</v>
          </cell>
        </row>
        <row r="587">
          <cell r="A587">
            <v>99211</v>
          </cell>
          <cell r="B587">
            <v>581</v>
          </cell>
          <cell r="C587" t="str">
            <v>IASWD2312000202</v>
          </cell>
          <cell r="D587">
            <v>45265</v>
          </cell>
          <cell r="E587">
            <v>45821</v>
          </cell>
          <cell r="F587" t="str">
            <v>99211</v>
          </cell>
          <cell r="G587" t="str">
            <v>巨大一</v>
          </cell>
          <cell r="H587">
            <v>400000</v>
          </cell>
          <cell r="I587">
            <v>3.3</v>
          </cell>
          <cell r="J587">
            <v>45821</v>
          </cell>
          <cell r="K587">
            <v>100</v>
          </cell>
          <cell r="L587">
            <v>45800</v>
          </cell>
          <cell r="M587">
            <v>-19059</v>
          </cell>
          <cell r="N587">
            <v>380941</v>
          </cell>
        </row>
        <row r="588">
          <cell r="A588">
            <v>99412</v>
          </cell>
          <cell r="B588">
            <v>582</v>
          </cell>
          <cell r="C588" t="str">
            <v>IASWD2312000208</v>
          </cell>
          <cell r="D588">
            <v>45265</v>
          </cell>
          <cell r="E588">
            <v>46346</v>
          </cell>
          <cell r="F588" t="str">
            <v>99412</v>
          </cell>
          <cell r="G588" t="str">
            <v>裕融二</v>
          </cell>
          <cell r="H588">
            <v>2000000</v>
          </cell>
          <cell r="I588">
            <v>3.5</v>
          </cell>
          <cell r="J588">
            <v>46346</v>
          </cell>
          <cell r="K588">
            <v>100</v>
          </cell>
          <cell r="L588">
            <v>46328</v>
          </cell>
          <cell r="M588">
            <v>-101068</v>
          </cell>
          <cell r="N588">
            <v>1898932</v>
          </cell>
        </row>
        <row r="589">
          <cell r="A589">
            <v>21043</v>
          </cell>
          <cell r="B589">
            <v>583</v>
          </cell>
          <cell r="C589" t="str">
            <v>IASWD2312000210</v>
          </cell>
          <cell r="D589">
            <v>45265</v>
          </cell>
          <cell r="E589">
            <v>46308</v>
          </cell>
          <cell r="F589" t="str">
            <v>21043</v>
          </cell>
          <cell r="G589" t="str">
            <v>國際中橡三</v>
          </cell>
          <cell r="H589">
            <v>200000</v>
          </cell>
          <cell r="I589">
            <v>2.9</v>
          </cell>
          <cell r="J589">
            <v>46308</v>
          </cell>
          <cell r="K589">
            <v>100.9</v>
          </cell>
          <cell r="L589">
            <v>46288</v>
          </cell>
          <cell r="M589">
            <v>-8374</v>
          </cell>
          <cell r="N589">
            <v>191626</v>
          </cell>
        </row>
        <row r="590">
          <cell r="A590">
            <v>99412</v>
          </cell>
          <cell r="B590">
            <v>584</v>
          </cell>
          <cell r="C590" t="str">
            <v>IASWD2312000214</v>
          </cell>
          <cell r="D590">
            <v>45265</v>
          </cell>
          <cell r="E590">
            <v>46346</v>
          </cell>
          <cell r="F590" t="str">
            <v>99412</v>
          </cell>
          <cell r="G590" t="str">
            <v>裕融二</v>
          </cell>
          <cell r="H590">
            <v>200000</v>
          </cell>
          <cell r="I590">
            <v>3.5</v>
          </cell>
          <cell r="J590">
            <v>46346</v>
          </cell>
          <cell r="K590">
            <v>100</v>
          </cell>
          <cell r="L590">
            <v>46328</v>
          </cell>
          <cell r="M590">
            <v>-10107</v>
          </cell>
          <cell r="N590">
            <v>189893</v>
          </cell>
        </row>
        <row r="591">
          <cell r="A591">
            <v>99412</v>
          </cell>
          <cell r="B591">
            <v>585</v>
          </cell>
          <cell r="C591" t="str">
            <v>IASWD2312000215</v>
          </cell>
          <cell r="D591">
            <v>45265</v>
          </cell>
          <cell r="E591">
            <v>46346</v>
          </cell>
          <cell r="F591" t="str">
            <v>99412</v>
          </cell>
          <cell r="G591" t="str">
            <v>裕融二</v>
          </cell>
          <cell r="H591">
            <v>300000</v>
          </cell>
          <cell r="I591">
            <v>3.5</v>
          </cell>
          <cell r="J591">
            <v>46346</v>
          </cell>
          <cell r="K591">
            <v>100</v>
          </cell>
          <cell r="L591">
            <v>46328</v>
          </cell>
          <cell r="M591">
            <v>-15160</v>
          </cell>
          <cell r="N591">
            <v>284840</v>
          </cell>
        </row>
        <row r="592">
          <cell r="A592">
            <v>62822</v>
          </cell>
          <cell r="B592">
            <v>586</v>
          </cell>
          <cell r="C592" t="str">
            <v>IASWD2312000218</v>
          </cell>
          <cell r="D592">
            <v>45265</v>
          </cell>
          <cell r="E592">
            <v>46186</v>
          </cell>
          <cell r="F592" t="str">
            <v>62822</v>
          </cell>
          <cell r="G592" t="str">
            <v>康舒二</v>
          </cell>
          <cell r="H592">
            <v>200000</v>
          </cell>
          <cell r="I592">
            <v>3.5</v>
          </cell>
          <cell r="J592">
            <v>46186</v>
          </cell>
          <cell r="K592">
            <v>100</v>
          </cell>
          <cell r="L592">
            <v>46168</v>
          </cell>
          <cell r="M592">
            <v>-10107</v>
          </cell>
          <cell r="N592">
            <v>189893</v>
          </cell>
        </row>
        <row r="593">
          <cell r="A593">
            <v>99412</v>
          </cell>
          <cell r="B593">
            <v>587</v>
          </cell>
          <cell r="C593" t="str">
            <v>IASWD2312000220</v>
          </cell>
          <cell r="D593">
            <v>45265</v>
          </cell>
          <cell r="E593">
            <v>46346</v>
          </cell>
          <cell r="F593" t="str">
            <v>99412</v>
          </cell>
          <cell r="G593" t="str">
            <v>裕融二</v>
          </cell>
          <cell r="H593">
            <v>200000</v>
          </cell>
          <cell r="I593">
            <v>3.5</v>
          </cell>
          <cell r="J593">
            <v>46346</v>
          </cell>
          <cell r="K593">
            <v>100</v>
          </cell>
          <cell r="L593">
            <v>46328</v>
          </cell>
          <cell r="M593">
            <v>-10107</v>
          </cell>
          <cell r="N593">
            <v>189893</v>
          </cell>
        </row>
        <row r="594">
          <cell r="A594">
            <v>21043</v>
          </cell>
          <cell r="B594">
            <v>588</v>
          </cell>
          <cell r="C594" t="str">
            <v>IASWD2312000223</v>
          </cell>
          <cell r="D594">
            <v>45265</v>
          </cell>
          <cell r="E594">
            <v>46308</v>
          </cell>
          <cell r="F594" t="str">
            <v>21043</v>
          </cell>
          <cell r="G594" t="str">
            <v>國際中橡三</v>
          </cell>
          <cell r="H594">
            <v>400000</v>
          </cell>
          <cell r="I594">
            <v>2.9</v>
          </cell>
          <cell r="J594">
            <v>46308</v>
          </cell>
          <cell r="K594">
            <v>100.9</v>
          </cell>
          <cell r="L594">
            <v>46288</v>
          </cell>
          <cell r="M594">
            <v>-16748</v>
          </cell>
          <cell r="N594">
            <v>383252</v>
          </cell>
        </row>
        <row r="595">
          <cell r="A595">
            <v>22313</v>
          </cell>
          <cell r="B595">
            <v>589</v>
          </cell>
          <cell r="C595" t="str">
            <v>IASWD2312000226</v>
          </cell>
          <cell r="D595">
            <v>45265</v>
          </cell>
          <cell r="E595">
            <v>45898</v>
          </cell>
          <cell r="F595" t="str">
            <v>22313</v>
          </cell>
          <cell r="G595" t="str">
            <v>為升三</v>
          </cell>
          <cell r="H595">
            <v>200000</v>
          </cell>
          <cell r="I595">
            <v>3.75</v>
          </cell>
          <cell r="J595">
            <v>45898</v>
          </cell>
          <cell r="K595">
            <v>101.50749999999999</v>
          </cell>
          <cell r="L595">
            <v>45880</v>
          </cell>
          <cell r="M595">
            <v>-10829</v>
          </cell>
          <cell r="N595">
            <v>189171</v>
          </cell>
        </row>
        <row r="596">
          <cell r="A596">
            <v>99412</v>
          </cell>
          <cell r="B596">
            <v>590</v>
          </cell>
          <cell r="C596" t="str">
            <v>IASWD2312000228</v>
          </cell>
          <cell r="D596">
            <v>45265</v>
          </cell>
          <cell r="E596">
            <v>46346</v>
          </cell>
          <cell r="F596" t="str">
            <v>99412</v>
          </cell>
          <cell r="G596" t="str">
            <v>裕融二</v>
          </cell>
          <cell r="H596">
            <v>300000</v>
          </cell>
          <cell r="I596">
            <v>3.5</v>
          </cell>
          <cell r="J596">
            <v>46346</v>
          </cell>
          <cell r="K596">
            <v>100</v>
          </cell>
          <cell r="L596">
            <v>46328</v>
          </cell>
          <cell r="M596">
            <v>-15160</v>
          </cell>
          <cell r="N596">
            <v>284840</v>
          </cell>
        </row>
        <row r="597">
          <cell r="A597">
            <v>99412</v>
          </cell>
          <cell r="B597">
            <v>591</v>
          </cell>
          <cell r="C597" t="str">
            <v>IASWD2312000231</v>
          </cell>
          <cell r="D597">
            <v>45265</v>
          </cell>
          <cell r="E597">
            <v>46346</v>
          </cell>
          <cell r="F597" t="str">
            <v>99412</v>
          </cell>
          <cell r="G597" t="str">
            <v>裕融二</v>
          </cell>
          <cell r="H597">
            <v>500000</v>
          </cell>
          <cell r="I597">
            <v>3.5</v>
          </cell>
          <cell r="J597">
            <v>46346</v>
          </cell>
          <cell r="K597">
            <v>100</v>
          </cell>
          <cell r="L597">
            <v>46328</v>
          </cell>
          <cell r="M597">
            <v>-25267</v>
          </cell>
          <cell r="N597">
            <v>474733</v>
          </cell>
        </row>
        <row r="598">
          <cell r="A598">
            <v>62822</v>
          </cell>
          <cell r="B598">
            <v>592</v>
          </cell>
          <cell r="C598" t="str">
            <v>IASWD2312000242</v>
          </cell>
          <cell r="D598">
            <v>45266</v>
          </cell>
          <cell r="E598">
            <v>46186</v>
          </cell>
          <cell r="F598" t="str">
            <v>62822</v>
          </cell>
          <cell r="G598" t="str">
            <v>康舒二</v>
          </cell>
          <cell r="H598">
            <v>100000</v>
          </cell>
          <cell r="I598">
            <v>3.5</v>
          </cell>
          <cell r="J598">
            <v>46186</v>
          </cell>
          <cell r="K598">
            <v>100</v>
          </cell>
          <cell r="L598">
            <v>46168</v>
          </cell>
          <cell r="M598">
            <v>-5044</v>
          </cell>
          <cell r="N598">
            <v>94956</v>
          </cell>
        </row>
        <row r="599">
          <cell r="A599">
            <v>21043</v>
          </cell>
          <cell r="B599">
            <v>593</v>
          </cell>
          <cell r="C599" t="str">
            <v>IASWD2312000243</v>
          </cell>
          <cell r="D599">
            <v>45266</v>
          </cell>
          <cell r="E599">
            <v>46308</v>
          </cell>
          <cell r="F599" t="str">
            <v>21043</v>
          </cell>
          <cell r="G599" t="str">
            <v>國際中橡三</v>
          </cell>
          <cell r="H599">
            <v>100000</v>
          </cell>
          <cell r="I599">
            <v>2.9</v>
          </cell>
          <cell r="J599">
            <v>46308</v>
          </cell>
          <cell r="K599">
            <v>100.9</v>
          </cell>
          <cell r="L599">
            <v>46288</v>
          </cell>
          <cell r="M599">
            <v>-4179</v>
          </cell>
          <cell r="N599">
            <v>95821</v>
          </cell>
        </row>
        <row r="600">
          <cell r="A600">
            <v>99412</v>
          </cell>
          <cell r="B600">
            <v>594</v>
          </cell>
          <cell r="C600" t="str">
            <v>IASWD2312000244</v>
          </cell>
          <cell r="D600">
            <v>45266</v>
          </cell>
          <cell r="E600">
            <v>46346</v>
          </cell>
          <cell r="F600" t="str">
            <v>99412</v>
          </cell>
          <cell r="G600" t="str">
            <v>裕融二</v>
          </cell>
          <cell r="H600">
            <v>200000</v>
          </cell>
          <cell r="I600">
            <v>3.5</v>
          </cell>
          <cell r="J600">
            <v>46346</v>
          </cell>
          <cell r="K600">
            <v>100</v>
          </cell>
          <cell r="L600">
            <v>46328</v>
          </cell>
          <cell r="M600">
            <v>-10088</v>
          </cell>
          <cell r="N600">
            <v>189912</v>
          </cell>
        </row>
        <row r="601">
          <cell r="A601">
            <v>99412</v>
          </cell>
          <cell r="B601">
            <v>595</v>
          </cell>
          <cell r="C601" t="str">
            <v>IASWD2312000254</v>
          </cell>
          <cell r="D601">
            <v>45266</v>
          </cell>
          <cell r="E601">
            <v>46346</v>
          </cell>
          <cell r="F601" t="str">
            <v>99412</v>
          </cell>
          <cell r="G601" t="str">
            <v>裕融二</v>
          </cell>
          <cell r="H601">
            <v>200000</v>
          </cell>
          <cell r="I601">
            <v>3.5</v>
          </cell>
          <cell r="J601">
            <v>46346</v>
          </cell>
          <cell r="K601">
            <v>100</v>
          </cell>
          <cell r="L601">
            <v>46328</v>
          </cell>
          <cell r="M601">
            <v>-10088</v>
          </cell>
          <cell r="N601">
            <v>189912</v>
          </cell>
        </row>
        <row r="602">
          <cell r="A602">
            <v>99412</v>
          </cell>
          <cell r="B602">
            <v>596</v>
          </cell>
          <cell r="C602" t="str">
            <v>IASWD2312000257</v>
          </cell>
          <cell r="D602">
            <v>45266</v>
          </cell>
          <cell r="E602">
            <v>46346</v>
          </cell>
          <cell r="F602" t="str">
            <v>99412</v>
          </cell>
          <cell r="G602" t="str">
            <v>裕融二</v>
          </cell>
          <cell r="H602">
            <v>100000</v>
          </cell>
          <cell r="I602">
            <v>3.5</v>
          </cell>
          <cell r="J602">
            <v>46346</v>
          </cell>
          <cell r="K602">
            <v>100</v>
          </cell>
          <cell r="L602">
            <v>46328</v>
          </cell>
          <cell r="M602">
            <v>-5044</v>
          </cell>
          <cell r="N602">
            <v>94956</v>
          </cell>
        </row>
        <row r="603">
          <cell r="A603">
            <v>99412</v>
          </cell>
          <cell r="B603">
            <v>597</v>
          </cell>
          <cell r="C603" t="str">
            <v>IASWD2312000259</v>
          </cell>
          <cell r="D603">
            <v>45266</v>
          </cell>
          <cell r="E603">
            <v>46346</v>
          </cell>
          <cell r="F603" t="str">
            <v>99412</v>
          </cell>
          <cell r="G603" t="str">
            <v>裕融二</v>
          </cell>
          <cell r="H603">
            <v>400000</v>
          </cell>
          <cell r="I603">
            <v>3.5</v>
          </cell>
          <cell r="J603">
            <v>46346</v>
          </cell>
          <cell r="K603">
            <v>100</v>
          </cell>
          <cell r="L603">
            <v>46328</v>
          </cell>
          <cell r="M603">
            <v>-20175</v>
          </cell>
          <cell r="N603">
            <v>379825</v>
          </cell>
        </row>
        <row r="604">
          <cell r="A604">
            <v>99412</v>
          </cell>
          <cell r="B604">
            <v>598</v>
          </cell>
          <cell r="C604" t="str">
            <v>IASWD2312000261</v>
          </cell>
          <cell r="D604">
            <v>45266</v>
          </cell>
          <cell r="E604">
            <v>46346</v>
          </cell>
          <cell r="F604" t="str">
            <v>99412</v>
          </cell>
          <cell r="G604" t="str">
            <v>裕融二</v>
          </cell>
          <cell r="H604">
            <v>200000</v>
          </cell>
          <cell r="I604">
            <v>3.5</v>
          </cell>
          <cell r="J604">
            <v>46346</v>
          </cell>
          <cell r="K604">
            <v>100</v>
          </cell>
          <cell r="L604">
            <v>46328</v>
          </cell>
          <cell r="M604">
            <v>-10088</v>
          </cell>
          <cell r="N604">
            <v>189912</v>
          </cell>
        </row>
        <row r="605">
          <cell r="A605">
            <v>99412</v>
          </cell>
          <cell r="B605">
            <v>599</v>
          </cell>
          <cell r="C605" t="str">
            <v>IASWD2312000264</v>
          </cell>
          <cell r="D605">
            <v>45266</v>
          </cell>
          <cell r="E605">
            <v>46346</v>
          </cell>
          <cell r="F605" t="str">
            <v>99412</v>
          </cell>
          <cell r="G605" t="str">
            <v>裕融二</v>
          </cell>
          <cell r="H605">
            <v>1400000</v>
          </cell>
          <cell r="I605">
            <v>3.5</v>
          </cell>
          <cell r="J605">
            <v>46346</v>
          </cell>
          <cell r="K605">
            <v>100</v>
          </cell>
          <cell r="L605">
            <v>46328</v>
          </cell>
          <cell r="M605">
            <v>-70614</v>
          </cell>
          <cell r="N605">
            <v>1329386</v>
          </cell>
        </row>
        <row r="606">
          <cell r="A606">
            <v>99412</v>
          </cell>
          <cell r="B606">
            <v>600</v>
          </cell>
          <cell r="C606" t="str">
            <v>IASWD2312000267</v>
          </cell>
          <cell r="D606">
            <v>45266</v>
          </cell>
          <cell r="E606">
            <v>46346</v>
          </cell>
          <cell r="F606" t="str">
            <v>99412</v>
          </cell>
          <cell r="G606" t="str">
            <v>裕融二</v>
          </cell>
          <cell r="H606">
            <v>100000</v>
          </cell>
          <cell r="I606">
            <v>3.5</v>
          </cell>
          <cell r="J606">
            <v>46346</v>
          </cell>
          <cell r="K606">
            <v>100</v>
          </cell>
          <cell r="L606">
            <v>46328</v>
          </cell>
          <cell r="M606">
            <v>-5044</v>
          </cell>
          <cell r="N606">
            <v>94956</v>
          </cell>
        </row>
        <row r="607">
          <cell r="A607">
            <v>62822</v>
          </cell>
          <cell r="B607">
            <v>601</v>
          </cell>
          <cell r="C607" t="str">
            <v>IASWD2312000269</v>
          </cell>
          <cell r="D607">
            <v>45266</v>
          </cell>
          <cell r="E607">
            <v>46186</v>
          </cell>
          <cell r="F607" t="str">
            <v>62822</v>
          </cell>
          <cell r="G607" t="str">
            <v>康舒二</v>
          </cell>
          <cell r="H607">
            <v>200000</v>
          </cell>
          <cell r="I607">
            <v>3.5</v>
          </cell>
          <cell r="J607">
            <v>46186</v>
          </cell>
          <cell r="K607">
            <v>100</v>
          </cell>
          <cell r="L607">
            <v>46168</v>
          </cell>
          <cell r="M607">
            <v>-10088</v>
          </cell>
          <cell r="N607">
            <v>189912</v>
          </cell>
        </row>
        <row r="608">
          <cell r="A608">
            <v>99412</v>
          </cell>
          <cell r="B608">
            <v>602</v>
          </cell>
          <cell r="C608" t="str">
            <v>IASWD2312000270</v>
          </cell>
          <cell r="D608">
            <v>45266</v>
          </cell>
          <cell r="E608">
            <v>46346</v>
          </cell>
          <cell r="F608" t="str">
            <v>99412</v>
          </cell>
          <cell r="G608" t="str">
            <v>裕融二</v>
          </cell>
          <cell r="H608">
            <v>100000</v>
          </cell>
          <cell r="I608">
            <v>3.5</v>
          </cell>
          <cell r="J608">
            <v>46346</v>
          </cell>
          <cell r="K608">
            <v>100</v>
          </cell>
          <cell r="L608">
            <v>46328</v>
          </cell>
          <cell r="M608">
            <v>-5044</v>
          </cell>
          <cell r="N608">
            <v>94956</v>
          </cell>
        </row>
        <row r="609">
          <cell r="A609">
            <v>99211</v>
          </cell>
          <cell r="B609">
            <v>603</v>
          </cell>
          <cell r="C609" t="str">
            <v>IASWD2312000273</v>
          </cell>
          <cell r="D609">
            <v>45266</v>
          </cell>
          <cell r="E609">
            <v>45821</v>
          </cell>
          <cell r="F609" t="str">
            <v>99211</v>
          </cell>
          <cell r="G609" t="str">
            <v>巨大一</v>
          </cell>
          <cell r="H609">
            <v>200000</v>
          </cell>
          <cell r="I609">
            <v>3.3</v>
          </cell>
          <cell r="J609">
            <v>45821</v>
          </cell>
          <cell r="K609">
            <v>100</v>
          </cell>
          <cell r="L609">
            <v>45800</v>
          </cell>
          <cell r="M609">
            <v>-9511</v>
          </cell>
          <cell r="N609">
            <v>190489</v>
          </cell>
        </row>
        <row r="610">
          <cell r="A610">
            <v>62822</v>
          </cell>
          <cell r="B610">
            <v>604</v>
          </cell>
          <cell r="C610" t="str">
            <v>IASWD2312000279</v>
          </cell>
          <cell r="D610">
            <v>45266</v>
          </cell>
          <cell r="E610">
            <v>46186</v>
          </cell>
          <cell r="F610" t="str">
            <v>62822</v>
          </cell>
          <cell r="G610" t="str">
            <v>康舒二</v>
          </cell>
          <cell r="H610">
            <v>100000</v>
          </cell>
          <cell r="I610">
            <v>3.5</v>
          </cell>
          <cell r="J610">
            <v>46186</v>
          </cell>
          <cell r="K610">
            <v>100</v>
          </cell>
          <cell r="L610">
            <v>46168</v>
          </cell>
          <cell r="M610">
            <v>-5044</v>
          </cell>
          <cell r="N610">
            <v>94956</v>
          </cell>
        </row>
        <row r="611">
          <cell r="A611">
            <v>21043</v>
          </cell>
          <cell r="B611">
            <v>605</v>
          </cell>
          <cell r="C611" t="str">
            <v>IASWD2312000281</v>
          </cell>
          <cell r="D611">
            <v>45266</v>
          </cell>
          <cell r="E611">
            <v>46308</v>
          </cell>
          <cell r="F611" t="str">
            <v>21043</v>
          </cell>
          <cell r="G611" t="str">
            <v>國際中橡三</v>
          </cell>
          <cell r="H611">
            <v>300000</v>
          </cell>
          <cell r="I611">
            <v>2.9</v>
          </cell>
          <cell r="J611">
            <v>46308</v>
          </cell>
          <cell r="K611">
            <v>100.9</v>
          </cell>
          <cell r="L611">
            <v>46288</v>
          </cell>
          <cell r="M611">
            <v>-12538</v>
          </cell>
          <cell r="N611">
            <v>287462</v>
          </cell>
        </row>
        <row r="612">
          <cell r="A612">
            <v>99211</v>
          </cell>
          <cell r="B612">
            <v>606</v>
          </cell>
          <cell r="C612" t="str">
            <v>IASWD2312000284</v>
          </cell>
          <cell r="D612">
            <v>45267</v>
          </cell>
          <cell r="E612">
            <v>45821</v>
          </cell>
          <cell r="F612" t="str">
            <v>99211</v>
          </cell>
          <cell r="G612" t="str">
            <v>巨大一</v>
          </cell>
          <cell r="H612">
            <v>100000</v>
          </cell>
          <cell r="I612">
            <v>3.3</v>
          </cell>
          <cell r="J612">
            <v>45821</v>
          </cell>
          <cell r="K612">
            <v>100</v>
          </cell>
          <cell r="L612">
            <v>45800</v>
          </cell>
          <cell r="M612">
            <v>-4747</v>
          </cell>
          <cell r="N612">
            <v>95253</v>
          </cell>
        </row>
        <row r="613">
          <cell r="A613">
            <v>15991</v>
          </cell>
          <cell r="B613">
            <v>607</v>
          </cell>
          <cell r="C613" t="str">
            <v>IASWD2312000286</v>
          </cell>
          <cell r="D613">
            <v>45267</v>
          </cell>
          <cell r="E613">
            <v>45979</v>
          </cell>
          <cell r="F613" t="str">
            <v>15991</v>
          </cell>
          <cell r="G613" t="str">
            <v>宏佳騰一</v>
          </cell>
          <cell r="H613">
            <v>100000</v>
          </cell>
          <cell r="I613">
            <v>2.15</v>
          </cell>
          <cell r="J613">
            <v>45979</v>
          </cell>
          <cell r="K613">
            <v>100</v>
          </cell>
          <cell r="L613">
            <v>45959</v>
          </cell>
          <cell r="M613">
            <v>-3092</v>
          </cell>
          <cell r="N613">
            <v>96908</v>
          </cell>
        </row>
        <row r="614">
          <cell r="A614">
            <v>99412</v>
          </cell>
          <cell r="B614">
            <v>608</v>
          </cell>
          <cell r="C614" t="str">
            <v>IASWD2312000287</v>
          </cell>
          <cell r="D614">
            <v>45267</v>
          </cell>
          <cell r="E614">
            <v>46346</v>
          </cell>
          <cell r="F614" t="str">
            <v>99412</v>
          </cell>
          <cell r="G614" t="str">
            <v>裕融二</v>
          </cell>
          <cell r="H614">
            <v>200000</v>
          </cell>
          <cell r="I614">
            <v>3.5</v>
          </cell>
          <cell r="J614">
            <v>46346</v>
          </cell>
          <cell r="K614">
            <v>100</v>
          </cell>
          <cell r="L614">
            <v>46328</v>
          </cell>
          <cell r="M614">
            <v>-10068</v>
          </cell>
          <cell r="N614">
            <v>189932</v>
          </cell>
        </row>
        <row r="615">
          <cell r="A615">
            <v>22313</v>
          </cell>
          <cell r="B615">
            <v>609</v>
          </cell>
          <cell r="C615" t="str">
            <v>IASWD2312000298</v>
          </cell>
          <cell r="D615">
            <v>45267</v>
          </cell>
          <cell r="E615">
            <v>45898</v>
          </cell>
          <cell r="F615" t="str">
            <v>22313</v>
          </cell>
          <cell r="G615" t="str">
            <v>為升三</v>
          </cell>
          <cell r="H615">
            <v>300000</v>
          </cell>
          <cell r="I615">
            <v>3.75</v>
          </cell>
          <cell r="J615">
            <v>45898</v>
          </cell>
          <cell r="K615">
            <v>101.50749999999999</v>
          </cell>
          <cell r="L615">
            <v>45880</v>
          </cell>
          <cell r="M615">
            <v>-16182</v>
          </cell>
          <cell r="N615">
            <v>283818</v>
          </cell>
        </row>
        <row r="616">
          <cell r="A616">
            <v>99412</v>
          </cell>
          <cell r="B616">
            <v>610</v>
          </cell>
          <cell r="C616" t="str">
            <v>IASWD2312000302</v>
          </cell>
          <cell r="D616">
            <v>45267</v>
          </cell>
          <cell r="E616">
            <v>46346</v>
          </cell>
          <cell r="F616" t="str">
            <v>99412</v>
          </cell>
          <cell r="G616" t="str">
            <v>裕融二</v>
          </cell>
          <cell r="H616">
            <v>500000</v>
          </cell>
          <cell r="I616">
            <v>3.5</v>
          </cell>
          <cell r="J616">
            <v>46346</v>
          </cell>
          <cell r="K616">
            <v>100</v>
          </cell>
          <cell r="L616">
            <v>46328</v>
          </cell>
          <cell r="M616">
            <v>-25171</v>
          </cell>
          <cell r="N616">
            <v>474829</v>
          </cell>
        </row>
        <row r="617">
          <cell r="A617">
            <v>99412</v>
          </cell>
          <cell r="B617">
            <v>611</v>
          </cell>
          <cell r="C617" t="str">
            <v>IASWD2312000303</v>
          </cell>
          <cell r="D617">
            <v>45267</v>
          </cell>
          <cell r="E617">
            <v>46346</v>
          </cell>
          <cell r="F617" t="str">
            <v>99412</v>
          </cell>
          <cell r="G617" t="str">
            <v>裕融二</v>
          </cell>
          <cell r="H617">
            <v>1000000</v>
          </cell>
          <cell r="I617">
            <v>3.5</v>
          </cell>
          <cell r="J617">
            <v>46346</v>
          </cell>
          <cell r="K617">
            <v>100</v>
          </cell>
          <cell r="L617">
            <v>46328</v>
          </cell>
          <cell r="M617">
            <v>-50342</v>
          </cell>
          <cell r="N617">
            <v>949658</v>
          </cell>
        </row>
        <row r="618">
          <cell r="A618">
            <v>99211</v>
          </cell>
          <cell r="B618">
            <v>612</v>
          </cell>
          <cell r="C618" t="str">
            <v>IASWD2312000304</v>
          </cell>
          <cell r="D618">
            <v>45267</v>
          </cell>
          <cell r="E618">
            <v>45821</v>
          </cell>
          <cell r="F618" t="str">
            <v>99211</v>
          </cell>
          <cell r="G618" t="str">
            <v>巨大一</v>
          </cell>
          <cell r="H618">
            <v>100000</v>
          </cell>
          <cell r="I618">
            <v>3.3</v>
          </cell>
          <cell r="J618">
            <v>45821</v>
          </cell>
          <cell r="K618">
            <v>100</v>
          </cell>
          <cell r="L618">
            <v>45800</v>
          </cell>
          <cell r="M618">
            <v>-4747</v>
          </cell>
          <cell r="N618">
            <v>95253</v>
          </cell>
        </row>
        <row r="619">
          <cell r="A619">
            <v>22313</v>
          </cell>
          <cell r="B619">
            <v>613</v>
          </cell>
          <cell r="C619" t="str">
            <v>IASWD2312000305</v>
          </cell>
          <cell r="D619">
            <v>45267</v>
          </cell>
          <cell r="E619">
            <v>45898</v>
          </cell>
          <cell r="F619" t="str">
            <v>22313</v>
          </cell>
          <cell r="G619" t="str">
            <v>為升三</v>
          </cell>
          <cell r="H619">
            <v>100000</v>
          </cell>
          <cell r="I619">
            <v>3.75</v>
          </cell>
          <cell r="J619">
            <v>45898</v>
          </cell>
          <cell r="K619">
            <v>101.50749999999999</v>
          </cell>
          <cell r="L619">
            <v>45880</v>
          </cell>
          <cell r="M619">
            <v>-5394</v>
          </cell>
          <cell r="N619">
            <v>94606</v>
          </cell>
        </row>
        <row r="620">
          <cell r="A620">
            <v>99412</v>
          </cell>
          <cell r="B620">
            <v>614</v>
          </cell>
          <cell r="C620" t="str">
            <v>IASWD2312000307</v>
          </cell>
          <cell r="D620">
            <v>45267</v>
          </cell>
          <cell r="E620">
            <v>46346</v>
          </cell>
          <cell r="F620" t="str">
            <v>99412</v>
          </cell>
          <cell r="G620" t="str">
            <v>裕融二</v>
          </cell>
          <cell r="H620">
            <v>1000000</v>
          </cell>
          <cell r="I620">
            <v>3.5</v>
          </cell>
          <cell r="J620">
            <v>46346</v>
          </cell>
          <cell r="K620">
            <v>100</v>
          </cell>
          <cell r="L620">
            <v>46328</v>
          </cell>
          <cell r="M620">
            <v>-50342</v>
          </cell>
          <cell r="N620">
            <v>949658</v>
          </cell>
        </row>
        <row r="621">
          <cell r="A621">
            <v>99412</v>
          </cell>
          <cell r="B621">
            <v>615</v>
          </cell>
          <cell r="C621" t="str">
            <v>IASWD2312000309</v>
          </cell>
          <cell r="D621">
            <v>45267</v>
          </cell>
          <cell r="E621">
            <v>46346</v>
          </cell>
          <cell r="F621" t="str">
            <v>99412</v>
          </cell>
          <cell r="G621" t="str">
            <v>裕融二</v>
          </cell>
          <cell r="H621">
            <v>300000</v>
          </cell>
          <cell r="I621">
            <v>3.5</v>
          </cell>
          <cell r="J621">
            <v>46346</v>
          </cell>
          <cell r="K621">
            <v>100</v>
          </cell>
          <cell r="L621">
            <v>46328</v>
          </cell>
          <cell r="M621">
            <v>-15103</v>
          </cell>
          <cell r="N621">
            <v>284897</v>
          </cell>
        </row>
        <row r="622">
          <cell r="A622">
            <v>62822</v>
          </cell>
          <cell r="B622">
            <v>616</v>
          </cell>
          <cell r="C622" t="str">
            <v>IASWD2312000311</v>
          </cell>
          <cell r="D622">
            <v>45267</v>
          </cell>
          <cell r="E622">
            <v>46186</v>
          </cell>
          <cell r="F622" t="str">
            <v>62822</v>
          </cell>
          <cell r="G622" t="str">
            <v>康舒二</v>
          </cell>
          <cell r="H622">
            <v>200000</v>
          </cell>
          <cell r="I622">
            <v>3.5</v>
          </cell>
          <cell r="J622">
            <v>46186</v>
          </cell>
          <cell r="K622">
            <v>100</v>
          </cell>
          <cell r="L622">
            <v>46168</v>
          </cell>
          <cell r="M622">
            <v>-10068</v>
          </cell>
          <cell r="N622">
            <v>189932</v>
          </cell>
        </row>
        <row r="623">
          <cell r="A623">
            <v>22313</v>
          </cell>
          <cell r="B623">
            <v>617</v>
          </cell>
          <cell r="C623" t="str">
            <v>IASWD2312000313</v>
          </cell>
          <cell r="D623">
            <v>45267</v>
          </cell>
          <cell r="E623">
            <v>45898</v>
          </cell>
          <cell r="F623" t="str">
            <v>22313</v>
          </cell>
          <cell r="G623" t="str">
            <v>為升三</v>
          </cell>
          <cell r="H623">
            <v>100000</v>
          </cell>
          <cell r="I623">
            <v>3.75</v>
          </cell>
          <cell r="J623">
            <v>45898</v>
          </cell>
          <cell r="K623">
            <v>101.50749999999999</v>
          </cell>
          <cell r="L623">
            <v>45880</v>
          </cell>
          <cell r="M623">
            <v>-5394</v>
          </cell>
          <cell r="N623">
            <v>94606</v>
          </cell>
        </row>
        <row r="624">
          <cell r="A624">
            <v>99412</v>
          </cell>
          <cell r="B624">
            <v>618</v>
          </cell>
          <cell r="C624" t="str">
            <v>IASWD2312000314</v>
          </cell>
          <cell r="D624">
            <v>45267</v>
          </cell>
          <cell r="E624">
            <v>46346</v>
          </cell>
          <cell r="F624" t="str">
            <v>99412</v>
          </cell>
          <cell r="G624" t="str">
            <v>裕融二</v>
          </cell>
          <cell r="H624">
            <v>100000</v>
          </cell>
          <cell r="I624">
            <v>3.5</v>
          </cell>
          <cell r="J624">
            <v>46346</v>
          </cell>
          <cell r="K624">
            <v>100</v>
          </cell>
          <cell r="L624">
            <v>46328</v>
          </cell>
          <cell r="M624">
            <v>-5034</v>
          </cell>
          <cell r="N624">
            <v>94966</v>
          </cell>
        </row>
        <row r="625">
          <cell r="A625">
            <v>99211</v>
          </cell>
          <cell r="B625">
            <v>619</v>
          </cell>
          <cell r="C625" t="str">
            <v>IASWD2312000317</v>
          </cell>
          <cell r="D625">
            <v>45267</v>
          </cell>
          <cell r="E625">
            <v>45821</v>
          </cell>
          <cell r="F625" t="str">
            <v>99211</v>
          </cell>
          <cell r="G625" t="str">
            <v>巨大一</v>
          </cell>
          <cell r="H625">
            <v>100000</v>
          </cell>
          <cell r="I625">
            <v>3.3</v>
          </cell>
          <cell r="J625">
            <v>45821</v>
          </cell>
          <cell r="K625">
            <v>100</v>
          </cell>
          <cell r="L625">
            <v>45800</v>
          </cell>
          <cell r="M625">
            <v>-4747</v>
          </cell>
          <cell r="N625">
            <v>95253</v>
          </cell>
        </row>
        <row r="626">
          <cell r="A626">
            <v>21043</v>
          </cell>
          <cell r="B626">
            <v>620</v>
          </cell>
          <cell r="C626" t="str">
            <v>IASWD2312000321</v>
          </cell>
          <cell r="D626">
            <v>45268</v>
          </cell>
          <cell r="E626">
            <v>46308</v>
          </cell>
          <cell r="F626" t="str">
            <v>21043</v>
          </cell>
          <cell r="G626" t="str">
            <v>國際中橡三</v>
          </cell>
          <cell r="H626">
            <v>100000</v>
          </cell>
          <cell r="I626">
            <v>2.9</v>
          </cell>
          <cell r="J626">
            <v>46308</v>
          </cell>
          <cell r="K626">
            <v>100.9</v>
          </cell>
          <cell r="L626">
            <v>46288</v>
          </cell>
          <cell r="M626">
            <v>-4163</v>
          </cell>
          <cell r="N626">
            <v>95837</v>
          </cell>
        </row>
        <row r="627">
          <cell r="A627">
            <v>99412</v>
          </cell>
          <cell r="B627">
            <v>621</v>
          </cell>
          <cell r="C627" t="str">
            <v>IASWD2312000326</v>
          </cell>
          <cell r="D627">
            <v>45268</v>
          </cell>
          <cell r="E627">
            <v>46346</v>
          </cell>
          <cell r="F627" t="str">
            <v>99412</v>
          </cell>
          <cell r="G627" t="str">
            <v>裕融二</v>
          </cell>
          <cell r="H627">
            <v>100000</v>
          </cell>
          <cell r="I627">
            <v>3.5</v>
          </cell>
          <cell r="J627">
            <v>46346</v>
          </cell>
          <cell r="K627">
            <v>100</v>
          </cell>
          <cell r="L627">
            <v>46328</v>
          </cell>
          <cell r="M627">
            <v>-5025</v>
          </cell>
          <cell r="N627">
            <v>94975</v>
          </cell>
        </row>
        <row r="628">
          <cell r="A628">
            <v>62822</v>
          </cell>
          <cell r="B628">
            <v>622</v>
          </cell>
          <cell r="C628" t="str">
            <v>IASWD2312000327</v>
          </cell>
          <cell r="D628">
            <v>45268</v>
          </cell>
          <cell r="E628">
            <v>46186</v>
          </cell>
          <cell r="F628" t="str">
            <v>62822</v>
          </cell>
          <cell r="G628" t="str">
            <v>康舒二</v>
          </cell>
          <cell r="H628">
            <v>200000</v>
          </cell>
          <cell r="I628">
            <v>3.5</v>
          </cell>
          <cell r="J628">
            <v>46186</v>
          </cell>
          <cell r="K628">
            <v>100</v>
          </cell>
          <cell r="L628">
            <v>46168</v>
          </cell>
          <cell r="M628">
            <v>-10049</v>
          </cell>
          <cell r="N628">
            <v>189951</v>
          </cell>
        </row>
        <row r="629">
          <cell r="A629">
            <v>21043</v>
          </cell>
          <cell r="B629">
            <v>623</v>
          </cell>
          <cell r="C629" t="str">
            <v>IASWD2312000328</v>
          </cell>
          <cell r="D629">
            <v>45268</v>
          </cell>
          <cell r="E629">
            <v>46308</v>
          </cell>
          <cell r="F629" t="str">
            <v>21043</v>
          </cell>
          <cell r="G629" t="str">
            <v>國際中橡三</v>
          </cell>
          <cell r="H629">
            <v>100000</v>
          </cell>
          <cell r="I629">
            <v>2.9</v>
          </cell>
          <cell r="J629">
            <v>46308</v>
          </cell>
          <cell r="K629">
            <v>100.9</v>
          </cell>
          <cell r="L629">
            <v>46288</v>
          </cell>
          <cell r="M629">
            <v>-4163</v>
          </cell>
          <cell r="N629">
            <v>95837</v>
          </cell>
        </row>
        <row r="630">
          <cell r="A630">
            <v>99211</v>
          </cell>
          <cell r="B630">
            <v>624</v>
          </cell>
          <cell r="C630" t="str">
            <v>IASWD2312000329</v>
          </cell>
          <cell r="D630">
            <v>45268</v>
          </cell>
          <cell r="E630">
            <v>45821</v>
          </cell>
          <cell r="F630" t="str">
            <v>99211</v>
          </cell>
          <cell r="G630" t="str">
            <v>巨大一</v>
          </cell>
          <cell r="H630">
            <v>100000</v>
          </cell>
          <cell r="I630">
            <v>3.3</v>
          </cell>
          <cell r="J630">
            <v>45821</v>
          </cell>
          <cell r="K630">
            <v>100</v>
          </cell>
          <cell r="L630">
            <v>45800</v>
          </cell>
          <cell r="M630">
            <v>-4738</v>
          </cell>
          <cell r="N630">
            <v>95262</v>
          </cell>
        </row>
        <row r="631">
          <cell r="A631">
            <v>99211</v>
          </cell>
          <cell r="B631">
            <v>625</v>
          </cell>
          <cell r="C631" t="str">
            <v>IASWD2312000330</v>
          </cell>
          <cell r="D631">
            <v>45268</v>
          </cell>
          <cell r="E631">
            <v>45821</v>
          </cell>
          <cell r="F631" t="str">
            <v>99211</v>
          </cell>
          <cell r="G631" t="str">
            <v>巨大一</v>
          </cell>
          <cell r="H631">
            <v>500000</v>
          </cell>
          <cell r="I631">
            <v>3.3</v>
          </cell>
          <cell r="J631">
            <v>45821</v>
          </cell>
          <cell r="K631">
            <v>100</v>
          </cell>
          <cell r="L631">
            <v>45800</v>
          </cell>
          <cell r="M631">
            <v>-23688</v>
          </cell>
          <cell r="N631">
            <v>476312</v>
          </cell>
        </row>
        <row r="632">
          <cell r="A632">
            <v>62822</v>
          </cell>
          <cell r="B632">
            <v>626</v>
          </cell>
          <cell r="C632" t="str">
            <v>IASWD2312000339</v>
          </cell>
          <cell r="D632">
            <v>45268</v>
          </cell>
          <cell r="E632">
            <v>46186</v>
          </cell>
          <cell r="F632" t="str">
            <v>62822</v>
          </cell>
          <cell r="G632" t="str">
            <v>康舒二</v>
          </cell>
          <cell r="H632">
            <v>100000</v>
          </cell>
          <cell r="I632">
            <v>3.5</v>
          </cell>
          <cell r="J632">
            <v>46186</v>
          </cell>
          <cell r="K632">
            <v>100</v>
          </cell>
          <cell r="L632">
            <v>46168</v>
          </cell>
          <cell r="M632">
            <v>-5025</v>
          </cell>
          <cell r="N632">
            <v>94975</v>
          </cell>
        </row>
        <row r="633">
          <cell r="A633">
            <v>22313</v>
          </cell>
          <cell r="B633">
            <v>627</v>
          </cell>
          <cell r="C633" t="str">
            <v>IASWD2312000343</v>
          </cell>
          <cell r="D633">
            <v>45268</v>
          </cell>
          <cell r="E633">
            <v>45898</v>
          </cell>
          <cell r="F633" t="str">
            <v>22313</v>
          </cell>
          <cell r="G633" t="str">
            <v>為升三</v>
          </cell>
          <cell r="H633">
            <v>300000</v>
          </cell>
          <cell r="I633">
            <v>3.75</v>
          </cell>
          <cell r="J633">
            <v>45898</v>
          </cell>
          <cell r="K633">
            <v>101.50749999999999</v>
          </cell>
          <cell r="L633">
            <v>45880</v>
          </cell>
          <cell r="M633">
            <v>-16151</v>
          </cell>
          <cell r="N633">
            <v>283849</v>
          </cell>
        </row>
        <row r="634">
          <cell r="A634">
            <v>99412</v>
          </cell>
          <cell r="B634">
            <v>628</v>
          </cell>
          <cell r="C634" t="str">
            <v>IASWD2312000345</v>
          </cell>
          <cell r="D634">
            <v>45268</v>
          </cell>
          <cell r="E634">
            <v>46346</v>
          </cell>
          <cell r="F634" t="str">
            <v>99412</v>
          </cell>
          <cell r="G634" t="str">
            <v>裕融二</v>
          </cell>
          <cell r="H634">
            <v>300000</v>
          </cell>
          <cell r="I634">
            <v>3.5</v>
          </cell>
          <cell r="J634">
            <v>46346</v>
          </cell>
          <cell r="K634">
            <v>100</v>
          </cell>
          <cell r="L634">
            <v>46328</v>
          </cell>
          <cell r="M634">
            <v>-15074</v>
          </cell>
          <cell r="N634">
            <v>284926</v>
          </cell>
        </row>
        <row r="635">
          <cell r="A635">
            <v>99412</v>
          </cell>
          <cell r="B635">
            <v>629</v>
          </cell>
          <cell r="C635" t="str">
            <v>IASWD2312000357</v>
          </cell>
          <cell r="D635">
            <v>45268</v>
          </cell>
          <cell r="E635">
            <v>46346</v>
          </cell>
          <cell r="F635" t="str">
            <v>99412</v>
          </cell>
          <cell r="G635" t="str">
            <v>裕融二</v>
          </cell>
          <cell r="H635">
            <v>700000</v>
          </cell>
          <cell r="I635">
            <v>3.5</v>
          </cell>
          <cell r="J635">
            <v>46346</v>
          </cell>
          <cell r="K635">
            <v>100</v>
          </cell>
          <cell r="L635">
            <v>46328</v>
          </cell>
          <cell r="M635">
            <v>-35173</v>
          </cell>
          <cell r="N635">
            <v>664827</v>
          </cell>
        </row>
        <row r="636">
          <cell r="A636">
            <v>99211</v>
          </cell>
          <cell r="B636">
            <v>630</v>
          </cell>
          <cell r="C636" t="str">
            <v>IASWD2312000367</v>
          </cell>
          <cell r="D636">
            <v>45268</v>
          </cell>
          <cell r="E636">
            <v>45821</v>
          </cell>
          <cell r="F636" t="str">
            <v>99211</v>
          </cell>
          <cell r="G636" t="str">
            <v>巨大一</v>
          </cell>
          <cell r="H636">
            <v>100000</v>
          </cell>
          <cell r="I636">
            <v>3.3</v>
          </cell>
          <cell r="J636">
            <v>45821</v>
          </cell>
          <cell r="K636">
            <v>100</v>
          </cell>
          <cell r="L636">
            <v>45800</v>
          </cell>
          <cell r="M636">
            <v>-4738</v>
          </cell>
          <cell r="N636">
            <v>95262</v>
          </cell>
        </row>
        <row r="637">
          <cell r="A637">
            <v>99412</v>
          </cell>
          <cell r="B637">
            <v>631</v>
          </cell>
          <cell r="C637" t="str">
            <v>IASWD2312000406</v>
          </cell>
          <cell r="D637">
            <v>45271</v>
          </cell>
          <cell r="E637">
            <v>46346</v>
          </cell>
          <cell r="F637" t="str">
            <v>99412</v>
          </cell>
          <cell r="G637" t="str">
            <v>裕融二</v>
          </cell>
          <cell r="H637">
            <v>300000</v>
          </cell>
          <cell r="I637">
            <v>3.5</v>
          </cell>
          <cell r="J637">
            <v>46346</v>
          </cell>
          <cell r="K637">
            <v>100</v>
          </cell>
          <cell r="L637">
            <v>46328</v>
          </cell>
          <cell r="M637">
            <v>-14988</v>
          </cell>
          <cell r="N637">
            <v>285012</v>
          </cell>
        </row>
        <row r="638">
          <cell r="A638">
            <v>99412</v>
          </cell>
          <cell r="B638">
            <v>632</v>
          </cell>
          <cell r="C638" t="str">
            <v>IASWD2312000408</v>
          </cell>
          <cell r="D638">
            <v>45271</v>
          </cell>
          <cell r="E638">
            <v>46346</v>
          </cell>
          <cell r="F638" t="str">
            <v>99412</v>
          </cell>
          <cell r="G638" t="str">
            <v>裕融二</v>
          </cell>
          <cell r="H638">
            <v>100000</v>
          </cell>
          <cell r="I638">
            <v>3.5</v>
          </cell>
          <cell r="J638">
            <v>46346</v>
          </cell>
          <cell r="K638">
            <v>100</v>
          </cell>
          <cell r="L638">
            <v>46328</v>
          </cell>
          <cell r="M638">
            <v>-4996</v>
          </cell>
          <cell r="N638">
            <v>95004</v>
          </cell>
        </row>
        <row r="639">
          <cell r="A639">
            <v>99412</v>
          </cell>
          <cell r="B639">
            <v>633</v>
          </cell>
          <cell r="C639" t="str">
            <v>IASWD2312000410</v>
          </cell>
          <cell r="D639">
            <v>45271</v>
          </cell>
          <cell r="E639">
            <v>46346</v>
          </cell>
          <cell r="F639" t="str">
            <v>99412</v>
          </cell>
          <cell r="G639" t="str">
            <v>裕融二</v>
          </cell>
          <cell r="H639">
            <v>900000</v>
          </cell>
          <cell r="I639">
            <v>3.5</v>
          </cell>
          <cell r="J639">
            <v>46346</v>
          </cell>
          <cell r="K639">
            <v>100</v>
          </cell>
          <cell r="L639">
            <v>46328</v>
          </cell>
          <cell r="M639">
            <v>-44963</v>
          </cell>
          <cell r="N639">
            <v>855037</v>
          </cell>
        </row>
        <row r="640">
          <cell r="A640">
            <v>62822</v>
          </cell>
          <cell r="B640">
            <v>634</v>
          </cell>
          <cell r="C640" t="str">
            <v>IASWD2312000411</v>
          </cell>
          <cell r="D640">
            <v>45271</v>
          </cell>
          <cell r="E640">
            <v>46186</v>
          </cell>
          <cell r="F640" t="str">
            <v>62822</v>
          </cell>
          <cell r="G640" t="str">
            <v>康舒二</v>
          </cell>
          <cell r="H640">
            <v>100000</v>
          </cell>
          <cell r="I640">
            <v>3.5</v>
          </cell>
          <cell r="J640">
            <v>46186</v>
          </cell>
          <cell r="K640">
            <v>100</v>
          </cell>
          <cell r="L640">
            <v>46168</v>
          </cell>
          <cell r="M640">
            <v>-4996</v>
          </cell>
          <cell r="N640">
            <v>95004</v>
          </cell>
        </row>
        <row r="641">
          <cell r="A641">
            <v>99412</v>
          </cell>
          <cell r="B641">
            <v>635</v>
          </cell>
          <cell r="C641" t="str">
            <v>IASWD2312000413</v>
          </cell>
          <cell r="D641">
            <v>45271</v>
          </cell>
          <cell r="E641">
            <v>46346</v>
          </cell>
          <cell r="F641" t="str">
            <v>99412</v>
          </cell>
          <cell r="G641" t="str">
            <v>裕融二</v>
          </cell>
          <cell r="H641">
            <v>200000</v>
          </cell>
          <cell r="I641">
            <v>3.5</v>
          </cell>
          <cell r="J641">
            <v>46346</v>
          </cell>
          <cell r="K641">
            <v>100</v>
          </cell>
          <cell r="L641">
            <v>46328</v>
          </cell>
          <cell r="M641">
            <v>-9992</v>
          </cell>
          <cell r="N641">
            <v>190008</v>
          </cell>
        </row>
        <row r="642">
          <cell r="A642">
            <v>62822</v>
          </cell>
          <cell r="B642">
            <v>636</v>
          </cell>
          <cell r="C642" t="str">
            <v>IASWD2312000414</v>
          </cell>
          <cell r="D642">
            <v>45271</v>
          </cell>
          <cell r="E642">
            <v>46186</v>
          </cell>
          <cell r="F642" t="str">
            <v>62822</v>
          </cell>
          <cell r="G642" t="str">
            <v>康舒二</v>
          </cell>
          <cell r="H642">
            <v>300000</v>
          </cell>
          <cell r="I642">
            <v>3.5</v>
          </cell>
          <cell r="J642">
            <v>46186</v>
          </cell>
          <cell r="K642">
            <v>100</v>
          </cell>
          <cell r="L642">
            <v>46168</v>
          </cell>
          <cell r="M642">
            <v>-14988</v>
          </cell>
          <cell r="N642">
            <v>285012</v>
          </cell>
        </row>
        <row r="643">
          <cell r="A643">
            <v>99412</v>
          </cell>
          <cell r="B643">
            <v>637</v>
          </cell>
          <cell r="C643" t="str">
            <v>IASWD2312000416</v>
          </cell>
          <cell r="D643">
            <v>45271</v>
          </cell>
          <cell r="E643">
            <v>46346</v>
          </cell>
          <cell r="F643" t="str">
            <v>99412</v>
          </cell>
          <cell r="G643" t="str">
            <v>裕融二</v>
          </cell>
          <cell r="H643">
            <v>200000</v>
          </cell>
          <cell r="I643">
            <v>3.5</v>
          </cell>
          <cell r="J643">
            <v>46346</v>
          </cell>
          <cell r="K643">
            <v>100</v>
          </cell>
          <cell r="L643">
            <v>46328</v>
          </cell>
          <cell r="M643">
            <v>-9992</v>
          </cell>
          <cell r="N643">
            <v>190008</v>
          </cell>
        </row>
        <row r="644">
          <cell r="A644">
            <v>62822</v>
          </cell>
          <cell r="B644">
            <v>638</v>
          </cell>
          <cell r="C644" t="str">
            <v>IASWD2312000419</v>
          </cell>
          <cell r="D644">
            <v>45271</v>
          </cell>
          <cell r="E644">
            <v>46186</v>
          </cell>
          <cell r="F644" t="str">
            <v>62822</v>
          </cell>
          <cell r="G644" t="str">
            <v>康舒二</v>
          </cell>
          <cell r="H644">
            <v>100000</v>
          </cell>
          <cell r="I644">
            <v>3.5</v>
          </cell>
          <cell r="J644">
            <v>46186</v>
          </cell>
          <cell r="K644">
            <v>100</v>
          </cell>
          <cell r="L644">
            <v>46168</v>
          </cell>
          <cell r="M644">
            <v>-4996</v>
          </cell>
          <cell r="N644">
            <v>95004</v>
          </cell>
        </row>
        <row r="645">
          <cell r="A645">
            <v>99412</v>
          </cell>
          <cell r="B645">
            <v>639</v>
          </cell>
          <cell r="C645" t="str">
            <v>IASWD2312000426</v>
          </cell>
          <cell r="D645">
            <v>45272</v>
          </cell>
          <cell r="E645">
            <v>46346</v>
          </cell>
          <cell r="F645" t="str">
            <v>99412</v>
          </cell>
          <cell r="G645" t="str">
            <v>裕融二</v>
          </cell>
          <cell r="H645">
            <v>100000</v>
          </cell>
          <cell r="I645">
            <v>3.5</v>
          </cell>
          <cell r="J645">
            <v>46346</v>
          </cell>
          <cell r="K645">
            <v>100</v>
          </cell>
          <cell r="L645">
            <v>46328</v>
          </cell>
          <cell r="M645">
            <v>-4986</v>
          </cell>
          <cell r="N645">
            <v>95014</v>
          </cell>
        </row>
        <row r="646">
          <cell r="A646">
            <v>62822</v>
          </cell>
          <cell r="B646">
            <v>640</v>
          </cell>
          <cell r="C646" t="str">
            <v>IASWD2312000434</v>
          </cell>
          <cell r="D646">
            <v>45272</v>
          </cell>
          <cell r="E646">
            <v>46186</v>
          </cell>
          <cell r="F646" t="str">
            <v>62822</v>
          </cell>
          <cell r="G646" t="str">
            <v>康舒二</v>
          </cell>
          <cell r="H646">
            <v>400000</v>
          </cell>
          <cell r="I646">
            <v>3.5</v>
          </cell>
          <cell r="J646">
            <v>46186</v>
          </cell>
          <cell r="K646">
            <v>100</v>
          </cell>
          <cell r="L646">
            <v>46168</v>
          </cell>
          <cell r="M646">
            <v>-19945</v>
          </cell>
          <cell r="N646">
            <v>380055</v>
          </cell>
        </row>
        <row r="647">
          <cell r="A647">
            <v>99412</v>
          </cell>
          <cell r="B647">
            <v>641</v>
          </cell>
          <cell r="C647" t="str">
            <v>IASWD2312000443</v>
          </cell>
          <cell r="D647">
            <v>45272</v>
          </cell>
          <cell r="E647">
            <v>46346</v>
          </cell>
          <cell r="F647" t="str">
            <v>99412</v>
          </cell>
          <cell r="G647" t="str">
            <v>裕融二</v>
          </cell>
          <cell r="H647">
            <v>100000</v>
          </cell>
          <cell r="I647">
            <v>3.5</v>
          </cell>
          <cell r="J647">
            <v>46346</v>
          </cell>
          <cell r="K647">
            <v>100</v>
          </cell>
          <cell r="L647">
            <v>46328</v>
          </cell>
          <cell r="M647">
            <v>-4986</v>
          </cell>
          <cell r="N647">
            <v>95014</v>
          </cell>
        </row>
        <row r="648">
          <cell r="A648">
            <v>99412</v>
          </cell>
          <cell r="B648">
            <v>642</v>
          </cell>
          <cell r="C648" t="str">
            <v>IASWD2312000446</v>
          </cell>
          <cell r="D648">
            <v>45272</v>
          </cell>
          <cell r="E648">
            <v>46346</v>
          </cell>
          <cell r="F648" t="str">
            <v>99412</v>
          </cell>
          <cell r="G648" t="str">
            <v>裕融二</v>
          </cell>
          <cell r="H648">
            <v>300000</v>
          </cell>
          <cell r="I648">
            <v>3.5</v>
          </cell>
          <cell r="J648">
            <v>46346</v>
          </cell>
          <cell r="K648">
            <v>100</v>
          </cell>
          <cell r="L648">
            <v>46328</v>
          </cell>
          <cell r="M648">
            <v>-14959</v>
          </cell>
          <cell r="N648">
            <v>285041</v>
          </cell>
        </row>
        <row r="649">
          <cell r="A649">
            <v>62822</v>
          </cell>
          <cell r="B649">
            <v>643</v>
          </cell>
          <cell r="C649" t="str">
            <v>IASWD2312000447</v>
          </cell>
          <cell r="D649">
            <v>45272</v>
          </cell>
          <cell r="E649">
            <v>46186</v>
          </cell>
          <cell r="F649" t="str">
            <v>62822</v>
          </cell>
          <cell r="G649" t="str">
            <v>康舒二</v>
          </cell>
          <cell r="H649">
            <v>100000</v>
          </cell>
          <cell r="I649">
            <v>3.5</v>
          </cell>
          <cell r="J649">
            <v>46186</v>
          </cell>
          <cell r="K649">
            <v>100</v>
          </cell>
          <cell r="L649">
            <v>46168</v>
          </cell>
          <cell r="M649">
            <v>-4986</v>
          </cell>
          <cell r="N649">
            <v>95014</v>
          </cell>
        </row>
        <row r="650">
          <cell r="A650">
            <v>99412</v>
          </cell>
          <cell r="B650">
            <v>644</v>
          </cell>
          <cell r="C650" t="str">
            <v>IASWD2312000460</v>
          </cell>
          <cell r="D650">
            <v>45273</v>
          </cell>
          <cell r="E650">
            <v>46346</v>
          </cell>
          <cell r="F650" t="str">
            <v>99412</v>
          </cell>
          <cell r="G650" t="str">
            <v>裕融二</v>
          </cell>
          <cell r="H650">
            <v>100000</v>
          </cell>
          <cell r="I650">
            <v>3.5</v>
          </cell>
          <cell r="J650">
            <v>46346</v>
          </cell>
          <cell r="K650">
            <v>100</v>
          </cell>
          <cell r="L650">
            <v>46328</v>
          </cell>
          <cell r="M650">
            <v>-4977</v>
          </cell>
          <cell r="N650">
            <v>95023</v>
          </cell>
        </row>
        <row r="651">
          <cell r="A651">
            <v>99412</v>
          </cell>
          <cell r="B651">
            <v>645</v>
          </cell>
          <cell r="C651" t="str">
            <v>IASWD2312000461</v>
          </cell>
          <cell r="D651">
            <v>45273</v>
          </cell>
          <cell r="E651">
            <v>46346</v>
          </cell>
          <cell r="F651" t="str">
            <v>99412</v>
          </cell>
          <cell r="G651" t="str">
            <v>裕融二</v>
          </cell>
          <cell r="H651">
            <v>400000</v>
          </cell>
          <cell r="I651">
            <v>3.5</v>
          </cell>
          <cell r="J651">
            <v>46346</v>
          </cell>
          <cell r="K651">
            <v>100</v>
          </cell>
          <cell r="L651">
            <v>46328</v>
          </cell>
          <cell r="M651">
            <v>-19907</v>
          </cell>
          <cell r="N651">
            <v>380093</v>
          </cell>
        </row>
        <row r="652">
          <cell r="A652">
            <v>99412</v>
          </cell>
          <cell r="B652">
            <v>646</v>
          </cell>
          <cell r="C652" t="str">
            <v>IASWD2312000467</v>
          </cell>
          <cell r="D652">
            <v>45273</v>
          </cell>
          <cell r="E652">
            <v>46346</v>
          </cell>
          <cell r="F652" t="str">
            <v>99412</v>
          </cell>
          <cell r="G652" t="str">
            <v>裕融二</v>
          </cell>
          <cell r="H652">
            <v>500000</v>
          </cell>
          <cell r="I652">
            <v>3.5</v>
          </cell>
          <cell r="J652">
            <v>46346</v>
          </cell>
          <cell r="K652">
            <v>100</v>
          </cell>
          <cell r="L652">
            <v>46328</v>
          </cell>
          <cell r="M652">
            <v>-24884</v>
          </cell>
          <cell r="N652">
            <v>475116</v>
          </cell>
        </row>
        <row r="653">
          <cell r="A653">
            <v>99412</v>
          </cell>
          <cell r="B653">
            <v>647</v>
          </cell>
          <cell r="C653" t="str">
            <v>IASWD2312000468</v>
          </cell>
          <cell r="D653">
            <v>45273</v>
          </cell>
          <cell r="E653">
            <v>46346</v>
          </cell>
          <cell r="F653" t="str">
            <v>99412</v>
          </cell>
          <cell r="G653" t="str">
            <v>裕融二</v>
          </cell>
          <cell r="H653">
            <v>200000</v>
          </cell>
          <cell r="I653">
            <v>3.5</v>
          </cell>
          <cell r="J653">
            <v>46346</v>
          </cell>
          <cell r="K653">
            <v>100</v>
          </cell>
          <cell r="L653">
            <v>46328</v>
          </cell>
          <cell r="M653">
            <v>-9953</v>
          </cell>
          <cell r="N653">
            <v>190047</v>
          </cell>
        </row>
        <row r="654">
          <cell r="A654">
            <v>62822</v>
          </cell>
          <cell r="B654">
            <v>648</v>
          </cell>
          <cell r="C654" t="str">
            <v>IASWD2312000476</v>
          </cell>
          <cell r="D654">
            <v>45273</v>
          </cell>
          <cell r="E654">
            <v>46186</v>
          </cell>
          <cell r="F654" t="str">
            <v>62822</v>
          </cell>
          <cell r="G654" t="str">
            <v>康舒二</v>
          </cell>
          <cell r="H654">
            <v>100000</v>
          </cell>
          <cell r="I654">
            <v>3.5</v>
          </cell>
          <cell r="J654">
            <v>46186</v>
          </cell>
          <cell r="K654">
            <v>100</v>
          </cell>
          <cell r="L654">
            <v>46168</v>
          </cell>
          <cell r="M654">
            <v>-4977</v>
          </cell>
          <cell r="N654">
            <v>95023</v>
          </cell>
        </row>
        <row r="655">
          <cell r="A655">
            <v>99412</v>
          </cell>
          <cell r="B655">
            <v>649</v>
          </cell>
          <cell r="C655" t="str">
            <v>IASWD2312000484</v>
          </cell>
          <cell r="D655">
            <v>45273</v>
          </cell>
          <cell r="E655">
            <v>46346</v>
          </cell>
          <cell r="F655" t="str">
            <v>99412</v>
          </cell>
          <cell r="G655" t="str">
            <v>裕融二</v>
          </cell>
          <cell r="H655">
            <v>100000</v>
          </cell>
          <cell r="I655">
            <v>3.5</v>
          </cell>
          <cell r="J655">
            <v>46346</v>
          </cell>
          <cell r="K655">
            <v>100</v>
          </cell>
          <cell r="L655">
            <v>46328</v>
          </cell>
          <cell r="M655">
            <v>-4977</v>
          </cell>
          <cell r="N655">
            <v>95023</v>
          </cell>
        </row>
        <row r="656">
          <cell r="A656">
            <v>62822</v>
          </cell>
          <cell r="B656">
            <v>650</v>
          </cell>
          <cell r="C656" t="str">
            <v>IASWD2312000487</v>
          </cell>
          <cell r="D656">
            <v>45273</v>
          </cell>
          <cell r="E656">
            <v>46186</v>
          </cell>
          <cell r="F656" t="str">
            <v>62822</v>
          </cell>
          <cell r="G656" t="str">
            <v>康舒二</v>
          </cell>
          <cell r="H656">
            <v>200000</v>
          </cell>
          <cell r="I656">
            <v>3.5</v>
          </cell>
          <cell r="J656">
            <v>46186</v>
          </cell>
          <cell r="K656">
            <v>100</v>
          </cell>
          <cell r="L656">
            <v>46168</v>
          </cell>
          <cell r="M656">
            <v>-9953</v>
          </cell>
          <cell r="N656">
            <v>190047</v>
          </cell>
        </row>
        <row r="657">
          <cell r="A657">
            <v>62822</v>
          </cell>
          <cell r="B657">
            <v>651</v>
          </cell>
          <cell r="C657" t="str">
            <v>IASWD2312000490</v>
          </cell>
          <cell r="D657">
            <v>45273</v>
          </cell>
          <cell r="E657">
            <v>46186</v>
          </cell>
          <cell r="F657" t="str">
            <v>62822</v>
          </cell>
          <cell r="G657" t="str">
            <v>康舒二</v>
          </cell>
          <cell r="H657">
            <v>100000</v>
          </cell>
          <cell r="I657">
            <v>3.5</v>
          </cell>
          <cell r="J657">
            <v>46186</v>
          </cell>
          <cell r="K657">
            <v>100</v>
          </cell>
          <cell r="L657">
            <v>46168</v>
          </cell>
          <cell r="M657">
            <v>-4977</v>
          </cell>
          <cell r="N657">
            <v>95023</v>
          </cell>
        </row>
        <row r="658">
          <cell r="A658">
            <v>62822</v>
          </cell>
          <cell r="B658">
            <v>652</v>
          </cell>
          <cell r="C658" t="str">
            <v>IASWD2312000494</v>
          </cell>
          <cell r="D658">
            <v>45273</v>
          </cell>
          <cell r="E658">
            <v>46186</v>
          </cell>
          <cell r="F658" t="str">
            <v>62822</v>
          </cell>
          <cell r="G658" t="str">
            <v>康舒二</v>
          </cell>
          <cell r="H658">
            <v>100000</v>
          </cell>
          <cell r="I658">
            <v>3.5</v>
          </cell>
          <cell r="J658">
            <v>46186</v>
          </cell>
          <cell r="K658">
            <v>100</v>
          </cell>
          <cell r="L658">
            <v>46168</v>
          </cell>
          <cell r="M658">
            <v>-4977</v>
          </cell>
          <cell r="N658">
            <v>95023</v>
          </cell>
        </row>
        <row r="659">
          <cell r="A659">
            <v>99412</v>
          </cell>
          <cell r="B659">
            <v>653</v>
          </cell>
          <cell r="C659" t="str">
            <v>IASWD2312000497</v>
          </cell>
          <cell r="D659">
            <v>45274</v>
          </cell>
          <cell r="E659">
            <v>46346</v>
          </cell>
          <cell r="F659" t="str">
            <v>99412</v>
          </cell>
          <cell r="G659" t="str">
            <v>裕融二</v>
          </cell>
          <cell r="H659">
            <v>200000</v>
          </cell>
          <cell r="I659">
            <v>3.5</v>
          </cell>
          <cell r="J659">
            <v>46346</v>
          </cell>
          <cell r="K659">
            <v>100</v>
          </cell>
          <cell r="L659">
            <v>46328</v>
          </cell>
          <cell r="M659">
            <v>-9934</v>
          </cell>
          <cell r="N659">
            <v>190066</v>
          </cell>
        </row>
        <row r="660">
          <cell r="A660">
            <v>99211</v>
          </cell>
          <cell r="B660">
            <v>654</v>
          </cell>
          <cell r="C660" t="str">
            <v>IASWD2312000498</v>
          </cell>
          <cell r="D660">
            <v>45274</v>
          </cell>
          <cell r="E660">
            <v>45821</v>
          </cell>
          <cell r="F660" t="str">
            <v>99211</v>
          </cell>
          <cell r="G660" t="str">
            <v>巨大一</v>
          </cell>
          <cell r="H660">
            <v>100000</v>
          </cell>
          <cell r="I660">
            <v>3.3</v>
          </cell>
          <cell r="J660">
            <v>45821</v>
          </cell>
          <cell r="K660">
            <v>100</v>
          </cell>
          <cell r="L660">
            <v>45800</v>
          </cell>
          <cell r="M660">
            <v>-4683</v>
          </cell>
          <cell r="N660">
            <v>95317</v>
          </cell>
        </row>
        <row r="661">
          <cell r="A661">
            <v>62822</v>
          </cell>
          <cell r="B661">
            <v>655</v>
          </cell>
          <cell r="C661" t="str">
            <v>IASWD2312000511</v>
          </cell>
          <cell r="D661">
            <v>45274</v>
          </cell>
          <cell r="E661">
            <v>46186</v>
          </cell>
          <cell r="F661" t="str">
            <v>62822</v>
          </cell>
          <cell r="G661" t="str">
            <v>康舒二</v>
          </cell>
          <cell r="H661">
            <v>100000</v>
          </cell>
          <cell r="I661">
            <v>3.5</v>
          </cell>
          <cell r="J661">
            <v>46186</v>
          </cell>
          <cell r="K661">
            <v>100</v>
          </cell>
          <cell r="L661">
            <v>46168</v>
          </cell>
          <cell r="M661">
            <v>-4967</v>
          </cell>
          <cell r="N661">
            <v>95033</v>
          </cell>
        </row>
        <row r="662">
          <cell r="A662">
            <v>99412</v>
          </cell>
          <cell r="B662">
            <v>656</v>
          </cell>
          <cell r="C662" t="str">
            <v>IASWD2312000516</v>
          </cell>
          <cell r="D662">
            <v>45274</v>
          </cell>
          <cell r="E662">
            <v>46346</v>
          </cell>
          <cell r="F662" t="str">
            <v>99412</v>
          </cell>
          <cell r="G662" t="str">
            <v>裕融二</v>
          </cell>
          <cell r="H662">
            <v>200000</v>
          </cell>
          <cell r="I662">
            <v>3.5</v>
          </cell>
          <cell r="J662">
            <v>46346</v>
          </cell>
          <cell r="K662">
            <v>100</v>
          </cell>
          <cell r="L662">
            <v>46328</v>
          </cell>
          <cell r="M662">
            <v>-9934</v>
          </cell>
          <cell r="N662">
            <v>190066</v>
          </cell>
        </row>
        <row r="663">
          <cell r="A663">
            <v>99412</v>
          </cell>
          <cell r="B663">
            <v>657</v>
          </cell>
          <cell r="C663" t="str">
            <v>IASWD2312000518</v>
          </cell>
          <cell r="D663">
            <v>45274</v>
          </cell>
          <cell r="E663">
            <v>46346</v>
          </cell>
          <cell r="F663" t="str">
            <v>99412</v>
          </cell>
          <cell r="G663" t="str">
            <v>裕融二</v>
          </cell>
          <cell r="H663">
            <v>500000</v>
          </cell>
          <cell r="I663">
            <v>3.5</v>
          </cell>
          <cell r="J663">
            <v>46346</v>
          </cell>
          <cell r="K663">
            <v>100</v>
          </cell>
          <cell r="L663">
            <v>46328</v>
          </cell>
          <cell r="M663">
            <v>-24836</v>
          </cell>
          <cell r="N663">
            <v>475164</v>
          </cell>
        </row>
        <row r="664">
          <cell r="A664">
            <v>99412</v>
          </cell>
          <cell r="B664">
            <v>658</v>
          </cell>
          <cell r="C664" t="str">
            <v>IASWD2312000524</v>
          </cell>
          <cell r="D664">
            <v>45274</v>
          </cell>
          <cell r="E664">
            <v>46346</v>
          </cell>
          <cell r="F664" t="str">
            <v>99412</v>
          </cell>
          <cell r="G664" t="str">
            <v>裕融二</v>
          </cell>
          <cell r="H664">
            <v>100000</v>
          </cell>
          <cell r="I664">
            <v>3.5</v>
          </cell>
          <cell r="J664">
            <v>46346</v>
          </cell>
          <cell r="K664">
            <v>100</v>
          </cell>
          <cell r="L664">
            <v>46328</v>
          </cell>
          <cell r="M664">
            <v>-4967</v>
          </cell>
          <cell r="N664">
            <v>95033</v>
          </cell>
        </row>
        <row r="665">
          <cell r="A665">
            <v>62822</v>
          </cell>
          <cell r="B665">
            <v>659</v>
          </cell>
          <cell r="C665" t="str">
            <v>IASWD2312000527</v>
          </cell>
          <cell r="D665">
            <v>45274</v>
          </cell>
          <cell r="E665">
            <v>46186</v>
          </cell>
          <cell r="F665" t="str">
            <v>62822</v>
          </cell>
          <cell r="G665" t="str">
            <v>康舒二</v>
          </cell>
          <cell r="H665">
            <v>100000</v>
          </cell>
          <cell r="I665">
            <v>3.5</v>
          </cell>
          <cell r="J665">
            <v>46186</v>
          </cell>
          <cell r="K665">
            <v>100</v>
          </cell>
          <cell r="L665">
            <v>46168</v>
          </cell>
          <cell r="M665">
            <v>-4967</v>
          </cell>
          <cell r="N665">
            <v>95033</v>
          </cell>
        </row>
        <row r="666">
          <cell r="A666">
            <v>99412</v>
          </cell>
          <cell r="B666">
            <v>660</v>
          </cell>
          <cell r="C666" t="str">
            <v>IASWD2312000528</v>
          </cell>
          <cell r="D666">
            <v>45274</v>
          </cell>
          <cell r="E666">
            <v>46346</v>
          </cell>
          <cell r="F666" t="str">
            <v>99412</v>
          </cell>
          <cell r="G666" t="str">
            <v>裕融二</v>
          </cell>
          <cell r="H666">
            <v>300000</v>
          </cell>
          <cell r="I666">
            <v>3.5</v>
          </cell>
          <cell r="J666">
            <v>46346</v>
          </cell>
          <cell r="K666">
            <v>100</v>
          </cell>
          <cell r="L666">
            <v>46328</v>
          </cell>
          <cell r="M666">
            <v>-14901</v>
          </cell>
          <cell r="N666">
            <v>285099</v>
          </cell>
        </row>
        <row r="667">
          <cell r="A667">
            <v>99412</v>
          </cell>
          <cell r="B667">
            <v>661</v>
          </cell>
          <cell r="C667" t="str">
            <v>IASWD2312000532</v>
          </cell>
          <cell r="D667">
            <v>45274</v>
          </cell>
          <cell r="E667">
            <v>46346</v>
          </cell>
          <cell r="F667" t="str">
            <v>99412</v>
          </cell>
          <cell r="G667" t="str">
            <v>裕融二</v>
          </cell>
          <cell r="H667">
            <v>100000</v>
          </cell>
          <cell r="I667">
            <v>3.5</v>
          </cell>
          <cell r="J667">
            <v>46346</v>
          </cell>
          <cell r="K667">
            <v>100</v>
          </cell>
          <cell r="L667">
            <v>46328</v>
          </cell>
          <cell r="M667">
            <v>-4967</v>
          </cell>
          <cell r="N667">
            <v>95033</v>
          </cell>
        </row>
        <row r="668">
          <cell r="A668">
            <v>99412</v>
          </cell>
          <cell r="B668">
            <v>662</v>
          </cell>
          <cell r="C668" t="str">
            <v>IASWD2312000535</v>
          </cell>
          <cell r="D668">
            <v>45274</v>
          </cell>
          <cell r="E668">
            <v>46346</v>
          </cell>
          <cell r="F668" t="str">
            <v>99412</v>
          </cell>
          <cell r="G668" t="str">
            <v>裕融二</v>
          </cell>
          <cell r="H668">
            <v>800000</v>
          </cell>
          <cell r="I668">
            <v>3.5</v>
          </cell>
          <cell r="J668">
            <v>46346</v>
          </cell>
          <cell r="K668">
            <v>100</v>
          </cell>
          <cell r="L668">
            <v>46328</v>
          </cell>
          <cell r="M668">
            <v>-39737</v>
          </cell>
          <cell r="N668">
            <v>760263</v>
          </cell>
        </row>
        <row r="669">
          <cell r="A669">
            <v>62822</v>
          </cell>
          <cell r="B669">
            <v>663</v>
          </cell>
          <cell r="C669" t="str">
            <v>IASWD2312000541</v>
          </cell>
          <cell r="D669">
            <v>45275</v>
          </cell>
          <cell r="E669">
            <v>46186</v>
          </cell>
          <cell r="F669" t="str">
            <v>62822</v>
          </cell>
          <cell r="G669" t="str">
            <v>康舒二</v>
          </cell>
          <cell r="H669">
            <v>100000</v>
          </cell>
          <cell r="I669">
            <v>3.5</v>
          </cell>
          <cell r="J669">
            <v>46186</v>
          </cell>
          <cell r="K669">
            <v>100</v>
          </cell>
          <cell r="L669">
            <v>46168</v>
          </cell>
          <cell r="M669">
            <v>-4958</v>
          </cell>
          <cell r="N669">
            <v>95042</v>
          </cell>
        </row>
        <row r="670">
          <cell r="A670">
            <v>99412</v>
          </cell>
          <cell r="B670">
            <v>664</v>
          </cell>
          <cell r="C670" t="str">
            <v>IASWD2312000546</v>
          </cell>
          <cell r="D670">
            <v>45275</v>
          </cell>
          <cell r="E670">
            <v>46346</v>
          </cell>
          <cell r="F670" t="str">
            <v>99412</v>
          </cell>
          <cell r="G670" t="str">
            <v>裕融二</v>
          </cell>
          <cell r="H670">
            <v>200000</v>
          </cell>
          <cell r="I670">
            <v>3.5</v>
          </cell>
          <cell r="J670">
            <v>46346</v>
          </cell>
          <cell r="K670">
            <v>100</v>
          </cell>
          <cell r="L670">
            <v>46328</v>
          </cell>
          <cell r="M670">
            <v>-9915</v>
          </cell>
          <cell r="N670">
            <v>190085</v>
          </cell>
        </row>
        <row r="671">
          <cell r="A671">
            <v>99211</v>
          </cell>
          <cell r="B671">
            <v>665</v>
          </cell>
          <cell r="C671" t="str">
            <v>IASWD2312000554</v>
          </cell>
          <cell r="D671">
            <v>45275</v>
          </cell>
          <cell r="E671">
            <v>45821</v>
          </cell>
          <cell r="F671" t="str">
            <v>99211</v>
          </cell>
          <cell r="G671" t="str">
            <v>巨大一</v>
          </cell>
          <cell r="H671">
            <v>300000</v>
          </cell>
          <cell r="I671">
            <v>3.3</v>
          </cell>
          <cell r="J671">
            <v>45821</v>
          </cell>
          <cell r="K671">
            <v>100</v>
          </cell>
          <cell r="L671">
            <v>45800</v>
          </cell>
          <cell r="M671">
            <v>-14023</v>
          </cell>
          <cell r="N671">
            <v>285977</v>
          </cell>
        </row>
        <row r="672">
          <cell r="A672">
            <v>99412</v>
          </cell>
          <cell r="B672">
            <v>666</v>
          </cell>
          <cell r="C672" t="str">
            <v>IASWD2312000556</v>
          </cell>
          <cell r="D672">
            <v>45275</v>
          </cell>
          <cell r="E672">
            <v>46346</v>
          </cell>
          <cell r="F672" t="str">
            <v>99412</v>
          </cell>
          <cell r="G672" t="str">
            <v>裕融二</v>
          </cell>
          <cell r="H672">
            <v>400000</v>
          </cell>
          <cell r="I672">
            <v>3.5</v>
          </cell>
          <cell r="J672">
            <v>46346</v>
          </cell>
          <cell r="K672">
            <v>100</v>
          </cell>
          <cell r="L672">
            <v>46328</v>
          </cell>
          <cell r="M672">
            <v>-19830</v>
          </cell>
          <cell r="N672">
            <v>380170</v>
          </cell>
        </row>
        <row r="673">
          <cell r="A673">
            <v>99412</v>
          </cell>
          <cell r="B673">
            <v>667</v>
          </cell>
          <cell r="C673" t="str">
            <v>IASWD2312000557</v>
          </cell>
          <cell r="D673">
            <v>45275</v>
          </cell>
          <cell r="E673">
            <v>46346</v>
          </cell>
          <cell r="F673" t="str">
            <v>99412</v>
          </cell>
          <cell r="G673" t="str">
            <v>裕融二</v>
          </cell>
          <cell r="H673">
            <v>100000</v>
          </cell>
          <cell r="I673">
            <v>3.5</v>
          </cell>
          <cell r="J673">
            <v>46346</v>
          </cell>
          <cell r="K673">
            <v>100</v>
          </cell>
          <cell r="L673">
            <v>46328</v>
          </cell>
          <cell r="M673">
            <v>-4958</v>
          </cell>
          <cell r="N673">
            <v>95042</v>
          </cell>
        </row>
        <row r="674">
          <cell r="A674">
            <v>99412</v>
          </cell>
          <cell r="B674">
            <v>668</v>
          </cell>
          <cell r="C674" t="str">
            <v>IASWD2312000561</v>
          </cell>
          <cell r="D674">
            <v>45275</v>
          </cell>
          <cell r="E674">
            <v>46346</v>
          </cell>
          <cell r="F674" t="str">
            <v>99412</v>
          </cell>
          <cell r="G674" t="str">
            <v>裕融二</v>
          </cell>
          <cell r="H674">
            <v>100000</v>
          </cell>
          <cell r="I674">
            <v>3.5</v>
          </cell>
          <cell r="J674">
            <v>46346</v>
          </cell>
          <cell r="K674">
            <v>100</v>
          </cell>
          <cell r="L674">
            <v>46328</v>
          </cell>
          <cell r="M674">
            <v>-4958</v>
          </cell>
          <cell r="N674">
            <v>95042</v>
          </cell>
        </row>
        <row r="675">
          <cell r="A675">
            <v>15991</v>
          </cell>
          <cell r="B675">
            <v>669</v>
          </cell>
          <cell r="C675" t="str">
            <v>IASWD2312000563</v>
          </cell>
          <cell r="D675">
            <v>45275</v>
          </cell>
          <cell r="E675">
            <v>45979</v>
          </cell>
          <cell r="F675" t="str">
            <v>15991</v>
          </cell>
          <cell r="G675" t="str">
            <v>宏佳騰一</v>
          </cell>
          <cell r="H675">
            <v>500000</v>
          </cell>
          <cell r="I675">
            <v>2.15</v>
          </cell>
          <cell r="J675">
            <v>45979</v>
          </cell>
          <cell r="K675">
            <v>100</v>
          </cell>
          <cell r="L675">
            <v>45959</v>
          </cell>
          <cell r="M675">
            <v>-15227</v>
          </cell>
          <cell r="N675">
            <v>484773</v>
          </cell>
        </row>
        <row r="676">
          <cell r="A676">
            <v>99412</v>
          </cell>
          <cell r="B676">
            <v>670</v>
          </cell>
          <cell r="C676" t="str">
            <v>IASWD2312000565</v>
          </cell>
          <cell r="D676">
            <v>45275</v>
          </cell>
          <cell r="E676">
            <v>46346</v>
          </cell>
          <cell r="F676" t="str">
            <v>99412</v>
          </cell>
          <cell r="G676" t="str">
            <v>裕融二</v>
          </cell>
          <cell r="H676">
            <v>200000</v>
          </cell>
          <cell r="I676">
            <v>3.5</v>
          </cell>
          <cell r="J676">
            <v>46346</v>
          </cell>
          <cell r="K676">
            <v>100</v>
          </cell>
          <cell r="L676">
            <v>46328</v>
          </cell>
          <cell r="M676">
            <v>-9915</v>
          </cell>
          <cell r="N676">
            <v>190085</v>
          </cell>
        </row>
        <row r="677">
          <cell r="A677">
            <v>15991</v>
          </cell>
          <cell r="B677">
            <v>671</v>
          </cell>
          <cell r="C677" t="str">
            <v>IASWD2312000568</v>
          </cell>
          <cell r="D677">
            <v>45275</v>
          </cell>
          <cell r="E677">
            <v>45979</v>
          </cell>
          <cell r="F677" t="str">
            <v>15991</v>
          </cell>
          <cell r="G677" t="str">
            <v>宏佳騰一</v>
          </cell>
          <cell r="H677">
            <v>200000</v>
          </cell>
          <cell r="I677">
            <v>2.15</v>
          </cell>
          <cell r="J677">
            <v>45979</v>
          </cell>
          <cell r="K677">
            <v>100</v>
          </cell>
          <cell r="L677">
            <v>45959</v>
          </cell>
          <cell r="M677">
            <v>-6091</v>
          </cell>
          <cell r="N677">
            <v>193909</v>
          </cell>
        </row>
        <row r="678">
          <cell r="A678">
            <v>62822</v>
          </cell>
          <cell r="B678">
            <v>672</v>
          </cell>
          <cell r="C678" t="str">
            <v>IASWD2312000571</v>
          </cell>
          <cell r="D678">
            <v>45275</v>
          </cell>
          <cell r="E678">
            <v>46186</v>
          </cell>
          <cell r="F678" t="str">
            <v>62822</v>
          </cell>
          <cell r="G678" t="str">
            <v>康舒二</v>
          </cell>
          <cell r="H678">
            <v>100000</v>
          </cell>
          <cell r="I678">
            <v>3.5</v>
          </cell>
          <cell r="J678">
            <v>46186</v>
          </cell>
          <cell r="K678">
            <v>100</v>
          </cell>
          <cell r="L678">
            <v>46168</v>
          </cell>
          <cell r="M678">
            <v>-4958</v>
          </cell>
          <cell r="N678">
            <v>95042</v>
          </cell>
        </row>
        <row r="679">
          <cell r="A679">
            <v>62822</v>
          </cell>
          <cell r="B679">
            <v>673</v>
          </cell>
          <cell r="C679" t="str">
            <v>IASWD2312000578</v>
          </cell>
          <cell r="D679">
            <v>45275</v>
          </cell>
          <cell r="E679">
            <v>46186</v>
          </cell>
          <cell r="F679" t="str">
            <v>62822</v>
          </cell>
          <cell r="G679" t="str">
            <v>康舒二</v>
          </cell>
          <cell r="H679">
            <v>100000</v>
          </cell>
          <cell r="I679">
            <v>3.5</v>
          </cell>
          <cell r="J679">
            <v>46186</v>
          </cell>
          <cell r="K679">
            <v>100</v>
          </cell>
          <cell r="L679">
            <v>46168</v>
          </cell>
          <cell r="M679">
            <v>-4958</v>
          </cell>
          <cell r="N679">
            <v>95042</v>
          </cell>
        </row>
        <row r="680">
          <cell r="A680">
            <v>99211</v>
          </cell>
          <cell r="B680">
            <v>674</v>
          </cell>
          <cell r="C680" t="str">
            <v>IASWD2312000589</v>
          </cell>
          <cell r="D680">
            <v>45278</v>
          </cell>
          <cell r="E680">
            <v>45821</v>
          </cell>
          <cell r="F680" t="str">
            <v>99211</v>
          </cell>
          <cell r="G680" t="str">
            <v>巨大一</v>
          </cell>
          <cell r="H680">
            <v>500000</v>
          </cell>
          <cell r="I680">
            <v>3.3</v>
          </cell>
          <cell r="J680">
            <v>45821</v>
          </cell>
          <cell r="K680">
            <v>100</v>
          </cell>
          <cell r="L680">
            <v>45800</v>
          </cell>
          <cell r="M680">
            <v>-23236</v>
          </cell>
          <cell r="N680">
            <v>476764</v>
          </cell>
        </row>
        <row r="681">
          <cell r="A681">
            <v>99211</v>
          </cell>
          <cell r="B681">
            <v>675</v>
          </cell>
          <cell r="C681" t="str">
            <v>IASWD2312000599</v>
          </cell>
          <cell r="D681">
            <v>45278</v>
          </cell>
          <cell r="E681">
            <v>45821</v>
          </cell>
          <cell r="F681" t="str">
            <v>99211</v>
          </cell>
          <cell r="G681" t="str">
            <v>巨大一</v>
          </cell>
          <cell r="H681">
            <v>100000</v>
          </cell>
          <cell r="I681">
            <v>3.3</v>
          </cell>
          <cell r="J681">
            <v>45821</v>
          </cell>
          <cell r="K681">
            <v>100</v>
          </cell>
          <cell r="L681">
            <v>45800</v>
          </cell>
          <cell r="M681">
            <v>-4647</v>
          </cell>
          <cell r="N681">
            <v>95353</v>
          </cell>
        </row>
        <row r="682">
          <cell r="A682">
            <v>62822</v>
          </cell>
          <cell r="B682">
            <v>676</v>
          </cell>
          <cell r="C682" t="str">
            <v>IASWD2312000600</v>
          </cell>
          <cell r="D682">
            <v>45278</v>
          </cell>
          <cell r="E682">
            <v>46186</v>
          </cell>
          <cell r="F682" t="str">
            <v>62822</v>
          </cell>
          <cell r="G682" t="str">
            <v>康舒二</v>
          </cell>
          <cell r="H682">
            <v>300000</v>
          </cell>
          <cell r="I682">
            <v>3.5</v>
          </cell>
          <cell r="J682">
            <v>46186</v>
          </cell>
          <cell r="K682">
            <v>100</v>
          </cell>
          <cell r="L682">
            <v>46168</v>
          </cell>
          <cell r="M682">
            <v>-14786</v>
          </cell>
          <cell r="N682">
            <v>285214</v>
          </cell>
        </row>
        <row r="683">
          <cell r="A683">
            <v>99211</v>
          </cell>
          <cell r="B683">
            <v>677</v>
          </cell>
          <cell r="C683" t="str">
            <v>IASWD2312000604</v>
          </cell>
          <cell r="D683">
            <v>45278</v>
          </cell>
          <cell r="E683">
            <v>45821</v>
          </cell>
          <cell r="F683" t="str">
            <v>99211</v>
          </cell>
          <cell r="G683" t="str">
            <v>巨大一</v>
          </cell>
          <cell r="H683">
            <v>300000</v>
          </cell>
          <cell r="I683">
            <v>3.3</v>
          </cell>
          <cell r="J683">
            <v>45821</v>
          </cell>
          <cell r="K683">
            <v>100</v>
          </cell>
          <cell r="L683">
            <v>45800</v>
          </cell>
          <cell r="M683">
            <v>-13941</v>
          </cell>
          <cell r="N683">
            <v>286059</v>
          </cell>
        </row>
        <row r="684">
          <cell r="A684">
            <v>22313</v>
          </cell>
          <cell r="B684">
            <v>678</v>
          </cell>
          <cell r="C684" t="str">
            <v>IASWD2312000605</v>
          </cell>
          <cell r="D684">
            <v>45278</v>
          </cell>
          <cell r="E684">
            <v>45898</v>
          </cell>
          <cell r="F684" t="str">
            <v>22313</v>
          </cell>
          <cell r="G684" t="str">
            <v>為升三</v>
          </cell>
          <cell r="H684">
            <v>100000</v>
          </cell>
          <cell r="I684">
            <v>3.75</v>
          </cell>
          <cell r="J684">
            <v>45898</v>
          </cell>
          <cell r="K684">
            <v>101.50749999999999</v>
          </cell>
          <cell r="L684">
            <v>45880</v>
          </cell>
          <cell r="M684">
            <v>-5281</v>
          </cell>
          <cell r="N684">
            <v>94719</v>
          </cell>
        </row>
        <row r="685">
          <cell r="A685">
            <v>15991</v>
          </cell>
          <cell r="B685">
            <v>679</v>
          </cell>
          <cell r="C685" t="str">
            <v>IASWD2312000634</v>
          </cell>
          <cell r="D685">
            <v>45280</v>
          </cell>
          <cell r="E685">
            <v>45979</v>
          </cell>
          <cell r="F685" t="str">
            <v>15991</v>
          </cell>
          <cell r="G685" t="str">
            <v>宏佳騰一</v>
          </cell>
          <cell r="H685">
            <v>200000</v>
          </cell>
          <cell r="I685">
            <v>2.15</v>
          </cell>
          <cell r="J685">
            <v>45979</v>
          </cell>
          <cell r="K685">
            <v>100</v>
          </cell>
          <cell r="L685">
            <v>45959</v>
          </cell>
          <cell r="M685">
            <v>-6032</v>
          </cell>
          <cell r="N685">
            <v>193968</v>
          </cell>
        </row>
        <row r="686">
          <cell r="A686">
            <v>44163</v>
          </cell>
          <cell r="B686">
            <v>680</v>
          </cell>
          <cell r="C686" t="str">
            <v>IASWD2312000691</v>
          </cell>
          <cell r="D686">
            <v>45281</v>
          </cell>
          <cell r="E686">
            <v>45930</v>
          </cell>
          <cell r="F686" t="str">
            <v>44163</v>
          </cell>
          <cell r="G686" t="str">
            <v>三圓三</v>
          </cell>
          <cell r="H686">
            <v>100000</v>
          </cell>
          <cell r="I686">
            <v>2.1</v>
          </cell>
          <cell r="J686">
            <v>45930</v>
          </cell>
          <cell r="K686">
            <v>101.51</v>
          </cell>
          <cell r="L686">
            <v>45910</v>
          </cell>
          <cell r="M686">
            <v>-2940</v>
          </cell>
          <cell r="N686">
            <v>97060</v>
          </cell>
        </row>
        <row r="687">
          <cell r="A687">
            <v>99211</v>
          </cell>
          <cell r="B687">
            <v>681</v>
          </cell>
          <cell r="C687" t="str">
            <v>IASWD2312000697</v>
          </cell>
          <cell r="D687">
            <v>45281</v>
          </cell>
          <cell r="E687">
            <v>45821</v>
          </cell>
          <cell r="F687" t="str">
            <v>99211</v>
          </cell>
          <cell r="G687" t="str">
            <v>巨大一</v>
          </cell>
          <cell r="H687">
            <v>100000</v>
          </cell>
          <cell r="I687">
            <v>3.25</v>
          </cell>
          <cell r="J687">
            <v>45821</v>
          </cell>
          <cell r="K687">
            <v>100</v>
          </cell>
          <cell r="L687">
            <v>45800</v>
          </cell>
          <cell r="M687">
            <v>-4550</v>
          </cell>
          <cell r="N687">
            <v>95450</v>
          </cell>
        </row>
        <row r="688">
          <cell r="A688">
            <v>99211</v>
          </cell>
          <cell r="B688">
            <v>682</v>
          </cell>
          <cell r="C688" t="str">
            <v>IASWD2312000706</v>
          </cell>
          <cell r="D688">
            <v>45281</v>
          </cell>
          <cell r="E688">
            <v>45821</v>
          </cell>
          <cell r="F688" t="str">
            <v>99211</v>
          </cell>
          <cell r="G688" t="str">
            <v>巨大一</v>
          </cell>
          <cell r="H688">
            <v>500000</v>
          </cell>
          <cell r="I688">
            <v>3.25</v>
          </cell>
          <cell r="J688">
            <v>45821</v>
          </cell>
          <cell r="K688">
            <v>100</v>
          </cell>
          <cell r="L688">
            <v>45800</v>
          </cell>
          <cell r="M688">
            <v>-22750</v>
          </cell>
          <cell r="N688">
            <v>477250</v>
          </cell>
        </row>
        <row r="689">
          <cell r="A689">
            <v>62843</v>
          </cell>
          <cell r="B689">
            <v>683</v>
          </cell>
          <cell r="C689" t="str">
            <v>IASWD2312000715</v>
          </cell>
          <cell r="D689">
            <v>45281</v>
          </cell>
          <cell r="E689">
            <v>46005</v>
          </cell>
          <cell r="F689" t="str">
            <v>62843</v>
          </cell>
          <cell r="G689" t="str">
            <v>佳邦三</v>
          </cell>
          <cell r="H689">
            <v>200000</v>
          </cell>
          <cell r="I689">
            <v>2.75</v>
          </cell>
          <cell r="J689">
            <v>46005</v>
          </cell>
          <cell r="K689">
            <v>100</v>
          </cell>
          <cell r="L689">
            <v>45986</v>
          </cell>
          <cell r="M689">
            <v>-7700</v>
          </cell>
          <cell r="N689">
            <v>192300</v>
          </cell>
        </row>
        <row r="690">
          <cell r="A690">
            <v>15991</v>
          </cell>
          <cell r="B690">
            <v>684</v>
          </cell>
          <cell r="C690" t="str">
            <v>IASWD2312000718</v>
          </cell>
          <cell r="D690">
            <v>45281</v>
          </cell>
          <cell r="E690">
            <v>45979</v>
          </cell>
          <cell r="F690" t="str">
            <v>15991</v>
          </cell>
          <cell r="G690" t="str">
            <v>宏佳騰一</v>
          </cell>
          <cell r="H690">
            <v>200000</v>
          </cell>
          <cell r="I690">
            <v>2.1</v>
          </cell>
          <cell r="J690">
            <v>45979</v>
          </cell>
          <cell r="K690">
            <v>100</v>
          </cell>
          <cell r="L690">
            <v>45959</v>
          </cell>
          <cell r="M690">
            <v>-5880</v>
          </cell>
          <cell r="N690">
            <v>194120</v>
          </cell>
        </row>
        <row r="691">
          <cell r="A691">
            <v>44163</v>
          </cell>
          <cell r="B691">
            <v>685</v>
          </cell>
          <cell r="C691" t="str">
            <v>IASWD2312000742</v>
          </cell>
          <cell r="D691">
            <v>45282</v>
          </cell>
          <cell r="E691">
            <v>45930</v>
          </cell>
          <cell r="F691" t="str">
            <v>44163</v>
          </cell>
          <cell r="G691" t="str">
            <v>三圓三</v>
          </cell>
          <cell r="H691">
            <v>100000</v>
          </cell>
          <cell r="I691">
            <v>2.1</v>
          </cell>
          <cell r="J691">
            <v>45930</v>
          </cell>
          <cell r="K691">
            <v>101.51</v>
          </cell>
          <cell r="L691">
            <v>45910</v>
          </cell>
          <cell r="M691">
            <v>-2934</v>
          </cell>
          <cell r="N691">
            <v>97066</v>
          </cell>
        </row>
        <row r="692">
          <cell r="A692">
            <v>44163</v>
          </cell>
          <cell r="B692">
            <v>686</v>
          </cell>
          <cell r="C692" t="str">
            <v>IASWD2312000752</v>
          </cell>
          <cell r="D692">
            <v>45282</v>
          </cell>
          <cell r="E692">
            <v>45930</v>
          </cell>
          <cell r="F692" t="str">
            <v>44163</v>
          </cell>
          <cell r="G692" t="str">
            <v>三圓三</v>
          </cell>
          <cell r="H692">
            <v>200000</v>
          </cell>
          <cell r="I692">
            <v>2.1</v>
          </cell>
          <cell r="J692">
            <v>45930</v>
          </cell>
          <cell r="K692">
            <v>101.51</v>
          </cell>
          <cell r="L692">
            <v>45910</v>
          </cell>
          <cell r="M692">
            <v>-5868</v>
          </cell>
          <cell r="N692">
            <v>194132</v>
          </cell>
        </row>
        <row r="693">
          <cell r="A693">
            <v>99412</v>
          </cell>
          <cell r="B693">
            <v>687</v>
          </cell>
          <cell r="C693" t="str">
            <v>IASWD2312000753</v>
          </cell>
          <cell r="D693">
            <v>45282</v>
          </cell>
          <cell r="E693">
            <v>46346</v>
          </cell>
          <cell r="F693" t="str">
            <v>99412</v>
          </cell>
          <cell r="G693" t="str">
            <v>裕融二</v>
          </cell>
          <cell r="H693">
            <v>3000000</v>
          </cell>
          <cell r="I693">
            <v>3.5</v>
          </cell>
          <cell r="J693">
            <v>46346</v>
          </cell>
          <cell r="K693">
            <v>100</v>
          </cell>
          <cell r="L693">
            <v>46328</v>
          </cell>
          <cell r="M693">
            <v>-146712</v>
          </cell>
          <cell r="N693">
            <v>2853288</v>
          </cell>
        </row>
        <row r="694">
          <cell r="A694">
            <v>24972</v>
          </cell>
          <cell r="B694">
            <v>688</v>
          </cell>
          <cell r="C694" t="str">
            <v>IASWD2312000755</v>
          </cell>
          <cell r="D694">
            <v>45282</v>
          </cell>
          <cell r="E694">
            <v>45845</v>
          </cell>
          <cell r="F694" t="str">
            <v>24972</v>
          </cell>
          <cell r="G694" t="str">
            <v>怡利電二</v>
          </cell>
          <cell r="H694">
            <v>100000</v>
          </cell>
          <cell r="I694">
            <v>2.1</v>
          </cell>
          <cell r="J694">
            <v>45845</v>
          </cell>
          <cell r="K694">
            <v>100</v>
          </cell>
          <cell r="L694">
            <v>45825</v>
          </cell>
          <cell r="M694">
            <v>-2934</v>
          </cell>
          <cell r="N694">
            <v>97066</v>
          </cell>
        </row>
        <row r="695">
          <cell r="A695">
            <v>99412</v>
          </cell>
          <cell r="B695">
            <v>689</v>
          </cell>
          <cell r="C695" t="str">
            <v>IASWD2312000764</v>
          </cell>
          <cell r="D695">
            <v>45285</v>
          </cell>
          <cell r="E695">
            <v>46346</v>
          </cell>
          <cell r="F695" t="str">
            <v>99412</v>
          </cell>
          <cell r="G695" t="str">
            <v>裕融二</v>
          </cell>
          <cell r="H695">
            <v>2000000</v>
          </cell>
          <cell r="I695">
            <v>3.5</v>
          </cell>
          <cell r="J695">
            <v>46346</v>
          </cell>
          <cell r="K695">
            <v>100</v>
          </cell>
          <cell r="L695">
            <v>46328</v>
          </cell>
          <cell r="M695">
            <v>-97233</v>
          </cell>
          <cell r="N695">
            <v>1902767</v>
          </cell>
        </row>
        <row r="696">
          <cell r="A696">
            <v>44163</v>
          </cell>
          <cell r="B696">
            <v>690</v>
          </cell>
          <cell r="C696" t="str">
            <v>IASWD2312000768</v>
          </cell>
          <cell r="D696">
            <v>45285</v>
          </cell>
          <cell r="E696">
            <v>45930</v>
          </cell>
          <cell r="F696" t="str">
            <v>44163</v>
          </cell>
          <cell r="G696" t="str">
            <v>三圓三</v>
          </cell>
          <cell r="H696">
            <v>100000</v>
          </cell>
          <cell r="I696">
            <v>2.1</v>
          </cell>
          <cell r="J696">
            <v>45930</v>
          </cell>
          <cell r="K696">
            <v>101.51</v>
          </cell>
          <cell r="L696">
            <v>45910</v>
          </cell>
          <cell r="M696">
            <v>-2917</v>
          </cell>
          <cell r="N696">
            <v>97083</v>
          </cell>
        </row>
        <row r="697">
          <cell r="A697">
            <v>44163</v>
          </cell>
          <cell r="B697">
            <v>691</v>
          </cell>
          <cell r="C697" t="str">
            <v>IASWD2312000771</v>
          </cell>
          <cell r="D697">
            <v>45285</v>
          </cell>
          <cell r="E697">
            <v>45930</v>
          </cell>
          <cell r="F697" t="str">
            <v>44163</v>
          </cell>
          <cell r="G697" t="str">
            <v>三圓三</v>
          </cell>
          <cell r="H697">
            <v>200000</v>
          </cell>
          <cell r="I697">
            <v>2.1</v>
          </cell>
          <cell r="J697">
            <v>45930</v>
          </cell>
          <cell r="K697">
            <v>101.51</v>
          </cell>
          <cell r="L697">
            <v>45910</v>
          </cell>
          <cell r="M697">
            <v>-5834</v>
          </cell>
          <cell r="N697">
            <v>194166</v>
          </cell>
        </row>
        <row r="698">
          <cell r="A698">
            <v>44163</v>
          </cell>
          <cell r="B698">
            <v>692</v>
          </cell>
          <cell r="C698" t="str">
            <v>IASWD2312000776</v>
          </cell>
          <cell r="D698">
            <v>45285</v>
          </cell>
          <cell r="E698">
            <v>45930</v>
          </cell>
          <cell r="F698" t="str">
            <v>44163</v>
          </cell>
          <cell r="G698" t="str">
            <v>三圓三</v>
          </cell>
          <cell r="H698">
            <v>200000</v>
          </cell>
          <cell r="I698">
            <v>2.1</v>
          </cell>
          <cell r="J698">
            <v>45930</v>
          </cell>
          <cell r="K698">
            <v>101.51</v>
          </cell>
          <cell r="L698">
            <v>45910</v>
          </cell>
          <cell r="M698">
            <v>-5834</v>
          </cell>
          <cell r="N698">
            <v>194166</v>
          </cell>
        </row>
        <row r="699">
          <cell r="A699">
            <v>44163</v>
          </cell>
          <cell r="B699">
            <v>693</v>
          </cell>
          <cell r="C699" t="str">
            <v>IASWD2312000777</v>
          </cell>
          <cell r="D699">
            <v>45285</v>
          </cell>
          <cell r="E699">
            <v>45930</v>
          </cell>
          <cell r="F699" t="str">
            <v>44163</v>
          </cell>
          <cell r="G699" t="str">
            <v>三圓三</v>
          </cell>
          <cell r="H699">
            <v>100000</v>
          </cell>
          <cell r="I699">
            <v>2.1</v>
          </cell>
          <cell r="J699">
            <v>45930</v>
          </cell>
          <cell r="K699">
            <v>101.51</v>
          </cell>
          <cell r="L699">
            <v>45910</v>
          </cell>
          <cell r="M699">
            <v>-2917</v>
          </cell>
          <cell r="N699">
            <v>97083</v>
          </cell>
        </row>
        <row r="700">
          <cell r="A700">
            <v>99412</v>
          </cell>
          <cell r="B700">
            <v>694</v>
          </cell>
          <cell r="C700" t="str">
            <v>IASWD2312000780</v>
          </cell>
          <cell r="D700">
            <v>45285</v>
          </cell>
          <cell r="E700">
            <v>46346</v>
          </cell>
          <cell r="F700" t="str">
            <v>99412</v>
          </cell>
          <cell r="G700" t="str">
            <v>裕融二</v>
          </cell>
          <cell r="H700">
            <v>400000</v>
          </cell>
          <cell r="I700">
            <v>3.5</v>
          </cell>
          <cell r="J700">
            <v>46346</v>
          </cell>
          <cell r="K700">
            <v>100</v>
          </cell>
          <cell r="L700">
            <v>46328</v>
          </cell>
          <cell r="M700">
            <v>-19447</v>
          </cell>
          <cell r="N700">
            <v>380553</v>
          </cell>
        </row>
        <row r="701">
          <cell r="A701">
            <v>44163</v>
          </cell>
          <cell r="B701">
            <v>695</v>
          </cell>
          <cell r="C701" t="str">
            <v>IASWD2312000787</v>
          </cell>
          <cell r="D701">
            <v>45286</v>
          </cell>
          <cell r="E701">
            <v>45930</v>
          </cell>
          <cell r="F701" t="str">
            <v>44163</v>
          </cell>
          <cell r="G701" t="str">
            <v>三圓三</v>
          </cell>
          <cell r="H701">
            <v>100000</v>
          </cell>
          <cell r="I701">
            <v>2.1</v>
          </cell>
          <cell r="J701">
            <v>45930</v>
          </cell>
          <cell r="K701">
            <v>101.51</v>
          </cell>
          <cell r="L701">
            <v>45910</v>
          </cell>
          <cell r="M701">
            <v>-2911</v>
          </cell>
          <cell r="N701">
            <v>97089</v>
          </cell>
        </row>
        <row r="702">
          <cell r="A702">
            <v>44163</v>
          </cell>
          <cell r="B702">
            <v>696</v>
          </cell>
          <cell r="C702" t="str">
            <v>IASWD2312000791</v>
          </cell>
          <cell r="D702">
            <v>45286</v>
          </cell>
          <cell r="E702">
            <v>45930</v>
          </cell>
          <cell r="F702" t="str">
            <v>44163</v>
          </cell>
          <cell r="G702" t="str">
            <v>三圓三</v>
          </cell>
          <cell r="H702">
            <v>100000</v>
          </cell>
          <cell r="I702">
            <v>2.1</v>
          </cell>
          <cell r="J702">
            <v>45930</v>
          </cell>
          <cell r="K702">
            <v>101.51</v>
          </cell>
          <cell r="L702">
            <v>45910</v>
          </cell>
          <cell r="M702">
            <v>-2911</v>
          </cell>
          <cell r="N702">
            <v>97089</v>
          </cell>
        </row>
        <row r="703">
          <cell r="A703">
            <v>22313</v>
          </cell>
          <cell r="B703">
            <v>697</v>
          </cell>
          <cell r="C703" t="str">
            <v>IASWD2312000794</v>
          </cell>
          <cell r="D703">
            <v>45286</v>
          </cell>
          <cell r="E703">
            <v>45898</v>
          </cell>
          <cell r="F703" t="str">
            <v>22313</v>
          </cell>
          <cell r="G703" t="str">
            <v>為升三</v>
          </cell>
          <cell r="H703">
            <v>300000</v>
          </cell>
          <cell r="I703">
            <v>3.75</v>
          </cell>
          <cell r="J703">
            <v>45898</v>
          </cell>
          <cell r="K703">
            <v>101.50749999999999</v>
          </cell>
          <cell r="L703">
            <v>45880</v>
          </cell>
          <cell r="M703">
            <v>-15596</v>
          </cell>
          <cell r="N703">
            <v>284404</v>
          </cell>
        </row>
        <row r="704">
          <cell r="A704">
            <v>84881</v>
          </cell>
          <cell r="B704">
            <v>698</v>
          </cell>
          <cell r="C704" t="str">
            <v>IASWD2312000795</v>
          </cell>
          <cell r="D704">
            <v>45286</v>
          </cell>
          <cell r="E704">
            <v>46375</v>
          </cell>
          <cell r="F704" t="str">
            <v>84881</v>
          </cell>
          <cell r="G704" t="str">
            <v>吉源一KY</v>
          </cell>
          <cell r="H704">
            <v>200000</v>
          </cell>
          <cell r="I704">
            <v>2.1</v>
          </cell>
          <cell r="J704">
            <v>46375</v>
          </cell>
          <cell r="K704">
            <v>100</v>
          </cell>
          <cell r="L704">
            <v>46357</v>
          </cell>
          <cell r="M704">
            <v>-5822</v>
          </cell>
          <cell r="N704">
            <v>194178</v>
          </cell>
        </row>
        <row r="705">
          <cell r="A705">
            <v>44163</v>
          </cell>
          <cell r="B705">
            <v>699</v>
          </cell>
          <cell r="C705" t="str">
            <v>IASWD2312000814</v>
          </cell>
          <cell r="D705">
            <v>45287</v>
          </cell>
          <cell r="E705">
            <v>45930</v>
          </cell>
          <cell r="F705" t="str">
            <v>44163</v>
          </cell>
          <cell r="G705" t="str">
            <v>三圓三</v>
          </cell>
          <cell r="H705">
            <v>100000</v>
          </cell>
          <cell r="I705">
            <v>2.1</v>
          </cell>
          <cell r="J705">
            <v>45930</v>
          </cell>
          <cell r="K705">
            <v>101.51</v>
          </cell>
          <cell r="L705">
            <v>45910</v>
          </cell>
          <cell r="M705">
            <v>-2905</v>
          </cell>
          <cell r="N705">
            <v>97095</v>
          </cell>
        </row>
        <row r="706">
          <cell r="A706">
            <v>44163</v>
          </cell>
          <cell r="B706">
            <v>700</v>
          </cell>
          <cell r="C706" t="str">
            <v>IASWD2312000815</v>
          </cell>
          <cell r="D706">
            <v>45287</v>
          </cell>
          <cell r="E706">
            <v>45930</v>
          </cell>
          <cell r="F706" t="str">
            <v>44163</v>
          </cell>
          <cell r="G706" t="str">
            <v>三圓三</v>
          </cell>
          <cell r="H706">
            <v>100000</v>
          </cell>
          <cell r="I706">
            <v>2.1</v>
          </cell>
          <cell r="J706">
            <v>45930</v>
          </cell>
          <cell r="K706">
            <v>101.51</v>
          </cell>
          <cell r="L706">
            <v>45910</v>
          </cell>
          <cell r="M706">
            <v>-2905</v>
          </cell>
          <cell r="N706">
            <v>97095</v>
          </cell>
        </row>
        <row r="707">
          <cell r="A707">
            <v>44163</v>
          </cell>
          <cell r="B707">
            <v>701</v>
          </cell>
          <cell r="C707" t="str">
            <v>IASWD2312000828</v>
          </cell>
          <cell r="D707">
            <v>45287</v>
          </cell>
          <cell r="E707">
            <v>45930</v>
          </cell>
          <cell r="F707" t="str">
            <v>44163</v>
          </cell>
          <cell r="G707" t="str">
            <v>三圓三</v>
          </cell>
          <cell r="H707">
            <v>700000</v>
          </cell>
          <cell r="I707">
            <v>2.1</v>
          </cell>
          <cell r="J707">
            <v>45930</v>
          </cell>
          <cell r="K707">
            <v>101.51</v>
          </cell>
          <cell r="L707">
            <v>45910</v>
          </cell>
          <cell r="M707">
            <v>-20338</v>
          </cell>
          <cell r="N707">
            <v>679662</v>
          </cell>
        </row>
        <row r="708">
          <cell r="A708">
            <v>44163</v>
          </cell>
          <cell r="B708">
            <v>702</v>
          </cell>
          <cell r="C708" t="str">
            <v>IASWD2312000831</v>
          </cell>
          <cell r="D708">
            <v>45287</v>
          </cell>
          <cell r="E708">
            <v>45930</v>
          </cell>
          <cell r="F708" t="str">
            <v>44163</v>
          </cell>
          <cell r="G708" t="str">
            <v>三圓三</v>
          </cell>
          <cell r="H708">
            <v>100000</v>
          </cell>
          <cell r="I708">
            <v>2.1</v>
          </cell>
          <cell r="J708">
            <v>45930</v>
          </cell>
          <cell r="K708">
            <v>101.51</v>
          </cell>
          <cell r="L708">
            <v>45910</v>
          </cell>
          <cell r="M708">
            <v>-2905</v>
          </cell>
          <cell r="N708">
            <v>97095</v>
          </cell>
        </row>
        <row r="709">
          <cell r="A709">
            <v>44163</v>
          </cell>
          <cell r="B709">
            <v>703</v>
          </cell>
          <cell r="C709" t="str">
            <v>IASWD2312000838</v>
          </cell>
          <cell r="D709">
            <v>45288</v>
          </cell>
          <cell r="E709">
            <v>45930</v>
          </cell>
          <cell r="F709" t="str">
            <v>44163</v>
          </cell>
          <cell r="G709" t="str">
            <v>三圓三</v>
          </cell>
          <cell r="H709">
            <v>500000</v>
          </cell>
          <cell r="I709">
            <v>2.1</v>
          </cell>
          <cell r="J709">
            <v>45930</v>
          </cell>
          <cell r="K709">
            <v>101.51</v>
          </cell>
          <cell r="L709">
            <v>45910</v>
          </cell>
          <cell r="M709">
            <v>-14499</v>
          </cell>
          <cell r="N709">
            <v>485501</v>
          </cell>
        </row>
        <row r="710">
          <cell r="A710">
            <v>99412</v>
          </cell>
          <cell r="B710">
            <v>704</v>
          </cell>
          <cell r="C710" t="str">
            <v>IASWD2312000851</v>
          </cell>
          <cell r="D710">
            <v>45288</v>
          </cell>
          <cell r="E710">
            <v>46346</v>
          </cell>
          <cell r="F710" t="str">
            <v>99412</v>
          </cell>
          <cell r="G710" t="str">
            <v>裕融二</v>
          </cell>
          <cell r="H710">
            <v>200000</v>
          </cell>
          <cell r="I710">
            <v>3.5</v>
          </cell>
          <cell r="J710">
            <v>46346</v>
          </cell>
          <cell r="K710">
            <v>100</v>
          </cell>
          <cell r="L710">
            <v>46328</v>
          </cell>
          <cell r="M710">
            <v>-9666</v>
          </cell>
          <cell r="N710">
            <v>190334</v>
          </cell>
        </row>
        <row r="711">
          <cell r="A711">
            <v>22313</v>
          </cell>
          <cell r="B711">
            <v>705</v>
          </cell>
          <cell r="C711" t="str">
            <v>IASWD2312000854</v>
          </cell>
          <cell r="D711">
            <v>45288</v>
          </cell>
          <cell r="E711">
            <v>45898</v>
          </cell>
          <cell r="F711" t="str">
            <v>22313</v>
          </cell>
          <cell r="G711" t="str">
            <v>為升三</v>
          </cell>
          <cell r="H711">
            <v>100000</v>
          </cell>
          <cell r="I711">
            <v>3.75</v>
          </cell>
          <cell r="J711">
            <v>45898</v>
          </cell>
          <cell r="K711">
            <v>101.50749999999999</v>
          </cell>
          <cell r="L711">
            <v>45880</v>
          </cell>
          <cell r="M711">
            <v>-5178</v>
          </cell>
          <cell r="N711">
            <v>94822</v>
          </cell>
        </row>
        <row r="712">
          <cell r="A712">
            <v>44163</v>
          </cell>
          <cell r="B712">
            <v>706</v>
          </cell>
          <cell r="C712" t="str">
            <v>IASWD2312000858</v>
          </cell>
          <cell r="D712">
            <v>45288</v>
          </cell>
          <cell r="E712">
            <v>45930</v>
          </cell>
          <cell r="F712" t="str">
            <v>44163</v>
          </cell>
          <cell r="G712" t="str">
            <v>三圓三</v>
          </cell>
          <cell r="H712">
            <v>100000</v>
          </cell>
          <cell r="I712">
            <v>2.1</v>
          </cell>
          <cell r="J712">
            <v>45930</v>
          </cell>
          <cell r="K712">
            <v>101.51</v>
          </cell>
          <cell r="L712">
            <v>45910</v>
          </cell>
          <cell r="M712">
            <v>-2900</v>
          </cell>
          <cell r="N712">
            <v>97100</v>
          </cell>
        </row>
        <row r="713">
          <cell r="A713">
            <v>44163</v>
          </cell>
          <cell r="B713">
            <v>707</v>
          </cell>
          <cell r="C713" t="str">
            <v>IASWD2312000893</v>
          </cell>
          <cell r="D713">
            <v>45289</v>
          </cell>
          <cell r="E713">
            <v>45930</v>
          </cell>
          <cell r="F713" t="str">
            <v>44163</v>
          </cell>
          <cell r="G713" t="str">
            <v>三圓三</v>
          </cell>
          <cell r="H713">
            <v>100000</v>
          </cell>
          <cell r="I713">
            <v>2.1</v>
          </cell>
          <cell r="J713">
            <v>45930</v>
          </cell>
          <cell r="K713">
            <v>101.51</v>
          </cell>
          <cell r="L713">
            <v>45910</v>
          </cell>
          <cell r="M713">
            <v>-2894</v>
          </cell>
          <cell r="N713">
            <v>97106</v>
          </cell>
        </row>
        <row r="714">
          <cell r="A714">
            <v>22313</v>
          </cell>
          <cell r="B714">
            <v>708</v>
          </cell>
          <cell r="C714" t="str">
            <v>IASWD2401000002</v>
          </cell>
          <cell r="D714">
            <v>45293</v>
          </cell>
          <cell r="E714">
            <v>45898</v>
          </cell>
          <cell r="F714" t="str">
            <v>22313</v>
          </cell>
          <cell r="G714" t="str">
            <v>為升三</v>
          </cell>
          <cell r="H714">
            <v>100000</v>
          </cell>
          <cell r="I714">
            <v>3.5</v>
          </cell>
          <cell r="J714">
            <v>45898</v>
          </cell>
          <cell r="K714">
            <v>101.50749999999999</v>
          </cell>
          <cell r="L714">
            <v>45880</v>
          </cell>
          <cell r="M714">
            <v>-4785</v>
          </cell>
          <cell r="N714">
            <v>95215</v>
          </cell>
        </row>
        <row r="715">
          <cell r="A715">
            <v>62822</v>
          </cell>
          <cell r="B715">
            <v>709</v>
          </cell>
          <cell r="C715" t="str">
            <v>IASWD2401000007</v>
          </cell>
          <cell r="D715">
            <v>45293</v>
          </cell>
          <cell r="E715">
            <v>46186</v>
          </cell>
          <cell r="F715" t="str">
            <v>62822</v>
          </cell>
          <cell r="G715" t="str">
            <v>康舒二</v>
          </cell>
          <cell r="H715">
            <v>1000000</v>
          </cell>
          <cell r="I715">
            <v>3.25</v>
          </cell>
          <cell r="J715">
            <v>46186</v>
          </cell>
          <cell r="K715">
            <v>100</v>
          </cell>
          <cell r="L715">
            <v>46168</v>
          </cell>
          <cell r="M715">
            <v>-44432</v>
          </cell>
          <cell r="N715">
            <v>955568</v>
          </cell>
        </row>
        <row r="716">
          <cell r="A716">
            <v>50097</v>
          </cell>
          <cell r="B716">
            <v>710</v>
          </cell>
          <cell r="C716" t="str">
            <v>IASWD2401000015</v>
          </cell>
          <cell r="D716">
            <v>45293</v>
          </cell>
          <cell r="E716">
            <v>46234</v>
          </cell>
          <cell r="F716" t="str">
            <v>50097</v>
          </cell>
          <cell r="G716" t="str">
            <v>榮剛七</v>
          </cell>
          <cell r="H716">
            <v>100000</v>
          </cell>
          <cell r="I716">
            <v>4.5</v>
          </cell>
          <cell r="J716">
            <v>46234</v>
          </cell>
          <cell r="K716">
            <v>101.51</v>
          </cell>
          <cell r="L716">
            <v>46216</v>
          </cell>
          <cell r="M716">
            <v>-6152</v>
          </cell>
          <cell r="N716">
            <v>93848</v>
          </cell>
        </row>
        <row r="717">
          <cell r="A717">
            <v>50097</v>
          </cell>
          <cell r="B717">
            <v>711</v>
          </cell>
          <cell r="C717" t="str">
            <v>IASWD2401000016</v>
          </cell>
          <cell r="D717">
            <v>45293</v>
          </cell>
          <cell r="E717">
            <v>46234</v>
          </cell>
          <cell r="F717" t="str">
            <v>50097</v>
          </cell>
          <cell r="G717" t="str">
            <v>榮剛七</v>
          </cell>
          <cell r="H717">
            <v>100000</v>
          </cell>
          <cell r="I717">
            <v>4.5</v>
          </cell>
          <cell r="J717">
            <v>46234</v>
          </cell>
          <cell r="K717">
            <v>101.51</v>
          </cell>
          <cell r="L717">
            <v>46216</v>
          </cell>
          <cell r="M717">
            <v>-6152</v>
          </cell>
          <cell r="N717">
            <v>93848</v>
          </cell>
        </row>
        <row r="718">
          <cell r="A718">
            <v>44163</v>
          </cell>
          <cell r="B718">
            <v>712</v>
          </cell>
          <cell r="C718" t="str">
            <v>IASWD2401000020</v>
          </cell>
          <cell r="D718">
            <v>45293</v>
          </cell>
          <cell r="E718">
            <v>45930</v>
          </cell>
          <cell r="F718" t="str">
            <v>44163</v>
          </cell>
          <cell r="G718" t="str">
            <v>三圓三</v>
          </cell>
          <cell r="H718">
            <v>100000</v>
          </cell>
          <cell r="I718">
            <v>2.1</v>
          </cell>
          <cell r="J718">
            <v>45930</v>
          </cell>
          <cell r="K718">
            <v>101.51</v>
          </cell>
          <cell r="L718">
            <v>45910</v>
          </cell>
          <cell r="M718">
            <v>-2871</v>
          </cell>
          <cell r="N718">
            <v>97129</v>
          </cell>
        </row>
        <row r="719">
          <cell r="A719">
            <v>50097</v>
          </cell>
          <cell r="B719">
            <v>713</v>
          </cell>
          <cell r="C719" t="str">
            <v>IASWD2401000021</v>
          </cell>
          <cell r="D719">
            <v>45293</v>
          </cell>
          <cell r="E719">
            <v>46234</v>
          </cell>
          <cell r="F719" t="str">
            <v>50097</v>
          </cell>
          <cell r="G719" t="str">
            <v>榮剛七</v>
          </cell>
          <cell r="H719">
            <v>300000</v>
          </cell>
          <cell r="I719">
            <v>4.5</v>
          </cell>
          <cell r="J719">
            <v>46234</v>
          </cell>
          <cell r="K719">
            <v>101.51</v>
          </cell>
          <cell r="L719">
            <v>46216</v>
          </cell>
          <cell r="M719">
            <v>-18456</v>
          </cell>
          <cell r="N719">
            <v>281544</v>
          </cell>
        </row>
        <row r="720">
          <cell r="A720">
            <v>44163</v>
          </cell>
          <cell r="B720">
            <v>714</v>
          </cell>
          <cell r="C720" t="str">
            <v>IASWD2401000022</v>
          </cell>
          <cell r="D720">
            <v>45293</v>
          </cell>
          <cell r="E720">
            <v>45930</v>
          </cell>
          <cell r="F720" t="str">
            <v>44163</v>
          </cell>
          <cell r="G720" t="str">
            <v>三圓三</v>
          </cell>
          <cell r="H720">
            <v>200000</v>
          </cell>
          <cell r="I720">
            <v>2.1</v>
          </cell>
          <cell r="J720">
            <v>45930</v>
          </cell>
          <cell r="K720">
            <v>101.51</v>
          </cell>
          <cell r="L720">
            <v>45910</v>
          </cell>
          <cell r="M720">
            <v>-5742</v>
          </cell>
          <cell r="N720">
            <v>194258</v>
          </cell>
        </row>
        <row r="721">
          <cell r="A721">
            <v>24972</v>
          </cell>
          <cell r="B721">
            <v>715</v>
          </cell>
          <cell r="C721" t="str">
            <v>IASWD2401000023</v>
          </cell>
          <cell r="D721">
            <v>45293</v>
          </cell>
          <cell r="E721">
            <v>45845</v>
          </cell>
          <cell r="F721" t="str">
            <v>24972</v>
          </cell>
          <cell r="G721" t="str">
            <v>怡利電二</v>
          </cell>
          <cell r="H721">
            <v>100000</v>
          </cell>
          <cell r="I721">
            <v>2.1</v>
          </cell>
          <cell r="J721">
            <v>45845</v>
          </cell>
          <cell r="K721">
            <v>100</v>
          </cell>
          <cell r="L721">
            <v>45825</v>
          </cell>
          <cell r="M721">
            <v>-2871</v>
          </cell>
          <cell r="N721">
            <v>97129</v>
          </cell>
        </row>
        <row r="722">
          <cell r="A722">
            <v>62822</v>
          </cell>
          <cell r="B722">
            <v>716</v>
          </cell>
          <cell r="C722" t="str">
            <v>IASWD2401000027</v>
          </cell>
          <cell r="D722">
            <v>45293</v>
          </cell>
          <cell r="E722">
            <v>46186</v>
          </cell>
          <cell r="F722" t="str">
            <v>62822</v>
          </cell>
          <cell r="G722" t="str">
            <v>康舒二</v>
          </cell>
          <cell r="H722">
            <v>100000</v>
          </cell>
          <cell r="I722">
            <v>3.25</v>
          </cell>
          <cell r="J722">
            <v>46186</v>
          </cell>
          <cell r="K722">
            <v>100</v>
          </cell>
          <cell r="L722">
            <v>46168</v>
          </cell>
          <cell r="M722">
            <v>-4443</v>
          </cell>
          <cell r="N722">
            <v>95557</v>
          </cell>
        </row>
        <row r="723">
          <cell r="A723">
            <v>50097</v>
          </cell>
          <cell r="B723">
            <v>717</v>
          </cell>
          <cell r="C723" t="str">
            <v>IASWD2401000028</v>
          </cell>
          <cell r="D723">
            <v>45293</v>
          </cell>
          <cell r="E723">
            <v>46234</v>
          </cell>
          <cell r="F723" t="str">
            <v>50097</v>
          </cell>
          <cell r="G723" t="str">
            <v>榮剛七</v>
          </cell>
          <cell r="H723">
            <v>200000</v>
          </cell>
          <cell r="I723">
            <v>4.5</v>
          </cell>
          <cell r="J723">
            <v>46234</v>
          </cell>
          <cell r="K723">
            <v>101.51</v>
          </cell>
          <cell r="L723">
            <v>46216</v>
          </cell>
          <cell r="M723">
            <v>-12304</v>
          </cell>
          <cell r="N723">
            <v>187696</v>
          </cell>
        </row>
        <row r="724">
          <cell r="A724">
            <v>50097</v>
          </cell>
          <cell r="B724">
            <v>718</v>
          </cell>
          <cell r="C724" t="str">
            <v>IASWD2401000033</v>
          </cell>
          <cell r="D724">
            <v>45293</v>
          </cell>
          <cell r="E724">
            <v>46234</v>
          </cell>
          <cell r="F724" t="str">
            <v>50097</v>
          </cell>
          <cell r="G724" t="str">
            <v>榮剛七</v>
          </cell>
          <cell r="H724">
            <v>100000</v>
          </cell>
          <cell r="I724">
            <v>4.5</v>
          </cell>
          <cell r="J724">
            <v>46234</v>
          </cell>
          <cell r="K724">
            <v>101.51</v>
          </cell>
          <cell r="L724">
            <v>46216</v>
          </cell>
          <cell r="M724">
            <v>-6152</v>
          </cell>
          <cell r="N724">
            <v>93848</v>
          </cell>
        </row>
        <row r="725">
          <cell r="A725">
            <v>44163</v>
          </cell>
          <cell r="B725">
            <v>719</v>
          </cell>
          <cell r="C725" t="str">
            <v>IASWD2401000035</v>
          </cell>
          <cell r="D725">
            <v>45294</v>
          </cell>
          <cell r="E725">
            <v>45930</v>
          </cell>
          <cell r="F725" t="str">
            <v>44163</v>
          </cell>
          <cell r="G725" t="str">
            <v>三圓三</v>
          </cell>
          <cell r="H725">
            <v>200000</v>
          </cell>
          <cell r="I725">
            <v>2.1</v>
          </cell>
          <cell r="J725">
            <v>45930</v>
          </cell>
          <cell r="K725">
            <v>101.51</v>
          </cell>
          <cell r="L725">
            <v>45910</v>
          </cell>
          <cell r="M725">
            <v>-5730</v>
          </cell>
          <cell r="N725">
            <v>194270</v>
          </cell>
        </row>
        <row r="726">
          <cell r="A726">
            <v>44163</v>
          </cell>
          <cell r="B726">
            <v>720</v>
          </cell>
          <cell r="C726" t="str">
            <v>IASWD2401000046</v>
          </cell>
          <cell r="D726">
            <v>45294</v>
          </cell>
          <cell r="E726">
            <v>45930</v>
          </cell>
          <cell r="F726" t="str">
            <v>44163</v>
          </cell>
          <cell r="G726" t="str">
            <v>三圓三</v>
          </cell>
          <cell r="H726">
            <v>400000</v>
          </cell>
          <cell r="I726">
            <v>2.1</v>
          </cell>
          <cell r="J726">
            <v>45930</v>
          </cell>
          <cell r="K726">
            <v>101.51</v>
          </cell>
          <cell r="L726">
            <v>45910</v>
          </cell>
          <cell r="M726">
            <v>-11461</v>
          </cell>
          <cell r="N726">
            <v>388539</v>
          </cell>
        </row>
        <row r="727">
          <cell r="A727">
            <v>99412</v>
          </cell>
          <cell r="B727">
            <v>721</v>
          </cell>
          <cell r="C727" t="str">
            <v>IASWD2401000049</v>
          </cell>
          <cell r="D727">
            <v>45294</v>
          </cell>
          <cell r="E727">
            <v>46346</v>
          </cell>
          <cell r="F727" t="str">
            <v>99412</v>
          </cell>
          <cell r="G727" t="str">
            <v>裕融二</v>
          </cell>
          <cell r="H727">
            <v>100000</v>
          </cell>
          <cell r="I727">
            <v>3.5</v>
          </cell>
          <cell r="J727">
            <v>46346</v>
          </cell>
          <cell r="K727">
            <v>100</v>
          </cell>
          <cell r="L727">
            <v>46328</v>
          </cell>
          <cell r="M727">
            <v>-4775</v>
          </cell>
          <cell r="N727">
            <v>95225</v>
          </cell>
        </row>
        <row r="728">
          <cell r="A728">
            <v>62822</v>
          </cell>
          <cell r="B728">
            <v>722</v>
          </cell>
          <cell r="C728" t="str">
            <v>IASWD2401000050</v>
          </cell>
          <cell r="D728">
            <v>45294</v>
          </cell>
          <cell r="E728">
            <v>46186</v>
          </cell>
          <cell r="F728" t="str">
            <v>62822</v>
          </cell>
          <cell r="G728" t="str">
            <v>康舒二</v>
          </cell>
          <cell r="H728">
            <v>400000</v>
          </cell>
          <cell r="I728">
            <v>3.25</v>
          </cell>
          <cell r="J728">
            <v>46186</v>
          </cell>
          <cell r="K728">
            <v>100</v>
          </cell>
          <cell r="L728">
            <v>46168</v>
          </cell>
          <cell r="M728">
            <v>-17737</v>
          </cell>
          <cell r="N728">
            <v>382263</v>
          </cell>
        </row>
        <row r="729">
          <cell r="A729">
            <v>62822</v>
          </cell>
          <cell r="B729">
            <v>723</v>
          </cell>
          <cell r="C729" t="str">
            <v>IASWD2401000054</v>
          </cell>
          <cell r="D729">
            <v>45294</v>
          </cell>
          <cell r="E729">
            <v>46186</v>
          </cell>
          <cell r="F729" t="str">
            <v>62822</v>
          </cell>
          <cell r="G729" t="str">
            <v>康舒二</v>
          </cell>
          <cell r="H729">
            <v>500000</v>
          </cell>
          <cell r="I729">
            <v>3.25</v>
          </cell>
          <cell r="J729">
            <v>46186</v>
          </cell>
          <cell r="K729">
            <v>100</v>
          </cell>
          <cell r="L729">
            <v>46168</v>
          </cell>
          <cell r="M729">
            <v>-22171</v>
          </cell>
          <cell r="N729">
            <v>477829</v>
          </cell>
        </row>
        <row r="730">
          <cell r="A730">
            <v>99412</v>
          </cell>
          <cell r="B730">
            <v>724</v>
          </cell>
          <cell r="C730" t="str">
            <v>IASWD2401000056</v>
          </cell>
          <cell r="D730">
            <v>45294</v>
          </cell>
          <cell r="E730">
            <v>46346</v>
          </cell>
          <cell r="F730" t="str">
            <v>99412</v>
          </cell>
          <cell r="G730" t="str">
            <v>裕融二</v>
          </cell>
          <cell r="H730">
            <v>200000</v>
          </cell>
          <cell r="I730">
            <v>3.5</v>
          </cell>
          <cell r="J730">
            <v>46346</v>
          </cell>
          <cell r="K730">
            <v>100</v>
          </cell>
          <cell r="L730">
            <v>46328</v>
          </cell>
          <cell r="M730">
            <v>-9551</v>
          </cell>
          <cell r="N730">
            <v>190449</v>
          </cell>
        </row>
        <row r="731">
          <cell r="A731">
            <v>44163</v>
          </cell>
          <cell r="B731">
            <v>725</v>
          </cell>
          <cell r="C731" t="str">
            <v>IASWD2401000059</v>
          </cell>
          <cell r="D731">
            <v>45295</v>
          </cell>
          <cell r="E731">
            <v>45930</v>
          </cell>
          <cell r="F731" t="str">
            <v>44163</v>
          </cell>
          <cell r="G731" t="str">
            <v>三圓三</v>
          </cell>
          <cell r="H731">
            <v>100000</v>
          </cell>
          <cell r="I731">
            <v>2.1</v>
          </cell>
          <cell r="J731">
            <v>45930</v>
          </cell>
          <cell r="K731">
            <v>101.51</v>
          </cell>
          <cell r="L731">
            <v>45910</v>
          </cell>
          <cell r="M731">
            <v>-2859</v>
          </cell>
          <cell r="N731">
            <v>97141</v>
          </cell>
        </row>
        <row r="732">
          <cell r="A732">
            <v>99412</v>
          </cell>
          <cell r="B732">
            <v>726</v>
          </cell>
          <cell r="C732" t="str">
            <v>IASWD2401000062</v>
          </cell>
          <cell r="D732">
            <v>45295</v>
          </cell>
          <cell r="E732">
            <v>46346</v>
          </cell>
          <cell r="F732" t="str">
            <v>99412</v>
          </cell>
          <cell r="G732" t="str">
            <v>裕融二</v>
          </cell>
          <cell r="H732">
            <v>100000</v>
          </cell>
          <cell r="I732">
            <v>3.5</v>
          </cell>
          <cell r="J732">
            <v>46346</v>
          </cell>
          <cell r="K732">
            <v>100</v>
          </cell>
          <cell r="L732">
            <v>46328</v>
          </cell>
          <cell r="M732">
            <v>-4766</v>
          </cell>
          <cell r="N732">
            <v>95234</v>
          </cell>
        </row>
        <row r="733">
          <cell r="A733">
            <v>99412</v>
          </cell>
          <cell r="B733">
            <v>727</v>
          </cell>
          <cell r="C733" t="str">
            <v>IASWD2401000063</v>
          </cell>
          <cell r="D733">
            <v>45295</v>
          </cell>
          <cell r="E733">
            <v>46346</v>
          </cell>
          <cell r="F733" t="str">
            <v>99412</v>
          </cell>
          <cell r="G733" t="str">
            <v>裕融二</v>
          </cell>
          <cell r="H733">
            <v>100000</v>
          </cell>
          <cell r="I733">
            <v>3.5</v>
          </cell>
          <cell r="J733">
            <v>46346</v>
          </cell>
          <cell r="K733">
            <v>100</v>
          </cell>
          <cell r="L733">
            <v>46328</v>
          </cell>
          <cell r="M733">
            <v>-4766</v>
          </cell>
          <cell r="N733">
            <v>95234</v>
          </cell>
        </row>
        <row r="734">
          <cell r="A734">
            <v>44163</v>
          </cell>
          <cell r="B734">
            <v>728</v>
          </cell>
          <cell r="C734" t="str">
            <v>IASWD2401000066</v>
          </cell>
          <cell r="D734">
            <v>45295</v>
          </cell>
          <cell r="E734">
            <v>45930</v>
          </cell>
          <cell r="F734" t="str">
            <v>44163</v>
          </cell>
          <cell r="G734" t="str">
            <v>三圓三</v>
          </cell>
          <cell r="H734">
            <v>200000</v>
          </cell>
          <cell r="I734">
            <v>2.1</v>
          </cell>
          <cell r="J734">
            <v>45930</v>
          </cell>
          <cell r="K734">
            <v>101.51</v>
          </cell>
          <cell r="L734">
            <v>45910</v>
          </cell>
          <cell r="M734">
            <v>-5719</v>
          </cell>
          <cell r="N734">
            <v>194281</v>
          </cell>
        </row>
        <row r="735">
          <cell r="A735">
            <v>22313</v>
          </cell>
          <cell r="B735">
            <v>729</v>
          </cell>
          <cell r="C735" t="str">
            <v>IASWD2401000073</v>
          </cell>
          <cell r="D735">
            <v>45295</v>
          </cell>
          <cell r="E735">
            <v>45898</v>
          </cell>
          <cell r="F735" t="str">
            <v>22313</v>
          </cell>
          <cell r="G735" t="str">
            <v>為升三</v>
          </cell>
          <cell r="H735">
            <v>100000</v>
          </cell>
          <cell r="I735">
            <v>3.5</v>
          </cell>
          <cell r="J735">
            <v>45898</v>
          </cell>
          <cell r="K735">
            <v>101.50749999999999</v>
          </cell>
          <cell r="L735">
            <v>45880</v>
          </cell>
          <cell r="M735">
            <v>-4766</v>
          </cell>
          <cell r="N735">
            <v>95234</v>
          </cell>
        </row>
        <row r="736">
          <cell r="A736">
            <v>44163</v>
          </cell>
          <cell r="B736">
            <v>730</v>
          </cell>
          <cell r="C736" t="str">
            <v>IASWD2401000079</v>
          </cell>
          <cell r="D736">
            <v>45295</v>
          </cell>
          <cell r="E736">
            <v>45930</v>
          </cell>
          <cell r="F736" t="str">
            <v>44163</v>
          </cell>
          <cell r="G736" t="str">
            <v>三圓三</v>
          </cell>
          <cell r="H736">
            <v>300000</v>
          </cell>
          <cell r="I736">
            <v>2.1</v>
          </cell>
          <cell r="J736">
            <v>45930</v>
          </cell>
          <cell r="K736">
            <v>101.51</v>
          </cell>
          <cell r="L736">
            <v>45910</v>
          </cell>
          <cell r="M736">
            <v>-8578</v>
          </cell>
          <cell r="N736">
            <v>291422</v>
          </cell>
        </row>
        <row r="737">
          <cell r="A737">
            <v>22313</v>
          </cell>
          <cell r="B737">
            <v>731</v>
          </cell>
          <cell r="C737" t="str">
            <v>IASWD2401000084</v>
          </cell>
          <cell r="D737">
            <v>45295</v>
          </cell>
          <cell r="E737">
            <v>45898</v>
          </cell>
          <cell r="F737" t="str">
            <v>22313</v>
          </cell>
          <cell r="G737" t="str">
            <v>為升三</v>
          </cell>
          <cell r="H737">
            <v>100000</v>
          </cell>
          <cell r="I737">
            <v>3.5</v>
          </cell>
          <cell r="J737">
            <v>45898</v>
          </cell>
          <cell r="K737">
            <v>101.50749999999999</v>
          </cell>
          <cell r="L737">
            <v>45880</v>
          </cell>
          <cell r="M737">
            <v>-4766</v>
          </cell>
          <cell r="N737">
            <v>95234</v>
          </cell>
        </row>
        <row r="738">
          <cell r="A738">
            <v>22313</v>
          </cell>
          <cell r="B738">
            <v>732</v>
          </cell>
          <cell r="C738" t="str">
            <v>IASWD2401000086</v>
          </cell>
          <cell r="D738">
            <v>45295</v>
          </cell>
          <cell r="E738">
            <v>45898</v>
          </cell>
          <cell r="F738" t="str">
            <v>22313</v>
          </cell>
          <cell r="G738" t="str">
            <v>為升三</v>
          </cell>
          <cell r="H738">
            <v>100000</v>
          </cell>
          <cell r="I738">
            <v>3.5</v>
          </cell>
          <cell r="J738">
            <v>45898</v>
          </cell>
          <cell r="K738">
            <v>101.50749999999999</v>
          </cell>
          <cell r="L738">
            <v>45880</v>
          </cell>
          <cell r="M738">
            <v>-4766</v>
          </cell>
          <cell r="N738">
            <v>95234</v>
          </cell>
        </row>
        <row r="739">
          <cell r="A739">
            <v>99412</v>
          </cell>
          <cell r="B739">
            <v>733</v>
          </cell>
          <cell r="C739" t="str">
            <v>IASWD2401000091</v>
          </cell>
          <cell r="D739">
            <v>45295</v>
          </cell>
          <cell r="E739">
            <v>46346</v>
          </cell>
          <cell r="F739" t="str">
            <v>99412</v>
          </cell>
          <cell r="G739" t="str">
            <v>裕融二</v>
          </cell>
          <cell r="H739">
            <v>400000</v>
          </cell>
          <cell r="I739">
            <v>3.5</v>
          </cell>
          <cell r="J739">
            <v>46346</v>
          </cell>
          <cell r="K739">
            <v>100</v>
          </cell>
          <cell r="L739">
            <v>46328</v>
          </cell>
          <cell r="M739">
            <v>-19063</v>
          </cell>
          <cell r="N739">
            <v>380937</v>
          </cell>
        </row>
        <row r="740">
          <cell r="A740">
            <v>99412</v>
          </cell>
          <cell r="B740">
            <v>734</v>
          </cell>
          <cell r="C740" t="str">
            <v>IASWD2401000098</v>
          </cell>
          <cell r="D740">
            <v>45296</v>
          </cell>
          <cell r="E740">
            <v>46346</v>
          </cell>
          <cell r="F740" t="str">
            <v>99412</v>
          </cell>
          <cell r="G740" t="str">
            <v>裕融二</v>
          </cell>
          <cell r="H740">
            <v>300000</v>
          </cell>
          <cell r="I740">
            <v>3.5</v>
          </cell>
          <cell r="J740">
            <v>46346</v>
          </cell>
          <cell r="K740">
            <v>100</v>
          </cell>
          <cell r="L740">
            <v>46328</v>
          </cell>
          <cell r="M740">
            <v>-14268</v>
          </cell>
          <cell r="N740">
            <v>285732</v>
          </cell>
        </row>
        <row r="741">
          <cell r="A741">
            <v>62822</v>
          </cell>
          <cell r="B741">
            <v>735</v>
          </cell>
          <cell r="C741" t="str">
            <v>IASWD2401000101</v>
          </cell>
          <cell r="D741">
            <v>45296</v>
          </cell>
          <cell r="E741">
            <v>46186</v>
          </cell>
          <cell r="F741" t="str">
            <v>62822</v>
          </cell>
          <cell r="G741" t="str">
            <v>康舒二</v>
          </cell>
          <cell r="H741">
            <v>1000000</v>
          </cell>
          <cell r="I741">
            <v>3.25</v>
          </cell>
          <cell r="J741">
            <v>46186</v>
          </cell>
          <cell r="K741">
            <v>100</v>
          </cell>
          <cell r="L741">
            <v>46168</v>
          </cell>
          <cell r="M741">
            <v>-44164</v>
          </cell>
          <cell r="N741">
            <v>955836</v>
          </cell>
        </row>
        <row r="742">
          <cell r="A742">
            <v>44163</v>
          </cell>
          <cell r="B742">
            <v>736</v>
          </cell>
          <cell r="C742" t="str">
            <v>IASWD2401000103</v>
          </cell>
          <cell r="D742">
            <v>45296</v>
          </cell>
          <cell r="E742">
            <v>45930</v>
          </cell>
          <cell r="F742" t="str">
            <v>44163</v>
          </cell>
          <cell r="G742" t="str">
            <v>三圓三</v>
          </cell>
          <cell r="H742">
            <v>100000</v>
          </cell>
          <cell r="I742">
            <v>2.1</v>
          </cell>
          <cell r="J742">
            <v>45930</v>
          </cell>
          <cell r="K742">
            <v>101.51</v>
          </cell>
          <cell r="L742">
            <v>45910</v>
          </cell>
          <cell r="M742">
            <v>-2854</v>
          </cell>
          <cell r="N742">
            <v>97146</v>
          </cell>
        </row>
        <row r="743">
          <cell r="A743">
            <v>45553</v>
          </cell>
          <cell r="B743">
            <v>737</v>
          </cell>
          <cell r="C743" t="str">
            <v>IASWD2401000110</v>
          </cell>
          <cell r="D743">
            <v>45296</v>
          </cell>
          <cell r="E743">
            <v>45905</v>
          </cell>
          <cell r="F743" t="str">
            <v>45553</v>
          </cell>
          <cell r="G743" t="str">
            <v>氣立三</v>
          </cell>
          <cell r="H743">
            <v>300000</v>
          </cell>
          <cell r="I743">
            <v>2.1</v>
          </cell>
          <cell r="J743">
            <v>45905</v>
          </cell>
          <cell r="K743">
            <v>100</v>
          </cell>
          <cell r="L743">
            <v>45887</v>
          </cell>
          <cell r="M743">
            <v>-8561</v>
          </cell>
          <cell r="N743">
            <v>291439</v>
          </cell>
        </row>
        <row r="744">
          <cell r="A744">
            <v>45553</v>
          </cell>
          <cell r="B744">
            <v>738</v>
          </cell>
          <cell r="C744" t="str">
            <v>IASWD2401000111</v>
          </cell>
          <cell r="D744">
            <v>45296</v>
          </cell>
          <cell r="E744">
            <v>45905</v>
          </cell>
          <cell r="F744" t="str">
            <v>45553</v>
          </cell>
          <cell r="G744" t="str">
            <v>氣立三</v>
          </cell>
          <cell r="H744">
            <v>100000</v>
          </cell>
          <cell r="I744">
            <v>2.1</v>
          </cell>
          <cell r="J744">
            <v>45905</v>
          </cell>
          <cell r="K744">
            <v>100</v>
          </cell>
          <cell r="L744">
            <v>45887</v>
          </cell>
          <cell r="M744">
            <v>-2854</v>
          </cell>
          <cell r="N744">
            <v>97146</v>
          </cell>
        </row>
        <row r="745">
          <cell r="A745">
            <v>62822</v>
          </cell>
          <cell r="B745">
            <v>739</v>
          </cell>
          <cell r="C745" t="str">
            <v>IASWD2401000114</v>
          </cell>
          <cell r="D745">
            <v>45296</v>
          </cell>
          <cell r="E745">
            <v>46186</v>
          </cell>
          <cell r="F745" t="str">
            <v>62822</v>
          </cell>
          <cell r="G745" t="str">
            <v>康舒二</v>
          </cell>
          <cell r="H745">
            <v>100000</v>
          </cell>
          <cell r="I745">
            <v>3.25</v>
          </cell>
          <cell r="J745">
            <v>46186</v>
          </cell>
          <cell r="K745">
            <v>100</v>
          </cell>
          <cell r="L745">
            <v>46168</v>
          </cell>
          <cell r="M745">
            <v>-4416</v>
          </cell>
          <cell r="N745">
            <v>95584</v>
          </cell>
        </row>
        <row r="746">
          <cell r="A746">
            <v>99412</v>
          </cell>
          <cell r="B746">
            <v>740</v>
          </cell>
          <cell r="C746" t="str">
            <v>IASWD2401000116</v>
          </cell>
          <cell r="D746">
            <v>45296</v>
          </cell>
          <cell r="E746">
            <v>46346</v>
          </cell>
          <cell r="F746" t="str">
            <v>99412</v>
          </cell>
          <cell r="G746" t="str">
            <v>裕融二</v>
          </cell>
          <cell r="H746">
            <v>200000</v>
          </cell>
          <cell r="I746">
            <v>3.5</v>
          </cell>
          <cell r="J746">
            <v>46346</v>
          </cell>
          <cell r="K746">
            <v>100</v>
          </cell>
          <cell r="L746">
            <v>46328</v>
          </cell>
          <cell r="M746">
            <v>-9512</v>
          </cell>
          <cell r="N746">
            <v>190488</v>
          </cell>
        </row>
        <row r="747">
          <cell r="A747">
            <v>99412</v>
          </cell>
          <cell r="B747">
            <v>741</v>
          </cell>
          <cell r="C747" t="str">
            <v>IASWD2401000127</v>
          </cell>
          <cell r="D747">
            <v>45296</v>
          </cell>
          <cell r="E747">
            <v>46346</v>
          </cell>
          <cell r="F747" t="str">
            <v>99412</v>
          </cell>
          <cell r="G747" t="str">
            <v>裕融二</v>
          </cell>
          <cell r="H747">
            <v>100000</v>
          </cell>
          <cell r="I747">
            <v>3.5</v>
          </cell>
          <cell r="J747">
            <v>46346</v>
          </cell>
          <cell r="K747">
            <v>100</v>
          </cell>
          <cell r="L747">
            <v>46328</v>
          </cell>
          <cell r="M747">
            <v>-4756</v>
          </cell>
          <cell r="N747">
            <v>95244</v>
          </cell>
        </row>
        <row r="748">
          <cell r="A748">
            <v>62822</v>
          </cell>
          <cell r="B748">
            <v>742</v>
          </cell>
          <cell r="C748" t="str">
            <v>IASWD2401000131</v>
          </cell>
          <cell r="D748">
            <v>45299</v>
          </cell>
          <cell r="E748">
            <v>46186</v>
          </cell>
          <cell r="F748" t="str">
            <v>62822</v>
          </cell>
          <cell r="G748" t="str">
            <v>康舒二</v>
          </cell>
          <cell r="H748">
            <v>400000</v>
          </cell>
          <cell r="I748">
            <v>3.25</v>
          </cell>
          <cell r="J748">
            <v>46186</v>
          </cell>
          <cell r="K748">
            <v>100</v>
          </cell>
          <cell r="L748">
            <v>46168</v>
          </cell>
          <cell r="M748">
            <v>-17559</v>
          </cell>
          <cell r="N748">
            <v>382441</v>
          </cell>
        </row>
        <row r="749">
          <cell r="A749">
            <v>22313</v>
          </cell>
          <cell r="B749">
            <v>743</v>
          </cell>
          <cell r="C749" t="str">
            <v>IASWD2401000135</v>
          </cell>
          <cell r="D749">
            <v>45299</v>
          </cell>
          <cell r="E749">
            <v>45898</v>
          </cell>
          <cell r="F749" t="str">
            <v>22313</v>
          </cell>
          <cell r="G749" t="str">
            <v>為升三</v>
          </cell>
          <cell r="H749">
            <v>100000</v>
          </cell>
          <cell r="I749">
            <v>3.5</v>
          </cell>
          <cell r="J749">
            <v>45898</v>
          </cell>
          <cell r="K749">
            <v>101.50749999999999</v>
          </cell>
          <cell r="L749">
            <v>45880</v>
          </cell>
          <cell r="M749">
            <v>-4727</v>
          </cell>
          <cell r="N749">
            <v>95273</v>
          </cell>
        </row>
        <row r="750">
          <cell r="A750">
            <v>50097</v>
          </cell>
          <cell r="B750">
            <v>744</v>
          </cell>
          <cell r="C750" t="str">
            <v>IASWD2401000137</v>
          </cell>
          <cell r="D750">
            <v>45299</v>
          </cell>
          <cell r="E750">
            <v>46234</v>
          </cell>
          <cell r="F750" t="str">
            <v>50097</v>
          </cell>
          <cell r="G750" t="str">
            <v>榮剛七</v>
          </cell>
          <cell r="H750">
            <v>500000</v>
          </cell>
          <cell r="I750">
            <v>4.5</v>
          </cell>
          <cell r="J750">
            <v>46234</v>
          </cell>
          <cell r="K750">
            <v>101.51</v>
          </cell>
          <cell r="L750">
            <v>46216</v>
          </cell>
          <cell r="M750">
            <v>-30390</v>
          </cell>
          <cell r="N750">
            <v>469610</v>
          </cell>
        </row>
        <row r="751">
          <cell r="A751">
            <v>44163</v>
          </cell>
          <cell r="B751">
            <v>745</v>
          </cell>
          <cell r="C751" t="str">
            <v>IASWD2401000138</v>
          </cell>
          <cell r="D751">
            <v>45299</v>
          </cell>
          <cell r="E751">
            <v>45930</v>
          </cell>
          <cell r="F751" t="str">
            <v>44163</v>
          </cell>
          <cell r="G751" t="str">
            <v>三圓三</v>
          </cell>
          <cell r="H751">
            <v>500000</v>
          </cell>
          <cell r="I751">
            <v>2.1</v>
          </cell>
          <cell r="J751">
            <v>45930</v>
          </cell>
          <cell r="K751">
            <v>101.51</v>
          </cell>
          <cell r="L751">
            <v>45910</v>
          </cell>
          <cell r="M751">
            <v>-14182</v>
          </cell>
          <cell r="N751">
            <v>485818</v>
          </cell>
        </row>
        <row r="752">
          <cell r="A752">
            <v>44163</v>
          </cell>
          <cell r="B752">
            <v>746</v>
          </cell>
          <cell r="C752" t="str">
            <v>IASWD2401000142</v>
          </cell>
          <cell r="D752">
            <v>45299</v>
          </cell>
          <cell r="E752">
            <v>45930</v>
          </cell>
          <cell r="F752" t="str">
            <v>44163</v>
          </cell>
          <cell r="G752" t="str">
            <v>三圓三</v>
          </cell>
          <cell r="H752">
            <v>200000</v>
          </cell>
          <cell r="I752">
            <v>2.1</v>
          </cell>
          <cell r="J752">
            <v>45930</v>
          </cell>
          <cell r="K752">
            <v>101.51</v>
          </cell>
          <cell r="L752">
            <v>45910</v>
          </cell>
          <cell r="M752">
            <v>-5673</v>
          </cell>
          <cell r="N752">
            <v>194327</v>
          </cell>
        </row>
        <row r="753">
          <cell r="A753">
            <v>50097</v>
          </cell>
          <cell r="B753">
            <v>747</v>
          </cell>
          <cell r="C753" t="str">
            <v>IASWD2401000143</v>
          </cell>
          <cell r="D753">
            <v>45299</v>
          </cell>
          <cell r="E753">
            <v>46234</v>
          </cell>
          <cell r="F753" t="str">
            <v>50097</v>
          </cell>
          <cell r="G753" t="str">
            <v>榮剛七</v>
          </cell>
          <cell r="H753">
            <v>200000</v>
          </cell>
          <cell r="I753">
            <v>4.5</v>
          </cell>
          <cell r="J753">
            <v>46234</v>
          </cell>
          <cell r="K753">
            <v>101.51</v>
          </cell>
          <cell r="L753">
            <v>46216</v>
          </cell>
          <cell r="M753">
            <v>-12156</v>
          </cell>
          <cell r="N753">
            <v>187844</v>
          </cell>
        </row>
        <row r="754">
          <cell r="A754">
            <v>50097</v>
          </cell>
          <cell r="B754">
            <v>748</v>
          </cell>
          <cell r="C754" t="str">
            <v>IASWD2401000145</v>
          </cell>
          <cell r="D754">
            <v>45299</v>
          </cell>
          <cell r="E754">
            <v>46234</v>
          </cell>
          <cell r="F754" t="str">
            <v>50097</v>
          </cell>
          <cell r="G754" t="str">
            <v>榮剛七</v>
          </cell>
          <cell r="H754">
            <v>100000</v>
          </cell>
          <cell r="I754">
            <v>4.5</v>
          </cell>
          <cell r="J754">
            <v>46234</v>
          </cell>
          <cell r="K754">
            <v>101.51</v>
          </cell>
          <cell r="L754">
            <v>46216</v>
          </cell>
          <cell r="M754">
            <v>-6078</v>
          </cell>
          <cell r="N754">
            <v>93922</v>
          </cell>
        </row>
        <row r="755">
          <cell r="A755">
            <v>50097</v>
          </cell>
          <cell r="B755">
            <v>749</v>
          </cell>
          <cell r="C755" t="str">
            <v>IASWD2401000149</v>
          </cell>
          <cell r="D755">
            <v>45299</v>
          </cell>
          <cell r="E755">
            <v>46234</v>
          </cell>
          <cell r="F755" t="str">
            <v>50097</v>
          </cell>
          <cell r="G755" t="str">
            <v>榮剛七</v>
          </cell>
          <cell r="H755">
            <v>200000</v>
          </cell>
          <cell r="I755">
            <v>4.5</v>
          </cell>
          <cell r="J755">
            <v>46234</v>
          </cell>
          <cell r="K755">
            <v>101.51</v>
          </cell>
          <cell r="L755">
            <v>46216</v>
          </cell>
          <cell r="M755">
            <v>-12156</v>
          </cell>
          <cell r="N755">
            <v>187844</v>
          </cell>
        </row>
        <row r="756">
          <cell r="A756">
            <v>44163</v>
          </cell>
          <cell r="B756">
            <v>750</v>
          </cell>
          <cell r="C756" t="str">
            <v>IASWD2401000158</v>
          </cell>
          <cell r="D756">
            <v>45299</v>
          </cell>
          <cell r="E756">
            <v>45930</v>
          </cell>
          <cell r="F756" t="str">
            <v>44163</v>
          </cell>
          <cell r="G756" t="str">
            <v>三圓三</v>
          </cell>
          <cell r="H756">
            <v>200000</v>
          </cell>
          <cell r="I756">
            <v>2.1</v>
          </cell>
          <cell r="J756">
            <v>45930</v>
          </cell>
          <cell r="K756">
            <v>101.51</v>
          </cell>
          <cell r="L756">
            <v>45910</v>
          </cell>
          <cell r="M756">
            <v>-5673</v>
          </cell>
          <cell r="N756">
            <v>194327</v>
          </cell>
        </row>
        <row r="757">
          <cell r="A757">
            <v>62822</v>
          </cell>
          <cell r="B757">
            <v>751</v>
          </cell>
          <cell r="C757" t="str">
            <v>IASWD2401000163</v>
          </cell>
          <cell r="D757">
            <v>45300</v>
          </cell>
          <cell r="E757">
            <v>46186</v>
          </cell>
          <cell r="F757" t="str">
            <v>62822</v>
          </cell>
          <cell r="G757" t="str">
            <v>康舒二</v>
          </cell>
          <cell r="H757">
            <v>100000</v>
          </cell>
          <cell r="I757">
            <v>3.25</v>
          </cell>
          <cell r="J757">
            <v>46186</v>
          </cell>
          <cell r="K757">
            <v>100</v>
          </cell>
          <cell r="L757">
            <v>46168</v>
          </cell>
          <cell r="M757">
            <v>-4381</v>
          </cell>
          <cell r="N757">
            <v>95619</v>
          </cell>
        </row>
        <row r="758">
          <cell r="A758">
            <v>44163</v>
          </cell>
          <cell r="B758">
            <v>752</v>
          </cell>
          <cell r="C758" t="str">
            <v>IASWD2401000176</v>
          </cell>
          <cell r="D758">
            <v>45300</v>
          </cell>
          <cell r="E758">
            <v>45930</v>
          </cell>
          <cell r="F758" t="str">
            <v>44163</v>
          </cell>
          <cell r="G758" t="str">
            <v>三圓三</v>
          </cell>
          <cell r="H758">
            <v>500000</v>
          </cell>
          <cell r="I758">
            <v>2.1</v>
          </cell>
          <cell r="J758">
            <v>45930</v>
          </cell>
          <cell r="K758">
            <v>101.51</v>
          </cell>
          <cell r="L758">
            <v>45910</v>
          </cell>
          <cell r="M758">
            <v>-14153</v>
          </cell>
          <cell r="N758">
            <v>485847</v>
          </cell>
        </row>
        <row r="759">
          <cell r="A759">
            <v>24972</v>
          </cell>
          <cell r="B759">
            <v>753</v>
          </cell>
          <cell r="C759" t="str">
            <v>IASWD2401000181</v>
          </cell>
          <cell r="D759">
            <v>45300</v>
          </cell>
          <cell r="E759">
            <v>45845</v>
          </cell>
          <cell r="F759" t="str">
            <v>24972</v>
          </cell>
          <cell r="G759" t="str">
            <v>怡利電二</v>
          </cell>
          <cell r="H759">
            <v>100000</v>
          </cell>
          <cell r="I759">
            <v>2.1</v>
          </cell>
          <cell r="J759">
            <v>45845</v>
          </cell>
          <cell r="K759">
            <v>100</v>
          </cell>
          <cell r="L759">
            <v>45825</v>
          </cell>
          <cell r="M759">
            <v>-2831</v>
          </cell>
          <cell r="N759">
            <v>97169</v>
          </cell>
        </row>
        <row r="760">
          <cell r="A760">
            <v>62822</v>
          </cell>
          <cell r="B760">
            <v>754</v>
          </cell>
          <cell r="C760" t="str">
            <v>IASWD2401000183</v>
          </cell>
          <cell r="D760">
            <v>45300</v>
          </cell>
          <cell r="E760">
            <v>46186</v>
          </cell>
          <cell r="F760" t="str">
            <v>62822</v>
          </cell>
          <cell r="G760" t="str">
            <v>康舒二</v>
          </cell>
          <cell r="H760">
            <v>200000</v>
          </cell>
          <cell r="I760">
            <v>3.25</v>
          </cell>
          <cell r="J760">
            <v>46186</v>
          </cell>
          <cell r="K760">
            <v>100</v>
          </cell>
          <cell r="L760">
            <v>46168</v>
          </cell>
          <cell r="M760">
            <v>-8762</v>
          </cell>
          <cell r="N760">
            <v>191238</v>
          </cell>
        </row>
        <row r="761">
          <cell r="A761">
            <v>44163</v>
          </cell>
          <cell r="B761">
            <v>755</v>
          </cell>
          <cell r="C761" t="str">
            <v>IASWD2401000188</v>
          </cell>
          <cell r="D761">
            <v>45300</v>
          </cell>
          <cell r="E761">
            <v>45930</v>
          </cell>
          <cell r="F761" t="str">
            <v>44163</v>
          </cell>
          <cell r="G761" t="str">
            <v>三圓三</v>
          </cell>
          <cell r="H761">
            <v>100000</v>
          </cell>
          <cell r="I761">
            <v>2.1</v>
          </cell>
          <cell r="J761">
            <v>45930</v>
          </cell>
          <cell r="K761">
            <v>101.51</v>
          </cell>
          <cell r="L761">
            <v>45910</v>
          </cell>
          <cell r="M761">
            <v>-2831</v>
          </cell>
          <cell r="N761">
            <v>97169</v>
          </cell>
        </row>
        <row r="762">
          <cell r="A762">
            <v>62822</v>
          </cell>
          <cell r="B762">
            <v>756</v>
          </cell>
          <cell r="C762" t="str">
            <v>IASWD2401000193</v>
          </cell>
          <cell r="D762">
            <v>45300</v>
          </cell>
          <cell r="E762">
            <v>46186</v>
          </cell>
          <cell r="F762" t="str">
            <v>62822</v>
          </cell>
          <cell r="G762" t="str">
            <v>康舒二</v>
          </cell>
          <cell r="H762">
            <v>400000</v>
          </cell>
          <cell r="I762">
            <v>3.25</v>
          </cell>
          <cell r="J762">
            <v>46186</v>
          </cell>
          <cell r="K762">
            <v>100</v>
          </cell>
          <cell r="L762">
            <v>46168</v>
          </cell>
          <cell r="M762">
            <v>-17523</v>
          </cell>
          <cell r="N762">
            <v>382477</v>
          </cell>
        </row>
        <row r="763">
          <cell r="A763">
            <v>62822</v>
          </cell>
          <cell r="B763">
            <v>757</v>
          </cell>
          <cell r="C763" t="str">
            <v>IASWD2401000198</v>
          </cell>
          <cell r="D763">
            <v>45300</v>
          </cell>
          <cell r="E763">
            <v>46186</v>
          </cell>
          <cell r="F763" t="str">
            <v>62822</v>
          </cell>
          <cell r="G763" t="str">
            <v>康舒二</v>
          </cell>
          <cell r="H763">
            <v>100000</v>
          </cell>
          <cell r="I763">
            <v>3.25</v>
          </cell>
          <cell r="J763">
            <v>46186</v>
          </cell>
          <cell r="K763">
            <v>100</v>
          </cell>
          <cell r="L763">
            <v>46168</v>
          </cell>
          <cell r="M763">
            <v>-4381</v>
          </cell>
          <cell r="N763">
            <v>95619</v>
          </cell>
        </row>
        <row r="764">
          <cell r="A764">
            <v>62822</v>
          </cell>
          <cell r="B764">
            <v>758</v>
          </cell>
          <cell r="C764" t="str">
            <v>IASWD2401000201</v>
          </cell>
          <cell r="D764">
            <v>45300</v>
          </cell>
          <cell r="E764">
            <v>46186</v>
          </cell>
          <cell r="F764" t="str">
            <v>62822</v>
          </cell>
          <cell r="G764" t="str">
            <v>康舒二</v>
          </cell>
          <cell r="H764">
            <v>100000</v>
          </cell>
          <cell r="I764">
            <v>3.25</v>
          </cell>
          <cell r="J764">
            <v>46186</v>
          </cell>
          <cell r="K764">
            <v>100</v>
          </cell>
          <cell r="L764">
            <v>46168</v>
          </cell>
          <cell r="M764">
            <v>-4381</v>
          </cell>
          <cell r="N764">
            <v>95619</v>
          </cell>
        </row>
        <row r="765">
          <cell r="A765">
            <v>50097</v>
          </cell>
          <cell r="B765">
            <v>759</v>
          </cell>
          <cell r="C765" t="str">
            <v>IASWD2401000209</v>
          </cell>
          <cell r="D765">
            <v>45301</v>
          </cell>
          <cell r="E765">
            <v>46234</v>
          </cell>
          <cell r="F765" t="str">
            <v>50097</v>
          </cell>
          <cell r="G765" t="str">
            <v>榮剛七</v>
          </cell>
          <cell r="H765">
            <v>100000</v>
          </cell>
          <cell r="I765">
            <v>4.5</v>
          </cell>
          <cell r="J765">
            <v>46234</v>
          </cell>
          <cell r="K765">
            <v>101.51</v>
          </cell>
          <cell r="L765">
            <v>46216</v>
          </cell>
          <cell r="M765">
            <v>-6053</v>
          </cell>
          <cell r="N765">
            <v>93947</v>
          </cell>
        </row>
        <row r="766">
          <cell r="A766">
            <v>62822</v>
          </cell>
          <cell r="B766">
            <v>760</v>
          </cell>
          <cell r="C766" t="str">
            <v>IASWD2401000215</v>
          </cell>
          <cell r="D766">
            <v>45301</v>
          </cell>
          <cell r="E766">
            <v>46186</v>
          </cell>
          <cell r="F766" t="str">
            <v>62822</v>
          </cell>
          <cell r="G766" t="str">
            <v>康舒二</v>
          </cell>
          <cell r="H766">
            <v>200000</v>
          </cell>
          <cell r="I766">
            <v>3.25</v>
          </cell>
          <cell r="J766">
            <v>46186</v>
          </cell>
          <cell r="K766">
            <v>100</v>
          </cell>
          <cell r="L766">
            <v>46168</v>
          </cell>
          <cell r="M766">
            <v>-8744</v>
          </cell>
          <cell r="N766">
            <v>191256</v>
          </cell>
        </row>
        <row r="767">
          <cell r="A767">
            <v>62822</v>
          </cell>
          <cell r="B767">
            <v>761</v>
          </cell>
          <cell r="C767" t="str">
            <v>IASWD2401000220</v>
          </cell>
          <cell r="D767">
            <v>45301</v>
          </cell>
          <cell r="E767">
            <v>46186</v>
          </cell>
          <cell r="F767" t="str">
            <v>62822</v>
          </cell>
          <cell r="G767" t="str">
            <v>康舒二</v>
          </cell>
          <cell r="H767">
            <v>100000</v>
          </cell>
          <cell r="I767">
            <v>3.25</v>
          </cell>
          <cell r="J767">
            <v>46186</v>
          </cell>
          <cell r="K767">
            <v>100</v>
          </cell>
          <cell r="L767">
            <v>46168</v>
          </cell>
          <cell r="M767">
            <v>-4372</v>
          </cell>
          <cell r="N767">
            <v>95628</v>
          </cell>
        </row>
        <row r="768">
          <cell r="A768">
            <v>50097</v>
          </cell>
          <cell r="B768">
            <v>762</v>
          </cell>
          <cell r="C768" t="str">
            <v>IASWD2401000224</v>
          </cell>
          <cell r="D768">
            <v>45301</v>
          </cell>
          <cell r="E768">
            <v>46234</v>
          </cell>
          <cell r="F768" t="str">
            <v>50097</v>
          </cell>
          <cell r="G768" t="str">
            <v>榮剛七</v>
          </cell>
          <cell r="H768">
            <v>200000</v>
          </cell>
          <cell r="I768">
            <v>4.5</v>
          </cell>
          <cell r="J768">
            <v>46234</v>
          </cell>
          <cell r="K768">
            <v>101.51</v>
          </cell>
          <cell r="L768">
            <v>46216</v>
          </cell>
          <cell r="M768">
            <v>-12107</v>
          </cell>
          <cell r="N768">
            <v>187893</v>
          </cell>
        </row>
        <row r="769">
          <cell r="A769">
            <v>44163</v>
          </cell>
          <cell r="B769">
            <v>763</v>
          </cell>
          <cell r="C769" t="str">
            <v>IASWD2401000228</v>
          </cell>
          <cell r="D769">
            <v>45301</v>
          </cell>
          <cell r="E769">
            <v>45930</v>
          </cell>
          <cell r="F769" t="str">
            <v>44163</v>
          </cell>
          <cell r="G769" t="str">
            <v>三圓三</v>
          </cell>
          <cell r="H769">
            <v>600000</v>
          </cell>
          <cell r="I769">
            <v>2.1</v>
          </cell>
          <cell r="J769">
            <v>45930</v>
          </cell>
          <cell r="K769">
            <v>101.51</v>
          </cell>
          <cell r="L769">
            <v>45910</v>
          </cell>
          <cell r="M769">
            <v>-16950</v>
          </cell>
          <cell r="N769">
            <v>583050</v>
          </cell>
        </row>
        <row r="770">
          <cell r="A770">
            <v>44163</v>
          </cell>
          <cell r="B770">
            <v>764</v>
          </cell>
          <cell r="C770" t="str">
            <v>IASWD2401000236</v>
          </cell>
          <cell r="D770">
            <v>45301</v>
          </cell>
          <cell r="E770">
            <v>45930</v>
          </cell>
          <cell r="F770" t="str">
            <v>44163</v>
          </cell>
          <cell r="G770" t="str">
            <v>三圓三</v>
          </cell>
          <cell r="H770">
            <v>100000</v>
          </cell>
          <cell r="I770">
            <v>2.1</v>
          </cell>
          <cell r="J770">
            <v>45930</v>
          </cell>
          <cell r="K770">
            <v>101.51</v>
          </cell>
          <cell r="L770">
            <v>45910</v>
          </cell>
          <cell r="M770">
            <v>-2825</v>
          </cell>
          <cell r="N770">
            <v>97175</v>
          </cell>
        </row>
        <row r="771">
          <cell r="A771">
            <v>62822</v>
          </cell>
          <cell r="B771">
            <v>765</v>
          </cell>
          <cell r="C771" t="str">
            <v>IASWD2401000240</v>
          </cell>
          <cell r="D771">
            <v>45301</v>
          </cell>
          <cell r="E771">
            <v>46186</v>
          </cell>
          <cell r="F771" t="str">
            <v>62822</v>
          </cell>
          <cell r="G771" t="str">
            <v>康舒二</v>
          </cell>
          <cell r="H771">
            <v>500000</v>
          </cell>
          <cell r="I771">
            <v>3.25</v>
          </cell>
          <cell r="J771">
            <v>46186</v>
          </cell>
          <cell r="K771">
            <v>100</v>
          </cell>
          <cell r="L771">
            <v>46168</v>
          </cell>
          <cell r="M771">
            <v>-21860</v>
          </cell>
          <cell r="N771">
            <v>478140</v>
          </cell>
        </row>
        <row r="772">
          <cell r="A772">
            <v>62822</v>
          </cell>
          <cell r="B772">
            <v>766</v>
          </cell>
          <cell r="C772" t="str">
            <v>IASWD2401000241</v>
          </cell>
          <cell r="D772">
            <v>45301</v>
          </cell>
          <cell r="E772">
            <v>46186</v>
          </cell>
          <cell r="F772" t="str">
            <v>62822</v>
          </cell>
          <cell r="G772" t="str">
            <v>康舒二</v>
          </cell>
          <cell r="H772">
            <v>500000</v>
          </cell>
          <cell r="I772">
            <v>3.25</v>
          </cell>
          <cell r="J772">
            <v>46186</v>
          </cell>
          <cell r="K772">
            <v>100</v>
          </cell>
          <cell r="L772">
            <v>46168</v>
          </cell>
          <cell r="M772">
            <v>-21860</v>
          </cell>
          <cell r="N772">
            <v>478140</v>
          </cell>
        </row>
        <row r="773">
          <cell r="A773">
            <v>62822</v>
          </cell>
          <cell r="B773">
            <v>767</v>
          </cell>
          <cell r="C773" t="str">
            <v>IASWD2401000252</v>
          </cell>
          <cell r="D773">
            <v>45302</v>
          </cell>
          <cell r="E773">
            <v>46186</v>
          </cell>
          <cell r="F773" t="str">
            <v>62822</v>
          </cell>
          <cell r="G773" t="str">
            <v>康舒二</v>
          </cell>
          <cell r="H773">
            <v>100000</v>
          </cell>
          <cell r="I773">
            <v>3.25</v>
          </cell>
          <cell r="J773">
            <v>46186</v>
          </cell>
          <cell r="K773">
            <v>100</v>
          </cell>
          <cell r="L773">
            <v>46168</v>
          </cell>
          <cell r="M773">
            <v>-4363</v>
          </cell>
          <cell r="N773">
            <v>95637</v>
          </cell>
        </row>
        <row r="774">
          <cell r="A774">
            <v>62822</v>
          </cell>
          <cell r="B774">
            <v>768</v>
          </cell>
          <cell r="C774" t="str">
            <v>IASWD2401000257</v>
          </cell>
          <cell r="D774">
            <v>45302</v>
          </cell>
          <cell r="E774">
            <v>46186</v>
          </cell>
          <cell r="F774" t="str">
            <v>62822</v>
          </cell>
          <cell r="G774" t="str">
            <v>康舒二</v>
          </cell>
          <cell r="H774">
            <v>200000</v>
          </cell>
          <cell r="I774">
            <v>3.25</v>
          </cell>
          <cell r="J774">
            <v>46186</v>
          </cell>
          <cell r="K774">
            <v>100</v>
          </cell>
          <cell r="L774">
            <v>46168</v>
          </cell>
          <cell r="M774">
            <v>-8726</v>
          </cell>
          <cell r="N774">
            <v>191274</v>
          </cell>
        </row>
        <row r="775">
          <cell r="A775">
            <v>50097</v>
          </cell>
          <cell r="B775">
            <v>769</v>
          </cell>
          <cell r="C775" t="str">
            <v>IASWD2401000264</v>
          </cell>
          <cell r="D775">
            <v>45302</v>
          </cell>
          <cell r="E775">
            <v>46234</v>
          </cell>
          <cell r="F775" t="str">
            <v>50097</v>
          </cell>
          <cell r="G775" t="str">
            <v>榮剛七</v>
          </cell>
          <cell r="H775">
            <v>100000</v>
          </cell>
          <cell r="I775">
            <v>4.5</v>
          </cell>
          <cell r="J775">
            <v>46234</v>
          </cell>
          <cell r="K775">
            <v>101.51</v>
          </cell>
          <cell r="L775">
            <v>46216</v>
          </cell>
          <cell r="M775">
            <v>-6041</v>
          </cell>
          <cell r="N775">
            <v>93959</v>
          </cell>
        </row>
        <row r="776">
          <cell r="A776">
            <v>62822</v>
          </cell>
          <cell r="B776">
            <v>770</v>
          </cell>
          <cell r="C776" t="str">
            <v>IASWD2401000265</v>
          </cell>
          <cell r="D776">
            <v>45302</v>
          </cell>
          <cell r="E776">
            <v>46186</v>
          </cell>
          <cell r="F776" t="str">
            <v>62822</v>
          </cell>
          <cell r="G776" t="str">
            <v>康舒二</v>
          </cell>
          <cell r="H776">
            <v>300000</v>
          </cell>
          <cell r="I776">
            <v>3.25</v>
          </cell>
          <cell r="J776">
            <v>46186</v>
          </cell>
          <cell r="K776">
            <v>100</v>
          </cell>
          <cell r="L776">
            <v>46168</v>
          </cell>
          <cell r="M776">
            <v>-13089</v>
          </cell>
          <cell r="N776">
            <v>286911</v>
          </cell>
        </row>
        <row r="777">
          <cell r="A777">
            <v>62822</v>
          </cell>
          <cell r="B777">
            <v>771</v>
          </cell>
          <cell r="C777" t="str">
            <v>IASWD2401000274</v>
          </cell>
          <cell r="D777">
            <v>45302</v>
          </cell>
          <cell r="E777">
            <v>46186</v>
          </cell>
          <cell r="F777" t="str">
            <v>62822</v>
          </cell>
          <cell r="G777" t="str">
            <v>康舒二</v>
          </cell>
          <cell r="H777">
            <v>100000</v>
          </cell>
          <cell r="I777">
            <v>3.25</v>
          </cell>
          <cell r="J777">
            <v>46186</v>
          </cell>
          <cell r="K777">
            <v>100</v>
          </cell>
          <cell r="L777">
            <v>46168</v>
          </cell>
          <cell r="M777">
            <v>-4363</v>
          </cell>
          <cell r="N777">
            <v>95637</v>
          </cell>
        </row>
        <row r="778">
          <cell r="A778">
            <v>62822</v>
          </cell>
          <cell r="B778">
            <v>772</v>
          </cell>
          <cell r="C778" t="str">
            <v>IASWD2401000275</v>
          </cell>
          <cell r="D778">
            <v>45302</v>
          </cell>
          <cell r="E778">
            <v>46186</v>
          </cell>
          <cell r="F778" t="str">
            <v>62822</v>
          </cell>
          <cell r="G778" t="str">
            <v>康舒二</v>
          </cell>
          <cell r="H778">
            <v>500000</v>
          </cell>
          <cell r="I778">
            <v>3.25</v>
          </cell>
          <cell r="J778">
            <v>46186</v>
          </cell>
          <cell r="K778">
            <v>100</v>
          </cell>
          <cell r="L778">
            <v>46168</v>
          </cell>
          <cell r="M778">
            <v>-21815</v>
          </cell>
          <cell r="N778">
            <v>478185</v>
          </cell>
        </row>
        <row r="779">
          <cell r="A779">
            <v>50097</v>
          </cell>
          <cell r="B779">
            <v>773</v>
          </cell>
          <cell r="C779" t="str">
            <v>IASWD2401000283</v>
          </cell>
          <cell r="D779">
            <v>45303</v>
          </cell>
          <cell r="E779">
            <v>46234</v>
          </cell>
          <cell r="F779" t="str">
            <v>50097</v>
          </cell>
          <cell r="G779" t="str">
            <v>榮剛七</v>
          </cell>
          <cell r="H779">
            <v>100000</v>
          </cell>
          <cell r="I779">
            <v>4.5</v>
          </cell>
          <cell r="J779">
            <v>46234</v>
          </cell>
          <cell r="K779">
            <v>101.51</v>
          </cell>
          <cell r="L779">
            <v>46216</v>
          </cell>
          <cell r="M779">
            <v>-6029</v>
          </cell>
          <cell r="N779">
            <v>93971</v>
          </cell>
        </row>
        <row r="780">
          <cell r="A780">
            <v>62822</v>
          </cell>
          <cell r="B780">
            <v>774</v>
          </cell>
          <cell r="C780" t="str">
            <v>IASWD2401000295</v>
          </cell>
          <cell r="D780">
            <v>45303</v>
          </cell>
          <cell r="E780">
            <v>46186</v>
          </cell>
          <cell r="F780" t="str">
            <v>62822</v>
          </cell>
          <cell r="G780" t="str">
            <v>康舒二</v>
          </cell>
          <cell r="H780">
            <v>100000</v>
          </cell>
          <cell r="I780">
            <v>3.25</v>
          </cell>
          <cell r="J780">
            <v>46186</v>
          </cell>
          <cell r="K780">
            <v>100</v>
          </cell>
          <cell r="L780">
            <v>46168</v>
          </cell>
          <cell r="M780">
            <v>-4354</v>
          </cell>
          <cell r="N780">
            <v>95646</v>
          </cell>
        </row>
        <row r="781">
          <cell r="A781">
            <v>50097</v>
          </cell>
          <cell r="B781">
            <v>775</v>
          </cell>
          <cell r="C781" t="str">
            <v>IASWD2401000298</v>
          </cell>
          <cell r="D781">
            <v>45303</v>
          </cell>
          <cell r="E781">
            <v>46234</v>
          </cell>
          <cell r="F781" t="str">
            <v>50097</v>
          </cell>
          <cell r="G781" t="str">
            <v>榮剛七</v>
          </cell>
          <cell r="H781">
            <v>200000</v>
          </cell>
          <cell r="I781">
            <v>4.5</v>
          </cell>
          <cell r="J781">
            <v>46234</v>
          </cell>
          <cell r="K781">
            <v>101.51</v>
          </cell>
          <cell r="L781">
            <v>46216</v>
          </cell>
          <cell r="M781">
            <v>-12058</v>
          </cell>
          <cell r="N781">
            <v>187942</v>
          </cell>
        </row>
        <row r="782">
          <cell r="A782">
            <v>50097</v>
          </cell>
          <cell r="B782">
            <v>776</v>
          </cell>
          <cell r="C782" t="str">
            <v>IASWD2401000323</v>
          </cell>
          <cell r="D782">
            <v>45306</v>
          </cell>
          <cell r="E782">
            <v>46234</v>
          </cell>
          <cell r="F782" t="str">
            <v>50097</v>
          </cell>
          <cell r="G782" t="str">
            <v>榮剛七</v>
          </cell>
          <cell r="H782">
            <v>100000</v>
          </cell>
          <cell r="I782">
            <v>4.5</v>
          </cell>
          <cell r="J782">
            <v>46234</v>
          </cell>
          <cell r="K782">
            <v>101.51</v>
          </cell>
          <cell r="L782">
            <v>46216</v>
          </cell>
          <cell r="M782">
            <v>-5992</v>
          </cell>
          <cell r="N782">
            <v>94008</v>
          </cell>
        </row>
        <row r="783">
          <cell r="A783">
            <v>50097</v>
          </cell>
          <cell r="B783">
            <v>777</v>
          </cell>
          <cell r="C783" t="str">
            <v>IASWD2401000334</v>
          </cell>
          <cell r="D783">
            <v>45306</v>
          </cell>
          <cell r="E783">
            <v>46234</v>
          </cell>
          <cell r="F783" t="str">
            <v>50097</v>
          </cell>
          <cell r="G783" t="str">
            <v>榮剛七</v>
          </cell>
          <cell r="H783">
            <v>300000</v>
          </cell>
          <cell r="I783">
            <v>4.5</v>
          </cell>
          <cell r="J783">
            <v>46234</v>
          </cell>
          <cell r="K783">
            <v>101.51</v>
          </cell>
          <cell r="L783">
            <v>46216</v>
          </cell>
          <cell r="M783">
            <v>-17975</v>
          </cell>
          <cell r="N783">
            <v>282025</v>
          </cell>
        </row>
        <row r="784">
          <cell r="A784">
            <v>22313</v>
          </cell>
          <cell r="B784">
            <v>778</v>
          </cell>
          <cell r="C784" t="str">
            <v>IASWD2401000336</v>
          </cell>
          <cell r="D784">
            <v>45307</v>
          </cell>
          <cell r="E784">
            <v>45898</v>
          </cell>
          <cell r="F784" t="str">
            <v>22313</v>
          </cell>
          <cell r="G784" t="str">
            <v>為升三</v>
          </cell>
          <cell r="H784">
            <v>400000</v>
          </cell>
          <cell r="I784">
            <v>3.5</v>
          </cell>
          <cell r="J784">
            <v>45898</v>
          </cell>
          <cell r="K784">
            <v>101.50749999999999</v>
          </cell>
          <cell r="L784">
            <v>45880</v>
          </cell>
          <cell r="M784">
            <v>-18603</v>
          </cell>
          <cell r="N784">
            <v>381397</v>
          </cell>
        </row>
        <row r="785">
          <cell r="A785">
            <v>22313</v>
          </cell>
          <cell r="B785">
            <v>779</v>
          </cell>
          <cell r="C785" t="str">
            <v>IASWD2401000340</v>
          </cell>
          <cell r="D785">
            <v>45307</v>
          </cell>
          <cell r="E785">
            <v>45898</v>
          </cell>
          <cell r="F785" t="str">
            <v>22313</v>
          </cell>
          <cell r="G785" t="str">
            <v>為升三</v>
          </cell>
          <cell r="H785">
            <v>200000</v>
          </cell>
          <cell r="I785">
            <v>3.5</v>
          </cell>
          <cell r="J785">
            <v>45898</v>
          </cell>
          <cell r="K785">
            <v>101.50749999999999</v>
          </cell>
          <cell r="L785">
            <v>45880</v>
          </cell>
          <cell r="M785">
            <v>-9301</v>
          </cell>
          <cell r="N785">
            <v>190699</v>
          </cell>
        </row>
        <row r="786">
          <cell r="A786">
            <v>45401</v>
          </cell>
          <cell r="B786">
            <v>780</v>
          </cell>
          <cell r="C786" t="str">
            <v>IASWD2401000361</v>
          </cell>
          <cell r="D786">
            <v>45307</v>
          </cell>
          <cell r="E786">
            <v>45954</v>
          </cell>
          <cell r="F786" t="str">
            <v>45401</v>
          </cell>
          <cell r="G786" t="str">
            <v>全球傳動一</v>
          </cell>
          <cell r="H786">
            <v>500000</v>
          </cell>
          <cell r="I786">
            <v>2.1</v>
          </cell>
          <cell r="J786">
            <v>45954</v>
          </cell>
          <cell r="K786">
            <v>100</v>
          </cell>
          <cell r="L786">
            <v>45932</v>
          </cell>
          <cell r="M786">
            <v>-13952</v>
          </cell>
          <cell r="N786">
            <v>486048</v>
          </cell>
        </row>
        <row r="787">
          <cell r="A787">
            <v>50097</v>
          </cell>
          <cell r="B787">
            <v>781</v>
          </cell>
          <cell r="C787" t="str">
            <v>IASWD2401000385</v>
          </cell>
          <cell r="D787">
            <v>45308</v>
          </cell>
          <cell r="E787">
            <v>46234</v>
          </cell>
          <cell r="F787" t="str">
            <v>50097</v>
          </cell>
          <cell r="G787" t="str">
            <v>榮剛七</v>
          </cell>
          <cell r="H787">
            <v>100000</v>
          </cell>
          <cell r="I787">
            <v>4.5</v>
          </cell>
          <cell r="J787">
            <v>46234</v>
          </cell>
          <cell r="K787">
            <v>101.51</v>
          </cell>
          <cell r="L787">
            <v>46216</v>
          </cell>
          <cell r="M787">
            <v>-5967</v>
          </cell>
          <cell r="N787">
            <v>94033</v>
          </cell>
        </row>
        <row r="788">
          <cell r="A788">
            <v>23682</v>
          </cell>
          <cell r="B788">
            <v>782</v>
          </cell>
          <cell r="C788" t="str">
            <v>IASWD2401000412</v>
          </cell>
          <cell r="D788">
            <v>45309</v>
          </cell>
          <cell r="E788">
            <v>46361</v>
          </cell>
          <cell r="F788" t="str">
            <v>23682</v>
          </cell>
          <cell r="G788" t="str">
            <v>金像電二</v>
          </cell>
          <cell r="H788">
            <v>400000</v>
          </cell>
          <cell r="I788">
            <v>2.6</v>
          </cell>
          <cell r="J788">
            <v>46361</v>
          </cell>
          <cell r="K788">
            <v>100</v>
          </cell>
          <cell r="L788">
            <v>46343</v>
          </cell>
          <cell r="M788">
            <v>-13762</v>
          </cell>
          <cell r="N788">
            <v>386238</v>
          </cell>
        </row>
        <row r="789">
          <cell r="A789">
            <v>22313</v>
          </cell>
          <cell r="B789">
            <v>783</v>
          </cell>
          <cell r="C789" t="str">
            <v>IASWD2401000413</v>
          </cell>
          <cell r="D789">
            <v>45309</v>
          </cell>
          <cell r="E789">
            <v>45898</v>
          </cell>
          <cell r="F789" t="str">
            <v>22313</v>
          </cell>
          <cell r="G789" t="str">
            <v>為升三</v>
          </cell>
          <cell r="H789">
            <v>300000</v>
          </cell>
          <cell r="I789">
            <v>3.5</v>
          </cell>
          <cell r="J789">
            <v>45898</v>
          </cell>
          <cell r="K789">
            <v>101.50749999999999</v>
          </cell>
          <cell r="L789">
            <v>45880</v>
          </cell>
          <cell r="M789">
            <v>-13895</v>
          </cell>
          <cell r="N789">
            <v>286105</v>
          </cell>
        </row>
        <row r="790">
          <cell r="A790">
            <v>23682</v>
          </cell>
          <cell r="B790">
            <v>784</v>
          </cell>
          <cell r="C790" t="str">
            <v>IASWD2401000417</v>
          </cell>
          <cell r="D790">
            <v>45309</v>
          </cell>
          <cell r="E790">
            <v>46361</v>
          </cell>
          <cell r="F790" t="str">
            <v>23682</v>
          </cell>
          <cell r="G790" t="str">
            <v>金像電二</v>
          </cell>
          <cell r="H790">
            <v>100000</v>
          </cell>
          <cell r="I790">
            <v>2.6</v>
          </cell>
          <cell r="J790">
            <v>46361</v>
          </cell>
          <cell r="K790">
            <v>100</v>
          </cell>
          <cell r="L790">
            <v>46343</v>
          </cell>
          <cell r="M790">
            <v>-3441</v>
          </cell>
          <cell r="N790">
            <v>96559</v>
          </cell>
        </row>
        <row r="791">
          <cell r="A791">
            <v>45553</v>
          </cell>
          <cell r="B791">
            <v>785</v>
          </cell>
          <cell r="C791" t="str">
            <v>IASWD2401000418</v>
          </cell>
          <cell r="D791">
            <v>45309</v>
          </cell>
          <cell r="E791">
            <v>45905</v>
          </cell>
          <cell r="F791" t="str">
            <v>45553</v>
          </cell>
          <cell r="G791" t="str">
            <v>氣立三</v>
          </cell>
          <cell r="H791">
            <v>100000</v>
          </cell>
          <cell r="I791">
            <v>2.1</v>
          </cell>
          <cell r="J791">
            <v>45905</v>
          </cell>
          <cell r="K791">
            <v>100</v>
          </cell>
          <cell r="L791">
            <v>45887</v>
          </cell>
          <cell r="M791">
            <v>-2779</v>
          </cell>
          <cell r="N791">
            <v>97221</v>
          </cell>
        </row>
        <row r="792">
          <cell r="A792">
            <v>99211</v>
          </cell>
          <cell r="B792">
            <v>786</v>
          </cell>
          <cell r="C792" t="str">
            <v>IASWD2401000420</v>
          </cell>
          <cell r="D792">
            <v>45310</v>
          </cell>
          <cell r="E792">
            <v>45821</v>
          </cell>
          <cell r="F792" t="str">
            <v>99211</v>
          </cell>
          <cell r="G792" t="str">
            <v>巨大一</v>
          </cell>
          <cell r="H792">
            <v>500000</v>
          </cell>
          <cell r="I792">
            <v>3.1</v>
          </cell>
          <cell r="J792">
            <v>45821</v>
          </cell>
          <cell r="K792">
            <v>100</v>
          </cell>
          <cell r="L792">
            <v>45800</v>
          </cell>
          <cell r="M792">
            <v>-20468</v>
          </cell>
          <cell r="N792">
            <v>479532</v>
          </cell>
        </row>
        <row r="793">
          <cell r="A793">
            <v>99412</v>
          </cell>
          <cell r="B793">
            <v>787</v>
          </cell>
          <cell r="C793" t="str">
            <v>IASWD2401000424</v>
          </cell>
          <cell r="D793">
            <v>45310</v>
          </cell>
          <cell r="E793">
            <v>46346</v>
          </cell>
          <cell r="F793" t="str">
            <v>99412</v>
          </cell>
          <cell r="G793" t="str">
            <v>裕融二</v>
          </cell>
          <cell r="H793">
            <v>100000</v>
          </cell>
          <cell r="I793">
            <v>3.2</v>
          </cell>
          <cell r="J793">
            <v>46346</v>
          </cell>
          <cell r="K793">
            <v>100</v>
          </cell>
          <cell r="L793">
            <v>46328</v>
          </cell>
          <cell r="M793">
            <v>-4226</v>
          </cell>
          <cell r="N793">
            <v>95774</v>
          </cell>
        </row>
        <row r="794">
          <cell r="A794">
            <v>22313</v>
          </cell>
          <cell r="B794">
            <v>788</v>
          </cell>
          <cell r="C794" t="str">
            <v>IASWD2401000425</v>
          </cell>
          <cell r="D794">
            <v>45310</v>
          </cell>
          <cell r="E794">
            <v>45898</v>
          </cell>
          <cell r="F794" t="str">
            <v>22313</v>
          </cell>
          <cell r="G794" t="str">
            <v>為升三</v>
          </cell>
          <cell r="H794">
            <v>100000</v>
          </cell>
          <cell r="I794">
            <v>3.5</v>
          </cell>
          <cell r="J794">
            <v>45898</v>
          </cell>
          <cell r="K794">
            <v>101.50749999999999</v>
          </cell>
          <cell r="L794">
            <v>45880</v>
          </cell>
          <cell r="M794">
            <v>-4622</v>
          </cell>
          <cell r="N794">
            <v>95378</v>
          </cell>
        </row>
        <row r="795">
          <cell r="A795">
            <v>99412</v>
          </cell>
          <cell r="B795">
            <v>789</v>
          </cell>
          <cell r="C795" t="str">
            <v>IASWD2401000426</v>
          </cell>
          <cell r="D795">
            <v>45310</v>
          </cell>
          <cell r="E795">
            <v>46346</v>
          </cell>
          <cell r="F795" t="str">
            <v>99412</v>
          </cell>
          <cell r="G795" t="str">
            <v>裕融二</v>
          </cell>
          <cell r="H795">
            <v>200000</v>
          </cell>
          <cell r="I795">
            <v>3.2</v>
          </cell>
          <cell r="J795">
            <v>46346</v>
          </cell>
          <cell r="K795">
            <v>100</v>
          </cell>
          <cell r="L795">
            <v>46328</v>
          </cell>
          <cell r="M795">
            <v>-8452</v>
          </cell>
          <cell r="N795">
            <v>191548</v>
          </cell>
        </row>
        <row r="796">
          <cell r="A796">
            <v>62822</v>
          </cell>
          <cell r="B796">
            <v>790</v>
          </cell>
          <cell r="C796" t="str">
            <v>IASWD2401000429</v>
          </cell>
          <cell r="D796">
            <v>45310</v>
          </cell>
          <cell r="E796">
            <v>46186</v>
          </cell>
          <cell r="F796" t="str">
            <v>62822</v>
          </cell>
          <cell r="G796" t="str">
            <v>康舒二</v>
          </cell>
          <cell r="H796">
            <v>300000</v>
          </cell>
          <cell r="I796">
            <v>3.2</v>
          </cell>
          <cell r="J796">
            <v>46186</v>
          </cell>
          <cell r="K796">
            <v>100</v>
          </cell>
          <cell r="L796">
            <v>46168</v>
          </cell>
          <cell r="M796">
            <v>-12677</v>
          </cell>
          <cell r="N796">
            <v>287323</v>
          </cell>
        </row>
        <row r="797">
          <cell r="A797">
            <v>99211</v>
          </cell>
          <cell r="B797">
            <v>791</v>
          </cell>
          <cell r="C797" t="str">
            <v>IASWD2401000430</v>
          </cell>
          <cell r="D797">
            <v>45310</v>
          </cell>
          <cell r="E797">
            <v>45821</v>
          </cell>
          <cell r="F797" t="str">
            <v>99211</v>
          </cell>
          <cell r="G797" t="str">
            <v>巨大一</v>
          </cell>
          <cell r="H797">
            <v>100000</v>
          </cell>
          <cell r="I797">
            <v>3.1</v>
          </cell>
          <cell r="J797">
            <v>45821</v>
          </cell>
          <cell r="K797">
            <v>100</v>
          </cell>
          <cell r="L797">
            <v>45800</v>
          </cell>
          <cell r="M797">
            <v>-4094</v>
          </cell>
          <cell r="N797">
            <v>95906</v>
          </cell>
        </row>
        <row r="798">
          <cell r="A798">
            <v>99412</v>
          </cell>
          <cell r="B798">
            <v>792</v>
          </cell>
          <cell r="C798" t="str">
            <v>IASWD2401000432</v>
          </cell>
          <cell r="D798">
            <v>45310</v>
          </cell>
          <cell r="E798">
            <v>46346</v>
          </cell>
          <cell r="F798" t="str">
            <v>99412</v>
          </cell>
          <cell r="G798" t="str">
            <v>裕融二</v>
          </cell>
          <cell r="H798">
            <v>500000</v>
          </cell>
          <cell r="I798">
            <v>3.2</v>
          </cell>
          <cell r="J798">
            <v>46346</v>
          </cell>
          <cell r="K798">
            <v>100</v>
          </cell>
          <cell r="L798">
            <v>46328</v>
          </cell>
          <cell r="M798">
            <v>-21129</v>
          </cell>
          <cell r="N798">
            <v>478871</v>
          </cell>
        </row>
        <row r="799">
          <cell r="A799">
            <v>23682</v>
          </cell>
          <cell r="B799">
            <v>793</v>
          </cell>
          <cell r="C799" t="str">
            <v>IASWD2401000433</v>
          </cell>
          <cell r="D799">
            <v>45310</v>
          </cell>
          <cell r="E799">
            <v>46361</v>
          </cell>
          <cell r="F799" t="str">
            <v>23682</v>
          </cell>
          <cell r="G799" t="str">
            <v>金像電二</v>
          </cell>
          <cell r="H799">
            <v>100000</v>
          </cell>
          <cell r="I799">
            <v>2.6</v>
          </cell>
          <cell r="J799">
            <v>46361</v>
          </cell>
          <cell r="K799">
            <v>100</v>
          </cell>
          <cell r="L799">
            <v>46343</v>
          </cell>
          <cell r="M799">
            <v>-3433</v>
          </cell>
          <cell r="N799">
            <v>96567</v>
          </cell>
        </row>
        <row r="800">
          <cell r="A800">
            <v>99412</v>
          </cell>
          <cell r="B800">
            <v>794</v>
          </cell>
          <cell r="C800" t="str">
            <v>IASWD2401000437</v>
          </cell>
          <cell r="D800">
            <v>45310</v>
          </cell>
          <cell r="E800">
            <v>46346</v>
          </cell>
          <cell r="F800" t="str">
            <v>99412</v>
          </cell>
          <cell r="G800" t="str">
            <v>裕融二</v>
          </cell>
          <cell r="H800">
            <v>200000</v>
          </cell>
          <cell r="I800">
            <v>3.2</v>
          </cell>
          <cell r="J800">
            <v>46346</v>
          </cell>
          <cell r="K800">
            <v>100</v>
          </cell>
          <cell r="L800">
            <v>46328</v>
          </cell>
          <cell r="M800">
            <v>-8452</v>
          </cell>
          <cell r="N800">
            <v>191548</v>
          </cell>
        </row>
        <row r="801">
          <cell r="A801">
            <v>23682</v>
          </cell>
          <cell r="B801">
            <v>795</v>
          </cell>
          <cell r="C801" t="str">
            <v>IASWD2401000440</v>
          </cell>
          <cell r="D801">
            <v>45310</v>
          </cell>
          <cell r="E801">
            <v>46361</v>
          </cell>
          <cell r="F801" t="str">
            <v>23682</v>
          </cell>
          <cell r="G801" t="str">
            <v>金像電二</v>
          </cell>
          <cell r="H801">
            <v>100000</v>
          </cell>
          <cell r="I801">
            <v>2.6</v>
          </cell>
          <cell r="J801">
            <v>46361</v>
          </cell>
          <cell r="K801">
            <v>100</v>
          </cell>
          <cell r="L801">
            <v>46343</v>
          </cell>
          <cell r="M801">
            <v>-3433</v>
          </cell>
          <cell r="N801">
            <v>96567</v>
          </cell>
        </row>
        <row r="802">
          <cell r="A802">
            <v>99412</v>
          </cell>
          <cell r="B802">
            <v>796</v>
          </cell>
          <cell r="C802" t="str">
            <v>IASWD2401000443</v>
          </cell>
          <cell r="D802">
            <v>45310</v>
          </cell>
          <cell r="E802">
            <v>46346</v>
          </cell>
          <cell r="F802" t="str">
            <v>99412</v>
          </cell>
          <cell r="G802" t="str">
            <v>裕融二</v>
          </cell>
          <cell r="H802">
            <v>2000000</v>
          </cell>
          <cell r="I802">
            <v>3.2</v>
          </cell>
          <cell r="J802">
            <v>46346</v>
          </cell>
          <cell r="K802">
            <v>100</v>
          </cell>
          <cell r="L802">
            <v>46328</v>
          </cell>
          <cell r="M802">
            <v>-84515</v>
          </cell>
          <cell r="N802">
            <v>1915485</v>
          </cell>
        </row>
        <row r="803">
          <cell r="A803">
            <v>99412</v>
          </cell>
          <cell r="B803">
            <v>797</v>
          </cell>
          <cell r="C803" t="str">
            <v>IASWD2401000445</v>
          </cell>
          <cell r="D803">
            <v>45310</v>
          </cell>
          <cell r="E803">
            <v>46346</v>
          </cell>
          <cell r="F803" t="str">
            <v>99412</v>
          </cell>
          <cell r="G803" t="str">
            <v>裕融二</v>
          </cell>
          <cell r="H803">
            <v>500000</v>
          </cell>
          <cell r="I803">
            <v>3.2</v>
          </cell>
          <cell r="J803">
            <v>46346</v>
          </cell>
          <cell r="K803">
            <v>100</v>
          </cell>
          <cell r="L803">
            <v>46328</v>
          </cell>
          <cell r="M803">
            <v>-21129</v>
          </cell>
          <cell r="N803">
            <v>478871</v>
          </cell>
        </row>
        <row r="804">
          <cell r="A804">
            <v>62822</v>
          </cell>
          <cell r="B804">
            <v>798</v>
          </cell>
          <cell r="C804" t="str">
            <v>IASWD2401000448</v>
          </cell>
          <cell r="D804">
            <v>45310</v>
          </cell>
          <cell r="E804">
            <v>46186</v>
          </cell>
          <cell r="F804" t="str">
            <v>62822</v>
          </cell>
          <cell r="G804" t="str">
            <v>康舒二</v>
          </cell>
          <cell r="H804">
            <v>700000</v>
          </cell>
          <cell r="I804">
            <v>3.2</v>
          </cell>
          <cell r="J804">
            <v>46186</v>
          </cell>
          <cell r="K804">
            <v>100</v>
          </cell>
          <cell r="L804">
            <v>46168</v>
          </cell>
          <cell r="M804">
            <v>-29580</v>
          </cell>
          <cell r="N804">
            <v>670420</v>
          </cell>
        </row>
        <row r="805">
          <cell r="A805">
            <v>99412</v>
          </cell>
          <cell r="B805">
            <v>799</v>
          </cell>
          <cell r="C805" t="str">
            <v>IASWD2401000449</v>
          </cell>
          <cell r="D805">
            <v>45310</v>
          </cell>
          <cell r="E805">
            <v>46346</v>
          </cell>
          <cell r="F805" t="str">
            <v>99412</v>
          </cell>
          <cell r="G805" t="str">
            <v>裕融二</v>
          </cell>
          <cell r="H805">
            <v>400000</v>
          </cell>
          <cell r="I805">
            <v>3.2</v>
          </cell>
          <cell r="J805">
            <v>46346</v>
          </cell>
          <cell r="K805">
            <v>100</v>
          </cell>
          <cell r="L805">
            <v>46328</v>
          </cell>
          <cell r="M805">
            <v>-16903</v>
          </cell>
          <cell r="N805">
            <v>383097</v>
          </cell>
        </row>
        <row r="806">
          <cell r="A806">
            <v>99412</v>
          </cell>
          <cell r="B806">
            <v>800</v>
          </cell>
          <cell r="C806" t="str">
            <v>IASWD2401000450</v>
          </cell>
          <cell r="D806">
            <v>45310</v>
          </cell>
          <cell r="E806">
            <v>46346</v>
          </cell>
          <cell r="F806" t="str">
            <v>99412</v>
          </cell>
          <cell r="G806" t="str">
            <v>裕融二</v>
          </cell>
          <cell r="H806">
            <v>100000</v>
          </cell>
          <cell r="I806">
            <v>3.2</v>
          </cell>
          <cell r="J806">
            <v>46346</v>
          </cell>
          <cell r="K806">
            <v>100</v>
          </cell>
          <cell r="L806">
            <v>46328</v>
          </cell>
          <cell r="M806">
            <v>-4226</v>
          </cell>
          <cell r="N806">
            <v>95774</v>
          </cell>
        </row>
        <row r="807">
          <cell r="A807">
            <v>62822</v>
          </cell>
          <cell r="B807">
            <v>801</v>
          </cell>
          <cell r="C807" t="str">
            <v>IASWD2401000451</v>
          </cell>
          <cell r="D807">
            <v>45310</v>
          </cell>
          <cell r="E807">
            <v>46186</v>
          </cell>
          <cell r="F807" t="str">
            <v>62822</v>
          </cell>
          <cell r="G807" t="str">
            <v>康舒二</v>
          </cell>
          <cell r="H807">
            <v>1000000</v>
          </cell>
          <cell r="I807">
            <v>3.2</v>
          </cell>
          <cell r="J807">
            <v>46186</v>
          </cell>
          <cell r="K807">
            <v>100</v>
          </cell>
          <cell r="L807">
            <v>46168</v>
          </cell>
          <cell r="M807">
            <v>-42258</v>
          </cell>
          <cell r="N807">
            <v>957742</v>
          </cell>
        </row>
        <row r="808">
          <cell r="A808">
            <v>62822</v>
          </cell>
          <cell r="B808">
            <v>802</v>
          </cell>
          <cell r="C808" t="str">
            <v>IASWD2401000453</v>
          </cell>
          <cell r="D808">
            <v>45310</v>
          </cell>
          <cell r="E808">
            <v>46186</v>
          </cell>
          <cell r="F808" t="str">
            <v>62822</v>
          </cell>
          <cell r="G808" t="str">
            <v>康舒二</v>
          </cell>
          <cell r="H808">
            <v>100000</v>
          </cell>
          <cell r="I808">
            <v>3.2</v>
          </cell>
          <cell r="J808">
            <v>46186</v>
          </cell>
          <cell r="K808">
            <v>100</v>
          </cell>
          <cell r="L808">
            <v>46168</v>
          </cell>
          <cell r="M808">
            <v>-4226</v>
          </cell>
          <cell r="N808">
            <v>95774</v>
          </cell>
        </row>
        <row r="809">
          <cell r="A809">
            <v>99412</v>
          </cell>
          <cell r="B809">
            <v>803</v>
          </cell>
          <cell r="C809" t="str">
            <v>IASWD2401000503</v>
          </cell>
          <cell r="D809">
            <v>45314</v>
          </cell>
          <cell r="E809">
            <v>46346</v>
          </cell>
          <cell r="F809" t="str">
            <v>99412</v>
          </cell>
          <cell r="G809" t="str">
            <v>裕融二</v>
          </cell>
          <cell r="H809">
            <v>1000000</v>
          </cell>
          <cell r="I809">
            <v>3.1</v>
          </cell>
          <cell r="J809">
            <v>46346</v>
          </cell>
          <cell r="K809">
            <v>100</v>
          </cell>
          <cell r="L809">
            <v>46328</v>
          </cell>
          <cell r="M809">
            <v>-40597</v>
          </cell>
          <cell r="N809">
            <v>959403</v>
          </cell>
        </row>
        <row r="810">
          <cell r="A810">
            <v>22313</v>
          </cell>
          <cell r="B810">
            <v>804</v>
          </cell>
          <cell r="C810" t="str">
            <v>IASWD2401000506</v>
          </cell>
          <cell r="D810">
            <v>45314</v>
          </cell>
          <cell r="E810">
            <v>45898</v>
          </cell>
          <cell r="F810" t="str">
            <v>22313</v>
          </cell>
          <cell r="G810" t="str">
            <v>為升三</v>
          </cell>
          <cell r="H810">
            <v>300000</v>
          </cell>
          <cell r="I810">
            <v>3.5</v>
          </cell>
          <cell r="J810">
            <v>45898</v>
          </cell>
          <cell r="K810">
            <v>101.50749999999999</v>
          </cell>
          <cell r="L810">
            <v>45880</v>
          </cell>
          <cell r="M810">
            <v>-13751</v>
          </cell>
          <cell r="N810">
            <v>286249</v>
          </cell>
        </row>
        <row r="811">
          <cell r="A811">
            <v>99412</v>
          </cell>
          <cell r="B811">
            <v>805</v>
          </cell>
          <cell r="C811" t="str">
            <v>IASWD2401000510</v>
          </cell>
          <cell r="D811">
            <v>45314</v>
          </cell>
          <cell r="E811">
            <v>46346</v>
          </cell>
          <cell r="F811" t="str">
            <v>99412</v>
          </cell>
          <cell r="G811" t="str">
            <v>裕融二</v>
          </cell>
          <cell r="H811">
            <v>100000</v>
          </cell>
          <cell r="I811">
            <v>3.1</v>
          </cell>
          <cell r="J811">
            <v>46346</v>
          </cell>
          <cell r="K811">
            <v>100</v>
          </cell>
          <cell r="L811">
            <v>46328</v>
          </cell>
          <cell r="M811">
            <v>-4060</v>
          </cell>
          <cell r="N811">
            <v>95940</v>
          </cell>
        </row>
        <row r="812">
          <cell r="A812">
            <v>99412</v>
          </cell>
          <cell r="B812">
            <v>806</v>
          </cell>
          <cell r="C812" t="str">
            <v>IASWD2401000512</v>
          </cell>
          <cell r="D812">
            <v>45314</v>
          </cell>
          <cell r="E812">
            <v>46346</v>
          </cell>
          <cell r="F812" t="str">
            <v>99412</v>
          </cell>
          <cell r="G812" t="str">
            <v>裕融二</v>
          </cell>
          <cell r="H812">
            <v>300000</v>
          </cell>
          <cell r="I812">
            <v>3.1</v>
          </cell>
          <cell r="J812">
            <v>46346</v>
          </cell>
          <cell r="K812">
            <v>100</v>
          </cell>
          <cell r="L812">
            <v>46328</v>
          </cell>
          <cell r="M812">
            <v>-12179</v>
          </cell>
          <cell r="N812">
            <v>287821</v>
          </cell>
        </row>
        <row r="813">
          <cell r="A813">
            <v>99412</v>
          </cell>
          <cell r="B813">
            <v>807</v>
          </cell>
          <cell r="C813" t="str">
            <v>IASWD2401000513</v>
          </cell>
          <cell r="D813">
            <v>45314</v>
          </cell>
          <cell r="E813">
            <v>46346</v>
          </cell>
          <cell r="F813" t="str">
            <v>99412</v>
          </cell>
          <cell r="G813" t="str">
            <v>裕融二</v>
          </cell>
          <cell r="H813">
            <v>700000</v>
          </cell>
          <cell r="I813">
            <v>3.1</v>
          </cell>
          <cell r="J813">
            <v>46346</v>
          </cell>
          <cell r="K813">
            <v>100</v>
          </cell>
          <cell r="L813">
            <v>46328</v>
          </cell>
          <cell r="M813">
            <v>-28418</v>
          </cell>
          <cell r="N813">
            <v>671582</v>
          </cell>
        </row>
        <row r="814">
          <cell r="A814">
            <v>99412</v>
          </cell>
          <cell r="B814">
            <v>808</v>
          </cell>
          <cell r="C814" t="str">
            <v>IASWD2401000514</v>
          </cell>
          <cell r="D814">
            <v>45314</v>
          </cell>
          <cell r="E814">
            <v>46346</v>
          </cell>
          <cell r="F814" t="str">
            <v>99412</v>
          </cell>
          <cell r="G814" t="str">
            <v>裕融二</v>
          </cell>
          <cell r="H814">
            <v>200000</v>
          </cell>
          <cell r="I814">
            <v>3.1</v>
          </cell>
          <cell r="J814">
            <v>46346</v>
          </cell>
          <cell r="K814">
            <v>100</v>
          </cell>
          <cell r="L814">
            <v>46328</v>
          </cell>
          <cell r="M814">
            <v>-8119</v>
          </cell>
          <cell r="N814">
            <v>191881</v>
          </cell>
        </row>
        <row r="815">
          <cell r="A815">
            <v>99412</v>
          </cell>
          <cell r="B815">
            <v>809</v>
          </cell>
          <cell r="C815" t="str">
            <v>IASWD2401000518</v>
          </cell>
          <cell r="D815">
            <v>45314</v>
          </cell>
          <cell r="E815">
            <v>46346</v>
          </cell>
          <cell r="F815" t="str">
            <v>99412</v>
          </cell>
          <cell r="G815" t="str">
            <v>裕融二</v>
          </cell>
          <cell r="H815">
            <v>500000</v>
          </cell>
          <cell r="I815">
            <v>3.1</v>
          </cell>
          <cell r="J815">
            <v>46346</v>
          </cell>
          <cell r="K815">
            <v>100</v>
          </cell>
          <cell r="L815">
            <v>46328</v>
          </cell>
          <cell r="M815">
            <v>-20299</v>
          </cell>
          <cell r="N815">
            <v>479701</v>
          </cell>
        </row>
        <row r="816">
          <cell r="A816">
            <v>50097</v>
          </cell>
          <cell r="B816">
            <v>810</v>
          </cell>
          <cell r="C816" t="str">
            <v>IASWD2401000523</v>
          </cell>
          <cell r="D816">
            <v>45314</v>
          </cell>
          <cell r="E816">
            <v>46234</v>
          </cell>
          <cell r="F816" t="str">
            <v>50097</v>
          </cell>
          <cell r="G816" t="str">
            <v>榮剛七</v>
          </cell>
          <cell r="H816">
            <v>100000</v>
          </cell>
          <cell r="I816">
            <v>4.5</v>
          </cell>
          <cell r="J816">
            <v>46234</v>
          </cell>
          <cell r="K816">
            <v>101.51</v>
          </cell>
          <cell r="L816">
            <v>46216</v>
          </cell>
          <cell r="M816">
            <v>-5893</v>
          </cell>
          <cell r="N816">
            <v>94107</v>
          </cell>
        </row>
        <row r="817">
          <cell r="A817">
            <v>99412</v>
          </cell>
          <cell r="B817">
            <v>811</v>
          </cell>
          <cell r="C817" t="str">
            <v>IASWD2401000525</v>
          </cell>
          <cell r="D817">
            <v>45314</v>
          </cell>
          <cell r="E817">
            <v>46346</v>
          </cell>
          <cell r="F817" t="str">
            <v>99412</v>
          </cell>
          <cell r="G817" t="str">
            <v>裕融二</v>
          </cell>
          <cell r="H817">
            <v>100000</v>
          </cell>
          <cell r="I817">
            <v>3.1</v>
          </cell>
          <cell r="J817">
            <v>46346</v>
          </cell>
          <cell r="K817">
            <v>100</v>
          </cell>
          <cell r="L817">
            <v>46328</v>
          </cell>
          <cell r="M817">
            <v>-4060</v>
          </cell>
          <cell r="N817">
            <v>95940</v>
          </cell>
        </row>
        <row r="818">
          <cell r="A818">
            <v>37131</v>
          </cell>
          <cell r="B818">
            <v>812</v>
          </cell>
          <cell r="C818" t="str">
            <v>IASWD2401000529</v>
          </cell>
          <cell r="D818">
            <v>45315</v>
          </cell>
          <cell r="E818">
            <v>46091</v>
          </cell>
          <cell r="F818" t="str">
            <v>37131</v>
          </cell>
          <cell r="G818" t="str">
            <v>新晶投控一</v>
          </cell>
          <cell r="H818">
            <v>200000</v>
          </cell>
          <cell r="I818">
            <v>2.1</v>
          </cell>
          <cell r="J818">
            <v>46091</v>
          </cell>
          <cell r="K818">
            <v>100</v>
          </cell>
          <cell r="L818">
            <v>46071</v>
          </cell>
          <cell r="M818">
            <v>-5489</v>
          </cell>
          <cell r="N818">
            <v>194511</v>
          </cell>
        </row>
        <row r="819">
          <cell r="A819">
            <v>37131</v>
          </cell>
          <cell r="B819">
            <v>813</v>
          </cell>
          <cell r="C819" t="str">
            <v>IASWD2401000571</v>
          </cell>
          <cell r="D819">
            <v>45317</v>
          </cell>
          <cell r="E819">
            <v>46091</v>
          </cell>
          <cell r="F819" t="str">
            <v>37131</v>
          </cell>
          <cell r="G819" t="str">
            <v>新晶投控一</v>
          </cell>
          <cell r="H819">
            <v>500000</v>
          </cell>
          <cell r="I819">
            <v>2.1</v>
          </cell>
          <cell r="J819">
            <v>46091</v>
          </cell>
          <cell r="K819">
            <v>100</v>
          </cell>
          <cell r="L819">
            <v>46071</v>
          </cell>
          <cell r="M819">
            <v>-13664</v>
          </cell>
          <cell r="N819">
            <v>486336</v>
          </cell>
        </row>
        <row r="820">
          <cell r="A820">
            <v>22313</v>
          </cell>
          <cell r="B820">
            <v>814</v>
          </cell>
          <cell r="C820" t="str">
            <v>IASWD2401000585</v>
          </cell>
          <cell r="D820">
            <v>45320</v>
          </cell>
          <cell r="E820">
            <v>45898</v>
          </cell>
          <cell r="F820" t="str">
            <v>22313</v>
          </cell>
          <cell r="G820" t="str">
            <v>為升三</v>
          </cell>
          <cell r="H820">
            <v>100000</v>
          </cell>
          <cell r="I820">
            <v>3.35</v>
          </cell>
          <cell r="J820">
            <v>45898</v>
          </cell>
          <cell r="K820">
            <v>101.50749999999999</v>
          </cell>
          <cell r="L820">
            <v>45880</v>
          </cell>
          <cell r="M820">
            <v>-4332</v>
          </cell>
          <cell r="N820">
            <v>95668</v>
          </cell>
        </row>
        <row r="821">
          <cell r="A821">
            <v>56086</v>
          </cell>
          <cell r="B821">
            <v>815</v>
          </cell>
          <cell r="C821" t="str">
            <v>IASWD2401000606</v>
          </cell>
          <cell r="D821">
            <v>45321</v>
          </cell>
          <cell r="E821">
            <v>46194</v>
          </cell>
          <cell r="F821" t="str">
            <v>56086</v>
          </cell>
          <cell r="G821" t="str">
            <v>四維航六</v>
          </cell>
          <cell r="H821">
            <v>400000</v>
          </cell>
          <cell r="I821">
            <v>2.1</v>
          </cell>
          <cell r="J821">
            <v>46194</v>
          </cell>
          <cell r="K821">
            <v>100</v>
          </cell>
          <cell r="L821">
            <v>46175</v>
          </cell>
          <cell r="M821">
            <v>-10839</v>
          </cell>
          <cell r="N821">
            <v>389161</v>
          </cell>
        </row>
        <row r="822">
          <cell r="A822">
            <v>22313</v>
          </cell>
          <cell r="B822">
            <v>816</v>
          </cell>
          <cell r="C822" t="str">
            <v>IASWD2401000607</v>
          </cell>
          <cell r="D822">
            <v>45321</v>
          </cell>
          <cell r="E822">
            <v>45898</v>
          </cell>
          <cell r="F822" t="str">
            <v>22313</v>
          </cell>
          <cell r="G822" t="str">
            <v>為升三</v>
          </cell>
          <cell r="H822">
            <v>100000</v>
          </cell>
          <cell r="I822">
            <v>3.35</v>
          </cell>
          <cell r="J822">
            <v>45898</v>
          </cell>
          <cell r="K822">
            <v>101.50749999999999</v>
          </cell>
          <cell r="L822">
            <v>45880</v>
          </cell>
          <cell r="M822">
            <v>-4323</v>
          </cell>
          <cell r="N822">
            <v>95677</v>
          </cell>
        </row>
        <row r="823">
          <cell r="A823">
            <v>22013</v>
          </cell>
          <cell r="B823">
            <v>817</v>
          </cell>
          <cell r="C823" t="str">
            <v>IASWD2402000035</v>
          </cell>
          <cell r="D823">
            <v>45324</v>
          </cell>
          <cell r="E823">
            <v>46167</v>
          </cell>
          <cell r="F823" t="str">
            <v>22013</v>
          </cell>
          <cell r="G823" t="str">
            <v>裕隆三</v>
          </cell>
          <cell r="H823">
            <v>100000</v>
          </cell>
          <cell r="I823">
            <v>3</v>
          </cell>
          <cell r="J823">
            <v>46167</v>
          </cell>
          <cell r="K823">
            <v>100.75190000000001</v>
          </cell>
          <cell r="L823">
            <v>46147</v>
          </cell>
          <cell r="M823">
            <v>-3847</v>
          </cell>
          <cell r="N823">
            <v>96153</v>
          </cell>
        </row>
        <row r="824">
          <cell r="A824">
            <v>22013</v>
          </cell>
          <cell r="B824">
            <v>818</v>
          </cell>
          <cell r="C824" t="str">
            <v>IASWD2402000050</v>
          </cell>
          <cell r="D824">
            <v>45324</v>
          </cell>
          <cell r="E824">
            <v>46167</v>
          </cell>
          <cell r="F824" t="str">
            <v>22013</v>
          </cell>
          <cell r="G824" t="str">
            <v>裕隆三</v>
          </cell>
          <cell r="H824">
            <v>200000</v>
          </cell>
          <cell r="I824">
            <v>3</v>
          </cell>
          <cell r="J824">
            <v>46167</v>
          </cell>
          <cell r="K824">
            <v>100.75190000000001</v>
          </cell>
          <cell r="L824">
            <v>46147</v>
          </cell>
          <cell r="M824">
            <v>-7693</v>
          </cell>
          <cell r="N824">
            <v>192307</v>
          </cell>
        </row>
        <row r="825">
          <cell r="A825">
            <v>24762</v>
          </cell>
          <cell r="B825">
            <v>819</v>
          </cell>
          <cell r="C825" t="str">
            <v>IASWD2402000062</v>
          </cell>
          <cell r="D825">
            <v>45324</v>
          </cell>
          <cell r="E825">
            <v>46413</v>
          </cell>
          <cell r="F825" t="str">
            <v>24762</v>
          </cell>
          <cell r="G825" t="str">
            <v>鉅祥二</v>
          </cell>
          <cell r="H825">
            <v>600000</v>
          </cell>
          <cell r="I825">
            <v>2.6</v>
          </cell>
          <cell r="J825">
            <v>46413</v>
          </cell>
          <cell r="K825">
            <v>100</v>
          </cell>
          <cell r="L825">
            <v>46393</v>
          </cell>
          <cell r="M825">
            <v>-20002</v>
          </cell>
          <cell r="N825">
            <v>579998</v>
          </cell>
        </row>
        <row r="826">
          <cell r="A826">
            <v>56086</v>
          </cell>
          <cell r="B826">
            <v>820</v>
          </cell>
          <cell r="C826" t="str">
            <v>IASWD2402000065</v>
          </cell>
          <cell r="D826">
            <v>45324</v>
          </cell>
          <cell r="E826">
            <v>46194</v>
          </cell>
          <cell r="F826" t="str">
            <v>56086</v>
          </cell>
          <cell r="G826" t="str">
            <v>四維航六</v>
          </cell>
          <cell r="H826">
            <v>100000</v>
          </cell>
          <cell r="I826">
            <v>2.1</v>
          </cell>
          <cell r="J826">
            <v>46194</v>
          </cell>
          <cell r="K826">
            <v>100</v>
          </cell>
          <cell r="L826">
            <v>46175</v>
          </cell>
          <cell r="M826">
            <v>-2693</v>
          </cell>
          <cell r="N826">
            <v>97307</v>
          </cell>
        </row>
        <row r="827">
          <cell r="A827">
            <v>22013</v>
          </cell>
          <cell r="B827">
            <v>821</v>
          </cell>
          <cell r="C827" t="str">
            <v>IASWD2402000070</v>
          </cell>
          <cell r="D827">
            <v>45327</v>
          </cell>
          <cell r="E827">
            <v>46167</v>
          </cell>
          <cell r="F827" t="str">
            <v>22013</v>
          </cell>
          <cell r="G827" t="str">
            <v>裕隆三</v>
          </cell>
          <cell r="H827">
            <v>300000</v>
          </cell>
          <cell r="I827">
            <v>3</v>
          </cell>
          <cell r="J827">
            <v>46167</v>
          </cell>
          <cell r="K827">
            <v>100.75190000000001</v>
          </cell>
          <cell r="L827">
            <v>46147</v>
          </cell>
          <cell r="M827">
            <v>-11466</v>
          </cell>
          <cell r="N827">
            <v>288534</v>
          </cell>
        </row>
        <row r="828">
          <cell r="A828">
            <v>22013</v>
          </cell>
          <cell r="B828">
            <v>822</v>
          </cell>
          <cell r="C828" t="str">
            <v>IASWD2402000082</v>
          </cell>
          <cell r="D828">
            <v>45327</v>
          </cell>
          <cell r="E828">
            <v>46167</v>
          </cell>
          <cell r="F828" t="str">
            <v>22013</v>
          </cell>
          <cell r="G828" t="str">
            <v>裕隆三</v>
          </cell>
          <cell r="H828">
            <v>200000</v>
          </cell>
          <cell r="I828">
            <v>3</v>
          </cell>
          <cell r="J828">
            <v>46167</v>
          </cell>
          <cell r="K828">
            <v>100.75190000000001</v>
          </cell>
          <cell r="L828">
            <v>46147</v>
          </cell>
          <cell r="M828">
            <v>-7644</v>
          </cell>
          <cell r="N828">
            <v>192356</v>
          </cell>
        </row>
        <row r="829">
          <cell r="A829">
            <v>56086</v>
          </cell>
          <cell r="B829">
            <v>823</v>
          </cell>
          <cell r="C829" t="str">
            <v>IASWD2402000085</v>
          </cell>
          <cell r="D829">
            <v>45327</v>
          </cell>
          <cell r="E829">
            <v>46194</v>
          </cell>
          <cell r="F829" t="str">
            <v>56086</v>
          </cell>
          <cell r="G829" t="str">
            <v>四維航六</v>
          </cell>
          <cell r="H829">
            <v>100000</v>
          </cell>
          <cell r="I829">
            <v>2.1</v>
          </cell>
          <cell r="J829">
            <v>46194</v>
          </cell>
          <cell r="K829">
            <v>100</v>
          </cell>
          <cell r="L829">
            <v>46175</v>
          </cell>
          <cell r="M829">
            <v>-2675</v>
          </cell>
          <cell r="N829">
            <v>97325</v>
          </cell>
        </row>
        <row r="830">
          <cell r="A830">
            <v>22013</v>
          </cell>
          <cell r="B830">
            <v>824</v>
          </cell>
          <cell r="C830" t="str">
            <v>IASWD2402000087</v>
          </cell>
          <cell r="D830">
            <v>45327</v>
          </cell>
          <cell r="E830">
            <v>46167</v>
          </cell>
          <cell r="F830" t="str">
            <v>22013</v>
          </cell>
          <cell r="G830" t="str">
            <v>裕隆三</v>
          </cell>
          <cell r="H830">
            <v>300000</v>
          </cell>
          <cell r="I830">
            <v>3</v>
          </cell>
          <cell r="J830">
            <v>46167</v>
          </cell>
          <cell r="K830">
            <v>100.75190000000001</v>
          </cell>
          <cell r="L830">
            <v>46147</v>
          </cell>
          <cell r="M830">
            <v>-11466</v>
          </cell>
          <cell r="N830">
            <v>288534</v>
          </cell>
        </row>
        <row r="831">
          <cell r="A831">
            <v>22013</v>
          </cell>
          <cell r="B831">
            <v>825</v>
          </cell>
          <cell r="C831" t="str">
            <v>IASWD2402000093</v>
          </cell>
          <cell r="D831">
            <v>45327</v>
          </cell>
          <cell r="E831">
            <v>46167</v>
          </cell>
          <cell r="F831" t="str">
            <v>22013</v>
          </cell>
          <cell r="G831" t="str">
            <v>裕隆三</v>
          </cell>
          <cell r="H831">
            <v>2500000</v>
          </cell>
          <cell r="I831">
            <v>3</v>
          </cell>
          <cell r="J831">
            <v>46167</v>
          </cell>
          <cell r="K831">
            <v>100.75190000000001</v>
          </cell>
          <cell r="L831">
            <v>46147</v>
          </cell>
          <cell r="M831">
            <v>-95548</v>
          </cell>
          <cell r="N831">
            <v>2404452</v>
          </cell>
        </row>
        <row r="832">
          <cell r="A832">
            <v>99412</v>
          </cell>
          <cell r="B832">
            <v>826</v>
          </cell>
          <cell r="C832" t="str">
            <v>IASWD2402000100</v>
          </cell>
          <cell r="D832">
            <v>45337</v>
          </cell>
          <cell r="E832">
            <v>46346</v>
          </cell>
          <cell r="F832" t="str">
            <v>99412</v>
          </cell>
          <cell r="G832" t="str">
            <v>裕融二</v>
          </cell>
          <cell r="H832">
            <v>100000</v>
          </cell>
          <cell r="I832">
            <v>3.1</v>
          </cell>
          <cell r="J832">
            <v>46346</v>
          </cell>
          <cell r="K832">
            <v>100</v>
          </cell>
          <cell r="L832">
            <v>46328</v>
          </cell>
          <cell r="M832">
            <v>-3864</v>
          </cell>
          <cell r="N832">
            <v>96136</v>
          </cell>
        </row>
        <row r="833">
          <cell r="A833">
            <v>22013</v>
          </cell>
          <cell r="B833">
            <v>827</v>
          </cell>
          <cell r="C833" t="str">
            <v>IASWD2402000121</v>
          </cell>
          <cell r="D833">
            <v>45337</v>
          </cell>
          <cell r="E833">
            <v>46167</v>
          </cell>
          <cell r="F833" t="str">
            <v>22013</v>
          </cell>
          <cell r="G833" t="str">
            <v>裕隆三</v>
          </cell>
          <cell r="H833">
            <v>300000</v>
          </cell>
          <cell r="I833">
            <v>3</v>
          </cell>
          <cell r="J833">
            <v>46167</v>
          </cell>
          <cell r="K833">
            <v>100.75190000000001</v>
          </cell>
          <cell r="L833">
            <v>46147</v>
          </cell>
          <cell r="M833">
            <v>-11219</v>
          </cell>
          <cell r="N833">
            <v>288781</v>
          </cell>
        </row>
        <row r="834">
          <cell r="A834">
            <v>99412</v>
          </cell>
          <cell r="B834">
            <v>828</v>
          </cell>
          <cell r="C834" t="str">
            <v>IASWD2402000134</v>
          </cell>
          <cell r="D834">
            <v>45337</v>
          </cell>
          <cell r="E834">
            <v>46346</v>
          </cell>
          <cell r="F834" t="str">
            <v>99412</v>
          </cell>
          <cell r="G834" t="str">
            <v>裕融二</v>
          </cell>
          <cell r="H834">
            <v>200000</v>
          </cell>
          <cell r="I834">
            <v>3.1</v>
          </cell>
          <cell r="J834">
            <v>46346</v>
          </cell>
          <cell r="K834">
            <v>100</v>
          </cell>
          <cell r="L834">
            <v>46328</v>
          </cell>
          <cell r="M834">
            <v>-7729</v>
          </cell>
          <cell r="N834">
            <v>192271</v>
          </cell>
        </row>
        <row r="835">
          <cell r="A835">
            <v>22313</v>
          </cell>
          <cell r="B835">
            <v>829</v>
          </cell>
          <cell r="C835" t="str">
            <v>IASWD2402000135</v>
          </cell>
          <cell r="D835">
            <v>45337</v>
          </cell>
          <cell r="E835">
            <v>45898</v>
          </cell>
          <cell r="F835" t="str">
            <v>22313</v>
          </cell>
          <cell r="G835" t="str">
            <v>為升三</v>
          </cell>
          <cell r="H835">
            <v>100000</v>
          </cell>
          <cell r="I835">
            <v>3.35</v>
          </cell>
          <cell r="J835">
            <v>45898</v>
          </cell>
          <cell r="K835">
            <v>101.50749999999999</v>
          </cell>
          <cell r="L835">
            <v>45880</v>
          </cell>
          <cell r="M835">
            <v>-4176</v>
          </cell>
          <cell r="N835">
            <v>95824</v>
          </cell>
        </row>
        <row r="836">
          <cell r="A836">
            <v>99412</v>
          </cell>
          <cell r="B836">
            <v>830</v>
          </cell>
          <cell r="C836" t="str">
            <v>IASWD2402000136</v>
          </cell>
          <cell r="D836">
            <v>45337</v>
          </cell>
          <cell r="E836">
            <v>46346</v>
          </cell>
          <cell r="F836" t="str">
            <v>99412</v>
          </cell>
          <cell r="G836" t="str">
            <v>裕融二</v>
          </cell>
          <cell r="H836">
            <v>400000</v>
          </cell>
          <cell r="I836">
            <v>3.1</v>
          </cell>
          <cell r="J836">
            <v>46346</v>
          </cell>
          <cell r="K836">
            <v>100</v>
          </cell>
          <cell r="L836">
            <v>46328</v>
          </cell>
          <cell r="M836">
            <v>-15458</v>
          </cell>
          <cell r="N836">
            <v>384542</v>
          </cell>
        </row>
        <row r="837">
          <cell r="A837">
            <v>99412</v>
          </cell>
          <cell r="B837">
            <v>831</v>
          </cell>
          <cell r="C837" t="str">
            <v>IASWD2402000142</v>
          </cell>
          <cell r="D837">
            <v>45337</v>
          </cell>
          <cell r="E837">
            <v>46346</v>
          </cell>
          <cell r="F837" t="str">
            <v>99412</v>
          </cell>
          <cell r="G837" t="str">
            <v>裕融二</v>
          </cell>
          <cell r="H837">
            <v>400000</v>
          </cell>
          <cell r="I837">
            <v>3.1</v>
          </cell>
          <cell r="J837">
            <v>46346</v>
          </cell>
          <cell r="K837">
            <v>100</v>
          </cell>
          <cell r="L837">
            <v>46328</v>
          </cell>
          <cell r="M837">
            <v>-15458</v>
          </cell>
          <cell r="N837">
            <v>384542</v>
          </cell>
        </row>
        <row r="838">
          <cell r="A838">
            <v>99412</v>
          </cell>
          <cell r="B838">
            <v>832</v>
          </cell>
          <cell r="C838" t="str">
            <v>IASWD2402000143</v>
          </cell>
          <cell r="D838">
            <v>45337</v>
          </cell>
          <cell r="E838">
            <v>46346</v>
          </cell>
          <cell r="F838" t="str">
            <v>99412</v>
          </cell>
          <cell r="G838" t="str">
            <v>裕融二</v>
          </cell>
          <cell r="H838">
            <v>100000</v>
          </cell>
          <cell r="I838">
            <v>3.1</v>
          </cell>
          <cell r="J838">
            <v>46346</v>
          </cell>
          <cell r="K838">
            <v>100</v>
          </cell>
          <cell r="L838">
            <v>46328</v>
          </cell>
          <cell r="M838">
            <v>-3864</v>
          </cell>
          <cell r="N838">
            <v>96136</v>
          </cell>
        </row>
        <row r="839">
          <cell r="A839">
            <v>22013</v>
          </cell>
          <cell r="B839">
            <v>833</v>
          </cell>
          <cell r="C839" t="str">
            <v>IASWD2402000145</v>
          </cell>
          <cell r="D839">
            <v>45337</v>
          </cell>
          <cell r="E839">
            <v>46167</v>
          </cell>
          <cell r="F839" t="str">
            <v>22013</v>
          </cell>
          <cell r="G839" t="str">
            <v>裕隆三</v>
          </cell>
          <cell r="H839">
            <v>1500000</v>
          </cell>
          <cell r="I839">
            <v>3</v>
          </cell>
          <cell r="J839">
            <v>46167</v>
          </cell>
          <cell r="K839">
            <v>100.75190000000001</v>
          </cell>
          <cell r="L839">
            <v>46147</v>
          </cell>
          <cell r="M839">
            <v>-56096</v>
          </cell>
          <cell r="N839">
            <v>1443904</v>
          </cell>
        </row>
        <row r="840">
          <cell r="A840">
            <v>22013</v>
          </cell>
          <cell r="B840">
            <v>834</v>
          </cell>
          <cell r="C840" t="str">
            <v>IASWD2402000149</v>
          </cell>
          <cell r="D840">
            <v>45337</v>
          </cell>
          <cell r="E840">
            <v>46167</v>
          </cell>
          <cell r="F840" t="str">
            <v>22013</v>
          </cell>
          <cell r="G840" t="str">
            <v>裕隆三</v>
          </cell>
          <cell r="H840">
            <v>100000</v>
          </cell>
          <cell r="I840">
            <v>3</v>
          </cell>
          <cell r="J840">
            <v>46167</v>
          </cell>
          <cell r="K840">
            <v>100.75190000000001</v>
          </cell>
          <cell r="L840">
            <v>46147</v>
          </cell>
          <cell r="M840">
            <v>-3740</v>
          </cell>
          <cell r="N840">
            <v>96260</v>
          </cell>
        </row>
        <row r="841">
          <cell r="A841">
            <v>22013</v>
          </cell>
          <cell r="B841">
            <v>835</v>
          </cell>
          <cell r="C841" t="str">
            <v>IASWD2402000164</v>
          </cell>
          <cell r="D841">
            <v>45338</v>
          </cell>
          <cell r="E841">
            <v>46167</v>
          </cell>
          <cell r="F841" t="str">
            <v>22013</v>
          </cell>
          <cell r="G841" t="str">
            <v>裕隆三</v>
          </cell>
          <cell r="H841">
            <v>100000</v>
          </cell>
          <cell r="I841">
            <v>3</v>
          </cell>
          <cell r="J841">
            <v>46167</v>
          </cell>
          <cell r="K841">
            <v>100.75190000000001</v>
          </cell>
          <cell r="L841">
            <v>46147</v>
          </cell>
          <cell r="M841">
            <v>-3732</v>
          </cell>
          <cell r="N841">
            <v>96268</v>
          </cell>
        </row>
        <row r="842">
          <cell r="A842">
            <v>22013</v>
          </cell>
          <cell r="B842">
            <v>836</v>
          </cell>
          <cell r="C842" t="str">
            <v>IASWD2402000186</v>
          </cell>
          <cell r="D842">
            <v>45338</v>
          </cell>
          <cell r="E842">
            <v>46167</v>
          </cell>
          <cell r="F842" t="str">
            <v>22013</v>
          </cell>
          <cell r="G842" t="str">
            <v>裕隆三</v>
          </cell>
          <cell r="H842">
            <v>100000</v>
          </cell>
          <cell r="I842">
            <v>3</v>
          </cell>
          <cell r="J842">
            <v>46167</v>
          </cell>
          <cell r="K842">
            <v>100.75190000000001</v>
          </cell>
          <cell r="L842">
            <v>46147</v>
          </cell>
          <cell r="M842">
            <v>-3732</v>
          </cell>
          <cell r="N842">
            <v>96268</v>
          </cell>
        </row>
        <row r="843">
          <cell r="A843">
            <v>22013</v>
          </cell>
          <cell r="B843">
            <v>837</v>
          </cell>
          <cell r="C843" t="str">
            <v>IASWD2402000193</v>
          </cell>
          <cell r="D843">
            <v>45338</v>
          </cell>
          <cell r="E843">
            <v>46167</v>
          </cell>
          <cell r="F843" t="str">
            <v>22013</v>
          </cell>
          <cell r="G843" t="str">
            <v>裕隆三</v>
          </cell>
          <cell r="H843">
            <v>100000</v>
          </cell>
          <cell r="I843">
            <v>3</v>
          </cell>
          <cell r="J843">
            <v>46167</v>
          </cell>
          <cell r="K843">
            <v>100.75190000000001</v>
          </cell>
          <cell r="L843">
            <v>46147</v>
          </cell>
          <cell r="M843">
            <v>-3732</v>
          </cell>
          <cell r="N843">
            <v>96268</v>
          </cell>
        </row>
        <row r="844">
          <cell r="A844">
            <v>22013</v>
          </cell>
          <cell r="B844">
            <v>838</v>
          </cell>
          <cell r="C844" t="str">
            <v>IASWD2402000195</v>
          </cell>
          <cell r="D844">
            <v>45338</v>
          </cell>
          <cell r="E844">
            <v>46167</v>
          </cell>
          <cell r="F844" t="str">
            <v>22013</v>
          </cell>
          <cell r="G844" t="str">
            <v>裕隆三</v>
          </cell>
          <cell r="H844">
            <v>100000</v>
          </cell>
          <cell r="I844">
            <v>3</v>
          </cell>
          <cell r="J844">
            <v>46167</v>
          </cell>
          <cell r="K844">
            <v>100.75190000000001</v>
          </cell>
          <cell r="L844">
            <v>46147</v>
          </cell>
          <cell r="M844">
            <v>-3732</v>
          </cell>
          <cell r="N844">
            <v>96268</v>
          </cell>
        </row>
        <row r="845">
          <cell r="A845">
            <v>22013</v>
          </cell>
          <cell r="B845">
            <v>839</v>
          </cell>
          <cell r="C845" t="str">
            <v>IASWD2402000209</v>
          </cell>
          <cell r="D845">
            <v>45338</v>
          </cell>
          <cell r="E845">
            <v>46167</v>
          </cell>
          <cell r="F845" t="str">
            <v>22013</v>
          </cell>
          <cell r="G845" t="str">
            <v>裕隆三</v>
          </cell>
          <cell r="H845">
            <v>700000</v>
          </cell>
          <cell r="I845">
            <v>3</v>
          </cell>
          <cell r="J845">
            <v>46167</v>
          </cell>
          <cell r="K845">
            <v>100.75190000000001</v>
          </cell>
          <cell r="L845">
            <v>46147</v>
          </cell>
          <cell r="M845">
            <v>-26121</v>
          </cell>
          <cell r="N845">
            <v>673879</v>
          </cell>
        </row>
        <row r="846">
          <cell r="A846">
            <v>22313</v>
          </cell>
          <cell r="B846">
            <v>840</v>
          </cell>
          <cell r="C846" t="str">
            <v>IASWD2402000268</v>
          </cell>
          <cell r="D846">
            <v>45341</v>
          </cell>
          <cell r="E846">
            <v>45898</v>
          </cell>
          <cell r="F846" t="str">
            <v>22313</v>
          </cell>
          <cell r="G846" t="str">
            <v>為升三</v>
          </cell>
          <cell r="H846">
            <v>100000</v>
          </cell>
          <cell r="I846">
            <v>3.35</v>
          </cell>
          <cell r="J846">
            <v>45898</v>
          </cell>
          <cell r="K846">
            <v>101.50749999999999</v>
          </cell>
          <cell r="L846">
            <v>45880</v>
          </cell>
          <cell r="M846">
            <v>-4139</v>
          </cell>
          <cell r="N846">
            <v>95861</v>
          </cell>
        </row>
        <row r="847">
          <cell r="A847">
            <v>22013</v>
          </cell>
          <cell r="B847">
            <v>841</v>
          </cell>
          <cell r="C847" t="str">
            <v>IASWD2402000272</v>
          </cell>
          <cell r="D847">
            <v>45341</v>
          </cell>
          <cell r="E847">
            <v>46167</v>
          </cell>
          <cell r="F847" t="str">
            <v>22013</v>
          </cell>
          <cell r="G847" t="str">
            <v>裕隆三</v>
          </cell>
          <cell r="H847">
            <v>100000</v>
          </cell>
          <cell r="I847">
            <v>3</v>
          </cell>
          <cell r="J847">
            <v>46167</v>
          </cell>
          <cell r="K847">
            <v>100.75190000000001</v>
          </cell>
          <cell r="L847">
            <v>46147</v>
          </cell>
          <cell r="M847">
            <v>-3707</v>
          </cell>
          <cell r="N847">
            <v>96293</v>
          </cell>
        </row>
        <row r="848">
          <cell r="A848">
            <v>22013</v>
          </cell>
          <cell r="B848">
            <v>842</v>
          </cell>
          <cell r="C848" t="str">
            <v>IASWD2402000273</v>
          </cell>
          <cell r="D848">
            <v>45341</v>
          </cell>
          <cell r="E848">
            <v>46167</v>
          </cell>
          <cell r="F848" t="str">
            <v>22013</v>
          </cell>
          <cell r="G848" t="str">
            <v>裕隆三</v>
          </cell>
          <cell r="H848">
            <v>100000</v>
          </cell>
          <cell r="I848">
            <v>3</v>
          </cell>
          <cell r="J848">
            <v>46167</v>
          </cell>
          <cell r="K848">
            <v>100.75190000000001</v>
          </cell>
          <cell r="L848">
            <v>46147</v>
          </cell>
          <cell r="M848">
            <v>-3707</v>
          </cell>
          <cell r="N848">
            <v>96293</v>
          </cell>
        </row>
        <row r="849">
          <cell r="A849">
            <v>22013</v>
          </cell>
          <cell r="B849">
            <v>843</v>
          </cell>
          <cell r="C849" t="str">
            <v>IASWD2402000279</v>
          </cell>
          <cell r="D849">
            <v>45341</v>
          </cell>
          <cell r="E849">
            <v>46167</v>
          </cell>
          <cell r="F849" t="str">
            <v>22013</v>
          </cell>
          <cell r="G849" t="str">
            <v>裕隆三</v>
          </cell>
          <cell r="H849">
            <v>200000</v>
          </cell>
          <cell r="I849">
            <v>3</v>
          </cell>
          <cell r="J849">
            <v>46167</v>
          </cell>
          <cell r="K849">
            <v>100.75190000000001</v>
          </cell>
          <cell r="L849">
            <v>46147</v>
          </cell>
          <cell r="M849">
            <v>-7414</v>
          </cell>
          <cell r="N849">
            <v>192586</v>
          </cell>
        </row>
        <row r="850">
          <cell r="A850">
            <v>22013</v>
          </cell>
          <cell r="B850">
            <v>844</v>
          </cell>
          <cell r="C850" t="str">
            <v>IASWD2402000280</v>
          </cell>
          <cell r="D850">
            <v>45341</v>
          </cell>
          <cell r="E850">
            <v>46167</v>
          </cell>
          <cell r="F850" t="str">
            <v>22013</v>
          </cell>
          <cell r="G850" t="str">
            <v>裕隆三</v>
          </cell>
          <cell r="H850">
            <v>200000</v>
          </cell>
          <cell r="I850">
            <v>3</v>
          </cell>
          <cell r="J850">
            <v>46167</v>
          </cell>
          <cell r="K850">
            <v>100.75190000000001</v>
          </cell>
          <cell r="L850">
            <v>46147</v>
          </cell>
          <cell r="M850">
            <v>-7414</v>
          </cell>
          <cell r="N850">
            <v>192586</v>
          </cell>
        </row>
        <row r="851">
          <cell r="A851">
            <v>22013</v>
          </cell>
          <cell r="B851">
            <v>845</v>
          </cell>
          <cell r="C851" t="str">
            <v>IASWD2402000294</v>
          </cell>
          <cell r="D851">
            <v>45341</v>
          </cell>
          <cell r="E851">
            <v>46167</v>
          </cell>
          <cell r="F851" t="str">
            <v>22013</v>
          </cell>
          <cell r="G851" t="str">
            <v>裕隆三</v>
          </cell>
          <cell r="H851">
            <v>100000</v>
          </cell>
          <cell r="I851">
            <v>3</v>
          </cell>
          <cell r="J851">
            <v>46167</v>
          </cell>
          <cell r="K851">
            <v>100.75190000000001</v>
          </cell>
          <cell r="L851">
            <v>46147</v>
          </cell>
          <cell r="M851">
            <v>-3707</v>
          </cell>
          <cell r="N851">
            <v>96293</v>
          </cell>
        </row>
        <row r="852">
          <cell r="A852">
            <v>22013</v>
          </cell>
          <cell r="B852">
            <v>846</v>
          </cell>
          <cell r="C852" t="str">
            <v>IASWD2402000298</v>
          </cell>
          <cell r="D852">
            <v>45341</v>
          </cell>
          <cell r="E852">
            <v>46167</v>
          </cell>
          <cell r="F852" t="str">
            <v>22013</v>
          </cell>
          <cell r="G852" t="str">
            <v>裕隆三</v>
          </cell>
          <cell r="H852">
            <v>100000</v>
          </cell>
          <cell r="I852">
            <v>3</v>
          </cell>
          <cell r="J852">
            <v>46167</v>
          </cell>
          <cell r="K852">
            <v>100.75190000000001</v>
          </cell>
          <cell r="L852">
            <v>46147</v>
          </cell>
          <cell r="M852">
            <v>-3707</v>
          </cell>
          <cell r="N852">
            <v>96293</v>
          </cell>
        </row>
        <row r="853">
          <cell r="A853">
            <v>22013</v>
          </cell>
          <cell r="B853">
            <v>847</v>
          </cell>
          <cell r="C853" t="str">
            <v>IASWD2402000300</v>
          </cell>
          <cell r="D853">
            <v>45341</v>
          </cell>
          <cell r="E853">
            <v>46167</v>
          </cell>
          <cell r="F853" t="str">
            <v>22013</v>
          </cell>
          <cell r="G853" t="str">
            <v>裕隆三</v>
          </cell>
          <cell r="H853">
            <v>100000</v>
          </cell>
          <cell r="I853">
            <v>3</v>
          </cell>
          <cell r="J853">
            <v>46167</v>
          </cell>
          <cell r="K853">
            <v>100.75190000000001</v>
          </cell>
          <cell r="L853">
            <v>46147</v>
          </cell>
          <cell r="M853">
            <v>-3707</v>
          </cell>
          <cell r="N853">
            <v>96293</v>
          </cell>
        </row>
        <row r="854">
          <cell r="A854">
            <v>22013</v>
          </cell>
          <cell r="B854">
            <v>848</v>
          </cell>
          <cell r="C854" t="str">
            <v>IASWD2402000302</v>
          </cell>
          <cell r="D854">
            <v>45341</v>
          </cell>
          <cell r="E854">
            <v>46167</v>
          </cell>
          <cell r="F854" t="str">
            <v>22013</v>
          </cell>
          <cell r="G854" t="str">
            <v>裕隆三</v>
          </cell>
          <cell r="H854">
            <v>200000</v>
          </cell>
          <cell r="I854">
            <v>3</v>
          </cell>
          <cell r="J854">
            <v>46167</v>
          </cell>
          <cell r="K854">
            <v>100.75190000000001</v>
          </cell>
          <cell r="L854">
            <v>46147</v>
          </cell>
          <cell r="M854">
            <v>-7414</v>
          </cell>
          <cell r="N854">
            <v>192586</v>
          </cell>
        </row>
        <row r="855">
          <cell r="A855">
            <v>22013</v>
          </cell>
          <cell r="B855">
            <v>849</v>
          </cell>
          <cell r="C855" t="str">
            <v>IASWD2402000307</v>
          </cell>
          <cell r="D855">
            <v>45341</v>
          </cell>
          <cell r="E855">
            <v>46167</v>
          </cell>
          <cell r="F855" t="str">
            <v>22013</v>
          </cell>
          <cell r="G855" t="str">
            <v>裕隆三</v>
          </cell>
          <cell r="H855">
            <v>400000</v>
          </cell>
          <cell r="I855">
            <v>3</v>
          </cell>
          <cell r="J855">
            <v>46167</v>
          </cell>
          <cell r="K855">
            <v>100.75190000000001</v>
          </cell>
          <cell r="L855">
            <v>46147</v>
          </cell>
          <cell r="M855">
            <v>-14827</v>
          </cell>
          <cell r="N855">
            <v>385173</v>
          </cell>
        </row>
        <row r="856">
          <cell r="A856">
            <v>20662</v>
          </cell>
          <cell r="B856">
            <v>850</v>
          </cell>
          <cell r="C856" t="str">
            <v>IASWD2402000361</v>
          </cell>
          <cell r="D856">
            <v>45342</v>
          </cell>
          <cell r="E856">
            <v>46234</v>
          </cell>
          <cell r="F856" t="str">
            <v>20662</v>
          </cell>
          <cell r="G856" t="str">
            <v>世德二</v>
          </cell>
          <cell r="H856">
            <v>100000</v>
          </cell>
          <cell r="I856">
            <v>4</v>
          </cell>
          <cell r="J856">
            <v>46234</v>
          </cell>
          <cell r="K856">
            <v>100</v>
          </cell>
          <cell r="L856">
            <v>46216</v>
          </cell>
          <cell r="M856">
            <v>-4932</v>
          </cell>
          <cell r="N856">
            <v>95068</v>
          </cell>
        </row>
        <row r="857">
          <cell r="A857">
            <v>22013</v>
          </cell>
          <cell r="B857">
            <v>851</v>
          </cell>
          <cell r="C857" t="str">
            <v>IASWD2402000363</v>
          </cell>
          <cell r="D857">
            <v>45342</v>
          </cell>
          <cell r="E857">
            <v>46167</v>
          </cell>
          <cell r="F857" t="str">
            <v>22013</v>
          </cell>
          <cell r="G857" t="str">
            <v>裕隆三</v>
          </cell>
          <cell r="H857">
            <v>100000</v>
          </cell>
          <cell r="I857">
            <v>3</v>
          </cell>
          <cell r="J857">
            <v>46167</v>
          </cell>
          <cell r="K857">
            <v>100.75190000000001</v>
          </cell>
          <cell r="L857">
            <v>46147</v>
          </cell>
          <cell r="M857">
            <v>-3699</v>
          </cell>
          <cell r="N857">
            <v>96301</v>
          </cell>
        </row>
        <row r="858">
          <cell r="A858">
            <v>22013</v>
          </cell>
          <cell r="B858">
            <v>852</v>
          </cell>
          <cell r="C858" t="str">
            <v>IASWD2402000373</v>
          </cell>
          <cell r="D858">
            <v>45342</v>
          </cell>
          <cell r="E858">
            <v>46167</v>
          </cell>
          <cell r="F858" t="str">
            <v>22013</v>
          </cell>
          <cell r="G858" t="str">
            <v>裕隆三</v>
          </cell>
          <cell r="H858">
            <v>100000</v>
          </cell>
          <cell r="I858">
            <v>3</v>
          </cell>
          <cell r="J858">
            <v>46167</v>
          </cell>
          <cell r="K858">
            <v>100.75190000000001</v>
          </cell>
          <cell r="L858">
            <v>46147</v>
          </cell>
          <cell r="M858">
            <v>-3699</v>
          </cell>
          <cell r="N858">
            <v>96301</v>
          </cell>
        </row>
        <row r="859">
          <cell r="A859">
            <v>22013</v>
          </cell>
          <cell r="B859">
            <v>853</v>
          </cell>
          <cell r="C859" t="str">
            <v>IASWD2402000396</v>
          </cell>
          <cell r="D859">
            <v>45342</v>
          </cell>
          <cell r="E859">
            <v>46167</v>
          </cell>
          <cell r="F859" t="str">
            <v>22013</v>
          </cell>
          <cell r="G859" t="str">
            <v>裕隆三</v>
          </cell>
          <cell r="H859">
            <v>100000</v>
          </cell>
          <cell r="I859">
            <v>3</v>
          </cell>
          <cell r="J859">
            <v>46167</v>
          </cell>
          <cell r="K859">
            <v>100.75190000000001</v>
          </cell>
          <cell r="L859">
            <v>46147</v>
          </cell>
          <cell r="M859">
            <v>-3699</v>
          </cell>
          <cell r="N859">
            <v>96301</v>
          </cell>
        </row>
        <row r="860">
          <cell r="A860">
            <v>22013</v>
          </cell>
          <cell r="B860">
            <v>854</v>
          </cell>
          <cell r="C860" t="str">
            <v>IASWD2402000397</v>
          </cell>
          <cell r="D860">
            <v>45342</v>
          </cell>
          <cell r="E860">
            <v>46167</v>
          </cell>
          <cell r="F860" t="str">
            <v>22013</v>
          </cell>
          <cell r="G860" t="str">
            <v>裕隆三</v>
          </cell>
          <cell r="H860">
            <v>100000</v>
          </cell>
          <cell r="I860">
            <v>3</v>
          </cell>
          <cell r="J860">
            <v>46167</v>
          </cell>
          <cell r="K860">
            <v>100.75190000000001</v>
          </cell>
          <cell r="L860">
            <v>46147</v>
          </cell>
          <cell r="M860">
            <v>-3699</v>
          </cell>
          <cell r="N860">
            <v>96301</v>
          </cell>
        </row>
        <row r="861">
          <cell r="A861">
            <v>22013</v>
          </cell>
          <cell r="B861">
            <v>855</v>
          </cell>
          <cell r="C861" t="str">
            <v>IASWD2402000402</v>
          </cell>
          <cell r="D861">
            <v>45343</v>
          </cell>
          <cell r="E861">
            <v>46167</v>
          </cell>
          <cell r="F861" t="str">
            <v>22013</v>
          </cell>
          <cell r="G861" t="str">
            <v>裕隆三</v>
          </cell>
          <cell r="H861">
            <v>100000</v>
          </cell>
          <cell r="I861">
            <v>3</v>
          </cell>
          <cell r="J861">
            <v>46167</v>
          </cell>
          <cell r="K861">
            <v>100.75190000000001</v>
          </cell>
          <cell r="L861">
            <v>46147</v>
          </cell>
          <cell r="M861">
            <v>-3690</v>
          </cell>
          <cell r="N861">
            <v>96310</v>
          </cell>
        </row>
        <row r="862">
          <cell r="A862">
            <v>20662</v>
          </cell>
          <cell r="B862">
            <v>856</v>
          </cell>
          <cell r="C862" t="str">
            <v>IASWD2402000416</v>
          </cell>
          <cell r="D862">
            <v>45343</v>
          </cell>
          <cell r="E862">
            <v>46234</v>
          </cell>
          <cell r="F862" t="str">
            <v>20662</v>
          </cell>
          <cell r="G862" t="str">
            <v>世德二</v>
          </cell>
          <cell r="H862">
            <v>500000</v>
          </cell>
          <cell r="I862">
            <v>4</v>
          </cell>
          <cell r="J862">
            <v>46234</v>
          </cell>
          <cell r="K862">
            <v>100</v>
          </cell>
          <cell r="L862">
            <v>46216</v>
          </cell>
          <cell r="M862">
            <v>-24603</v>
          </cell>
          <cell r="N862">
            <v>475397</v>
          </cell>
        </row>
        <row r="863">
          <cell r="A863">
            <v>22013</v>
          </cell>
          <cell r="B863">
            <v>857</v>
          </cell>
          <cell r="C863" t="str">
            <v>IASWD2402000419</v>
          </cell>
          <cell r="D863">
            <v>45343</v>
          </cell>
          <cell r="E863">
            <v>46167</v>
          </cell>
          <cell r="F863" t="str">
            <v>22013</v>
          </cell>
          <cell r="G863" t="str">
            <v>裕隆三</v>
          </cell>
          <cell r="H863">
            <v>100000</v>
          </cell>
          <cell r="I863">
            <v>3</v>
          </cell>
          <cell r="J863">
            <v>46167</v>
          </cell>
          <cell r="K863">
            <v>100.75190000000001</v>
          </cell>
          <cell r="L863">
            <v>46147</v>
          </cell>
          <cell r="M863">
            <v>-3690</v>
          </cell>
          <cell r="N863">
            <v>96310</v>
          </cell>
        </row>
        <row r="864">
          <cell r="A864">
            <v>22013</v>
          </cell>
          <cell r="B864">
            <v>858</v>
          </cell>
          <cell r="C864" t="str">
            <v>IASWD2402000420</v>
          </cell>
          <cell r="D864">
            <v>45343</v>
          </cell>
          <cell r="E864">
            <v>46167</v>
          </cell>
          <cell r="F864" t="str">
            <v>22013</v>
          </cell>
          <cell r="G864" t="str">
            <v>裕隆三</v>
          </cell>
          <cell r="H864">
            <v>400000</v>
          </cell>
          <cell r="I864">
            <v>3</v>
          </cell>
          <cell r="J864">
            <v>46167</v>
          </cell>
          <cell r="K864">
            <v>100.75190000000001</v>
          </cell>
          <cell r="L864">
            <v>46147</v>
          </cell>
          <cell r="M864">
            <v>-14762</v>
          </cell>
          <cell r="N864">
            <v>385238</v>
          </cell>
        </row>
        <row r="865">
          <cell r="A865">
            <v>22013</v>
          </cell>
          <cell r="B865">
            <v>859</v>
          </cell>
          <cell r="C865" t="str">
            <v>IASWD2402000422</v>
          </cell>
          <cell r="D865">
            <v>45343</v>
          </cell>
          <cell r="E865">
            <v>46167</v>
          </cell>
          <cell r="F865" t="str">
            <v>22013</v>
          </cell>
          <cell r="G865" t="str">
            <v>裕隆三</v>
          </cell>
          <cell r="H865">
            <v>200000</v>
          </cell>
          <cell r="I865">
            <v>3</v>
          </cell>
          <cell r="J865">
            <v>46167</v>
          </cell>
          <cell r="K865">
            <v>100.75190000000001</v>
          </cell>
          <cell r="L865">
            <v>46147</v>
          </cell>
          <cell r="M865">
            <v>-7381</v>
          </cell>
          <cell r="N865">
            <v>192619</v>
          </cell>
        </row>
        <row r="866">
          <cell r="A866">
            <v>68061</v>
          </cell>
          <cell r="B866">
            <v>860</v>
          </cell>
          <cell r="C866" t="str">
            <v>IASWD2402000432</v>
          </cell>
          <cell r="D866">
            <v>45344</v>
          </cell>
          <cell r="E866">
            <v>46348</v>
          </cell>
          <cell r="F866" t="str">
            <v>68061</v>
          </cell>
          <cell r="G866" t="str">
            <v>森崴能源一</v>
          </cell>
          <cell r="H866">
            <v>100000</v>
          </cell>
          <cell r="I866">
            <v>2.1</v>
          </cell>
          <cell r="J866">
            <v>46348</v>
          </cell>
          <cell r="K866">
            <v>100</v>
          </cell>
          <cell r="L866">
            <v>46329</v>
          </cell>
          <cell r="M866">
            <v>-2578</v>
          </cell>
          <cell r="N866">
            <v>97422</v>
          </cell>
        </row>
        <row r="867">
          <cell r="A867">
            <v>68061</v>
          </cell>
          <cell r="B867">
            <v>861</v>
          </cell>
          <cell r="C867" t="str">
            <v>IASWD2402000441</v>
          </cell>
          <cell r="D867">
            <v>45344</v>
          </cell>
          <cell r="E867">
            <v>46348</v>
          </cell>
          <cell r="F867" t="str">
            <v>68061</v>
          </cell>
          <cell r="G867" t="str">
            <v>森崴能源一</v>
          </cell>
          <cell r="H867">
            <v>100000</v>
          </cell>
          <cell r="I867">
            <v>2.1</v>
          </cell>
          <cell r="J867">
            <v>46348</v>
          </cell>
          <cell r="K867">
            <v>100</v>
          </cell>
          <cell r="L867">
            <v>46329</v>
          </cell>
          <cell r="M867">
            <v>-2578</v>
          </cell>
          <cell r="N867">
            <v>97422</v>
          </cell>
        </row>
        <row r="868">
          <cell r="A868">
            <v>68061</v>
          </cell>
          <cell r="B868">
            <v>862</v>
          </cell>
          <cell r="C868" t="str">
            <v>IASWD2402000445</v>
          </cell>
          <cell r="D868">
            <v>45344</v>
          </cell>
          <cell r="E868">
            <v>46348</v>
          </cell>
          <cell r="F868" t="str">
            <v>68061</v>
          </cell>
          <cell r="G868" t="str">
            <v>森崴能源一</v>
          </cell>
          <cell r="H868">
            <v>100000</v>
          </cell>
          <cell r="I868">
            <v>2.1</v>
          </cell>
          <cell r="J868">
            <v>46348</v>
          </cell>
          <cell r="K868">
            <v>100</v>
          </cell>
          <cell r="L868">
            <v>46329</v>
          </cell>
          <cell r="M868">
            <v>-2578</v>
          </cell>
          <cell r="N868">
            <v>97422</v>
          </cell>
        </row>
        <row r="869">
          <cell r="A869">
            <v>68061</v>
          </cell>
          <cell r="B869">
            <v>863</v>
          </cell>
          <cell r="C869" t="str">
            <v>IASWD2402000448</v>
          </cell>
          <cell r="D869">
            <v>45344</v>
          </cell>
          <cell r="E869">
            <v>46348</v>
          </cell>
          <cell r="F869" t="str">
            <v>68061</v>
          </cell>
          <cell r="G869" t="str">
            <v>森崴能源一</v>
          </cell>
          <cell r="H869">
            <v>100000</v>
          </cell>
          <cell r="I869">
            <v>2.1</v>
          </cell>
          <cell r="J869">
            <v>46348</v>
          </cell>
          <cell r="K869">
            <v>100</v>
          </cell>
          <cell r="L869">
            <v>46329</v>
          </cell>
          <cell r="M869">
            <v>-2578</v>
          </cell>
          <cell r="N869">
            <v>97422</v>
          </cell>
        </row>
        <row r="870">
          <cell r="A870">
            <v>22013</v>
          </cell>
          <cell r="B870">
            <v>864</v>
          </cell>
          <cell r="C870" t="str">
            <v>IASWD2402000450</v>
          </cell>
          <cell r="D870">
            <v>45344</v>
          </cell>
          <cell r="E870">
            <v>46167</v>
          </cell>
          <cell r="F870" t="str">
            <v>22013</v>
          </cell>
          <cell r="G870" t="str">
            <v>裕隆三</v>
          </cell>
          <cell r="H870">
            <v>200000</v>
          </cell>
          <cell r="I870">
            <v>3</v>
          </cell>
          <cell r="J870">
            <v>46167</v>
          </cell>
          <cell r="K870">
            <v>100.75190000000001</v>
          </cell>
          <cell r="L870">
            <v>46147</v>
          </cell>
          <cell r="M870">
            <v>-7364</v>
          </cell>
          <cell r="N870">
            <v>192636</v>
          </cell>
        </row>
        <row r="871">
          <cell r="A871">
            <v>27323</v>
          </cell>
          <cell r="B871">
            <v>865</v>
          </cell>
          <cell r="C871" t="str">
            <v>IASWD2402000451</v>
          </cell>
          <cell r="D871">
            <v>45344</v>
          </cell>
          <cell r="E871">
            <v>46048</v>
          </cell>
          <cell r="F871" t="str">
            <v>27323</v>
          </cell>
          <cell r="G871" t="str">
            <v>六角三</v>
          </cell>
          <cell r="H871">
            <v>100000</v>
          </cell>
          <cell r="I871">
            <v>3</v>
          </cell>
          <cell r="J871">
            <v>46048</v>
          </cell>
          <cell r="K871">
            <v>101</v>
          </cell>
          <cell r="L871">
            <v>46028</v>
          </cell>
          <cell r="M871">
            <v>-3682</v>
          </cell>
          <cell r="N871">
            <v>96318</v>
          </cell>
        </row>
        <row r="872">
          <cell r="A872">
            <v>27323</v>
          </cell>
          <cell r="B872">
            <v>866</v>
          </cell>
          <cell r="C872" t="str">
            <v>IASWD2402000454</v>
          </cell>
          <cell r="D872">
            <v>45344</v>
          </cell>
          <cell r="E872">
            <v>46048</v>
          </cell>
          <cell r="F872" t="str">
            <v>27323</v>
          </cell>
          <cell r="G872" t="str">
            <v>六角三</v>
          </cell>
          <cell r="H872">
            <v>500000</v>
          </cell>
          <cell r="I872">
            <v>3</v>
          </cell>
          <cell r="J872">
            <v>46048</v>
          </cell>
          <cell r="K872">
            <v>101</v>
          </cell>
          <cell r="L872">
            <v>46028</v>
          </cell>
          <cell r="M872">
            <v>-18411</v>
          </cell>
          <cell r="N872">
            <v>481589</v>
          </cell>
        </row>
        <row r="873">
          <cell r="A873">
            <v>20662</v>
          </cell>
          <cell r="B873">
            <v>867</v>
          </cell>
          <cell r="C873" t="str">
            <v>IASWD2402000457</v>
          </cell>
          <cell r="D873">
            <v>45344</v>
          </cell>
          <cell r="E873">
            <v>46234</v>
          </cell>
          <cell r="F873" t="str">
            <v>20662</v>
          </cell>
          <cell r="G873" t="str">
            <v>世德二</v>
          </cell>
          <cell r="H873">
            <v>100000</v>
          </cell>
          <cell r="I873">
            <v>4</v>
          </cell>
          <cell r="J873">
            <v>46234</v>
          </cell>
          <cell r="K873">
            <v>100</v>
          </cell>
          <cell r="L873">
            <v>46216</v>
          </cell>
          <cell r="M873">
            <v>-4910</v>
          </cell>
          <cell r="N873">
            <v>95090</v>
          </cell>
        </row>
        <row r="874">
          <cell r="A874">
            <v>68061</v>
          </cell>
          <cell r="B874">
            <v>868</v>
          </cell>
          <cell r="C874" t="str">
            <v>IASWD2402000458</v>
          </cell>
          <cell r="D874">
            <v>45344</v>
          </cell>
          <cell r="E874">
            <v>46348</v>
          </cell>
          <cell r="F874" t="str">
            <v>68061</v>
          </cell>
          <cell r="G874" t="str">
            <v>森崴能源一</v>
          </cell>
          <cell r="H874">
            <v>500000</v>
          </cell>
          <cell r="I874">
            <v>2.1</v>
          </cell>
          <cell r="J874">
            <v>46348</v>
          </cell>
          <cell r="K874">
            <v>100</v>
          </cell>
          <cell r="L874">
            <v>46329</v>
          </cell>
          <cell r="M874">
            <v>-12888</v>
          </cell>
          <cell r="N874">
            <v>487112</v>
          </cell>
        </row>
        <row r="875">
          <cell r="A875">
            <v>68061</v>
          </cell>
          <cell r="B875">
            <v>869</v>
          </cell>
          <cell r="C875" t="str">
            <v>IASWD2402000459</v>
          </cell>
          <cell r="D875">
            <v>45344</v>
          </cell>
          <cell r="E875">
            <v>46348</v>
          </cell>
          <cell r="F875" t="str">
            <v>68061</v>
          </cell>
          <cell r="G875" t="str">
            <v>森崴能源一</v>
          </cell>
          <cell r="H875">
            <v>100000</v>
          </cell>
          <cell r="I875">
            <v>2.1</v>
          </cell>
          <cell r="J875">
            <v>46348</v>
          </cell>
          <cell r="K875">
            <v>100</v>
          </cell>
          <cell r="L875">
            <v>46329</v>
          </cell>
          <cell r="M875">
            <v>-2578</v>
          </cell>
          <cell r="N875">
            <v>97422</v>
          </cell>
        </row>
        <row r="876">
          <cell r="A876">
            <v>20662</v>
          </cell>
          <cell r="B876">
            <v>870</v>
          </cell>
          <cell r="C876" t="str">
            <v>IASWD2402000462</v>
          </cell>
          <cell r="D876">
            <v>45344</v>
          </cell>
          <cell r="E876">
            <v>46234</v>
          </cell>
          <cell r="F876" t="str">
            <v>20662</v>
          </cell>
          <cell r="G876" t="str">
            <v>世德二</v>
          </cell>
          <cell r="H876">
            <v>500000</v>
          </cell>
          <cell r="I876">
            <v>4</v>
          </cell>
          <cell r="J876">
            <v>46234</v>
          </cell>
          <cell r="K876">
            <v>100</v>
          </cell>
          <cell r="L876">
            <v>46216</v>
          </cell>
          <cell r="M876">
            <v>-24548</v>
          </cell>
          <cell r="N876">
            <v>475452</v>
          </cell>
        </row>
        <row r="877">
          <cell r="A877">
            <v>22013</v>
          </cell>
          <cell r="B877">
            <v>871</v>
          </cell>
          <cell r="C877" t="str">
            <v>IASWD2402000463</v>
          </cell>
          <cell r="D877">
            <v>45344</v>
          </cell>
          <cell r="E877">
            <v>46167</v>
          </cell>
          <cell r="F877" t="str">
            <v>22013</v>
          </cell>
          <cell r="G877" t="str">
            <v>裕隆三</v>
          </cell>
          <cell r="H877">
            <v>100000</v>
          </cell>
          <cell r="I877">
            <v>3</v>
          </cell>
          <cell r="J877">
            <v>46167</v>
          </cell>
          <cell r="K877">
            <v>100.75190000000001</v>
          </cell>
          <cell r="L877">
            <v>46147</v>
          </cell>
          <cell r="M877">
            <v>-3682</v>
          </cell>
          <cell r="N877">
            <v>96318</v>
          </cell>
        </row>
        <row r="878">
          <cell r="A878">
            <v>20662</v>
          </cell>
          <cell r="B878">
            <v>872</v>
          </cell>
          <cell r="C878" t="str">
            <v>IASWD2402000465</v>
          </cell>
          <cell r="D878">
            <v>45344</v>
          </cell>
          <cell r="E878">
            <v>46234</v>
          </cell>
          <cell r="F878" t="str">
            <v>20662</v>
          </cell>
          <cell r="G878" t="str">
            <v>世德二</v>
          </cell>
          <cell r="H878">
            <v>500000</v>
          </cell>
          <cell r="I878">
            <v>4</v>
          </cell>
          <cell r="J878">
            <v>46234</v>
          </cell>
          <cell r="K878">
            <v>100</v>
          </cell>
          <cell r="L878">
            <v>46216</v>
          </cell>
          <cell r="M878">
            <v>-24548</v>
          </cell>
          <cell r="N878">
            <v>475452</v>
          </cell>
        </row>
        <row r="879">
          <cell r="A879">
            <v>68061</v>
          </cell>
          <cell r="B879">
            <v>873</v>
          </cell>
          <cell r="C879" t="str">
            <v>IASWD2402000468</v>
          </cell>
          <cell r="D879">
            <v>45344</v>
          </cell>
          <cell r="E879">
            <v>46348</v>
          </cell>
          <cell r="F879" t="str">
            <v>68061</v>
          </cell>
          <cell r="G879" t="str">
            <v>森崴能源一</v>
          </cell>
          <cell r="H879">
            <v>100000</v>
          </cell>
          <cell r="I879">
            <v>2.1</v>
          </cell>
          <cell r="J879">
            <v>46348</v>
          </cell>
          <cell r="K879">
            <v>100</v>
          </cell>
          <cell r="L879">
            <v>46329</v>
          </cell>
          <cell r="M879">
            <v>-2578</v>
          </cell>
          <cell r="N879">
            <v>97422</v>
          </cell>
        </row>
        <row r="880">
          <cell r="A880">
            <v>68061</v>
          </cell>
          <cell r="B880">
            <v>874</v>
          </cell>
          <cell r="C880" t="str">
            <v>IASWD2402000472</v>
          </cell>
          <cell r="D880">
            <v>45344</v>
          </cell>
          <cell r="E880">
            <v>46348</v>
          </cell>
          <cell r="F880" t="str">
            <v>68061</v>
          </cell>
          <cell r="G880" t="str">
            <v>森崴能源一</v>
          </cell>
          <cell r="H880">
            <v>100000</v>
          </cell>
          <cell r="I880">
            <v>2.1</v>
          </cell>
          <cell r="J880">
            <v>46348</v>
          </cell>
          <cell r="K880">
            <v>100</v>
          </cell>
          <cell r="L880">
            <v>46329</v>
          </cell>
          <cell r="M880">
            <v>-2578</v>
          </cell>
          <cell r="N880">
            <v>97422</v>
          </cell>
        </row>
        <row r="881">
          <cell r="A881">
            <v>68061</v>
          </cell>
          <cell r="B881">
            <v>875</v>
          </cell>
          <cell r="C881" t="str">
            <v>IASWD2402000474</v>
          </cell>
          <cell r="D881">
            <v>45344</v>
          </cell>
          <cell r="E881">
            <v>46348</v>
          </cell>
          <cell r="F881" t="str">
            <v>68061</v>
          </cell>
          <cell r="G881" t="str">
            <v>森崴能源一</v>
          </cell>
          <cell r="H881">
            <v>100000</v>
          </cell>
          <cell r="I881">
            <v>2.1</v>
          </cell>
          <cell r="J881">
            <v>46348</v>
          </cell>
          <cell r="K881">
            <v>100</v>
          </cell>
          <cell r="L881">
            <v>46329</v>
          </cell>
          <cell r="M881">
            <v>-2578</v>
          </cell>
          <cell r="N881">
            <v>97422</v>
          </cell>
        </row>
        <row r="882">
          <cell r="A882">
            <v>22013</v>
          </cell>
          <cell r="B882">
            <v>876</v>
          </cell>
          <cell r="C882" t="str">
            <v>IASWD2402000481</v>
          </cell>
          <cell r="D882">
            <v>45345</v>
          </cell>
          <cell r="E882">
            <v>46167</v>
          </cell>
          <cell r="F882" t="str">
            <v>22013</v>
          </cell>
          <cell r="G882" t="str">
            <v>裕隆三</v>
          </cell>
          <cell r="H882">
            <v>200000</v>
          </cell>
          <cell r="I882">
            <v>3</v>
          </cell>
          <cell r="J882">
            <v>46167</v>
          </cell>
          <cell r="K882">
            <v>100.75190000000001</v>
          </cell>
          <cell r="L882">
            <v>46147</v>
          </cell>
          <cell r="M882">
            <v>-7348</v>
          </cell>
          <cell r="N882">
            <v>192652</v>
          </cell>
        </row>
        <row r="883">
          <cell r="A883">
            <v>27323</v>
          </cell>
          <cell r="B883">
            <v>877</v>
          </cell>
          <cell r="C883" t="str">
            <v>IASWD2402000483</v>
          </cell>
          <cell r="D883">
            <v>45345</v>
          </cell>
          <cell r="E883">
            <v>46048</v>
          </cell>
          <cell r="F883" t="str">
            <v>27323</v>
          </cell>
          <cell r="G883" t="str">
            <v>六角三</v>
          </cell>
          <cell r="H883">
            <v>100000</v>
          </cell>
          <cell r="I883">
            <v>3</v>
          </cell>
          <cell r="J883">
            <v>46048</v>
          </cell>
          <cell r="K883">
            <v>101</v>
          </cell>
          <cell r="L883">
            <v>46028</v>
          </cell>
          <cell r="M883">
            <v>-3674</v>
          </cell>
          <cell r="N883">
            <v>96326</v>
          </cell>
        </row>
        <row r="884">
          <cell r="A884">
            <v>27323</v>
          </cell>
          <cell r="B884">
            <v>878</v>
          </cell>
          <cell r="C884" t="str">
            <v>IASWD2402000492</v>
          </cell>
          <cell r="D884">
            <v>45345</v>
          </cell>
          <cell r="E884">
            <v>46048</v>
          </cell>
          <cell r="F884" t="str">
            <v>27323</v>
          </cell>
          <cell r="G884" t="str">
            <v>六角三</v>
          </cell>
          <cell r="H884">
            <v>200000</v>
          </cell>
          <cell r="I884">
            <v>3</v>
          </cell>
          <cell r="J884">
            <v>46048</v>
          </cell>
          <cell r="K884">
            <v>101</v>
          </cell>
          <cell r="L884">
            <v>46028</v>
          </cell>
          <cell r="M884">
            <v>-7348</v>
          </cell>
          <cell r="N884">
            <v>192652</v>
          </cell>
        </row>
        <row r="885">
          <cell r="A885">
            <v>27323</v>
          </cell>
          <cell r="B885">
            <v>879</v>
          </cell>
          <cell r="C885" t="str">
            <v>IASWD2402000493</v>
          </cell>
          <cell r="D885">
            <v>45345</v>
          </cell>
          <cell r="E885">
            <v>46048</v>
          </cell>
          <cell r="F885" t="str">
            <v>27323</v>
          </cell>
          <cell r="G885" t="str">
            <v>六角三</v>
          </cell>
          <cell r="H885">
            <v>100000</v>
          </cell>
          <cell r="I885">
            <v>3</v>
          </cell>
          <cell r="J885">
            <v>46048</v>
          </cell>
          <cell r="K885">
            <v>101</v>
          </cell>
          <cell r="L885">
            <v>46028</v>
          </cell>
          <cell r="M885">
            <v>-3674</v>
          </cell>
          <cell r="N885">
            <v>96326</v>
          </cell>
        </row>
        <row r="886">
          <cell r="A886">
            <v>27323</v>
          </cell>
          <cell r="B886">
            <v>880</v>
          </cell>
          <cell r="C886" t="str">
            <v>IASWD2402000495</v>
          </cell>
          <cell r="D886">
            <v>45345</v>
          </cell>
          <cell r="E886">
            <v>46048</v>
          </cell>
          <cell r="F886" t="str">
            <v>27323</v>
          </cell>
          <cell r="G886" t="str">
            <v>六角三</v>
          </cell>
          <cell r="H886">
            <v>100000</v>
          </cell>
          <cell r="I886">
            <v>3</v>
          </cell>
          <cell r="J886">
            <v>46048</v>
          </cell>
          <cell r="K886">
            <v>101</v>
          </cell>
          <cell r="L886">
            <v>46028</v>
          </cell>
          <cell r="M886">
            <v>-3674</v>
          </cell>
          <cell r="N886">
            <v>96326</v>
          </cell>
        </row>
        <row r="887">
          <cell r="A887">
            <v>27323</v>
          </cell>
          <cell r="B887">
            <v>881</v>
          </cell>
          <cell r="C887" t="str">
            <v>IASWD2402000527</v>
          </cell>
          <cell r="D887">
            <v>45345</v>
          </cell>
          <cell r="E887">
            <v>46048</v>
          </cell>
          <cell r="F887" t="str">
            <v>27323</v>
          </cell>
          <cell r="G887" t="str">
            <v>六角三</v>
          </cell>
          <cell r="H887">
            <v>500000</v>
          </cell>
          <cell r="I887">
            <v>3</v>
          </cell>
          <cell r="J887">
            <v>46048</v>
          </cell>
          <cell r="K887">
            <v>101</v>
          </cell>
          <cell r="L887">
            <v>46028</v>
          </cell>
          <cell r="M887">
            <v>-18370</v>
          </cell>
          <cell r="N887">
            <v>481630</v>
          </cell>
        </row>
        <row r="888">
          <cell r="A888">
            <v>22013</v>
          </cell>
          <cell r="B888">
            <v>882</v>
          </cell>
          <cell r="C888" t="str">
            <v>IASWD2402000532</v>
          </cell>
          <cell r="D888">
            <v>45348</v>
          </cell>
          <cell r="E888">
            <v>46167</v>
          </cell>
          <cell r="F888" t="str">
            <v>22013</v>
          </cell>
          <cell r="G888" t="str">
            <v>裕隆三</v>
          </cell>
          <cell r="H888">
            <v>200000</v>
          </cell>
          <cell r="I888">
            <v>3</v>
          </cell>
          <cell r="J888">
            <v>46167</v>
          </cell>
          <cell r="K888">
            <v>100.75190000000001</v>
          </cell>
          <cell r="L888">
            <v>46147</v>
          </cell>
          <cell r="M888">
            <v>-7299</v>
          </cell>
          <cell r="N888">
            <v>192701</v>
          </cell>
        </row>
        <row r="889">
          <cell r="A889">
            <v>22013</v>
          </cell>
          <cell r="B889">
            <v>883</v>
          </cell>
          <cell r="C889" t="str">
            <v>IASWD2402000538</v>
          </cell>
          <cell r="D889">
            <v>45348</v>
          </cell>
          <cell r="E889">
            <v>46167</v>
          </cell>
          <cell r="F889" t="str">
            <v>22013</v>
          </cell>
          <cell r="G889" t="str">
            <v>裕隆三</v>
          </cell>
          <cell r="H889">
            <v>100000</v>
          </cell>
          <cell r="I889">
            <v>3</v>
          </cell>
          <cell r="J889">
            <v>46167</v>
          </cell>
          <cell r="K889">
            <v>100.75190000000001</v>
          </cell>
          <cell r="L889">
            <v>46147</v>
          </cell>
          <cell r="M889">
            <v>-3649</v>
          </cell>
          <cell r="N889">
            <v>96351</v>
          </cell>
        </row>
        <row r="890">
          <cell r="A890">
            <v>22013</v>
          </cell>
          <cell r="B890">
            <v>884</v>
          </cell>
          <cell r="C890" t="str">
            <v>IASWD2402000540</v>
          </cell>
          <cell r="D890">
            <v>45348</v>
          </cell>
          <cell r="E890">
            <v>46167</v>
          </cell>
          <cell r="F890" t="str">
            <v>22013</v>
          </cell>
          <cell r="G890" t="str">
            <v>裕隆三</v>
          </cell>
          <cell r="H890">
            <v>200000</v>
          </cell>
          <cell r="I890">
            <v>3</v>
          </cell>
          <cell r="J890">
            <v>46167</v>
          </cell>
          <cell r="K890">
            <v>100.75190000000001</v>
          </cell>
          <cell r="L890">
            <v>46147</v>
          </cell>
          <cell r="M890">
            <v>-7299</v>
          </cell>
          <cell r="N890">
            <v>192701</v>
          </cell>
        </row>
        <row r="891">
          <cell r="A891">
            <v>20662</v>
          </cell>
          <cell r="B891">
            <v>885</v>
          </cell>
          <cell r="C891" t="str">
            <v>IASWD2402000586</v>
          </cell>
          <cell r="D891">
            <v>45349</v>
          </cell>
          <cell r="E891">
            <v>46234</v>
          </cell>
          <cell r="F891" t="str">
            <v>20662</v>
          </cell>
          <cell r="G891" t="str">
            <v>世德二</v>
          </cell>
          <cell r="H891">
            <v>500000</v>
          </cell>
          <cell r="I891">
            <v>4</v>
          </cell>
          <cell r="J891">
            <v>46234</v>
          </cell>
          <cell r="K891">
            <v>100</v>
          </cell>
          <cell r="L891">
            <v>46216</v>
          </cell>
          <cell r="M891">
            <v>-24274</v>
          </cell>
          <cell r="N891">
            <v>475726</v>
          </cell>
        </row>
        <row r="892">
          <cell r="A892">
            <v>56086</v>
          </cell>
          <cell r="B892">
            <v>886</v>
          </cell>
          <cell r="C892" t="str">
            <v>IASWD2402000587</v>
          </cell>
          <cell r="D892">
            <v>45349</v>
          </cell>
          <cell r="E892">
            <v>46194</v>
          </cell>
          <cell r="F892" t="str">
            <v>56086</v>
          </cell>
          <cell r="G892" t="str">
            <v>四維航六</v>
          </cell>
          <cell r="H892">
            <v>100000</v>
          </cell>
          <cell r="I892">
            <v>2.1</v>
          </cell>
          <cell r="J892">
            <v>46194</v>
          </cell>
          <cell r="K892">
            <v>100</v>
          </cell>
          <cell r="L892">
            <v>46175</v>
          </cell>
          <cell r="M892">
            <v>-2549</v>
          </cell>
          <cell r="N892">
            <v>97451</v>
          </cell>
        </row>
        <row r="893">
          <cell r="A893">
            <v>22013</v>
          </cell>
          <cell r="B893">
            <v>887</v>
          </cell>
          <cell r="C893" t="str">
            <v>IASWD2402000604</v>
          </cell>
          <cell r="D893">
            <v>45349</v>
          </cell>
          <cell r="E893">
            <v>46167</v>
          </cell>
          <cell r="F893" t="str">
            <v>22013</v>
          </cell>
          <cell r="G893" t="str">
            <v>裕隆三</v>
          </cell>
          <cell r="H893">
            <v>200000</v>
          </cell>
          <cell r="I893">
            <v>3</v>
          </cell>
          <cell r="J893">
            <v>46167</v>
          </cell>
          <cell r="K893">
            <v>100.75190000000001</v>
          </cell>
          <cell r="L893">
            <v>46147</v>
          </cell>
          <cell r="M893">
            <v>-7282</v>
          </cell>
          <cell r="N893">
            <v>192718</v>
          </cell>
        </row>
        <row r="894">
          <cell r="A894">
            <v>22013</v>
          </cell>
          <cell r="B894">
            <v>888</v>
          </cell>
          <cell r="C894" t="str">
            <v>IASWD2402000613</v>
          </cell>
          <cell r="D894">
            <v>45349</v>
          </cell>
          <cell r="E894">
            <v>46167</v>
          </cell>
          <cell r="F894" t="str">
            <v>22013</v>
          </cell>
          <cell r="G894" t="str">
            <v>裕隆三</v>
          </cell>
          <cell r="H894">
            <v>200000</v>
          </cell>
          <cell r="I894">
            <v>3</v>
          </cell>
          <cell r="J894">
            <v>46167</v>
          </cell>
          <cell r="K894">
            <v>100.75190000000001</v>
          </cell>
          <cell r="L894">
            <v>46147</v>
          </cell>
          <cell r="M894">
            <v>-7282</v>
          </cell>
          <cell r="N894">
            <v>192718</v>
          </cell>
        </row>
        <row r="895">
          <cell r="A895">
            <v>22013</v>
          </cell>
          <cell r="B895">
            <v>889</v>
          </cell>
          <cell r="C895" t="str">
            <v>IASWD2402000623</v>
          </cell>
          <cell r="D895">
            <v>45349</v>
          </cell>
          <cell r="E895">
            <v>46167</v>
          </cell>
          <cell r="F895" t="str">
            <v>22013</v>
          </cell>
          <cell r="G895" t="str">
            <v>裕隆三</v>
          </cell>
          <cell r="H895">
            <v>100000</v>
          </cell>
          <cell r="I895">
            <v>3</v>
          </cell>
          <cell r="J895">
            <v>46167</v>
          </cell>
          <cell r="K895">
            <v>100.75190000000001</v>
          </cell>
          <cell r="L895">
            <v>46147</v>
          </cell>
          <cell r="M895">
            <v>-3641</v>
          </cell>
          <cell r="N895">
            <v>96359</v>
          </cell>
        </row>
        <row r="896">
          <cell r="A896">
            <v>22013</v>
          </cell>
          <cell r="B896">
            <v>890</v>
          </cell>
          <cell r="C896" t="str">
            <v>IASWD2402000626</v>
          </cell>
          <cell r="D896">
            <v>45349</v>
          </cell>
          <cell r="E896">
            <v>46167</v>
          </cell>
          <cell r="F896" t="str">
            <v>22013</v>
          </cell>
          <cell r="G896" t="str">
            <v>裕隆三</v>
          </cell>
          <cell r="H896">
            <v>1000000</v>
          </cell>
          <cell r="I896">
            <v>3</v>
          </cell>
          <cell r="J896">
            <v>46167</v>
          </cell>
          <cell r="K896">
            <v>100.75190000000001</v>
          </cell>
          <cell r="L896">
            <v>46147</v>
          </cell>
          <cell r="M896">
            <v>-36411</v>
          </cell>
          <cell r="N896">
            <v>963589</v>
          </cell>
        </row>
        <row r="897">
          <cell r="A897">
            <v>22013</v>
          </cell>
          <cell r="B897">
            <v>891</v>
          </cell>
          <cell r="C897" t="str">
            <v>IASWD2402000630</v>
          </cell>
          <cell r="D897">
            <v>45349</v>
          </cell>
          <cell r="E897">
            <v>46167</v>
          </cell>
          <cell r="F897" t="str">
            <v>22013</v>
          </cell>
          <cell r="G897" t="str">
            <v>裕隆三</v>
          </cell>
          <cell r="H897">
            <v>600000</v>
          </cell>
          <cell r="I897">
            <v>3</v>
          </cell>
          <cell r="J897">
            <v>46167</v>
          </cell>
          <cell r="K897">
            <v>100.75190000000001</v>
          </cell>
          <cell r="L897">
            <v>46147</v>
          </cell>
          <cell r="M897">
            <v>-21847</v>
          </cell>
          <cell r="N897">
            <v>578153</v>
          </cell>
        </row>
        <row r="898">
          <cell r="A898">
            <v>22013</v>
          </cell>
          <cell r="B898">
            <v>892</v>
          </cell>
          <cell r="C898" t="str">
            <v>IASWD2402000643</v>
          </cell>
          <cell r="D898">
            <v>45351</v>
          </cell>
          <cell r="E898">
            <v>46167</v>
          </cell>
          <cell r="F898" t="str">
            <v>22013</v>
          </cell>
          <cell r="G898" t="str">
            <v>裕隆三</v>
          </cell>
          <cell r="H898">
            <v>100000</v>
          </cell>
          <cell r="I898">
            <v>3</v>
          </cell>
          <cell r="J898">
            <v>46167</v>
          </cell>
          <cell r="K898">
            <v>100.75190000000001</v>
          </cell>
          <cell r="L898">
            <v>46147</v>
          </cell>
          <cell r="M898">
            <v>-3625</v>
          </cell>
          <cell r="N898">
            <v>96375</v>
          </cell>
        </row>
        <row r="899">
          <cell r="A899">
            <v>22013</v>
          </cell>
          <cell r="B899">
            <v>893</v>
          </cell>
          <cell r="C899" t="str">
            <v>IASWD2402000648</v>
          </cell>
          <cell r="D899">
            <v>45351</v>
          </cell>
          <cell r="E899">
            <v>46167</v>
          </cell>
          <cell r="F899" t="str">
            <v>22013</v>
          </cell>
          <cell r="G899" t="str">
            <v>裕隆三</v>
          </cell>
          <cell r="H899">
            <v>100000</v>
          </cell>
          <cell r="I899">
            <v>3</v>
          </cell>
          <cell r="J899">
            <v>46167</v>
          </cell>
          <cell r="K899">
            <v>100.75190000000001</v>
          </cell>
          <cell r="L899">
            <v>46147</v>
          </cell>
          <cell r="M899">
            <v>-3625</v>
          </cell>
          <cell r="N899">
            <v>96375</v>
          </cell>
        </row>
        <row r="900">
          <cell r="A900">
            <v>20662</v>
          </cell>
          <cell r="B900">
            <v>894</v>
          </cell>
          <cell r="C900" t="str">
            <v>IASWD2402000655</v>
          </cell>
          <cell r="D900">
            <v>45351</v>
          </cell>
          <cell r="E900">
            <v>46234</v>
          </cell>
          <cell r="F900" t="str">
            <v>20662</v>
          </cell>
          <cell r="G900" t="str">
            <v>世德二</v>
          </cell>
          <cell r="H900">
            <v>100000</v>
          </cell>
          <cell r="I900">
            <v>4</v>
          </cell>
          <cell r="J900">
            <v>46234</v>
          </cell>
          <cell r="K900">
            <v>100</v>
          </cell>
          <cell r="L900">
            <v>46216</v>
          </cell>
          <cell r="M900">
            <v>-4833</v>
          </cell>
          <cell r="N900">
            <v>95167</v>
          </cell>
        </row>
        <row r="901">
          <cell r="A901">
            <v>22013</v>
          </cell>
          <cell r="B901">
            <v>895</v>
          </cell>
          <cell r="C901" t="str">
            <v>IASWD2402000662</v>
          </cell>
          <cell r="D901">
            <v>45351</v>
          </cell>
          <cell r="E901">
            <v>46167</v>
          </cell>
          <cell r="F901" t="str">
            <v>22013</v>
          </cell>
          <cell r="G901" t="str">
            <v>裕隆三</v>
          </cell>
          <cell r="H901">
            <v>100000</v>
          </cell>
          <cell r="I901">
            <v>3</v>
          </cell>
          <cell r="J901">
            <v>46167</v>
          </cell>
          <cell r="K901">
            <v>100.75190000000001</v>
          </cell>
          <cell r="L901">
            <v>46147</v>
          </cell>
          <cell r="M901">
            <v>-3625</v>
          </cell>
          <cell r="N901">
            <v>96375</v>
          </cell>
        </row>
        <row r="902">
          <cell r="A902">
            <v>22013</v>
          </cell>
          <cell r="B902">
            <v>896</v>
          </cell>
          <cell r="C902" t="str">
            <v>IASWD2402000664</v>
          </cell>
          <cell r="D902">
            <v>45351</v>
          </cell>
          <cell r="E902">
            <v>46167</v>
          </cell>
          <cell r="F902" t="str">
            <v>22013</v>
          </cell>
          <cell r="G902" t="str">
            <v>裕隆三</v>
          </cell>
          <cell r="H902">
            <v>100000</v>
          </cell>
          <cell r="I902">
            <v>3</v>
          </cell>
          <cell r="J902">
            <v>46167</v>
          </cell>
          <cell r="K902">
            <v>100.75190000000001</v>
          </cell>
          <cell r="L902">
            <v>46147</v>
          </cell>
          <cell r="M902">
            <v>-3625</v>
          </cell>
          <cell r="N902">
            <v>96375</v>
          </cell>
        </row>
        <row r="903">
          <cell r="A903">
            <v>20662</v>
          </cell>
          <cell r="B903">
            <v>897</v>
          </cell>
          <cell r="C903" t="str">
            <v>IASWD2402000668</v>
          </cell>
          <cell r="D903">
            <v>45351</v>
          </cell>
          <cell r="E903">
            <v>46234</v>
          </cell>
          <cell r="F903" t="str">
            <v>20662</v>
          </cell>
          <cell r="G903" t="str">
            <v>世德二</v>
          </cell>
          <cell r="H903">
            <v>100000</v>
          </cell>
          <cell r="I903">
            <v>4</v>
          </cell>
          <cell r="J903">
            <v>46234</v>
          </cell>
          <cell r="K903">
            <v>100</v>
          </cell>
          <cell r="L903">
            <v>46216</v>
          </cell>
          <cell r="M903">
            <v>-4833</v>
          </cell>
          <cell r="N903">
            <v>95167</v>
          </cell>
        </row>
        <row r="904">
          <cell r="A904">
            <v>22013</v>
          </cell>
          <cell r="B904">
            <v>898</v>
          </cell>
          <cell r="C904" t="str">
            <v>IASWD2402000672</v>
          </cell>
          <cell r="D904">
            <v>45351</v>
          </cell>
          <cell r="E904">
            <v>46167</v>
          </cell>
          <cell r="F904" t="str">
            <v>22013</v>
          </cell>
          <cell r="G904" t="str">
            <v>裕隆三</v>
          </cell>
          <cell r="H904">
            <v>100000</v>
          </cell>
          <cell r="I904">
            <v>3</v>
          </cell>
          <cell r="J904">
            <v>46167</v>
          </cell>
          <cell r="K904">
            <v>100.75190000000001</v>
          </cell>
          <cell r="L904">
            <v>46147</v>
          </cell>
          <cell r="M904">
            <v>-3625</v>
          </cell>
          <cell r="N904">
            <v>96375</v>
          </cell>
        </row>
        <row r="905">
          <cell r="A905">
            <v>22013</v>
          </cell>
          <cell r="B905">
            <v>899</v>
          </cell>
          <cell r="C905" t="str">
            <v>IASWD2402000677</v>
          </cell>
          <cell r="D905">
            <v>45351</v>
          </cell>
          <cell r="E905">
            <v>46167</v>
          </cell>
          <cell r="F905" t="str">
            <v>22013</v>
          </cell>
          <cell r="G905" t="str">
            <v>裕隆三</v>
          </cell>
          <cell r="H905">
            <v>500000</v>
          </cell>
          <cell r="I905">
            <v>3</v>
          </cell>
          <cell r="J905">
            <v>46167</v>
          </cell>
          <cell r="K905">
            <v>100.75190000000001</v>
          </cell>
          <cell r="L905">
            <v>46147</v>
          </cell>
          <cell r="M905">
            <v>-18123</v>
          </cell>
          <cell r="N905">
            <v>481877</v>
          </cell>
        </row>
        <row r="906">
          <cell r="A906">
            <v>20662</v>
          </cell>
          <cell r="B906">
            <v>900</v>
          </cell>
          <cell r="C906" t="str">
            <v>IASWD2402000679</v>
          </cell>
          <cell r="D906">
            <v>45351</v>
          </cell>
          <cell r="E906">
            <v>46234</v>
          </cell>
          <cell r="F906" t="str">
            <v>20662</v>
          </cell>
          <cell r="G906" t="str">
            <v>世德二</v>
          </cell>
          <cell r="H906">
            <v>1300000</v>
          </cell>
          <cell r="I906">
            <v>4</v>
          </cell>
          <cell r="J906">
            <v>46234</v>
          </cell>
          <cell r="K906">
            <v>100</v>
          </cell>
          <cell r="L906">
            <v>46216</v>
          </cell>
          <cell r="M906">
            <v>-62827</v>
          </cell>
          <cell r="N906">
            <v>1237173</v>
          </cell>
        </row>
        <row r="907">
          <cell r="A907">
            <v>22013</v>
          </cell>
          <cell r="B907">
            <v>901</v>
          </cell>
          <cell r="C907" t="str">
            <v>IASWD2402000682</v>
          </cell>
          <cell r="D907">
            <v>45351</v>
          </cell>
          <cell r="E907">
            <v>46167</v>
          </cell>
          <cell r="F907" t="str">
            <v>22013</v>
          </cell>
          <cell r="G907" t="str">
            <v>裕隆三</v>
          </cell>
          <cell r="H907">
            <v>300000</v>
          </cell>
          <cell r="I907">
            <v>3</v>
          </cell>
          <cell r="J907">
            <v>46167</v>
          </cell>
          <cell r="K907">
            <v>100.75190000000001</v>
          </cell>
          <cell r="L907">
            <v>46147</v>
          </cell>
          <cell r="M907">
            <v>-10874</v>
          </cell>
          <cell r="N907">
            <v>289126</v>
          </cell>
        </row>
        <row r="908">
          <cell r="A908">
            <v>20662</v>
          </cell>
          <cell r="B908">
            <v>902</v>
          </cell>
          <cell r="C908" t="str">
            <v>IASWD2402000684</v>
          </cell>
          <cell r="D908">
            <v>45351</v>
          </cell>
          <cell r="E908">
            <v>46234</v>
          </cell>
          <cell r="F908" t="str">
            <v>20662</v>
          </cell>
          <cell r="G908" t="str">
            <v>世德二</v>
          </cell>
          <cell r="H908">
            <v>500000</v>
          </cell>
          <cell r="I908">
            <v>4</v>
          </cell>
          <cell r="J908">
            <v>46234</v>
          </cell>
          <cell r="K908">
            <v>100</v>
          </cell>
          <cell r="L908">
            <v>46216</v>
          </cell>
          <cell r="M908">
            <v>-24164</v>
          </cell>
          <cell r="N908">
            <v>475836</v>
          </cell>
        </row>
        <row r="909">
          <cell r="A909">
            <v>22013</v>
          </cell>
          <cell r="B909">
            <v>903</v>
          </cell>
          <cell r="C909" t="str">
            <v>IASWD2402000689</v>
          </cell>
          <cell r="D909">
            <v>45351</v>
          </cell>
          <cell r="E909">
            <v>46167</v>
          </cell>
          <cell r="F909" t="str">
            <v>22013</v>
          </cell>
          <cell r="G909" t="str">
            <v>裕隆三</v>
          </cell>
          <cell r="H909">
            <v>200000</v>
          </cell>
          <cell r="I909">
            <v>3</v>
          </cell>
          <cell r="J909">
            <v>46167</v>
          </cell>
          <cell r="K909">
            <v>100.75190000000001</v>
          </cell>
          <cell r="L909">
            <v>46147</v>
          </cell>
          <cell r="M909">
            <v>-7249</v>
          </cell>
          <cell r="N909">
            <v>192751</v>
          </cell>
        </row>
        <row r="910">
          <cell r="A910">
            <v>22013</v>
          </cell>
          <cell r="B910">
            <v>904</v>
          </cell>
          <cell r="C910" t="str">
            <v>IASWD2403000005</v>
          </cell>
          <cell r="D910">
            <v>45352</v>
          </cell>
          <cell r="E910">
            <v>46167</v>
          </cell>
          <cell r="F910" t="str">
            <v>22013</v>
          </cell>
          <cell r="G910" t="str">
            <v>裕隆三</v>
          </cell>
          <cell r="H910">
            <v>400000</v>
          </cell>
          <cell r="I910">
            <v>3</v>
          </cell>
          <cell r="J910">
            <v>46167</v>
          </cell>
          <cell r="K910">
            <v>100.75190000000001</v>
          </cell>
          <cell r="L910">
            <v>46147</v>
          </cell>
          <cell r="M910">
            <v>-14466</v>
          </cell>
          <cell r="N910">
            <v>385534</v>
          </cell>
        </row>
        <row r="911">
          <cell r="A911">
            <v>22013</v>
          </cell>
          <cell r="B911">
            <v>905</v>
          </cell>
          <cell r="C911" t="str">
            <v>IASWD2403000023</v>
          </cell>
          <cell r="D911">
            <v>45352</v>
          </cell>
          <cell r="E911">
            <v>46167</v>
          </cell>
          <cell r="F911" t="str">
            <v>22013</v>
          </cell>
          <cell r="G911" t="str">
            <v>裕隆三</v>
          </cell>
          <cell r="H911">
            <v>800000</v>
          </cell>
          <cell r="I911">
            <v>3</v>
          </cell>
          <cell r="J911">
            <v>46167</v>
          </cell>
          <cell r="K911">
            <v>100.75190000000001</v>
          </cell>
          <cell r="L911">
            <v>46147</v>
          </cell>
          <cell r="M911">
            <v>-28932</v>
          </cell>
          <cell r="N911">
            <v>771068</v>
          </cell>
        </row>
        <row r="912">
          <cell r="A912">
            <v>20662</v>
          </cell>
          <cell r="B912">
            <v>906</v>
          </cell>
          <cell r="C912" t="str">
            <v>IASWD2403000036</v>
          </cell>
          <cell r="D912">
            <v>45352</v>
          </cell>
          <cell r="E912">
            <v>46234</v>
          </cell>
          <cell r="F912" t="str">
            <v>20662</v>
          </cell>
          <cell r="G912" t="str">
            <v>世德二</v>
          </cell>
          <cell r="H912">
            <v>300000</v>
          </cell>
          <cell r="I912">
            <v>4</v>
          </cell>
          <cell r="J912">
            <v>46234</v>
          </cell>
          <cell r="K912">
            <v>100</v>
          </cell>
          <cell r="L912">
            <v>46216</v>
          </cell>
          <cell r="M912">
            <v>-14466</v>
          </cell>
          <cell r="N912">
            <v>285534</v>
          </cell>
        </row>
        <row r="913">
          <cell r="A913">
            <v>20662</v>
          </cell>
          <cell r="B913">
            <v>907</v>
          </cell>
          <cell r="C913" t="str">
            <v>IASWD2403000048</v>
          </cell>
          <cell r="D913">
            <v>45352</v>
          </cell>
          <cell r="E913">
            <v>46234</v>
          </cell>
          <cell r="F913" t="str">
            <v>20662</v>
          </cell>
          <cell r="G913" t="str">
            <v>世德二</v>
          </cell>
          <cell r="H913">
            <v>1000000</v>
          </cell>
          <cell r="I913">
            <v>4</v>
          </cell>
          <cell r="J913">
            <v>46234</v>
          </cell>
          <cell r="K913">
            <v>100</v>
          </cell>
          <cell r="L913">
            <v>46216</v>
          </cell>
          <cell r="M913">
            <v>-48219</v>
          </cell>
          <cell r="N913">
            <v>951781</v>
          </cell>
        </row>
        <row r="914">
          <cell r="A914">
            <v>56086</v>
          </cell>
          <cell r="B914">
            <v>908</v>
          </cell>
          <cell r="C914" t="str">
            <v>IASWD2403000049</v>
          </cell>
          <cell r="D914">
            <v>45352</v>
          </cell>
          <cell r="E914">
            <v>46194</v>
          </cell>
          <cell r="F914" t="str">
            <v>56086</v>
          </cell>
          <cell r="G914" t="str">
            <v>四維航六</v>
          </cell>
          <cell r="H914">
            <v>100000</v>
          </cell>
          <cell r="I914">
            <v>2.1</v>
          </cell>
          <cell r="J914">
            <v>46194</v>
          </cell>
          <cell r="K914">
            <v>100</v>
          </cell>
          <cell r="L914">
            <v>46175</v>
          </cell>
          <cell r="M914">
            <v>-2532</v>
          </cell>
          <cell r="N914">
            <v>97468</v>
          </cell>
        </row>
        <row r="915">
          <cell r="A915">
            <v>27323</v>
          </cell>
          <cell r="B915">
            <v>909</v>
          </cell>
          <cell r="C915" t="str">
            <v>IASWD2403000077</v>
          </cell>
          <cell r="D915">
            <v>45355</v>
          </cell>
          <cell r="E915">
            <v>46048</v>
          </cell>
          <cell r="F915" t="str">
            <v>27323</v>
          </cell>
          <cell r="G915" t="str">
            <v>六角三</v>
          </cell>
          <cell r="H915">
            <v>100000</v>
          </cell>
          <cell r="I915">
            <v>3</v>
          </cell>
          <cell r="J915">
            <v>46048</v>
          </cell>
          <cell r="K915">
            <v>101</v>
          </cell>
          <cell r="L915">
            <v>46028</v>
          </cell>
          <cell r="M915">
            <v>-3592</v>
          </cell>
          <cell r="N915">
            <v>96408</v>
          </cell>
        </row>
        <row r="916">
          <cell r="A916">
            <v>22013</v>
          </cell>
          <cell r="B916">
            <v>910</v>
          </cell>
          <cell r="C916" t="str">
            <v>IASWD2403000079</v>
          </cell>
          <cell r="D916">
            <v>45355</v>
          </cell>
          <cell r="E916">
            <v>46167</v>
          </cell>
          <cell r="F916" t="str">
            <v>22013</v>
          </cell>
          <cell r="G916" t="str">
            <v>裕隆三</v>
          </cell>
          <cell r="H916">
            <v>100000</v>
          </cell>
          <cell r="I916">
            <v>3.1</v>
          </cell>
          <cell r="J916">
            <v>46167</v>
          </cell>
          <cell r="K916">
            <v>100.75190000000001</v>
          </cell>
          <cell r="L916">
            <v>46147</v>
          </cell>
          <cell r="M916">
            <v>-3712</v>
          </cell>
          <cell r="N916">
            <v>96288</v>
          </cell>
        </row>
        <row r="917">
          <cell r="A917">
            <v>20662</v>
          </cell>
          <cell r="B917">
            <v>911</v>
          </cell>
          <cell r="C917" t="str">
            <v>IASWD2403000084</v>
          </cell>
          <cell r="D917">
            <v>45355</v>
          </cell>
          <cell r="E917">
            <v>46234</v>
          </cell>
          <cell r="F917" t="str">
            <v>20662</v>
          </cell>
          <cell r="G917" t="str">
            <v>世德二</v>
          </cell>
          <cell r="H917">
            <v>100000</v>
          </cell>
          <cell r="I917">
            <v>4</v>
          </cell>
          <cell r="J917">
            <v>46234</v>
          </cell>
          <cell r="K917">
            <v>100</v>
          </cell>
          <cell r="L917">
            <v>46216</v>
          </cell>
          <cell r="M917">
            <v>-4789</v>
          </cell>
          <cell r="N917">
            <v>95211</v>
          </cell>
        </row>
        <row r="918">
          <cell r="A918">
            <v>22013</v>
          </cell>
          <cell r="B918">
            <v>912</v>
          </cell>
          <cell r="C918" t="str">
            <v>IASWD2403000092</v>
          </cell>
          <cell r="D918">
            <v>45355</v>
          </cell>
          <cell r="E918">
            <v>46167</v>
          </cell>
          <cell r="F918" t="str">
            <v>22013</v>
          </cell>
          <cell r="G918" t="str">
            <v>裕隆三</v>
          </cell>
          <cell r="H918">
            <v>100000</v>
          </cell>
          <cell r="I918">
            <v>3.1</v>
          </cell>
          <cell r="J918">
            <v>46167</v>
          </cell>
          <cell r="K918">
            <v>100.75190000000001</v>
          </cell>
          <cell r="L918">
            <v>46147</v>
          </cell>
          <cell r="M918">
            <v>-3712</v>
          </cell>
          <cell r="N918">
            <v>96288</v>
          </cell>
        </row>
        <row r="919">
          <cell r="A919">
            <v>20662</v>
          </cell>
          <cell r="B919">
            <v>913</v>
          </cell>
          <cell r="C919" t="str">
            <v>IASWD2403000096</v>
          </cell>
          <cell r="D919">
            <v>45355</v>
          </cell>
          <cell r="E919">
            <v>46234</v>
          </cell>
          <cell r="F919" t="str">
            <v>20662</v>
          </cell>
          <cell r="G919" t="str">
            <v>世德二</v>
          </cell>
          <cell r="H919">
            <v>100000</v>
          </cell>
          <cell r="I919">
            <v>4</v>
          </cell>
          <cell r="J919">
            <v>46234</v>
          </cell>
          <cell r="K919">
            <v>100</v>
          </cell>
          <cell r="L919">
            <v>46216</v>
          </cell>
          <cell r="M919">
            <v>-4789</v>
          </cell>
          <cell r="N919">
            <v>95211</v>
          </cell>
        </row>
        <row r="920">
          <cell r="A920">
            <v>20662</v>
          </cell>
          <cell r="B920">
            <v>914</v>
          </cell>
          <cell r="C920" t="str">
            <v>IASWD2403000103</v>
          </cell>
          <cell r="D920">
            <v>45355</v>
          </cell>
          <cell r="E920">
            <v>46234</v>
          </cell>
          <cell r="F920" t="str">
            <v>20662</v>
          </cell>
          <cell r="G920" t="str">
            <v>世德二</v>
          </cell>
          <cell r="H920">
            <v>500000</v>
          </cell>
          <cell r="I920">
            <v>4</v>
          </cell>
          <cell r="J920">
            <v>46234</v>
          </cell>
          <cell r="K920">
            <v>100</v>
          </cell>
          <cell r="L920">
            <v>46216</v>
          </cell>
          <cell r="M920">
            <v>-23945</v>
          </cell>
          <cell r="N920">
            <v>476055</v>
          </cell>
        </row>
        <row r="921">
          <cell r="A921">
            <v>22013</v>
          </cell>
          <cell r="B921">
            <v>915</v>
          </cell>
          <cell r="C921" t="str">
            <v>IASWD2403000113</v>
          </cell>
          <cell r="D921">
            <v>45356</v>
          </cell>
          <cell r="E921">
            <v>46167</v>
          </cell>
          <cell r="F921" t="str">
            <v>22013</v>
          </cell>
          <cell r="G921" t="str">
            <v>裕隆三</v>
          </cell>
          <cell r="H921">
            <v>100000</v>
          </cell>
          <cell r="I921">
            <v>3.1</v>
          </cell>
          <cell r="J921">
            <v>46167</v>
          </cell>
          <cell r="K921">
            <v>100.75190000000001</v>
          </cell>
          <cell r="L921">
            <v>46147</v>
          </cell>
          <cell r="M921">
            <v>-3703</v>
          </cell>
          <cell r="N921">
            <v>96297</v>
          </cell>
        </row>
        <row r="922">
          <cell r="A922">
            <v>22013</v>
          </cell>
          <cell r="B922">
            <v>916</v>
          </cell>
          <cell r="C922" t="str">
            <v>IASWD2403000115</v>
          </cell>
          <cell r="D922">
            <v>45356</v>
          </cell>
          <cell r="E922">
            <v>46167</v>
          </cell>
          <cell r="F922" t="str">
            <v>22013</v>
          </cell>
          <cell r="G922" t="str">
            <v>裕隆三</v>
          </cell>
          <cell r="H922">
            <v>100000</v>
          </cell>
          <cell r="I922">
            <v>3.1</v>
          </cell>
          <cell r="J922">
            <v>46167</v>
          </cell>
          <cell r="K922">
            <v>100.75190000000001</v>
          </cell>
          <cell r="L922">
            <v>46147</v>
          </cell>
          <cell r="M922">
            <v>-3703</v>
          </cell>
          <cell r="N922">
            <v>96297</v>
          </cell>
        </row>
        <row r="923">
          <cell r="A923">
            <v>20662</v>
          </cell>
          <cell r="B923">
            <v>917</v>
          </cell>
          <cell r="C923" t="str">
            <v>IASWD2403000121</v>
          </cell>
          <cell r="D923">
            <v>45356</v>
          </cell>
          <cell r="E923">
            <v>46234</v>
          </cell>
          <cell r="F923" t="str">
            <v>20662</v>
          </cell>
          <cell r="G923" t="str">
            <v>世德二</v>
          </cell>
          <cell r="H923">
            <v>100000</v>
          </cell>
          <cell r="I923">
            <v>4</v>
          </cell>
          <cell r="J923">
            <v>46234</v>
          </cell>
          <cell r="K923">
            <v>100</v>
          </cell>
          <cell r="L923">
            <v>46216</v>
          </cell>
          <cell r="M923">
            <v>-4778</v>
          </cell>
          <cell r="N923">
            <v>95222</v>
          </cell>
        </row>
        <row r="924">
          <cell r="A924">
            <v>20662</v>
          </cell>
          <cell r="B924">
            <v>918</v>
          </cell>
          <cell r="C924" t="str">
            <v>IASWD2403000130</v>
          </cell>
          <cell r="D924">
            <v>45356</v>
          </cell>
          <cell r="E924">
            <v>46234</v>
          </cell>
          <cell r="F924" t="str">
            <v>20662</v>
          </cell>
          <cell r="G924" t="str">
            <v>世德二</v>
          </cell>
          <cell r="H924">
            <v>100000</v>
          </cell>
          <cell r="I924">
            <v>4</v>
          </cell>
          <cell r="J924">
            <v>46234</v>
          </cell>
          <cell r="K924">
            <v>100</v>
          </cell>
          <cell r="L924">
            <v>46216</v>
          </cell>
          <cell r="M924">
            <v>-4778</v>
          </cell>
          <cell r="N924">
            <v>95222</v>
          </cell>
        </row>
        <row r="925">
          <cell r="A925">
            <v>22013</v>
          </cell>
          <cell r="B925">
            <v>919</v>
          </cell>
          <cell r="C925" t="str">
            <v>IASWD2403000140</v>
          </cell>
          <cell r="D925">
            <v>45356</v>
          </cell>
          <cell r="E925">
            <v>46167</v>
          </cell>
          <cell r="F925" t="str">
            <v>22013</v>
          </cell>
          <cell r="G925" t="str">
            <v>裕隆三</v>
          </cell>
          <cell r="H925">
            <v>100000</v>
          </cell>
          <cell r="I925">
            <v>3.1</v>
          </cell>
          <cell r="J925">
            <v>46167</v>
          </cell>
          <cell r="K925">
            <v>100.75190000000001</v>
          </cell>
          <cell r="L925">
            <v>46147</v>
          </cell>
          <cell r="M925">
            <v>-3703</v>
          </cell>
          <cell r="N925">
            <v>96297</v>
          </cell>
        </row>
        <row r="926">
          <cell r="A926">
            <v>22013</v>
          </cell>
          <cell r="B926">
            <v>920</v>
          </cell>
          <cell r="C926" t="str">
            <v>IASWD2403000153</v>
          </cell>
          <cell r="D926">
            <v>45356</v>
          </cell>
          <cell r="E926">
            <v>46167</v>
          </cell>
          <cell r="F926" t="str">
            <v>22013</v>
          </cell>
          <cell r="G926" t="str">
            <v>裕隆三</v>
          </cell>
          <cell r="H926">
            <v>200000</v>
          </cell>
          <cell r="I926">
            <v>3.1</v>
          </cell>
          <cell r="J926">
            <v>46167</v>
          </cell>
          <cell r="K926">
            <v>100.75190000000001</v>
          </cell>
          <cell r="L926">
            <v>46147</v>
          </cell>
          <cell r="M926">
            <v>-7406</v>
          </cell>
          <cell r="N926">
            <v>192594</v>
          </cell>
        </row>
        <row r="927">
          <cell r="A927">
            <v>20662</v>
          </cell>
          <cell r="B927">
            <v>921</v>
          </cell>
          <cell r="C927" t="str">
            <v>IASWD2403000158</v>
          </cell>
          <cell r="D927">
            <v>45356</v>
          </cell>
          <cell r="E927">
            <v>46234</v>
          </cell>
          <cell r="F927" t="str">
            <v>20662</v>
          </cell>
          <cell r="G927" t="str">
            <v>世德二</v>
          </cell>
          <cell r="H927">
            <v>100000</v>
          </cell>
          <cell r="I927">
            <v>4</v>
          </cell>
          <cell r="J927">
            <v>46234</v>
          </cell>
          <cell r="K927">
            <v>100</v>
          </cell>
          <cell r="L927">
            <v>46216</v>
          </cell>
          <cell r="M927">
            <v>-4778</v>
          </cell>
          <cell r="N927">
            <v>95222</v>
          </cell>
        </row>
        <row r="928">
          <cell r="A928">
            <v>22013</v>
          </cell>
          <cell r="B928">
            <v>922</v>
          </cell>
          <cell r="C928" t="str">
            <v>IASWD2403000168</v>
          </cell>
          <cell r="D928">
            <v>45356</v>
          </cell>
          <cell r="E928">
            <v>46167</v>
          </cell>
          <cell r="F928" t="str">
            <v>22013</v>
          </cell>
          <cell r="G928" t="str">
            <v>裕隆三</v>
          </cell>
          <cell r="H928">
            <v>200000</v>
          </cell>
          <cell r="I928">
            <v>3.1</v>
          </cell>
          <cell r="J928">
            <v>46167</v>
          </cell>
          <cell r="K928">
            <v>100.75190000000001</v>
          </cell>
          <cell r="L928">
            <v>46147</v>
          </cell>
          <cell r="M928">
            <v>-7406</v>
          </cell>
          <cell r="N928">
            <v>192594</v>
          </cell>
        </row>
        <row r="929">
          <cell r="A929">
            <v>27323</v>
          </cell>
          <cell r="B929">
            <v>923</v>
          </cell>
          <cell r="C929" t="str">
            <v>IASWD2403000172</v>
          </cell>
          <cell r="D929">
            <v>45356</v>
          </cell>
          <cell r="E929">
            <v>46048</v>
          </cell>
          <cell r="F929" t="str">
            <v>27323</v>
          </cell>
          <cell r="G929" t="str">
            <v>六角三</v>
          </cell>
          <cell r="H929">
            <v>100000</v>
          </cell>
          <cell r="I929">
            <v>3</v>
          </cell>
          <cell r="J929">
            <v>46048</v>
          </cell>
          <cell r="K929">
            <v>101</v>
          </cell>
          <cell r="L929">
            <v>46028</v>
          </cell>
          <cell r="M929">
            <v>-3584</v>
          </cell>
          <cell r="N929">
            <v>96416</v>
          </cell>
        </row>
        <row r="930">
          <cell r="A930">
            <v>22013</v>
          </cell>
          <cell r="B930">
            <v>924</v>
          </cell>
          <cell r="C930" t="str">
            <v>IASWD2403000177</v>
          </cell>
          <cell r="D930">
            <v>45357</v>
          </cell>
          <cell r="E930">
            <v>46167</v>
          </cell>
          <cell r="F930" t="str">
            <v>22013</v>
          </cell>
          <cell r="G930" t="str">
            <v>裕隆三</v>
          </cell>
          <cell r="H930">
            <v>200000</v>
          </cell>
          <cell r="I930">
            <v>3.1</v>
          </cell>
          <cell r="J930">
            <v>46167</v>
          </cell>
          <cell r="K930">
            <v>100.75190000000001</v>
          </cell>
          <cell r="L930">
            <v>46147</v>
          </cell>
          <cell r="M930">
            <v>-7389</v>
          </cell>
          <cell r="N930">
            <v>192611</v>
          </cell>
        </row>
        <row r="931">
          <cell r="A931">
            <v>22013</v>
          </cell>
          <cell r="B931">
            <v>925</v>
          </cell>
          <cell r="C931" t="str">
            <v>IASWD2403000188</v>
          </cell>
          <cell r="D931">
            <v>45357</v>
          </cell>
          <cell r="E931">
            <v>46167</v>
          </cell>
          <cell r="F931" t="str">
            <v>22013</v>
          </cell>
          <cell r="G931" t="str">
            <v>裕隆三</v>
          </cell>
          <cell r="H931">
            <v>100000</v>
          </cell>
          <cell r="I931">
            <v>3.1</v>
          </cell>
          <cell r="J931">
            <v>46167</v>
          </cell>
          <cell r="K931">
            <v>100.75190000000001</v>
          </cell>
          <cell r="L931">
            <v>46147</v>
          </cell>
          <cell r="M931">
            <v>-3695</v>
          </cell>
          <cell r="N931">
            <v>96305</v>
          </cell>
        </row>
        <row r="932">
          <cell r="A932">
            <v>22013</v>
          </cell>
          <cell r="B932">
            <v>926</v>
          </cell>
          <cell r="C932" t="str">
            <v>IASWD2403000196</v>
          </cell>
          <cell r="D932">
            <v>45357</v>
          </cell>
          <cell r="E932">
            <v>46167</v>
          </cell>
          <cell r="F932" t="str">
            <v>22013</v>
          </cell>
          <cell r="G932" t="str">
            <v>裕隆三</v>
          </cell>
          <cell r="H932">
            <v>300000</v>
          </cell>
          <cell r="I932">
            <v>3.1</v>
          </cell>
          <cell r="J932">
            <v>46167</v>
          </cell>
          <cell r="K932">
            <v>100.75190000000001</v>
          </cell>
          <cell r="L932">
            <v>46147</v>
          </cell>
          <cell r="M932">
            <v>-11084</v>
          </cell>
          <cell r="N932">
            <v>288916</v>
          </cell>
        </row>
        <row r="933">
          <cell r="A933">
            <v>20662</v>
          </cell>
          <cell r="B933">
            <v>927</v>
          </cell>
          <cell r="C933" t="str">
            <v>IASWD2403000215</v>
          </cell>
          <cell r="D933">
            <v>45357</v>
          </cell>
          <cell r="E933">
            <v>46234</v>
          </cell>
          <cell r="F933" t="str">
            <v>20662</v>
          </cell>
          <cell r="G933" t="str">
            <v>世德二</v>
          </cell>
          <cell r="H933">
            <v>100000</v>
          </cell>
          <cell r="I933">
            <v>4</v>
          </cell>
          <cell r="J933">
            <v>46234</v>
          </cell>
          <cell r="K933">
            <v>100</v>
          </cell>
          <cell r="L933">
            <v>46216</v>
          </cell>
          <cell r="M933">
            <v>-4767</v>
          </cell>
          <cell r="N933">
            <v>95233</v>
          </cell>
        </row>
        <row r="934">
          <cell r="A934">
            <v>22013</v>
          </cell>
          <cell r="B934">
            <v>928</v>
          </cell>
          <cell r="C934" t="str">
            <v>IASWD2403000217</v>
          </cell>
          <cell r="D934">
            <v>45357</v>
          </cell>
          <cell r="E934">
            <v>46167</v>
          </cell>
          <cell r="F934" t="str">
            <v>22013</v>
          </cell>
          <cell r="G934" t="str">
            <v>裕隆三</v>
          </cell>
          <cell r="H934">
            <v>200000</v>
          </cell>
          <cell r="I934">
            <v>3.1</v>
          </cell>
          <cell r="J934">
            <v>46167</v>
          </cell>
          <cell r="K934">
            <v>100.75190000000001</v>
          </cell>
          <cell r="L934">
            <v>46147</v>
          </cell>
          <cell r="M934">
            <v>-7389</v>
          </cell>
          <cell r="N934">
            <v>192611</v>
          </cell>
        </row>
        <row r="935">
          <cell r="A935">
            <v>27323</v>
          </cell>
          <cell r="B935">
            <v>929</v>
          </cell>
          <cell r="C935" t="str">
            <v>IASWD2403000220</v>
          </cell>
          <cell r="D935">
            <v>45357</v>
          </cell>
          <cell r="E935">
            <v>46048</v>
          </cell>
          <cell r="F935" t="str">
            <v>27323</v>
          </cell>
          <cell r="G935" t="str">
            <v>六角三</v>
          </cell>
          <cell r="H935">
            <v>100000</v>
          </cell>
          <cell r="I935">
            <v>3</v>
          </cell>
          <cell r="J935">
            <v>46048</v>
          </cell>
          <cell r="K935">
            <v>101</v>
          </cell>
          <cell r="L935">
            <v>46028</v>
          </cell>
          <cell r="M935">
            <v>-3575</v>
          </cell>
          <cell r="N935">
            <v>96425</v>
          </cell>
        </row>
        <row r="936">
          <cell r="A936">
            <v>22013</v>
          </cell>
          <cell r="B936">
            <v>930</v>
          </cell>
          <cell r="C936" t="str">
            <v>IASWD2403000225</v>
          </cell>
          <cell r="D936">
            <v>45357</v>
          </cell>
          <cell r="E936">
            <v>46167</v>
          </cell>
          <cell r="F936" t="str">
            <v>22013</v>
          </cell>
          <cell r="G936" t="str">
            <v>裕隆三</v>
          </cell>
          <cell r="H936">
            <v>100000</v>
          </cell>
          <cell r="I936">
            <v>3.1</v>
          </cell>
          <cell r="J936">
            <v>46167</v>
          </cell>
          <cell r="K936">
            <v>100.75190000000001</v>
          </cell>
          <cell r="L936">
            <v>46147</v>
          </cell>
          <cell r="M936">
            <v>-3695</v>
          </cell>
          <cell r="N936">
            <v>96305</v>
          </cell>
        </row>
        <row r="937">
          <cell r="A937">
            <v>22013</v>
          </cell>
          <cell r="B937">
            <v>931</v>
          </cell>
          <cell r="C937" t="str">
            <v>IASWD2403000226</v>
          </cell>
          <cell r="D937">
            <v>45357</v>
          </cell>
          <cell r="E937">
            <v>46167</v>
          </cell>
          <cell r="F937" t="str">
            <v>22013</v>
          </cell>
          <cell r="G937" t="str">
            <v>裕隆三</v>
          </cell>
          <cell r="H937">
            <v>200000</v>
          </cell>
          <cell r="I937">
            <v>3.1</v>
          </cell>
          <cell r="J937">
            <v>46167</v>
          </cell>
          <cell r="K937">
            <v>100.75190000000001</v>
          </cell>
          <cell r="L937">
            <v>46147</v>
          </cell>
          <cell r="M937">
            <v>-7389</v>
          </cell>
          <cell r="N937">
            <v>192611</v>
          </cell>
        </row>
        <row r="938">
          <cell r="A938">
            <v>22013</v>
          </cell>
          <cell r="B938">
            <v>932</v>
          </cell>
          <cell r="C938" t="str">
            <v>IASWD2403000236</v>
          </cell>
          <cell r="D938">
            <v>45357</v>
          </cell>
          <cell r="E938">
            <v>46167</v>
          </cell>
          <cell r="F938" t="str">
            <v>22013</v>
          </cell>
          <cell r="G938" t="str">
            <v>裕隆三</v>
          </cell>
          <cell r="H938">
            <v>100000</v>
          </cell>
          <cell r="I938">
            <v>3.1</v>
          </cell>
          <cell r="J938">
            <v>46167</v>
          </cell>
          <cell r="K938">
            <v>100.75190000000001</v>
          </cell>
          <cell r="L938">
            <v>46147</v>
          </cell>
          <cell r="M938">
            <v>-3695</v>
          </cell>
          <cell r="N938">
            <v>96305</v>
          </cell>
        </row>
        <row r="939">
          <cell r="A939">
            <v>22013</v>
          </cell>
          <cell r="B939">
            <v>933</v>
          </cell>
          <cell r="C939" t="str">
            <v>IASWD2403000242</v>
          </cell>
          <cell r="D939">
            <v>45357</v>
          </cell>
          <cell r="E939">
            <v>46167</v>
          </cell>
          <cell r="F939" t="str">
            <v>22013</v>
          </cell>
          <cell r="G939" t="str">
            <v>裕隆三</v>
          </cell>
          <cell r="H939">
            <v>100000</v>
          </cell>
          <cell r="I939">
            <v>3.1</v>
          </cell>
          <cell r="J939">
            <v>46167</v>
          </cell>
          <cell r="K939">
            <v>100.75190000000001</v>
          </cell>
          <cell r="L939">
            <v>46147</v>
          </cell>
          <cell r="M939">
            <v>-3695</v>
          </cell>
          <cell r="N939">
            <v>96305</v>
          </cell>
        </row>
        <row r="940">
          <cell r="A940">
            <v>27323</v>
          </cell>
          <cell r="B940">
            <v>934</v>
          </cell>
          <cell r="C940" t="str">
            <v>IASWD2403000246</v>
          </cell>
          <cell r="D940">
            <v>45358</v>
          </cell>
          <cell r="E940">
            <v>46048</v>
          </cell>
          <cell r="F940" t="str">
            <v>27323</v>
          </cell>
          <cell r="G940" t="str">
            <v>六角三</v>
          </cell>
          <cell r="H940">
            <v>100000</v>
          </cell>
          <cell r="I940">
            <v>3</v>
          </cell>
          <cell r="J940">
            <v>46048</v>
          </cell>
          <cell r="K940">
            <v>101</v>
          </cell>
          <cell r="L940">
            <v>46028</v>
          </cell>
          <cell r="M940">
            <v>-3567</v>
          </cell>
          <cell r="N940">
            <v>96433</v>
          </cell>
        </row>
        <row r="941">
          <cell r="A941">
            <v>27323</v>
          </cell>
          <cell r="B941">
            <v>935</v>
          </cell>
          <cell r="C941" t="str">
            <v>IASWD2403000247</v>
          </cell>
          <cell r="D941">
            <v>45358</v>
          </cell>
          <cell r="E941">
            <v>46048</v>
          </cell>
          <cell r="F941" t="str">
            <v>27323</v>
          </cell>
          <cell r="G941" t="str">
            <v>六角三</v>
          </cell>
          <cell r="H941">
            <v>100000</v>
          </cell>
          <cell r="I941">
            <v>3</v>
          </cell>
          <cell r="J941">
            <v>46048</v>
          </cell>
          <cell r="K941">
            <v>101</v>
          </cell>
          <cell r="L941">
            <v>46028</v>
          </cell>
          <cell r="M941">
            <v>-3567</v>
          </cell>
          <cell r="N941">
            <v>96433</v>
          </cell>
        </row>
        <row r="942">
          <cell r="A942">
            <v>22013</v>
          </cell>
          <cell r="B942">
            <v>936</v>
          </cell>
          <cell r="C942" t="str">
            <v>IASWD2403000252</v>
          </cell>
          <cell r="D942">
            <v>45358</v>
          </cell>
          <cell r="E942">
            <v>46167</v>
          </cell>
          <cell r="F942" t="str">
            <v>22013</v>
          </cell>
          <cell r="G942" t="str">
            <v>裕隆三</v>
          </cell>
          <cell r="H942">
            <v>100000</v>
          </cell>
          <cell r="I942">
            <v>3.1</v>
          </cell>
          <cell r="J942">
            <v>46167</v>
          </cell>
          <cell r="K942">
            <v>100.75190000000001</v>
          </cell>
          <cell r="L942">
            <v>46147</v>
          </cell>
          <cell r="M942">
            <v>-3686</v>
          </cell>
          <cell r="N942">
            <v>96314</v>
          </cell>
        </row>
        <row r="943">
          <cell r="A943">
            <v>27323</v>
          </cell>
          <cell r="B943">
            <v>937</v>
          </cell>
          <cell r="C943" t="str">
            <v>IASWD2403000253</v>
          </cell>
          <cell r="D943">
            <v>45358</v>
          </cell>
          <cell r="E943">
            <v>46048</v>
          </cell>
          <cell r="F943" t="str">
            <v>27323</v>
          </cell>
          <cell r="G943" t="str">
            <v>六角三</v>
          </cell>
          <cell r="H943">
            <v>300000</v>
          </cell>
          <cell r="I943">
            <v>3</v>
          </cell>
          <cell r="J943">
            <v>46048</v>
          </cell>
          <cell r="K943">
            <v>101</v>
          </cell>
          <cell r="L943">
            <v>46028</v>
          </cell>
          <cell r="M943">
            <v>-10701</v>
          </cell>
          <cell r="N943">
            <v>289299</v>
          </cell>
        </row>
        <row r="944">
          <cell r="A944">
            <v>22013</v>
          </cell>
          <cell r="B944">
            <v>938</v>
          </cell>
          <cell r="C944" t="str">
            <v>IASWD2403000264</v>
          </cell>
          <cell r="D944">
            <v>45358</v>
          </cell>
          <cell r="E944">
            <v>46167</v>
          </cell>
          <cell r="F944" t="str">
            <v>22013</v>
          </cell>
          <cell r="G944" t="str">
            <v>裕隆三</v>
          </cell>
          <cell r="H944">
            <v>500000</v>
          </cell>
          <cell r="I944">
            <v>3.1</v>
          </cell>
          <cell r="J944">
            <v>46167</v>
          </cell>
          <cell r="K944">
            <v>100.75190000000001</v>
          </cell>
          <cell r="L944">
            <v>46147</v>
          </cell>
          <cell r="M944">
            <v>-18430</v>
          </cell>
          <cell r="N944">
            <v>481570</v>
          </cell>
        </row>
        <row r="945">
          <cell r="A945">
            <v>22013</v>
          </cell>
          <cell r="B945">
            <v>939</v>
          </cell>
          <cell r="C945" t="str">
            <v>IASWD2403000267</v>
          </cell>
          <cell r="D945">
            <v>45358</v>
          </cell>
          <cell r="E945">
            <v>46167</v>
          </cell>
          <cell r="F945" t="str">
            <v>22013</v>
          </cell>
          <cell r="G945" t="str">
            <v>裕隆三</v>
          </cell>
          <cell r="H945">
            <v>200000</v>
          </cell>
          <cell r="I945">
            <v>3.1</v>
          </cell>
          <cell r="J945">
            <v>46167</v>
          </cell>
          <cell r="K945">
            <v>100.75190000000001</v>
          </cell>
          <cell r="L945">
            <v>46147</v>
          </cell>
          <cell r="M945">
            <v>-7372</v>
          </cell>
          <cell r="N945">
            <v>192628</v>
          </cell>
        </row>
        <row r="946">
          <cell r="A946">
            <v>20662</v>
          </cell>
          <cell r="B946">
            <v>940</v>
          </cell>
          <cell r="C946" t="str">
            <v>IASWD2403000270</v>
          </cell>
          <cell r="D946">
            <v>45358</v>
          </cell>
          <cell r="E946">
            <v>46234</v>
          </cell>
          <cell r="F946" t="str">
            <v>20662</v>
          </cell>
          <cell r="G946" t="str">
            <v>世德二</v>
          </cell>
          <cell r="H946">
            <v>200000</v>
          </cell>
          <cell r="I946">
            <v>4</v>
          </cell>
          <cell r="J946">
            <v>46234</v>
          </cell>
          <cell r="K946">
            <v>100</v>
          </cell>
          <cell r="L946">
            <v>46216</v>
          </cell>
          <cell r="M946">
            <v>-9512</v>
          </cell>
          <cell r="N946">
            <v>190488</v>
          </cell>
        </row>
        <row r="947">
          <cell r="A947">
            <v>27323</v>
          </cell>
          <cell r="B947">
            <v>941</v>
          </cell>
          <cell r="C947" t="str">
            <v>IASWD2403000272</v>
          </cell>
          <cell r="D947">
            <v>45358</v>
          </cell>
          <cell r="E947">
            <v>46048</v>
          </cell>
          <cell r="F947" t="str">
            <v>27323</v>
          </cell>
          <cell r="G947" t="str">
            <v>六角三</v>
          </cell>
          <cell r="H947">
            <v>100000</v>
          </cell>
          <cell r="I947">
            <v>3</v>
          </cell>
          <cell r="J947">
            <v>46048</v>
          </cell>
          <cell r="K947">
            <v>101</v>
          </cell>
          <cell r="L947">
            <v>46028</v>
          </cell>
          <cell r="M947">
            <v>-3567</v>
          </cell>
          <cell r="N947">
            <v>96433</v>
          </cell>
        </row>
        <row r="948">
          <cell r="A948">
            <v>22013</v>
          </cell>
          <cell r="B948">
            <v>942</v>
          </cell>
          <cell r="C948" t="str">
            <v>IASWD2403000285</v>
          </cell>
          <cell r="D948">
            <v>45358</v>
          </cell>
          <cell r="E948">
            <v>46167</v>
          </cell>
          <cell r="F948" t="str">
            <v>22013</v>
          </cell>
          <cell r="G948" t="str">
            <v>裕隆三</v>
          </cell>
          <cell r="H948">
            <v>3600000</v>
          </cell>
          <cell r="I948">
            <v>3.1</v>
          </cell>
          <cell r="J948">
            <v>46167</v>
          </cell>
          <cell r="K948">
            <v>100.75190000000001</v>
          </cell>
          <cell r="L948">
            <v>46147</v>
          </cell>
          <cell r="M948">
            <v>-132697</v>
          </cell>
          <cell r="N948">
            <v>3467303</v>
          </cell>
        </row>
        <row r="949">
          <cell r="A949">
            <v>27323</v>
          </cell>
          <cell r="B949">
            <v>943</v>
          </cell>
          <cell r="C949" t="str">
            <v>IASWD2403000288</v>
          </cell>
          <cell r="D949">
            <v>45358</v>
          </cell>
          <cell r="E949">
            <v>46048</v>
          </cell>
          <cell r="F949" t="str">
            <v>27323</v>
          </cell>
          <cell r="G949" t="str">
            <v>六角三</v>
          </cell>
          <cell r="H949">
            <v>500000</v>
          </cell>
          <cell r="I949">
            <v>3</v>
          </cell>
          <cell r="J949">
            <v>46048</v>
          </cell>
          <cell r="K949">
            <v>101</v>
          </cell>
          <cell r="L949">
            <v>46028</v>
          </cell>
          <cell r="M949">
            <v>-17836</v>
          </cell>
          <cell r="N949">
            <v>482164</v>
          </cell>
        </row>
        <row r="950">
          <cell r="A950">
            <v>22013</v>
          </cell>
          <cell r="B950">
            <v>944</v>
          </cell>
          <cell r="C950" t="str">
            <v>IASWD2403000295</v>
          </cell>
          <cell r="D950">
            <v>45358</v>
          </cell>
          <cell r="E950">
            <v>46167</v>
          </cell>
          <cell r="F950" t="str">
            <v>22013</v>
          </cell>
          <cell r="G950" t="str">
            <v>裕隆三</v>
          </cell>
          <cell r="H950">
            <v>100000</v>
          </cell>
          <cell r="I950">
            <v>3.1</v>
          </cell>
          <cell r="J950">
            <v>46167</v>
          </cell>
          <cell r="K950">
            <v>100.75190000000001</v>
          </cell>
          <cell r="L950">
            <v>46147</v>
          </cell>
          <cell r="M950">
            <v>-3686</v>
          </cell>
          <cell r="N950">
            <v>96314</v>
          </cell>
        </row>
        <row r="951">
          <cell r="A951">
            <v>22013</v>
          </cell>
          <cell r="B951">
            <v>945</v>
          </cell>
          <cell r="C951" t="str">
            <v>IASWD2403000296</v>
          </cell>
          <cell r="D951">
            <v>45358</v>
          </cell>
          <cell r="E951">
            <v>46167</v>
          </cell>
          <cell r="F951" t="str">
            <v>22013</v>
          </cell>
          <cell r="G951" t="str">
            <v>裕隆三</v>
          </cell>
          <cell r="H951">
            <v>200000</v>
          </cell>
          <cell r="I951">
            <v>3.1</v>
          </cell>
          <cell r="J951">
            <v>46167</v>
          </cell>
          <cell r="K951">
            <v>100.75190000000001</v>
          </cell>
          <cell r="L951">
            <v>46147</v>
          </cell>
          <cell r="M951">
            <v>-7372</v>
          </cell>
          <cell r="N951">
            <v>192628</v>
          </cell>
        </row>
        <row r="952">
          <cell r="A952">
            <v>27323</v>
          </cell>
          <cell r="B952">
            <v>946</v>
          </cell>
          <cell r="C952" t="str">
            <v>IASWD2403000299</v>
          </cell>
          <cell r="D952">
            <v>45358</v>
          </cell>
          <cell r="E952">
            <v>46048</v>
          </cell>
          <cell r="F952" t="str">
            <v>27323</v>
          </cell>
          <cell r="G952" t="str">
            <v>六角三</v>
          </cell>
          <cell r="H952">
            <v>100000</v>
          </cell>
          <cell r="I952">
            <v>3</v>
          </cell>
          <cell r="J952">
            <v>46048</v>
          </cell>
          <cell r="K952">
            <v>101</v>
          </cell>
          <cell r="L952">
            <v>46028</v>
          </cell>
          <cell r="M952">
            <v>-3567</v>
          </cell>
          <cell r="N952">
            <v>96433</v>
          </cell>
        </row>
        <row r="953">
          <cell r="A953">
            <v>22013</v>
          </cell>
          <cell r="B953">
            <v>947</v>
          </cell>
          <cell r="C953" t="str">
            <v>IASWD2403000301</v>
          </cell>
          <cell r="D953">
            <v>45358</v>
          </cell>
          <cell r="E953">
            <v>46167</v>
          </cell>
          <cell r="F953" t="str">
            <v>22013</v>
          </cell>
          <cell r="G953" t="str">
            <v>裕隆三</v>
          </cell>
          <cell r="H953">
            <v>100000</v>
          </cell>
          <cell r="I953">
            <v>3.1</v>
          </cell>
          <cell r="J953">
            <v>46167</v>
          </cell>
          <cell r="K953">
            <v>100.75190000000001</v>
          </cell>
          <cell r="L953">
            <v>46147</v>
          </cell>
          <cell r="M953">
            <v>-3686</v>
          </cell>
          <cell r="N953">
            <v>96314</v>
          </cell>
        </row>
        <row r="954">
          <cell r="A954">
            <v>22013</v>
          </cell>
          <cell r="B954">
            <v>948</v>
          </cell>
          <cell r="C954" t="str">
            <v>IASWD2403000302</v>
          </cell>
          <cell r="D954">
            <v>45358</v>
          </cell>
          <cell r="E954">
            <v>46167</v>
          </cell>
          <cell r="F954" t="str">
            <v>22013</v>
          </cell>
          <cell r="G954" t="str">
            <v>裕隆三</v>
          </cell>
          <cell r="H954">
            <v>100000</v>
          </cell>
          <cell r="I954">
            <v>3.1</v>
          </cell>
          <cell r="J954">
            <v>46167</v>
          </cell>
          <cell r="K954">
            <v>100.75190000000001</v>
          </cell>
          <cell r="L954">
            <v>46147</v>
          </cell>
          <cell r="M954">
            <v>-3686</v>
          </cell>
          <cell r="N954">
            <v>96314</v>
          </cell>
        </row>
        <row r="955">
          <cell r="A955">
            <v>22013</v>
          </cell>
          <cell r="B955">
            <v>949</v>
          </cell>
          <cell r="C955" t="str">
            <v>IASWD2403000308</v>
          </cell>
          <cell r="D955">
            <v>45358</v>
          </cell>
          <cell r="E955">
            <v>46167</v>
          </cell>
          <cell r="F955" t="str">
            <v>22013</v>
          </cell>
          <cell r="G955" t="str">
            <v>裕隆三</v>
          </cell>
          <cell r="H955">
            <v>200000</v>
          </cell>
          <cell r="I955">
            <v>3.1</v>
          </cell>
          <cell r="J955">
            <v>46167</v>
          </cell>
          <cell r="K955">
            <v>100.75190000000001</v>
          </cell>
          <cell r="L955">
            <v>46147</v>
          </cell>
          <cell r="M955">
            <v>-7372</v>
          </cell>
          <cell r="N955">
            <v>192628</v>
          </cell>
        </row>
        <row r="956">
          <cell r="A956">
            <v>22013</v>
          </cell>
          <cell r="B956">
            <v>950</v>
          </cell>
          <cell r="C956" t="str">
            <v>IASWD2403000311</v>
          </cell>
          <cell r="D956">
            <v>45358</v>
          </cell>
          <cell r="E956">
            <v>46167</v>
          </cell>
          <cell r="F956" t="str">
            <v>22013</v>
          </cell>
          <cell r="G956" t="str">
            <v>裕隆三</v>
          </cell>
          <cell r="H956">
            <v>100000</v>
          </cell>
          <cell r="I956">
            <v>3.1</v>
          </cell>
          <cell r="J956">
            <v>46167</v>
          </cell>
          <cell r="K956">
            <v>100.75190000000001</v>
          </cell>
          <cell r="L956">
            <v>46147</v>
          </cell>
          <cell r="M956">
            <v>-3686</v>
          </cell>
          <cell r="N956">
            <v>96314</v>
          </cell>
        </row>
        <row r="957">
          <cell r="A957">
            <v>22013</v>
          </cell>
          <cell r="B957">
            <v>951</v>
          </cell>
          <cell r="C957" t="str">
            <v>IASWD2403000320</v>
          </cell>
          <cell r="D957">
            <v>45359</v>
          </cell>
          <cell r="E957">
            <v>46167</v>
          </cell>
          <cell r="F957" t="str">
            <v>22013</v>
          </cell>
          <cell r="G957" t="str">
            <v>裕隆三</v>
          </cell>
          <cell r="H957">
            <v>300000</v>
          </cell>
          <cell r="I957">
            <v>3.1</v>
          </cell>
          <cell r="J957">
            <v>46167</v>
          </cell>
          <cell r="K957">
            <v>100.75190000000001</v>
          </cell>
          <cell r="L957">
            <v>46147</v>
          </cell>
          <cell r="M957">
            <v>-11033</v>
          </cell>
          <cell r="N957">
            <v>288967</v>
          </cell>
        </row>
        <row r="958">
          <cell r="A958">
            <v>99412</v>
          </cell>
          <cell r="B958">
            <v>952</v>
          </cell>
          <cell r="C958" t="str">
            <v>IASWD2403000328</v>
          </cell>
          <cell r="D958">
            <v>45359</v>
          </cell>
          <cell r="E958">
            <v>46346</v>
          </cell>
          <cell r="F958" t="str">
            <v>99412</v>
          </cell>
          <cell r="G958" t="str">
            <v>裕融二</v>
          </cell>
          <cell r="H958">
            <v>200000</v>
          </cell>
          <cell r="I958">
            <v>3.1</v>
          </cell>
          <cell r="J958">
            <v>46346</v>
          </cell>
          <cell r="K958">
            <v>100</v>
          </cell>
          <cell r="L958">
            <v>46328</v>
          </cell>
          <cell r="M958">
            <v>-7355</v>
          </cell>
          <cell r="N958">
            <v>192645</v>
          </cell>
        </row>
        <row r="959">
          <cell r="A959">
            <v>22013</v>
          </cell>
          <cell r="B959">
            <v>953</v>
          </cell>
          <cell r="C959" t="str">
            <v>IASWD2403000330</v>
          </cell>
          <cell r="D959">
            <v>45359</v>
          </cell>
          <cell r="E959">
            <v>46167</v>
          </cell>
          <cell r="F959" t="str">
            <v>22013</v>
          </cell>
          <cell r="G959" t="str">
            <v>裕隆三</v>
          </cell>
          <cell r="H959">
            <v>100000</v>
          </cell>
          <cell r="I959">
            <v>3.1</v>
          </cell>
          <cell r="J959">
            <v>46167</v>
          </cell>
          <cell r="K959">
            <v>100.75190000000001</v>
          </cell>
          <cell r="L959">
            <v>46147</v>
          </cell>
          <cell r="M959">
            <v>-3678</v>
          </cell>
          <cell r="N959">
            <v>96322</v>
          </cell>
        </row>
        <row r="960">
          <cell r="A960">
            <v>56086</v>
          </cell>
          <cell r="B960">
            <v>954</v>
          </cell>
          <cell r="C960" t="str">
            <v>IASWD2403000331</v>
          </cell>
          <cell r="D960">
            <v>45359</v>
          </cell>
          <cell r="E960">
            <v>46194</v>
          </cell>
          <cell r="F960" t="str">
            <v>56086</v>
          </cell>
          <cell r="G960" t="str">
            <v>四維航六</v>
          </cell>
          <cell r="H960">
            <v>500000</v>
          </cell>
          <cell r="I960">
            <v>2.1</v>
          </cell>
          <cell r="J960">
            <v>46194</v>
          </cell>
          <cell r="K960">
            <v>100</v>
          </cell>
          <cell r="L960">
            <v>46175</v>
          </cell>
          <cell r="M960">
            <v>-12456</v>
          </cell>
          <cell r="N960">
            <v>487544</v>
          </cell>
        </row>
        <row r="961">
          <cell r="A961">
            <v>22013</v>
          </cell>
          <cell r="B961">
            <v>955</v>
          </cell>
          <cell r="C961" t="str">
            <v>IASWD2403000334</v>
          </cell>
          <cell r="D961">
            <v>45359</v>
          </cell>
          <cell r="E961">
            <v>46167</v>
          </cell>
          <cell r="F961" t="str">
            <v>22013</v>
          </cell>
          <cell r="G961" t="str">
            <v>裕隆三</v>
          </cell>
          <cell r="H961">
            <v>200000</v>
          </cell>
          <cell r="I961">
            <v>3.1</v>
          </cell>
          <cell r="J961">
            <v>46167</v>
          </cell>
          <cell r="K961">
            <v>100.75190000000001</v>
          </cell>
          <cell r="L961">
            <v>46147</v>
          </cell>
          <cell r="M961">
            <v>-7355</v>
          </cell>
          <cell r="N961">
            <v>192645</v>
          </cell>
        </row>
        <row r="962">
          <cell r="A962">
            <v>99412</v>
          </cell>
          <cell r="B962">
            <v>956</v>
          </cell>
          <cell r="C962" t="str">
            <v>IASWD2403000343</v>
          </cell>
          <cell r="D962">
            <v>45359</v>
          </cell>
          <cell r="E962">
            <v>46346</v>
          </cell>
          <cell r="F962" t="str">
            <v>99412</v>
          </cell>
          <cell r="G962" t="str">
            <v>裕融二</v>
          </cell>
          <cell r="H962">
            <v>1100000</v>
          </cell>
          <cell r="I962">
            <v>3.1</v>
          </cell>
          <cell r="J962">
            <v>46346</v>
          </cell>
          <cell r="K962">
            <v>100</v>
          </cell>
          <cell r="L962">
            <v>46328</v>
          </cell>
          <cell r="M962">
            <v>-40453</v>
          </cell>
          <cell r="N962">
            <v>1059547</v>
          </cell>
        </row>
        <row r="963">
          <cell r="A963">
            <v>22013</v>
          </cell>
          <cell r="B963">
            <v>957</v>
          </cell>
          <cell r="C963" t="str">
            <v>IASWD2403000344</v>
          </cell>
          <cell r="D963">
            <v>45359</v>
          </cell>
          <cell r="E963">
            <v>46167</v>
          </cell>
          <cell r="F963" t="str">
            <v>22013</v>
          </cell>
          <cell r="G963" t="str">
            <v>裕隆三</v>
          </cell>
          <cell r="H963">
            <v>200000</v>
          </cell>
          <cell r="I963">
            <v>3.1</v>
          </cell>
          <cell r="J963">
            <v>46167</v>
          </cell>
          <cell r="K963">
            <v>100.75190000000001</v>
          </cell>
          <cell r="L963">
            <v>46147</v>
          </cell>
          <cell r="M963">
            <v>-7355</v>
          </cell>
          <cell r="N963">
            <v>192645</v>
          </cell>
        </row>
        <row r="964">
          <cell r="A964">
            <v>99412</v>
          </cell>
          <cell r="B964">
            <v>958</v>
          </cell>
          <cell r="C964" t="str">
            <v>IASWD2403000345</v>
          </cell>
          <cell r="D964">
            <v>45359</v>
          </cell>
          <cell r="E964">
            <v>46346</v>
          </cell>
          <cell r="F964" t="str">
            <v>99412</v>
          </cell>
          <cell r="G964" t="str">
            <v>裕融二</v>
          </cell>
          <cell r="H964">
            <v>100000</v>
          </cell>
          <cell r="I964">
            <v>3.1</v>
          </cell>
          <cell r="J964">
            <v>46346</v>
          </cell>
          <cell r="K964">
            <v>100</v>
          </cell>
          <cell r="L964">
            <v>46328</v>
          </cell>
          <cell r="M964">
            <v>-3678</v>
          </cell>
          <cell r="N964">
            <v>96322</v>
          </cell>
        </row>
        <row r="965">
          <cell r="A965">
            <v>22013</v>
          </cell>
          <cell r="B965">
            <v>959</v>
          </cell>
          <cell r="C965" t="str">
            <v>IASWD2403000346</v>
          </cell>
          <cell r="D965">
            <v>45359</v>
          </cell>
          <cell r="E965">
            <v>46167</v>
          </cell>
          <cell r="F965" t="str">
            <v>22013</v>
          </cell>
          <cell r="G965" t="str">
            <v>裕隆三</v>
          </cell>
          <cell r="H965">
            <v>200000</v>
          </cell>
          <cell r="I965">
            <v>3.1</v>
          </cell>
          <cell r="J965">
            <v>46167</v>
          </cell>
          <cell r="K965">
            <v>100.75190000000001</v>
          </cell>
          <cell r="L965">
            <v>46147</v>
          </cell>
          <cell r="M965">
            <v>-7355</v>
          </cell>
          <cell r="N965">
            <v>192645</v>
          </cell>
        </row>
        <row r="966">
          <cell r="A966">
            <v>22013</v>
          </cell>
          <cell r="B966">
            <v>960</v>
          </cell>
          <cell r="C966" t="str">
            <v>IASWD2403000349</v>
          </cell>
          <cell r="D966">
            <v>45359</v>
          </cell>
          <cell r="E966">
            <v>46167</v>
          </cell>
          <cell r="F966" t="str">
            <v>22013</v>
          </cell>
          <cell r="G966" t="str">
            <v>裕隆三</v>
          </cell>
          <cell r="H966">
            <v>100000</v>
          </cell>
          <cell r="I966">
            <v>3.1</v>
          </cell>
          <cell r="J966">
            <v>46167</v>
          </cell>
          <cell r="K966">
            <v>100.75190000000001</v>
          </cell>
          <cell r="L966">
            <v>46147</v>
          </cell>
          <cell r="M966">
            <v>-3678</v>
          </cell>
          <cell r="N966">
            <v>96322</v>
          </cell>
        </row>
        <row r="967">
          <cell r="A967">
            <v>20662</v>
          </cell>
          <cell r="B967">
            <v>961</v>
          </cell>
          <cell r="C967" t="str">
            <v>IASWD2403000352</v>
          </cell>
          <cell r="D967">
            <v>45359</v>
          </cell>
          <cell r="E967">
            <v>46234</v>
          </cell>
          <cell r="F967" t="str">
            <v>20662</v>
          </cell>
          <cell r="G967" t="str">
            <v>世德二</v>
          </cell>
          <cell r="H967">
            <v>300000</v>
          </cell>
          <cell r="I967">
            <v>4</v>
          </cell>
          <cell r="J967">
            <v>46234</v>
          </cell>
          <cell r="K967">
            <v>100</v>
          </cell>
          <cell r="L967">
            <v>46216</v>
          </cell>
          <cell r="M967">
            <v>-14236</v>
          </cell>
          <cell r="N967">
            <v>285764</v>
          </cell>
        </row>
        <row r="968">
          <cell r="A968">
            <v>99412</v>
          </cell>
          <cell r="B968">
            <v>962</v>
          </cell>
          <cell r="C968" t="str">
            <v>IASWD2403000358</v>
          </cell>
          <cell r="D968">
            <v>45359</v>
          </cell>
          <cell r="E968">
            <v>46346</v>
          </cell>
          <cell r="F968" t="str">
            <v>99412</v>
          </cell>
          <cell r="G968" t="str">
            <v>裕融二</v>
          </cell>
          <cell r="H968">
            <v>200000</v>
          </cell>
          <cell r="I968">
            <v>3.1</v>
          </cell>
          <cell r="J968">
            <v>46346</v>
          </cell>
          <cell r="K968">
            <v>100</v>
          </cell>
          <cell r="L968">
            <v>46328</v>
          </cell>
          <cell r="M968">
            <v>-7355</v>
          </cell>
          <cell r="N968">
            <v>192645</v>
          </cell>
        </row>
        <row r="969">
          <cell r="A969">
            <v>99412</v>
          </cell>
          <cell r="B969">
            <v>963</v>
          </cell>
          <cell r="C969" t="str">
            <v>IASWD2403000359</v>
          </cell>
          <cell r="D969">
            <v>45359</v>
          </cell>
          <cell r="E969">
            <v>46346</v>
          </cell>
          <cell r="F969" t="str">
            <v>99412</v>
          </cell>
          <cell r="G969" t="str">
            <v>裕融二</v>
          </cell>
          <cell r="H969">
            <v>2000000</v>
          </cell>
          <cell r="I969">
            <v>3.1</v>
          </cell>
          <cell r="J969">
            <v>46346</v>
          </cell>
          <cell r="K969">
            <v>100</v>
          </cell>
          <cell r="L969">
            <v>46328</v>
          </cell>
          <cell r="M969">
            <v>-73551</v>
          </cell>
          <cell r="N969">
            <v>1926449</v>
          </cell>
        </row>
        <row r="970">
          <cell r="A970">
            <v>22013</v>
          </cell>
          <cell r="B970">
            <v>964</v>
          </cell>
          <cell r="C970" t="str">
            <v>IASWD2403000362</v>
          </cell>
          <cell r="D970">
            <v>45359</v>
          </cell>
          <cell r="E970">
            <v>46167</v>
          </cell>
          <cell r="F970" t="str">
            <v>22013</v>
          </cell>
          <cell r="G970" t="str">
            <v>裕隆三</v>
          </cell>
          <cell r="H970">
            <v>200000</v>
          </cell>
          <cell r="I970">
            <v>3.1</v>
          </cell>
          <cell r="J970">
            <v>46167</v>
          </cell>
          <cell r="K970">
            <v>100.75190000000001</v>
          </cell>
          <cell r="L970">
            <v>46147</v>
          </cell>
          <cell r="M970">
            <v>-7355</v>
          </cell>
          <cell r="N970">
            <v>192645</v>
          </cell>
        </row>
        <row r="971">
          <cell r="A971">
            <v>99412</v>
          </cell>
          <cell r="B971">
            <v>965</v>
          </cell>
          <cell r="C971" t="str">
            <v>IASWD2403000364</v>
          </cell>
          <cell r="D971">
            <v>45359</v>
          </cell>
          <cell r="E971">
            <v>46346</v>
          </cell>
          <cell r="F971" t="str">
            <v>99412</v>
          </cell>
          <cell r="G971" t="str">
            <v>裕融二</v>
          </cell>
          <cell r="H971">
            <v>100000</v>
          </cell>
          <cell r="I971">
            <v>3.1</v>
          </cell>
          <cell r="J971">
            <v>46346</v>
          </cell>
          <cell r="K971">
            <v>100</v>
          </cell>
          <cell r="L971">
            <v>46328</v>
          </cell>
          <cell r="M971">
            <v>-3678</v>
          </cell>
          <cell r="N971">
            <v>96322</v>
          </cell>
        </row>
        <row r="972">
          <cell r="A972">
            <v>20662</v>
          </cell>
          <cell r="B972">
            <v>966</v>
          </cell>
          <cell r="C972" t="str">
            <v>IASWD2403000365</v>
          </cell>
          <cell r="D972">
            <v>45359</v>
          </cell>
          <cell r="E972">
            <v>46234</v>
          </cell>
          <cell r="F972" t="str">
            <v>20662</v>
          </cell>
          <cell r="G972" t="str">
            <v>世德二</v>
          </cell>
          <cell r="H972">
            <v>200000</v>
          </cell>
          <cell r="I972">
            <v>4</v>
          </cell>
          <cell r="J972">
            <v>46234</v>
          </cell>
          <cell r="K972">
            <v>100</v>
          </cell>
          <cell r="L972">
            <v>46216</v>
          </cell>
          <cell r="M972">
            <v>-9490</v>
          </cell>
          <cell r="N972">
            <v>190510</v>
          </cell>
        </row>
        <row r="973">
          <cell r="A973">
            <v>99412</v>
          </cell>
          <cell r="B973">
            <v>967</v>
          </cell>
          <cell r="C973" t="str">
            <v>IASWD2403000368</v>
          </cell>
          <cell r="D973">
            <v>45359</v>
          </cell>
          <cell r="E973">
            <v>46346</v>
          </cell>
          <cell r="F973" t="str">
            <v>99412</v>
          </cell>
          <cell r="G973" t="str">
            <v>裕融二</v>
          </cell>
          <cell r="H973">
            <v>5400000</v>
          </cell>
          <cell r="I973">
            <v>3.1</v>
          </cell>
          <cell r="J973">
            <v>46346</v>
          </cell>
          <cell r="K973">
            <v>100</v>
          </cell>
          <cell r="L973">
            <v>46328</v>
          </cell>
          <cell r="M973">
            <v>-198587</v>
          </cell>
          <cell r="N973">
            <v>5201413</v>
          </cell>
        </row>
        <row r="974">
          <cell r="A974">
            <v>22013</v>
          </cell>
          <cell r="B974">
            <v>968</v>
          </cell>
          <cell r="C974" t="str">
            <v>IASWD2403000373</v>
          </cell>
          <cell r="D974">
            <v>45359</v>
          </cell>
          <cell r="E974">
            <v>46167</v>
          </cell>
          <cell r="F974" t="str">
            <v>22013</v>
          </cell>
          <cell r="G974" t="str">
            <v>裕隆三</v>
          </cell>
          <cell r="H974">
            <v>600000</v>
          </cell>
          <cell r="I974">
            <v>3.1</v>
          </cell>
          <cell r="J974">
            <v>46167</v>
          </cell>
          <cell r="K974">
            <v>100.75190000000001</v>
          </cell>
          <cell r="L974">
            <v>46147</v>
          </cell>
          <cell r="M974">
            <v>-22065</v>
          </cell>
          <cell r="N974">
            <v>577935</v>
          </cell>
        </row>
        <row r="975">
          <cell r="A975">
            <v>22013</v>
          </cell>
          <cell r="B975">
            <v>969</v>
          </cell>
          <cell r="C975" t="str">
            <v>IASWD2403000374</v>
          </cell>
          <cell r="D975">
            <v>45359</v>
          </cell>
          <cell r="E975">
            <v>46167</v>
          </cell>
          <cell r="F975" t="str">
            <v>22013</v>
          </cell>
          <cell r="G975" t="str">
            <v>裕隆三</v>
          </cell>
          <cell r="H975">
            <v>100000</v>
          </cell>
          <cell r="I975">
            <v>3.1</v>
          </cell>
          <cell r="J975">
            <v>46167</v>
          </cell>
          <cell r="K975">
            <v>100.75190000000001</v>
          </cell>
          <cell r="L975">
            <v>46147</v>
          </cell>
          <cell r="M975">
            <v>-3678</v>
          </cell>
          <cell r="N975">
            <v>96322</v>
          </cell>
        </row>
        <row r="976">
          <cell r="A976">
            <v>22013</v>
          </cell>
          <cell r="B976">
            <v>970</v>
          </cell>
          <cell r="C976" t="str">
            <v>IASWD2403000377</v>
          </cell>
          <cell r="D976">
            <v>45359</v>
          </cell>
          <cell r="E976">
            <v>46167</v>
          </cell>
          <cell r="F976" t="str">
            <v>22013</v>
          </cell>
          <cell r="G976" t="str">
            <v>裕隆三</v>
          </cell>
          <cell r="H976">
            <v>100000</v>
          </cell>
          <cell r="I976">
            <v>3.1</v>
          </cell>
          <cell r="J976">
            <v>46167</v>
          </cell>
          <cell r="K976">
            <v>100.75190000000001</v>
          </cell>
          <cell r="L976">
            <v>46147</v>
          </cell>
          <cell r="M976">
            <v>-3678</v>
          </cell>
          <cell r="N976">
            <v>96322</v>
          </cell>
        </row>
        <row r="977">
          <cell r="A977">
            <v>22013</v>
          </cell>
          <cell r="B977">
            <v>971</v>
          </cell>
          <cell r="C977" t="str">
            <v>IASWD2403000379</v>
          </cell>
          <cell r="D977">
            <v>45359</v>
          </cell>
          <cell r="E977">
            <v>46167</v>
          </cell>
          <cell r="F977" t="str">
            <v>22013</v>
          </cell>
          <cell r="G977" t="str">
            <v>裕隆三</v>
          </cell>
          <cell r="H977">
            <v>100000</v>
          </cell>
          <cell r="I977">
            <v>3.1</v>
          </cell>
          <cell r="J977">
            <v>46167</v>
          </cell>
          <cell r="K977">
            <v>100.75190000000001</v>
          </cell>
          <cell r="L977">
            <v>46147</v>
          </cell>
          <cell r="M977">
            <v>-3678</v>
          </cell>
          <cell r="N977">
            <v>96322</v>
          </cell>
        </row>
        <row r="978">
          <cell r="A978">
            <v>22013</v>
          </cell>
          <cell r="B978">
            <v>972</v>
          </cell>
          <cell r="C978" t="str">
            <v>IASWD2403000380</v>
          </cell>
          <cell r="D978">
            <v>45359</v>
          </cell>
          <cell r="E978">
            <v>46167</v>
          </cell>
          <cell r="F978" t="str">
            <v>22013</v>
          </cell>
          <cell r="G978" t="str">
            <v>裕隆三</v>
          </cell>
          <cell r="H978">
            <v>100000</v>
          </cell>
          <cell r="I978">
            <v>3.1</v>
          </cell>
          <cell r="J978">
            <v>46167</v>
          </cell>
          <cell r="K978">
            <v>100.75190000000001</v>
          </cell>
          <cell r="L978">
            <v>46147</v>
          </cell>
          <cell r="M978">
            <v>-3678</v>
          </cell>
          <cell r="N978">
            <v>96322</v>
          </cell>
        </row>
        <row r="979">
          <cell r="A979">
            <v>22013</v>
          </cell>
          <cell r="B979">
            <v>973</v>
          </cell>
          <cell r="C979" t="str">
            <v>IASWD2403000381</v>
          </cell>
          <cell r="D979">
            <v>45359</v>
          </cell>
          <cell r="E979">
            <v>46167</v>
          </cell>
          <cell r="F979" t="str">
            <v>22013</v>
          </cell>
          <cell r="G979" t="str">
            <v>裕隆三</v>
          </cell>
          <cell r="H979">
            <v>200000</v>
          </cell>
          <cell r="I979">
            <v>3.1</v>
          </cell>
          <cell r="J979">
            <v>46167</v>
          </cell>
          <cell r="K979">
            <v>100.75190000000001</v>
          </cell>
          <cell r="L979">
            <v>46147</v>
          </cell>
          <cell r="M979">
            <v>-7355</v>
          </cell>
          <cell r="N979">
            <v>192645</v>
          </cell>
        </row>
        <row r="980">
          <cell r="A980">
            <v>30061</v>
          </cell>
          <cell r="B980">
            <v>974</v>
          </cell>
          <cell r="C980" t="str">
            <v>IASWD2403000385</v>
          </cell>
          <cell r="D980">
            <v>45359</v>
          </cell>
          <cell r="E980">
            <v>46322</v>
          </cell>
          <cell r="F980" t="str">
            <v>30061</v>
          </cell>
          <cell r="G980" t="str">
            <v>晶豪科一</v>
          </cell>
          <cell r="H980">
            <v>100000</v>
          </cell>
          <cell r="I980">
            <v>3.75</v>
          </cell>
          <cell r="J980">
            <v>46322</v>
          </cell>
          <cell r="K980">
            <v>100</v>
          </cell>
          <cell r="L980">
            <v>46302</v>
          </cell>
          <cell r="M980">
            <v>-4449</v>
          </cell>
          <cell r="N980">
            <v>95551</v>
          </cell>
        </row>
        <row r="981">
          <cell r="A981">
            <v>22013</v>
          </cell>
          <cell r="B981">
            <v>975</v>
          </cell>
          <cell r="C981" t="str">
            <v>IASWD2403000387</v>
          </cell>
          <cell r="D981">
            <v>45359</v>
          </cell>
          <cell r="E981">
            <v>46167</v>
          </cell>
          <cell r="F981" t="str">
            <v>22013</v>
          </cell>
          <cell r="G981" t="str">
            <v>裕隆三</v>
          </cell>
          <cell r="H981">
            <v>100000</v>
          </cell>
          <cell r="I981">
            <v>3.1</v>
          </cell>
          <cell r="J981">
            <v>46167</v>
          </cell>
          <cell r="K981">
            <v>100.75190000000001</v>
          </cell>
          <cell r="L981">
            <v>46147</v>
          </cell>
          <cell r="M981">
            <v>-3678</v>
          </cell>
          <cell r="N981">
            <v>96322</v>
          </cell>
        </row>
        <row r="982">
          <cell r="A982">
            <v>22013</v>
          </cell>
          <cell r="B982">
            <v>976</v>
          </cell>
          <cell r="C982" t="str">
            <v>IASWD2403000392</v>
          </cell>
          <cell r="D982">
            <v>45359</v>
          </cell>
          <cell r="E982">
            <v>46167</v>
          </cell>
          <cell r="F982" t="str">
            <v>22013</v>
          </cell>
          <cell r="G982" t="str">
            <v>裕隆三</v>
          </cell>
          <cell r="H982">
            <v>100000</v>
          </cell>
          <cell r="I982">
            <v>3.1</v>
          </cell>
          <cell r="J982">
            <v>46167</v>
          </cell>
          <cell r="K982">
            <v>100.75190000000001</v>
          </cell>
          <cell r="L982">
            <v>46147</v>
          </cell>
          <cell r="M982">
            <v>-3678</v>
          </cell>
          <cell r="N982">
            <v>96322</v>
          </cell>
        </row>
        <row r="983">
          <cell r="A983">
            <v>27323</v>
          </cell>
          <cell r="B983">
            <v>977</v>
          </cell>
          <cell r="C983" t="str">
            <v>IASWD2403000395</v>
          </cell>
          <cell r="D983">
            <v>45359</v>
          </cell>
          <cell r="E983">
            <v>46048</v>
          </cell>
          <cell r="F983" t="str">
            <v>27323</v>
          </cell>
          <cell r="G983" t="str">
            <v>六角三</v>
          </cell>
          <cell r="H983">
            <v>500000</v>
          </cell>
          <cell r="I983">
            <v>3</v>
          </cell>
          <cell r="J983">
            <v>46048</v>
          </cell>
          <cell r="K983">
            <v>101</v>
          </cell>
          <cell r="L983">
            <v>46028</v>
          </cell>
          <cell r="M983">
            <v>-17795</v>
          </cell>
          <cell r="N983">
            <v>482205</v>
          </cell>
        </row>
        <row r="984">
          <cell r="A984">
            <v>22013</v>
          </cell>
          <cell r="B984">
            <v>978</v>
          </cell>
          <cell r="C984" t="str">
            <v>IASWD2403000397</v>
          </cell>
          <cell r="D984">
            <v>45359</v>
          </cell>
          <cell r="E984">
            <v>46167</v>
          </cell>
          <cell r="F984" t="str">
            <v>22013</v>
          </cell>
          <cell r="G984" t="str">
            <v>裕隆三</v>
          </cell>
          <cell r="H984">
            <v>200000</v>
          </cell>
          <cell r="I984">
            <v>3.1</v>
          </cell>
          <cell r="J984">
            <v>46167</v>
          </cell>
          <cell r="K984">
            <v>100.75190000000001</v>
          </cell>
          <cell r="L984">
            <v>46147</v>
          </cell>
          <cell r="M984">
            <v>-7355</v>
          </cell>
          <cell r="N984">
            <v>192645</v>
          </cell>
        </row>
        <row r="985">
          <cell r="A985">
            <v>99412</v>
          </cell>
          <cell r="B985">
            <v>979</v>
          </cell>
          <cell r="C985" t="str">
            <v>IASWD2403000401</v>
          </cell>
          <cell r="D985">
            <v>45359</v>
          </cell>
          <cell r="E985">
            <v>46346</v>
          </cell>
          <cell r="F985" t="str">
            <v>99412</v>
          </cell>
          <cell r="G985" t="str">
            <v>裕融二</v>
          </cell>
          <cell r="H985">
            <v>400000</v>
          </cell>
          <cell r="I985">
            <v>3.1</v>
          </cell>
          <cell r="J985">
            <v>46346</v>
          </cell>
          <cell r="K985">
            <v>100</v>
          </cell>
          <cell r="L985">
            <v>46328</v>
          </cell>
          <cell r="M985">
            <v>-14710</v>
          </cell>
          <cell r="N985">
            <v>385290</v>
          </cell>
        </row>
        <row r="986">
          <cell r="A986">
            <v>30061</v>
          </cell>
          <cell r="B986">
            <v>980</v>
          </cell>
          <cell r="C986" t="str">
            <v>IASWD2403000404</v>
          </cell>
          <cell r="D986">
            <v>45362</v>
          </cell>
          <cell r="E986">
            <v>46322</v>
          </cell>
          <cell r="F986" t="str">
            <v>30061</v>
          </cell>
          <cell r="G986" t="str">
            <v>晶豪科一</v>
          </cell>
          <cell r="H986">
            <v>100000</v>
          </cell>
          <cell r="I986">
            <v>3.75</v>
          </cell>
          <cell r="J986">
            <v>46322</v>
          </cell>
          <cell r="K986">
            <v>100</v>
          </cell>
          <cell r="L986">
            <v>46302</v>
          </cell>
          <cell r="M986">
            <v>-4418</v>
          </cell>
          <cell r="N986">
            <v>95582</v>
          </cell>
        </row>
        <row r="987">
          <cell r="A987">
            <v>22013</v>
          </cell>
          <cell r="B987">
            <v>981</v>
          </cell>
          <cell r="C987" t="str">
            <v>IASWD2403000408</v>
          </cell>
          <cell r="D987">
            <v>45362</v>
          </cell>
          <cell r="E987">
            <v>46167</v>
          </cell>
          <cell r="F987" t="str">
            <v>22013</v>
          </cell>
          <cell r="G987" t="str">
            <v>裕隆三</v>
          </cell>
          <cell r="H987">
            <v>500000</v>
          </cell>
          <cell r="I987">
            <v>3.1</v>
          </cell>
          <cell r="J987">
            <v>46167</v>
          </cell>
          <cell r="K987">
            <v>100.75190000000001</v>
          </cell>
          <cell r="L987">
            <v>46147</v>
          </cell>
          <cell r="M987">
            <v>-18260</v>
          </cell>
          <cell r="N987">
            <v>481740</v>
          </cell>
        </row>
        <row r="988">
          <cell r="A988">
            <v>20662</v>
          </cell>
          <cell r="B988">
            <v>982</v>
          </cell>
          <cell r="C988" t="str">
            <v>IASWD2403000411</v>
          </cell>
          <cell r="D988">
            <v>45362</v>
          </cell>
          <cell r="E988">
            <v>46234</v>
          </cell>
          <cell r="F988" t="str">
            <v>20662</v>
          </cell>
          <cell r="G988" t="str">
            <v>世德二</v>
          </cell>
          <cell r="H988">
            <v>100000</v>
          </cell>
          <cell r="I988">
            <v>4</v>
          </cell>
          <cell r="J988">
            <v>46234</v>
          </cell>
          <cell r="K988">
            <v>100</v>
          </cell>
          <cell r="L988">
            <v>46216</v>
          </cell>
          <cell r="M988">
            <v>-4712</v>
          </cell>
          <cell r="N988">
            <v>95288</v>
          </cell>
        </row>
        <row r="989">
          <cell r="A989">
            <v>56086</v>
          </cell>
          <cell r="B989">
            <v>983</v>
          </cell>
          <cell r="C989" t="str">
            <v>IASWD2403000419</v>
          </cell>
          <cell r="D989">
            <v>45362</v>
          </cell>
          <cell r="E989">
            <v>46194</v>
          </cell>
          <cell r="F989" t="str">
            <v>56086</v>
          </cell>
          <cell r="G989" t="str">
            <v>四維航六</v>
          </cell>
          <cell r="H989">
            <v>1000000</v>
          </cell>
          <cell r="I989">
            <v>2.1</v>
          </cell>
          <cell r="J989">
            <v>46194</v>
          </cell>
          <cell r="K989">
            <v>100</v>
          </cell>
          <cell r="L989">
            <v>46175</v>
          </cell>
          <cell r="M989">
            <v>-24740</v>
          </cell>
          <cell r="N989">
            <v>975260</v>
          </cell>
        </row>
        <row r="990">
          <cell r="A990">
            <v>20662</v>
          </cell>
          <cell r="B990">
            <v>984</v>
          </cell>
          <cell r="C990" t="str">
            <v>IASWD2403000432</v>
          </cell>
          <cell r="D990">
            <v>45362</v>
          </cell>
          <cell r="E990">
            <v>46234</v>
          </cell>
          <cell r="F990" t="str">
            <v>20662</v>
          </cell>
          <cell r="G990" t="str">
            <v>世德二</v>
          </cell>
          <cell r="H990">
            <v>1000000</v>
          </cell>
          <cell r="I990">
            <v>4</v>
          </cell>
          <cell r="J990">
            <v>46234</v>
          </cell>
          <cell r="K990">
            <v>100</v>
          </cell>
          <cell r="L990">
            <v>46216</v>
          </cell>
          <cell r="M990">
            <v>-47123</v>
          </cell>
          <cell r="N990">
            <v>952877</v>
          </cell>
        </row>
        <row r="991">
          <cell r="A991">
            <v>22013</v>
          </cell>
          <cell r="B991">
            <v>985</v>
          </cell>
          <cell r="C991" t="str">
            <v>IASWD2403000441</v>
          </cell>
          <cell r="D991">
            <v>45363</v>
          </cell>
          <cell r="E991">
            <v>46167</v>
          </cell>
          <cell r="F991" t="str">
            <v>22013</v>
          </cell>
          <cell r="G991" t="str">
            <v>裕隆三</v>
          </cell>
          <cell r="H991">
            <v>100000</v>
          </cell>
          <cell r="I991">
            <v>3.1</v>
          </cell>
          <cell r="J991">
            <v>46167</v>
          </cell>
          <cell r="K991">
            <v>100.75190000000001</v>
          </cell>
          <cell r="L991">
            <v>46147</v>
          </cell>
          <cell r="M991">
            <v>-3644</v>
          </cell>
          <cell r="N991">
            <v>96356</v>
          </cell>
        </row>
        <row r="992">
          <cell r="A992">
            <v>22013</v>
          </cell>
          <cell r="B992">
            <v>986</v>
          </cell>
          <cell r="C992" t="str">
            <v>IASWD2403000442</v>
          </cell>
          <cell r="D992">
            <v>45363</v>
          </cell>
          <cell r="E992">
            <v>46167</v>
          </cell>
          <cell r="F992" t="str">
            <v>22013</v>
          </cell>
          <cell r="G992" t="str">
            <v>裕隆三</v>
          </cell>
          <cell r="H992">
            <v>100000</v>
          </cell>
          <cell r="I992">
            <v>3.1</v>
          </cell>
          <cell r="J992">
            <v>46167</v>
          </cell>
          <cell r="K992">
            <v>100.75190000000001</v>
          </cell>
          <cell r="L992">
            <v>46147</v>
          </cell>
          <cell r="M992">
            <v>-3644</v>
          </cell>
          <cell r="N992">
            <v>96356</v>
          </cell>
        </row>
        <row r="993">
          <cell r="A993">
            <v>27323</v>
          </cell>
          <cell r="B993">
            <v>987</v>
          </cell>
          <cell r="C993" t="str">
            <v>IASWD2403000443</v>
          </cell>
          <cell r="D993">
            <v>45363</v>
          </cell>
          <cell r="E993">
            <v>46048</v>
          </cell>
          <cell r="F993" t="str">
            <v>27323</v>
          </cell>
          <cell r="G993" t="str">
            <v>六角三</v>
          </cell>
          <cell r="H993">
            <v>300000</v>
          </cell>
          <cell r="I993">
            <v>3</v>
          </cell>
          <cell r="J993">
            <v>46048</v>
          </cell>
          <cell r="K993">
            <v>101</v>
          </cell>
          <cell r="L993">
            <v>46028</v>
          </cell>
          <cell r="M993">
            <v>-10578</v>
          </cell>
          <cell r="N993">
            <v>289422</v>
          </cell>
        </row>
        <row r="994">
          <cell r="A994">
            <v>22013</v>
          </cell>
          <cell r="B994">
            <v>988</v>
          </cell>
          <cell r="C994" t="str">
            <v>IASWD2403000445</v>
          </cell>
          <cell r="D994">
            <v>45363</v>
          </cell>
          <cell r="E994">
            <v>46167</v>
          </cell>
          <cell r="F994" t="str">
            <v>22013</v>
          </cell>
          <cell r="G994" t="str">
            <v>裕隆三</v>
          </cell>
          <cell r="H994">
            <v>200000</v>
          </cell>
          <cell r="I994">
            <v>3.1</v>
          </cell>
          <cell r="J994">
            <v>46167</v>
          </cell>
          <cell r="K994">
            <v>100.75190000000001</v>
          </cell>
          <cell r="L994">
            <v>46147</v>
          </cell>
          <cell r="M994">
            <v>-7287</v>
          </cell>
          <cell r="N994">
            <v>192713</v>
          </cell>
        </row>
        <row r="995">
          <cell r="A995">
            <v>20662</v>
          </cell>
          <cell r="B995">
            <v>989</v>
          </cell>
          <cell r="C995" t="str">
            <v>IASWD2403000458</v>
          </cell>
          <cell r="D995">
            <v>45363</v>
          </cell>
          <cell r="E995">
            <v>46234</v>
          </cell>
          <cell r="F995" t="str">
            <v>20662</v>
          </cell>
          <cell r="G995" t="str">
            <v>世德二</v>
          </cell>
          <cell r="H995">
            <v>500000</v>
          </cell>
          <cell r="I995">
            <v>4</v>
          </cell>
          <cell r="J995">
            <v>46234</v>
          </cell>
          <cell r="K995">
            <v>100</v>
          </cell>
          <cell r="L995">
            <v>46216</v>
          </cell>
          <cell r="M995">
            <v>-23507</v>
          </cell>
          <cell r="N995">
            <v>476493</v>
          </cell>
        </row>
        <row r="996">
          <cell r="A996">
            <v>27323</v>
          </cell>
          <cell r="B996">
            <v>990</v>
          </cell>
          <cell r="C996" t="str">
            <v>IASWD2403000459</v>
          </cell>
          <cell r="D996">
            <v>45363</v>
          </cell>
          <cell r="E996">
            <v>46048</v>
          </cell>
          <cell r="F996" t="str">
            <v>27323</v>
          </cell>
          <cell r="G996" t="str">
            <v>六角三</v>
          </cell>
          <cell r="H996">
            <v>100000</v>
          </cell>
          <cell r="I996">
            <v>3</v>
          </cell>
          <cell r="J996">
            <v>46048</v>
          </cell>
          <cell r="K996">
            <v>101</v>
          </cell>
          <cell r="L996">
            <v>46028</v>
          </cell>
          <cell r="M996">
            <v>-3526</v>
          </cell>
          <cell r="N996">
            <v>96474</v>
          </cell>
        </row>
        <row r="997">
          <cell r="A997">
            <v>22013</v>
          </cell>
          <cell r="B997">
            <v>991</v>
          </cell>
          <cell r="C997" t="str">
            <v>IASWD2403000461</v>
          </cell>
          <cell r="D997">
            <v>45363</v>
          </cell>
          <cell r="E997">
            <v>46167</v>
          </cell>
          <cell r="F997" t="str">
            <v>22013</v>
          </cell>
          <cell r="G997" t="str">
            <v>裕隆三</v>
          </cell>
          <cell r="H997">
            <v>200000</v>
          </cell>
          <cell r="I997">
            <v>3.1</v>
          </cell>
          <cell r="J997">
            <v>46167</v>
          </cell>
          <cell r="K997">
            <v>100.75190000000001</v>
          </cell>
          <cell r="L997">
            <v>46147</v>
          </cell>
          <cell r="M997">
            <v>-7287</v>
          </cell>
          <cell r="N997">
            <v>192713</v>
          </cell>
        </row>
        <row r="998">
          <cell r="A998">
            <v>27323</v>
          </cell>
          <cell r="B998">
            <v>992</v>
          </cell>
          <cell r="C998" t="str">
            <v>IASWD2403000463</v>
          </cell>
          <cell r="D998">
            <v>45363</v>
          </cell>
          <cell r="E998">
            <v>46048</v>
          </cell>
          <cell r="F998" t="str">
            <v>27323</v>
          </cell>
          <cell r="G998" t="str">
            <v>六角三</v>
          </cell>
          <cell r="H998">
            <v>100000</v>
          </cell>
          <cell r="I998">
            <v>3</v>
          </cell>
          <cell r="J998">
            <v>46048</v>
          </cell>
          <cell r="K998">
            <v>101</v>
          </cell>
          <cell r="L998">
            <v>46028</v>
          </cell>
          <cell r="M998">
            <v>-3526</v>
          </cell>
          <cell r="N998">
            <v>96474</v>
          </cell>
        </row>
        <row r="999">
          <cell r="A999">
            <v>22013</v>
          </cell>
          <cell r="B999">
            <v>993</v>
          </cell>
          <cell r="C999" t="str">
            <v>IASWD2403000466</v>
          </cell>
          <cell r="D999">
            <v>45363</v>
          </cell>
          <cell r="E999">
            <v>46167</v>
          </cell>
          <cell r="F999" t="str">
            <v>22013</v>
          </cell>
          <cell r="G999" t="str">
            <v>裕隆三</v>
          </cell>
          <cell r="H999">
            <v>100000</v>
          </cell>
          <cell r="I999">
            <v>3.1</v>
          </cell>
          <cell r="J999">
            <v>46167</v>
          </cell>
          <cell r="K999">
            <v>100.75190000000001</v>
          </cell>
          <cell r="L999">
            <v>46147</v>
          </cell>
          <cell r="M999">
            <v>-3644</v>
          </cell>
          <cell r="N999">
            <v>96356</v>
          </cell>
        </row>
        <row r="1000">
          <cell r="A1000">
            <v>22013</v>
          </cell>
          <cell r="B1000">
            <v>994</v>
          </cell>
          <cell r="C1000" t="str">
            <v>IASWD2403000468</v>
          </cell>
          <cell r="D1000">
            <v>45363</v>
          </cell>
          <cell r="E1000">
            <v>46167</v>
          </cell>
          <cell r="F1000" t="str">
            <v>22013</v>
          </cell>
          <cell r="G1000" t="str">
            <v>裕隆三</v>
          </cell>
          <cell r="H1000">
            <v>600000</v>
          </cell>
          <cell r="I1000">
            <v>3.1</v>
          </cell>
          <cell r="J1000">
            <v>46167</v>
          </cell>
          <cell r="K1000">
            <v>100.75190000000001</v>
          </cell>
          <cell r="L1000">
            <v>46147</v>
          </cell>
          <cell r="M1000">
            <v>-21861</v>
          </cell>
          <cell r="N1000">
            <v>578139</v>
          </cell>
        </row>
        <row r="1001">
          <cell r="A1001">
            <v>22013</v>
          </cell>
          <cell r="B1001">
            <v>995</v>
          </cell>
          <cell r="C1001" t="str">
            <v>IASWD2403000473</v>
          </cell>
          <cell r="D1001">
            <v>45363</v>
          </cell>
          <cell r="E1001">
            <v>46167</v>
          </cell>
          <cell r="F1001" t="str">
            <v>22013</v>
          </cell>
          <cell r="G1001" t="str">
            <v>裕隆三</v>
          </cell>
          <cell r="H1001">
            <v>100000</v>
          </cell>
          <cell r="I1001">
            <v>3.1</v>
          </cell>
          <cell r="J1001">
            <v>46167</v>
          </cell>
          <cell r="K1001">
            <v>100.75190000000001</v>
          </cell>
          <cell r="L1001">
            <v>46147</v>
          </cell>
          <cell r="M1001">
            <v>-3644</v>
          </cell>
          <cell r="N1001">
            <v>96356</v>
          </cell>
        </row>
        <row r="1002">
          <cell r="A1002">
            <v>30061</v>
          </cell>
          <cell r="B1002">
            <v>996</v>
          </cell>
          <cell r="C1002" t="str">
            <v>IASWD2403000477</v>
          </cell>
          <cell r="D1002">
            <v>45363</v>
          </cell>
          <cell r="E1002">
            <v>46322</v>
          </cell>
          <cell r="F1002" t="str">
            <v>30061</v>
          </cell>
          <cell r="G1002" t="str">
            <v>晶豪科一</v>
          </cell>
          <cell r="H1002">
            <v>100000</v>
          </cell>
          <cell r="I1002">
            <v>3.75</v>
          </cell>
          <cell r="J1002">
            <v>46322</v>
          </cell>
          <cell r="K1002">
            <v>100</v>
          </cell>
          <cell r="L1002">
            <v>46302</v>
          </cell>
          <cell r="M1002">
            <v>-4408</v>
          </cell>
          <cell r="N1002">
            <v>95592</v>
          </cell>
        </row>
        <row r="1003">
          <cell r="A1003">
            <v>30061</v>
          </cell>
          <cell r="B1003">
            <v>997</v>
          </cell>
          <cell r="C1003" t="str">
            <v>IASWD2403000481</v>
          </cell>
          <cell r="D1003">
            <v>45363</v>
          </cell>
          <cell r="E1003">
            <v>46322</v>
          </cell>
          <cell r="F1003" t="str">
            <v>30061</v>
          </cell>
          <cell r="G1003" t="str">
            <v>晶豪科一</v>
          </cell>
          <cell r="H1003">
            <v>100000</v>
          </cell>
          <cell r="I1003">
            <v>3.75</v>
          </cell>
          <cell r="J1003">
            <v>46322</v>
          </cell>
          <cell r="K1003">
            <v>100</v>
          </cell>
          <cell r="L1003">
            <v>46302</v>
          </cell>
          <cell r="M1003">
            <v>-4408</v>
          </cell>
          <cell r="N1003">
            <v>95592</v>
          </cell>
        </row>
        <row r="1004">
          <cell r="A1004">
            <v>22013</v>
          </cell>
          <cell r="B1004">
            <v>998</v>
          </cell>
          <cell r="C1004" t="str">
            <v>IASWD2403000482</v>
          </cell>
          <cell r="D1004">
            <v>45363</v>
          </cell>
          <cell r="E1004">
            <v>46167</v>
          </cell>
          <cell r="F1004" t="str">
            <v>22013</v>
          </cell>
          <cell r="G1004" t="str">
            <v>裕隆三</v>
          </cell>
          <cell r="H1004">
            <v>100000</v>
          </cell>
          <cell r="I1004">
            <v>3.1</v>
          </cell>
          <cell r="J1004">
            <v>46167</v>
          </cell>
          <cell r="K1004">
            <v>100.75190000000001</v>
          </cell>
          <cell r="L1004">
            <v>46147</v>
          </cell>
          <cell r="M1004">
            <v>-3644</v>
          </cell>
          <cell r="N1004">
            <v>96356</v>
          </cell>
        </row>
        <row r="1005">
          <cell r="A1005">
            <v>22013</v>
          </cell>
          <cell r="B1005">
            <v>999</v>
          </cell>
          <cell r="C1005" t="str">
            <v>IASWD2403000483</v>
          </cell>
          <cell r="D1005">
            <v>45363</v>
          </cell>
          <cell r="E1005">
            <v>46167</v>
          </cell>
          <cell r="F1005" t="str">
            <v>22013</v>
          </cell>
          <cell r="G1005" t="str">
            <v>裕隆三</v>
          </cell>
          <cell r="H1005">
            <v>500000</v>
          </cell>
          <cell r="I1005">
            <v>3.1</v>
          </cell>
          <cell r="J1005">
            <v>46167</v>
          </cell>
          <cell r="K1005">
            <v>100.75190000000001</v>
          </cell>
          <cell r="L1005">
            <v>46147</v>
          </cell>
          <cell r="M1005">
            <v>-18218</v>
          </cell>
          <cell r="N1005">
            <v>481782</v>
          </cell>
        </row>
        <row r="1006">
          <cell r="A1006">
            <v>22013</v>
          </cell>
          <cell r="B1006">
            <v>1000</v>
          </cell>
          <cell r="C1006" t="str">
            <v>IASWD2403000487</v>
          </cell>
          <cell r="D1006">
            <v>45363</v>
          </cell>
          <cell r="E1006">
            <v>46167</v>
          </cell>
          <cell r="F1006" t="str">
            <v>22013</v>
          </cell>
          <cell r="G1006" t="str">
            <v>裕隆三</v>
          </cell>
          <cell r="H1006">
            <v>100000</v>
          </cell>
          <cell r="I1006">
            <v>3.1</v>
          </cell>
          <cell r="J1006">
            <v>46167</v>
          </cell>
          <cell r="K1006">
            <v>100.75190000000001</v>
          </cell>
          <cell r="L1006">
            <v>46147</v>
          </cell>
          <cell r="M1006">
            <v>-3644</v>
          </cell>
          <cell r="N1006">
            <v>96356</v>
          </cell>
        </row>
        <row r="1007">
          <cell r="A1007">
            <v>22013</v>
          </cell>
          <cell r="B1007">
            <v>1001</v>
          </cell>
          <cell r="C1007" t="str">
            <v>IASWD2403000496</v>
          </cell>
          <cell r="D1007">
            <v>45363</v>
          </cell>
          <cell r="E1007">
            <v>46167</v>
          </cell>
          <cell r="F1007" t="str">
            <v>22013</v>
          </cell>
          <cell r="G1007" t="str">
            <v>裕隆三</v>
          </cell>
          <cell r="H1007">
            <v>200000</v>
          </cell>
          <cell r="I1007">
            <v>3.1</v>
          </cell>
          <cell r="J1007">
            <v>46167</v>
          </cell>
          <cell r="K1007">
            <v>100.75190000000001</v>
          </cell>
          <cell r="L1007">
            <v>46147</v>
          </cell>
          <cell r="M1007">
            <v>-7287</v>
          </cell>
          <cell r="N1007">
            <v>192713</v>
          </cell>
        </row>
        <row r="1008">
          <cell r="A1008">
            <v>20662</v>
          </cell>
          <cell r="B1008">
            <v>1002</v>
          </cell>
          <cell r="C1008" t="str">
            <v>IASWD2403000498</v>
          </cell>
          <cell r="D1008">
            <v>45363</v>
          </cell>
          <cell r="E1008">
            <v>46234</v>
          </cell>
          <cell r="F1008" t="str">
            <v>20662</v>
          </cell>
          <cell r="G1008" t="str">
            <v>世德二</v>
          </cell>
          <cell r="H1008">
            <v>100000</v>
          </cell>
          <cell r="I1008">
            <v>4</v>
          </cell>
          <cell r="J1008">
            <v>46234</v>
          </cell>
          <cell r="K1008">
            <v>100</v>
          </cell>
          <cell r="L1008">
            <v>46216</v>
          </cell>
          <cell r="M1008">
            <v>-4701</v>
          </cell>
          <cell r="N1008">
            <v>95299</v>
          </cell>
        </row>
        <row r="1009">
          <cell r="A1009">
            <v>22013</v>
          </cell>
          <cell r="B1009">
            <v>1003</v>
          </cell>
          <cell r="C1009" t="str">
            <v>IASWD2403000500</v>
          </cell>
          <cell r="D1009">
            <v>45363</v>
          </cell>
          <cell r="E1009">
            <v>46167</v>
          </cell>
          <cell r="F1009" t="str">
            <v>22013</v>
          </cell>
          <cell r="G1009" t="str">
            <v>裕隆三</v>
          </cell>
          <cell r="H1009">
            <v>100000</v>
          </cell>
          <cell r="I1009">
            <v>3.1</v>
          </cell>
          <cell r="J1009">
            <v>46167</v>
          </cell>
          <cell r="K1009">
            <v>100.75190000000001</v>
          </cell>
          <cell r="L1009">
            <v>46147</v>
          </cell>
          <cell r="M1009">
            <v>-3644</v>
          </cell>
          <cell r="N1009">
            <v>96356</v>
          </cell>
        </row>
        <row r="1010">
          <cell r="A1010">
            <v>20662</v>
          </cell>
          <cell r="B1010">
            <v>1004</v>
          </cell>
          <cell r="C1010" t="str">
            <v>IASWD2403000503</v>
          </cell>
          <cell r="D1010">
            <v>45363</v>
          </cell>
          <cell r="E1010">
            <v>46234</v>
          </cell>
          <cell r="F1010" t="str">
            <v>20662</v>
          </cell>
          <cell r="G1010" t="str">
            <v>世德二</v>
          </cell>
          <cell r="H1010">
            <v>500000</v>
          </cell>
          <cell r="I1010">
            <v>4</v>
          </cell>
          <cell r="J1010">
            <v>46234</v>
          </cell>
          <cell r="K1010">
            <v>100</v>
          </cell>
          <cell r="L1010">
            <v>46216</v>
          </cell>
          <cell r="M1010">
            <v>-23507</v>
          </cell>
          <cell r="N1010">
            <v>476493</v>
          </cell>
        </row>
        <row r="1011">
          <cell r="A1011">
            <v>22013</v>
          </cell>
          <cell r="B1011">
            <v>1005</v>
          </cell>
          <cell r="C1011" t="str">
            <v>IASWD2403000510</v>
          </cell>
          <cell r="D1011">
            <v>45364</v>
          </cell>
          <cell r="E1011">
            <v>46167</v>
          </cell>
          <cell r="F1011" t="str">
            <v>22013</v>
          </cell>
          <cell r="G1011" t="str">
            <v>裕隆三</v>
          </cell>
          <cell r="H1011">
            <v>600000</v>
          </cell>
          <cell r="I1011">
            <v>3.1</v>
          </cell>
          <cell r="J1011">
            <v>46167</v>
          </cell>
          <cell r="K1011">
            <v>100.75190000000001</v>
          </cell>
          <cell r="L1011">
            <v>46147</v>
          </cell>
          <cell r="M1011">
            <v>-21810</v>
          </cell>
          <cell r="N1011">
            <v>578190</v>
          </cell>
        </row>
        <row r="1012">
          <cell r="A1012">
            <v>22013</v>
          </cell>
          <cell r="B1012">
            <v>1006</v>
          </cell>
          <cell r="C1012" t="str">
            <v>IASWD2403000512</v>
          </cell>
          <cell r="D1012">
            <v>45364</v>
          </cell>
          <cell r="E1012">
            <v>46167</v>
          </cell>
          <cell r="F1012" t="str">
            <v>22013</v>
          </cell>
          <cell r="G1012" t="str">
            <v>裕隆三</v>
          </cell>
          <cell r="H1012">
            <v>200000</v>
          </cell>
          <cell r="I1012">
            <v>3.1</v>
          </cell>
          <cell r="J1012">
            <v>46167</v>
          </cell>
          <cell r="K1012">
            <v>100.75190000000001</v>
          </cell>
          <cell r="L1012">
            <v>46147</v>
          </cell>
          <cell r="M1012">
            <v>-7270</v>
          </cell>
          <cell r="N1012">
            <v>192730</v>
          </cell>
        </row>
        <row r="1013">
          <cell r="A1013">
            <v>22013</v>
          </cell>
          <cell r="B1013">
            <v>1007</v>
          </cell>
          <cell r="C1013" t="str">
            <v>IASWD2403000517</v>
          </cell>
          <cell r="D1013">
            <v>45364</v>
          </cell>
          <cell r="E1013">
            <v>46167</v>
          </cell>
          <cell r="F1013" t="str">
            <v>22013</v>
          </cell>
          <cell r="G1013" t="str">
            <v>裕隆三</v>
          </cell>
          <cell r="H1013">
            <v>100000</v>
          </cell>
          <cell r="I1013">
            <v>3.1</v>
          </cell>
          <cell r="J1013">
            <v>46167</v>
          </cell>
          <cell r="K1013">
            <v>100.75190000000001</v>
          </cell>
          <cell r="L1013">
            <v>46147</v>
          </cell>
          <cell r="M1013">
            <v>-3635</v>
          </cell>
          <cell r="N1013">
            <v>96365</v>
          </cell>
        </row>
        <row r="1014">
          <cell r="A1014">
            <v>22013</v>
          </cell>
          <cell r="B1014">
            <v>1008</v>
          </cell>
          <cell r="C1014" t="str">
            <v>IASWD2403000531</v>
          </cell>
          <cell r="D1014">
            <v>45364</v>
          </cell>
          <cell r="E1014">
            <v>46167</v>
          </cell>
          <cell r="F1014" t="str">
            <v>22013</v>
          </cell>
          <cell r="G1014" t="str">
            <v>裕隆三</v>
          </cell>
          <cell r="H1014">
            <v>100000</v>
          </cell>
          <cell r="I1014">
            <v>3.1</v>
          </cell>
          <cell r="J1014">
            <v>46167</v>
          </cell>
          <cell r="K1014">
            <v>100.75190000000001</v>
          </cell>
          <cell r="L1014">
            <v>46147</v>
          </cell>
          <cell r="M1014">
            <v>-3635</v>
          </cell>
          <cell r="N1014">
            <v>96365</v>
          </cell>
        </row>
        <row r="1015">
          <cell r="A1015">
            <v>20662</v>
          </cell>
          <cell r="B1015">
            <v>1009</v>
          </cell>
          <cell r="C1015" t="str">
            <v>IASWD2403000532</v>
          </cell>
          <cell r="D1015">
            <v>45364</v>
          </cell>
          <cell r="E1015">
            <v>46234</v>
          </cell>
          <cell r="F1015" t="str">
            <v>20662</v>
          </cell>
          <cell r="G1015" t="str">
            <v>世德二</v>
          </cell>
          <cell r="H1015">
            <v>200000</v>
          </cell>
          <cell r="I1015">
            <v>4</v>
          </cell>
          <cell r="J1015">
            <v>46234</v>
          </cell>
          <cell r="K1015">
            <v>100</v>
          </cell>
          <cell r="L1015">
            <v>46216</v>
          </cell>
          <cell r="M1015">
            <v>-9381</v>
          </cell>
          <cell r="N1015">
            <v>190619</v>
          </cell>
        </row>
        <row r="1016">
          <cell r="A1016">
            <v>20662</v>
          </cell>
          <cell r="B1016">
            <v>1010</v>
          </cell>
          <cell r="C1016" t="str">
            <v>IASWD2403000539</v>
          </cell>
          <cell r="D1016">
            <v>45364</v>
          </cell>
          <cell r="E1016">
            <v>46234</v>
          </cell>
          <cell r="F1016" t="str">
            <v>20662</v>
          </cell>
          <cell r="G1016" t="str">
            <v>世德二</v>
          </cell>
          <cell r="H1016">
            <v>500000</v>
          </cell>
          <cell r="I1016">
            <v>4</v>
          </cell>
          <cell r="J1016">
            <v>46234</v>
          </cell>
          <cell r="K1016">
            <v>100</v>
          </cell>
          <cell r="L1016">
            <v>46216</v>
          </cell>
          <cell r="M1016">
            <v>-23452</v>
          </cell>
          <cell r="N1016">
            <v>476548</v>
          </cell>
        </row>
        <row r="1017">
          <cell r="A1017">
            <v>22013</v>
          </cell>
          <cell r="B1017">
            <v>1011</v>
          </cell>
          <cell r="C1017" t="str">
            <v>IASWD2403000548</v>
          </cell>
          <cell r="D1017">
            <v>45364</v>
          </cell>
          <cell r="E1017">
            <v>46167</v>
          </cell>
          <cell r="F1017" t="str">
            <v>22013</v>
          </cell>
          <cell r="G1017" t="str">
            <v>裕隆三</v>
          </cell>
          <cell r="H1017">
            <v>200000</v>
          </cell>
          <cell r="I1017">
            <v>3.1</v>
          </cell>
          <cell r="J1017">
            <v>46167</v>
          </cell>
          <cell r="K1017">
            <v>100.75190000000001</v>
          </cell>
          <cell r="L1017">
            <v>46147</v>
          </cell>
          <cell r="M1017">
            <v>-7270</v>
          </cell>
          <cell r="N1017">
            <v>192730</v>
          </cell>
        </row>
        <row r="1018">
          <cell r="A1018">
            <v>30061</v>
          </cell>
          <cell r="B1018">
            <v>1012</v>
          </cell>
          <cell r="C1018" t="str">
            <v>IASWD2403000565</v>
          </cell>
          <cell r="D1018">
            <v>45364</v>
          </cell>
          <cell r="E1018">
            <v>46322</v>
          </cell>
          <cell r="F1018" t="str">
            <v>30061</v>
          </cell>
          <cell r="G1018" t="str">
            <v>晶豪科一</v>
          </cell>
          <cell r="H1018">
            <v>400000</v>
          </cell>
          <cell r="I1018">
            <v>3.75</v>
          </cell>
          <cell r="J1018">
            <v>46322</v>
          </cell>
          <cell r="K1018">
            <v>100</v>
          </cell>
          <cell r="L1018">
            <v>46302</v>
          </cell>
          <cell r="M1018">
            <v>-17589</v>
          </cell>
          <cell r="N1018">
            <v>382411</v>
          </cell>
        </row>
        <row r="1019">
          <cell r="A1019">
            <v>20662</v>
          </cell>
          <cell r="B1019">
            <v>1013</v>
          </cell>
          <cell r="C1019" t="str">
            <v>IASWD2403000576</v>
          </cell>
          <cell r="D1019">
            <v>45365</v>
          </cell>
          <cell r="E1019">
            <v>46234</v>
          </cell>
          <cell r="F1019" t="str">
            <v>20662</v>
          </cell>
          <cell r="G1019" t="str">
            <v>世德二</v>
          </cell>
          <cell r="H1019">
            <v>100000</v>
          </cell>
          <cell r="I1019">
            <v>4</v>
          </cell>
          <cell r="J1019">
            <v>46234</v>
          </cell>
          <cell r="K1019">
            <v>100</v>
          </cell>
          <cell r="L1019">
            <v>46216</v>
          </cell>
          <cell r="M1019">
            <v>-4679</v>
          </cell>
          <cell r="N1019">
            <v>95321</v>
          </cell>
        </row>
        <row r="1020">
          <cell r="A1020">
            <v>26107</v>
          </cell>
          <cell r="B1020">
            <v>1014</v>
          </cell>
          <cell r="C1020" t="str">
            <v>IASWD2403000581</v>
          </cell>
          <cell r="D1020">
            <v>45365</v>
          </cell>
          <cell r="E1020">
            <v>46140</v>
          </cell>
          <cell r="F1020" t="str">
            <v>26107</v>
          </cell>
          <cell r="G1020" t="str">
            <v>華航七</v>
          </cell>
          <cell r="H1020">
            <v>100000</v>
          </cell>
          <cell r="I1020">
            <v>2.6</v>
          </cell>
          <cell r="J1020">
            <v>46140</v>
          </cell>
          <cell r="K1020">
            <v>100</v>
          </cell>
          <cell r="L1020">
            <v>46120</v>
          </cell>
          <cell r="M1020">
            <v>-3042</v>
          </cell>
          <cell r="N1020">
            <v>96958</v>
          </cell>
        </row>
        <row r="1021">
          <cell r="A1021">
            <v>26107</v>
          </cell>
          <cell r="B1021">
            <v>1015</v>
          </cell>
          <cell r="C1021" t="str">
            <v>IASWD2403000587</v>
          </cell>
          <cell r="D1021">
            <v>45365</v>
          </cell>
          <cell r="E1021">
            <v>46140</v>
          </cell>
          <cell r="F1021" t="str">
            <v>26107</v>
          </cell>
          <cell r="G1021" t="str">
            <v>華航七</v>
          </cell>
          <cell r="H1021">
            <v>100000</v>
          </cell>
          <cell r="I1021">
            <v>2.6</v>
          </cell>
          <cell r="J1021">
            <v>46140</v>
          </cell>
          <cell r="K1021">
            <v>100</v>
          </cell>
          <cell r="L1021">
            <v>46120</v>
          </cell>
          <cell r="M1021">
            <v>-3042</v>
          </cell>
          <cell r="N1021">
            <v>96958</v>
          </cell>
        </row>
        <row r="1022">
          <cell r="A1022">
            <v>20662</v>
          </cell>
          <cell r="B1022">
            <v>1016</v>
          </cell>
          <cell r="C1022" t="str">
            <v>IASWD2403000591</v>
          </cell>
          <cell r="D1022">
            <v>45365</v>
          </cell>
          <cell r="E1022">
            <v>46234</v>
          </cell>
          <cell r="F1022" t="str">
            <v>20662</v>
          </cell>
          <cell r="G1022" t="str">
            <v>世德二</v>
          </cell>
          <cell r="H1022">
            <v>200000</v>
          </cell>
          <cell r="I1022">
            <v>4</v>
          </cell>
          <cell r="J1022">
            <v>46234</v>
          </cell>
          <cell r="K1022">
            <v>100</v>
          </cell>
          <cell r="L1022">
            <v>46216</v>
          </cell>
          <cell r="M1022">
            <v>-9359</v>
          </cell>
          <cell r="N1022">
            <v>190641</v>
          </cell>
        </row>
        <row r="1023">
          <cell r="A1023">
            <v>26107</v>
          </cell>
          <cell r="B1023">
            <v>1017</v>
          </cell>
          <cell r="C1023" t="str">
            <v>IASWD2403000598</v>
          </cell>
          <cell r="D1023">
            <v>45365</v>
          </cell>
          <cell r="E1023">
            <v>46140</v>
          </cell>
          <cell r="F1023" t="str">
            <v>26107</v>
          </cell>
          <cell r="G1023" t="str">
            <v>華航七</v>
          </cell>
          <cell r="H1023">
            <v>400000</v>
          </cell>
          <cell r="I1023">
            <v>2.6</v>
          </cell>
          <cell r="J1023">
            <v>46140</v>
          </cell>
          <cell r="K1023">
            <v>100</v>
          </cell>
          <cell r="L1023">
            <v>46120</v>
          </cell>
          <cell r="M1023">
            <v>-12167</v>
          </cell>
          <cell r="N1023">
            <v>387833</v>
          </cell>
        </row>
        <row r="1024">
          <cell r="A1024">
            <v>26107</v>
          </cell>
          <cell r="B1024">
            <v>1018</v>
          </cell>
          <cell r="C1024" t="str">
            <v>IASWD2403000601</v>
          </cell>
          <cell r="D1024">
            <v>45365</v>
          </cell>
          <cell r="E1024">
            <v>46140</v>
          </cell>
          <cell r="F1024" t="str">
            <v>26107</v>
          </cell>
          <cell r="G1024" t="str">
            <v>華航七</v>
          </cell>
          <cell r="H1024">
            <v>100000</v>
          </cell>
          <cell r="I1024">
            <v>2.6</v>
          </cell>
          <cell r="J1024">
            <v>46140</v>
          </cell>
          <cell r="K1024">
            <v>100</v>
          </cell>
          <cell r="L1024">
            <v>46120</v>
          </cell>
          <cell r="M1024">
            <v>-3042</v>
          </cell>
          <cell r="N1024">
            <v>96958</v>
          </cell>
        </row>
        <row r="1025">
          <cell r="A1025">
            <v>22013</v>
          </cell>
          <cell r="B1025">
            <v>1019</v>
          </cell>
          <cell r="C1025" t="str">
            <v>IASWD2403000636</v>
          </cell>
          <cell r="D1025">
            <v>45366</v>
          </cell>
          <cell r="E1025">
            <v>46167</v>
          </cell>
          <cell r="F1025" t="str">
            <v>22013</v>
          </cell>
          <cell r="G1025" t="str">
            <v>裕隆三</v>
          </cell>
          <cell r="H1025">
            <v>200000</v>
          </cell>
          <cell r="I1025">
            <v>3.1</v>
          </cell>
          <cell r="J1025">
            <v>46167</v>
          </cell>
          <cell r="K1025">
            <v>100.75190000000001</v>
          </cell>
          <cell r="L1025">
            <v>46147</v>
          </cell>
          <cell r="M1025">
            <v>-7236</v>
          </cell>
          <cell r="N1025">
            <v>192764</v>
          </cell>
        </row>
        <row r="1026">
          <cell r="A1026">
            <v>34132</v>
          </cell>
          <cell r="B1026">
            <v>1020</v>
          </cell>
          <cell r="C1026" t="str">
            <v>IASWD2403000642</v>
          </cell>
          <cell r="D1026">
            <v>45366</v>
          </cell>
          <cell r="E1026">
            <v>45977</v>
          </cell>
          <cell r="F1026" t="str">
            <v>34132</v>
          </cell>
          <cell r="G1026" t="str">
            <v>京鼎二</v>
          </cell>
          <cell r="H1026">
            <v>200000</v>
          </cell>
          <cell r="I1026">
            <v>3</v>
          </cell>
          <cell r="J1026">
            <v>45977</v>
          </cell>
          <cell r="K1026">
            <v>100</v>
          </cell>
          <cell r="L1026">
            <v>45958</v>
          </cell>
          <cell r="M1026">
            <v>-7003</v>
          </cell>
          <cell r="N1026">
            <v>192997</v>
          </cell>
        </row>
        <row r="1027">
          <cell r="A1027">
            <v>22013</v>
          </cell>
          <cell r="B1027">
            <v>1021</v>
          </cell>
          <cell r="C1027" t="str">
            <v>IASWD2403000643</v>
          </cell>
          <cell r="D1027">
            <v>45366</v>
          </cell>
          <cell r="E1027">
            <v>46167</v>
          </cell>
          <cell r="F1027" t="str">
            <v>22013</v>
          </cell>
          <cell r="G1027" t="str">
            <v>裕隆三</v>
          </cell>
          <cell r="H1027">
            <v>200000</v>
          </cell>
          <cell r="I1027">
            <v>3.1</v>
          </cell>
          <cell r="J1027">
            <v>46167</v>
          </cell>
          <cell r="K1027">
            <v>100.75190000000001</v>
          </cell>
          <cell r="L1027">
            <v>46147</v>
          </cell>
          <cell r="M1027">
            <v>-7236</v>
          </cell>
          <cell r="N1027">
            <v>192764</v>
          </cell>
        </row>
        <row r="1028">
          <cell r="A1028">
            <v>22013</v>
          </cell>
          <cell r="B1028">
            <v>1022</v>
          </cell>
          <cell r="C1028" t="str">
            <v>IASWD2403000645</v>
          </cell>
          <cell r="D1028">
            <v>45366</v>
          </cell>
          <cell r="E1028">
            <v>46167</v>
          </cell>
          <cell r="F1028" t="str">
            <v>22013</v>
          </cell>
          <cell r="G1028" t="str">
            <v>裕隆三</v>
          </cell>
          <cell r="H1028">
            <v>100000</v>
          </cell>
          <cell r="I1028">
            <v>3.1</v>
          </cell>
          <cell r="J1028">
            <v>46167</v>
          </cell>
          <cell r="K1028">
            <v>100.75190000000001</v>
          </cell>
          <cell r="L1028">
            <v>46147</v>
          </cell>
          <cell r="M1028">
            <v>-3618</v>
          </cell>
          <cell r="N1028">
            <v>96382</v>
          </cell>
        </row>
        <row r="1029">
          <cell r="A1029">
            <v>22013</v>
          </cell>
          <cell r="B1029">
            <v>1023</v>
          </cell>
          <cell r="C1029" t="str">
            <v>IASWD2403000690</v>
          </cell>
          <cell r="D1029">
            <v>45370</v>
          </cell>
          <cell r="E1029">
            <v>46167</v>
          </cell>
          <cell r="F1029" t="str">
            <v>22013</v>
          </cell>
          <cell r="G1029" t="str">
            <v>裕隆三</v>
          </cell>
          <cell r="H1029">
            <v>200000</v>
          </cell>
          <cell r="I1029">
            <v>3.1</v>
          </cell>
          <cell r="J1029">
            <v>46167</v>
          </cell>
          <cell r="K1029">
            <v>100.75190000000001</v>
          </cell>
          <cell r="L1029">
            <v>46147</v>
          </cell>
          <cell r="M1029">
            <v>-7168</v>
          </cell>
          <cell r="N1029">
            <v>192832</v>
          </cell>
        </row>
        <row r="1030">
          <cell r="A1030">
            <v>30061</v>
          </cell>
          <cell r="B1030">
            <v>1024</v>
          </cell>
          <cell r="C1030" t="str">
            <v>IASWD2403000692</v>
          </cell>
          <cell r="D1030">
            <v>45370</v>
          </cell>
          <cell r="E1030">
            <v>46322</v>
          </cell>
          <cell r="F1030" t="str">
            <v>30061</v>
          </cell>
          <cell r="G1030" t="str">
            <v>晶豪科一</v>
          </cell>
          <cell r="H1030">
            <v>100000</v>
          </cell>
          <cell r="I1030">
            <v>3.75</v>
          </cell>
          <cell r="J1030">
            <v>46322</v>
          </cell>
          <cell r="K1030">
            <v>100</v>
          </cell>
          <cell r="L1030">
            <v>46302</v>
          </cell>
          <cell r="M1030">
            <v>-4336</v>
          </cell>
          <cell r="N1030">
            <v>95664</v>
          </cell>
        </row>
        <row r="1031">
          <cell r="A1031">
            <v>56086</v>
          </cell>
          <cell r="B1031">
            <v>1025</v>
          </cell>
          <cell r="C1031" t="str">
            <v>IASWD2403000710</v>
          </cell>
          <cell r="D1031">
            <v>45370</v>
          </cell>
          <cell r="E1031">
            <v>46194</v>
          </cell>
          <cell r="F1031" t="str">
            <v>56086</v>
          </cell>
          <cell r="G1031" t="str">
            <v>四維航六</v>
          </cell>
          <cell r="H1031">
            <v>1400000</v>
          </cell>
          <cell r="I1031">
            <v>2.1</v>
          </cell>
          <cell r="J1031">
            <v>46194</v>
          </cell>
          <cell r="K1031">
            <v>100</v>
          </cell>
          <cell r="L1031">
            <v>46175</v>
          </cell>
          <cell r="M1031">
            <v>-33991</v>
          </cell>
          <cell r="N1031">
            <v>1366009</v>
          </cell>
        </row>
        <row r="1032">
          <cell r="A1032">
            <v>22013</v>
          </cell>
          <cell r="B1032">
            <v>1026</v>
          </cell>
          <cell r="C1032" t="str">
            <v>IASWD2403000720</v>
          </cell>
          <cell r="D1032">
            <v>45371</v>
          </cell>
          <cell r="E1032">
            <v>46167</v>
          </cell>
          <cell r="F1032" t="str">
            <v>22013</v>
          </cell>
          <cell r="G1032" t="str">
            <v>裕隆三</v>
          </cell>
          <cell r="H1032">
            <v>200000</v>
          </cell>
          <cell r="I1032">
            <v>3.1</v>
          </cell>
          <cell r="J1032">
            <v>46167</v>
          </cell>
          <cell r="K1032">
            <v>100.75190000000001</v>
          </cell>
          <cell r="L1032">
            <v>46147</v>
          </cell>
          <cell r="M1032">
            <v>-7151</v>
          </cell>
          <cell r="N1032">
            <v>192849</v>
          </cell>
        </row>
        <row r="1033">
          <cell r="A1033">
            <v>27323</v>
          </cell>
          <cell r="B1033">
            <v>1027</v>
          </cell>
          <cell r="C1033" t="str">
            <v>IASWD2403000760</v>
          </cell>
          <cell r="D1033">
            <v>45372</v>
          </cell>
          <cell r="E1033">
            <v>46048</v>
          </cell>
          <cell r="F1033" t="str">
            <v>27323</v>
          </cell>
          <cell r="G1033" t="str">
            <v>六角三</v>
          </cell>
          <cell r="H1033">
            <v>200000</v>
          </cell>
          <cell r="I1033">
            <v>3</v>
          </cell>
          <cell r="J1033">
            <v>46048</v>
          </cell>
          <cell r="K1033">
            <v>101</v>
          </cell>
          <cell r="L1033">
            <v>46028</v>
          </cell>
          <cell r="M1033">
            <v>-6904</v>
          </cell>
          <cell r="N1033">
            <v>193096</v>
          </cell>
        </row>
        <row r="1034">
          <cell r="A1034">
            <v>22013</v>
          </cell>
          <cell r="B1034">
            <v>1028</v>
          </cell>
          <cell r="C1034" t="str">
            <v>IASWD2403000763</v>
          </cell>
          <cell r="D1034">
            <v>45372</v>
          </cell>
          <cell r="E1034">
            <v>46167</v>
          </cell>
          <cell r="F1034" t="str">
            <v>22013</v>
          </cell>
          <cell r="G1034" t="str">
            <v>裕隆三</v>
          </cell>
          <cell r="H1034">
            <v>200000</v>
          </cell>
          <cell r="I1034">
            <v>3.1</v>
          </cell>
          <cell r="J1034">
            <v>46167</v>
          </cell>
          <cell r="K1034">
            <v>100.75190000000001</v>
          </cell>
          <cell r="L1034">
            <v>46147</v>
          </cell>
          <cell r="M1034">
            <v>-7134</v>
          </cell>
          <cell r="N1034">
            <v>192866</v>
          </cell>
        </row>
        <row r="1035">
          <cell r="A1035">
            <v>22013</v>
          </cell>
          <cell r="B1035">
            <v>1029</v>
          </cell>
          <cell r="C1035" t="str">
            <v>IASWD2403000766</v>
          </cell>
          <cell r="D1035">
            <v>45372</v>
          </cell>
          <cell r="E1035">
            <v>46167</v>
          </cell>
          <cell r="F1035" t="str">
            <v>22013</v>
          </cell>
          <cell r="G1035" t="str">
            <v>裕隆三</v>
          </cell>
          <cell r="H1035">
            <v>100000</v>
          </cell>
          <cell r="I1035">
            <v>3.1</v>
          </cell>
          <cell r="J1035">
            <v>46167</v>
          </cell>
          <cell r="K1035">
            <v>100.75190000000001</v>
          </cell>
          <cell r="L1035">
            <v>46147</v>
          </cell>
          <cell r="M1035">
            <v>-3567</v>
          </cell>
          <cell r="N1035">
            <v>96433</v>
          </cell>
        </row>
        <row r="1036">
          <cell r="A1036">
            <v>27323</v>
          </cell>
          <cell r="B1036">
            <v>1030</v>
          </cell>
          <cell r="C1036" t="str">
            <v>IASWD2403000780</v>
          </cell>
          <cell r="D1036">
            <v>45372</v>
          </cell>
          <cell r="E1036">
            <v>46048</v>
          </cell>
          <cell r="F1036" t="str">
            <v>27323</v>
          </cell>
          <cell r="G1036" t="str">
            <v>六角三</v>
          </cell>
          <cell r="H1036">
            <v>100000</v>
          </cell>
          <cell r="I1036">
            <v>3</v>
          </cell>
          <cell r="J1036">
            <v>46048</v>
          </cell>
          <cell r="K1036">
            <v>101</v>
          </cell>
          <cell r="L1036">
            <v>46028</v>
          </cell>
          <cell r="M1036">
            <v>-3452</v>
          </cell>
          <cell r="N1036">
            <v>96548</v>
          </cell>
        </row>
        <row r="1037">
          <cell r="A1037">
            <v>56086</v>
          </cell>
          <cell r="B1037">
            <v>1031</v>
          </cell>
          <cell r="C1037" t="str">
            <v>IASWD2403000796</v>
          </cell>
          <cell r="D1037">
            <v>45373</v>
          </cell>
          <cell r="E1037">
            <v>46194</v>
          </cell>
          <cell r="F1037" t="str">
            <v>56086</v>
          </cell>
          <cell r="G1037" t="str">
            <v>四維航六</v>
          </cell>
          <cell r="H1037">
            <v>200000</v>
          </cell>
          <cell r="I1037">
            <v>2.2000000000000002</v>
          </cell>
          <cell r="J1037">
            <v>46194</v>
          </cell>
          <cell r="K1037">
            <v>100</v>
          </cell>
          <cell r="L1037">
            <v>46175</v>
          </cell>
          <cell r="M1037">
            <v>-5051</v>
          </cell>
          <cell r="N1037">
            <v>194949</v>
          </cell>
        </row>
        <row r="1038">
          <cell r="A1038">
            <v>27323</v>
          </cell>
          <cell r="B1038">
            <v>1032</v>
          </cell>
          <cell r="C1038" t="str">
            <v>IASWD2403000803</v>
          </cell>
          <cell r="D1038">
            <v>45373</v>
          </cell>
          <cell r="E1038">
            <v>46048</v>
          </cell>
          <cell r="F1038" t="str">
            <v>27323</v>
          </cell>
          <cell r="G1038" t="str">
            <v>六角三</v>
          </cell>
          <cell r="H1038">
            <v>100000</v>
          </cell>
          <cell r="I1038">
            <v>3</v>
          </cell>
          <cell r="J1038">
            <v>46048</v>
          </cell>
          <cell r="K1038">
            <v>101</v>
          </cell>
          <cell r="L1038">
            <v>46028</v>
          </cell>
          <cell r="M1038">
            <v>-3444</v>
          </cell>
          <cell r="N1038">
            <v>96556</v>
          </cell>
        </row>
        <row r="1039">
          <cell r="A1039">
            <v>56086</v>
          </cell>
          <cell r="B1039">
            <v>1033</v>
          </cell>
          <cell r="C1039" t="str">
            <v>IASWD2403000817</v>
          </cell>
          <cell r="D1039">
            <v>45373</v>
          </cell>
          <cell r="E1039">
            <v>46194</v>
          </cell>
          <cell r="F1039" t="str">
            <v>56086</v>
          </cell>
          <cell r="G1039" t="str">
            <v>四維航六</v>
          </cell>
          <cell r="H1039">
            <v>1800000</v>
          </cell>
          <cell r="I1039">
            <v>2.2000000000000002</v>
          </cell>
          <cell r="J1039">
            <v>46194</v>
          </cell>
          <cell r="K1039">
            <v>100</v>
          </cell>
          <cell r="L1039">
            <v>46175</v>
          </cell>
          <cell r="M1039">
            <v>-45459</v>
          </cell>
          <cell r="N1039">
            <v>1754541</v>
          </cell>
        </row>
        <row r="1040">
          <cell r="A1040">
            <v>27323</v>
          </cell>
          <cell r="B1040">
            <v>1034</v>
          </cell>
          <cell r="C1040" t="str">
            <v>IASWD2403000847</v>
          </cell>
          <cell r="D1040">
            <v>45376</v>
          </cell>
          <cell r="E1040">
            <v>46048</v>
          </cell>
          <cell r="F1040" t="str">
            <v>27323</v>
          </cell>
          <cell r="G1040" t="str">
            <v>六角三</v>
          </cell>
          <cell r="H1040">
            <v>200000</v>
          </cell>
          <cell r="I1040">
            <v>3</v>
          </cell>
          <cell r="J1040">
            <v>46048</v>
          </cell>
          <cell r="K1040">
            <v>101</v>
          </cell>
          <cell r="L1040">
            <v>46028</v>
          </cell>
          <cell r="M1040">
            <v>-6838</v>
          </cell>
          <cell r="N1040">
            <v>193162</v>
          </cell>
        </row>
        <row r="1041">
          <cell r="A1041">
            <v>27323</v>
          </cell>
          <cell r="B1041">
            <v>1035</v>
          </cell>
          <cell r="C1041" t="str">
            <v>IASWD2403000970</v>
          </cell>
          <cell r="D1041">
            <v>45378</v>
          </cell>
          <cell r="E1041">
            <v>46048</v>
          </cell>
          <cell r="F1041" t="str">
            <v>27323</v>
          </cell>
          <cell r="G1041" t="str">
            <v>六角三</v>
          </cell>
          <cell r="H1041">
            <v>300000</v>
          </cell>
          <cell r="I1041">
            <v>3</v>
          </cell>
          <cell r="J1041">
            <v>46048</v>
          </cell>
          <cell r="K1041">
            <v>101</v>
          </cell>
          <cell r="L1041">
            <v>46028</v>
          </cell>
          <cell r="M1041">
            <v>-10208</v>
          </cell>
          <cell r="N1041">
            <v>289792</v>
          </cell>
        </row>
        <row r="1042">
          <cell r="A1042">
            <v>27323</v>
          </cell>
          <cell r="B1042">
            <v>1036</v>
          </cell>
          <cell r="C1042" t="str">
            <v>IASWD2403000993</v>
          </cell>
          <cell r="D1042">
            <v>45378</v>
          </cell>
          <cell r="E1042">
            <v>46048</v>
          </cell>
          <cell r="F1042" t="str">
            <v>27323</v>
          </cell>
          <cell r="G1042" t="str">
            <v>六角三</v>
          </cell>
          <cell r="H1042">
            <v>200000</v>
          </cell>
          <cell r="I1042">
            <v>3</v>
          </cell>
          <cell r="J1042">
            <v>46048</v>
          </cell>
          <cell r="K1042">
            <v>101</v>
          </cell>
          <cell r="L1042">
            <v>46028</v>
          </cell>
          <cell r="M1042">
            <v>-6805</v>
          </cell>
          <cell r="N1042">
            <v>193195</v>
          </cell>
        </row>
        <row r="1043">
          <cell r="A1043">
            <v>27323</v>
          </cell>
          <cell r="B1043">
            <v>1037</v>
          </cell>
          <cell r="C1043" t="str">
            <v>IASWD2403000997</v>
          </cell>
          <cell r="D1043">
            <v>45378</v>
          </cell>
          <cell r="E1043">
            <v>46048</v>
          </cell>
          <cell r="F1043" t="str">
            <v>27323</v>
          </cell>
          <cell r="G1043" t="str">
            <v>六角三</v>
          </cell>
          <cell r="H1043">
            <v>200000</v>
          </cell>
          <cell r="I1043">
            <v>3</v>
          </cell>
          <cell r="J1043">
            <v>46048</v>
          </cell>
          <cell r="K1043">
            <v>101</v>
          </cell>
          <cell r="L1043">
            <v>46028</v>
          </cell>
          <cell r="M1043">
            <v>-6805</v>
          </cell>
          <cell r="N1043">
            <v>193195</v>
          </cell>
        </row>
        <row r="1044">
          <cell r="A1044">
            <v>27323</v>
          </cell>
          <cell r="B1044">
            <v>1038</v>
          </cell>
          <cell r="C1044" t="str">
            <v>IASWD2403001010</v>
          </cell>
          <cell r="D1044">
            <v>45378</v>
          </cell>
          <cell r="E1044">
            <v>46048</v>
          </cell>
          <cell r="F1044" t="str">
            <v>27323</v>
          </cell>
          <cell r="G1044" t="str">
            <v>六角三</v>
          </cell>
          <cell r="H1044">
            <v>100000</v>
          </cell>
          <cell r="I1044">
            <v>3</v>
          </cell>
          <cell r="J1044">
            <v>46048</v>
          </cell>
          <cell r="K1044">
            <v>101</v>
          </cell>
          <cell r="L1044">
            <v>46028</v>
          </cell>
          <cell r="M1044">
            <v>-3403</v>
          </cell>
          <cell r="N1044">
            <v>96597</v>
          </cell>
        </row>
        <row r="1045">
          <cell r="A1045">
            <v>27323</v>
          </cell>
          <cell r="B1045">
            <v>1039</v>
          </cell>
          <cell r="C1045" t="str">
            <v>IASWD2404001070</v>
          </cell>
          <cell r="D1045">
            <v>45383</v>
          </cell>
          <cell r="E1045">
            <v>46048</v>
          </cell>
          <cell r="F1045" t="str">
            <v>27323</v>
          </cell>
          <cell r="G1045" t="str">
            <v>六角三</v>
          </cell>
          <cell r="H1045">
            <v>100000</v>
          </cell>
          <cell r="I1045">
            <v>3</v>
          </cell>
          <cell r="J1045">
            <v>46048</v>
          </cell>
          <cell r="K1045">
            <v>101</v>
          </cell>
          <cell r="L1045">
            <v>46028</v>
          </cell>
          <cell r="M1045">
            <v>-3362</v>
          </cell>
          <cell r="N1045">
            <v>96638</v>
          </cell>
        </row>
        <row r="1046">
          <cell r="A1046">
            <v>50097</v>
          </cell>
          <cell r="B1046">
            <v>1040</v>
          </cell>
          <cell r="C1046" t="str">
            <v>IASWD2404001088</v>
          </cell>
          <cell r="D1046">
            <v>45383</v>
          </cell>
          <cell r="E1046">
            <v>46234</v>
          </cell>
          <cell r="F1046" t="str">
            <v>50097</v>
          </cell>
          <cell r="G1046" t="str">
            <v>榮剛七</v>
          </cell>
          <cell r="H1046">
            <v>200000</v>
          </cell>
          <cell r="I1046">
            <v>4.7</v>
          </cell>
          <cell r="J1046">
            <v>46234</v>
          </cell>
          <cell r="K1046">
            <v>101.51</v>
          </cell>
          <cell r="L1046">
            <v>46216</v>
          </cell>
          <cell r="M1046">
            <v>-10533</v>
          </cell>
          <cell r="N1046">
            <v>189467</v>
          </cell>
        </row>
        <row r="1047">
          <cell r="A1047">
            <v>50097</v>
          </cell>
          <cell r="B1047">
            <v>1041</v>
          </cell>
          <cell r="C1047" t="str">
            <v>IASWD2404001248</v>
          </cell>
          <cell r="D1047">
            <v>45384</v>
          </cell>
          <cell r="E1047">
            <v>46234</v>
          </cell>
          <cell r="F1047" t="str">
            <v>50097</v>
          </cell>
          <cell r="G1047" t="str">
            <v>榮剛七</v>
          </cell>
          <cell r="H1047">
            <v>2900000</v>
          </cell>
          <cell r="I1047">
            <v>4.7</v>
          </cell>
          <cell r="J1047">
            <v>46234</v>
          </cell>
          <cell r="K1047">
            <v>101.51</v>
          </cell>
          <cell r="L1047">
            <v>46216</v>
          </cell>
          <cell r="M1047">
            <v>-152357</v>
          </cell>
          <cell r="N1047">
            <v>2747643</v>
          </cell>
        </row>
        <row r="1048">
          <cell r="A1048">
            <v>50097</v>
          </cell>
          <cell r="B1048">
            <v>1042</v>
          </cell>
          <cell r="C1048" t="str">
            <v>IASWD2404001249</v>
          </cell>
          <cell r="D1048">
            <v>45384</v>
          </cell>
          <cell r="E1048">
            <v>46234</v>
          </cell>
          <cell r="F1048" t="str">
            <v>50097</v>
          </cell>
          <cell r="G1048" t="str">
            <v>榮剛七</v>
          </cell>
          <cell r="H1048">
            <v>200000</v>
          </cell>
          <cell r="I1048">
            <v>4.7</v>
          </cell>
          <cell r="J1048">
            <v>46234</v>
          </cell>
          <cell r="K1048">
            <v>101.51</v>
          </cell>
          <cell r="L1048">
            <v>46216</v>
          </cell>
          <cell r="M1048">
            <v>-10507</v>
          </cell>
          <cell r="N1048">
            <v>189493</v>
          </cell>
        </row>
        <row r="1049">
          <cell r="A1049">
            <v>50097</v>
          </cell>
          <cell r="B1049">
            <v>1043</v>
          </cell>
          <cell r="C1049" t="str">
            <v>IASWD2404001256</v>
          </cell>
          <cell r="D1049">
            <v>45384</v>
          </cell>
          <cell r="E1049">
            <v>46234</v>
          </cell>
          <cell r="F1049" t="str">
            <v>50097</v>
          </cell>
          <cell r="G1049" t="str">
            <v>榮剛七</v>
          </cell>
          <cell r="H1049">
            <v>100000</v>
          </cell>
          <cell r="I1049">
            <v>4.7</v>
          </cell>
          <cell r="J1049">
            <v>46234</v>
          </cell>
          <cell r="K1049">
            <v>101.51</v>
          </cell>
          <cell r="L1049">
            <v>46216</v>
          </cell>
          <cell r="M1049">
            <v>-5254</v>
          </cell>
          <cell r="N1049">
            <v>94746</v>
          </cell>
        </row>
        <row r="1050">
          <cell r="A1050">
            <v>50097</v>
          </cell>
          <cell r="B1050">
            <v>1044</v>
          </cell>
          <cell r="C1050" t="str">
            <v>IASWD2404001273</v>
          </cell>
          <cell r="D1050">
            <v>45384</v>
          </cell>
          <cell r="E1050">
            <v>46234</v>
          </cell>
          <cell r="F1050" t="str">
            <v>50097</v>
          </cell>
          <cell r="G1050" t="str">
            <v>榮剛七</v>
          </cell>
          <cell r="H1050">
            <v>500000</v>
          </cell>
          <cell r="I1050">
            <v>4.7</v>
          </cell>
          <cell r="J1050">
            <v>46234</v>
          </cell>
          <cell r="K1050">
            <v>101.51</v>
          </cell>
          <cell r="L1050">
            <v>46216</v>
          </cell>
          <cell r="M1050">
            <v>-26268</v>
          </cell>
          <cell r="N1050">
            <v>473732</v>
          </cell>
        </row>
        <row r="1051">
          <cell r="A1051">
            <v>27323</v>
          </cell>
          <cell r="B1051">
            <v>1045</v>
          </cell>
          <cell r="C1051" t="str">
            <v>IASWD2404001289</v>
          </cell>
          <cell r="D1051">
            <v>45384</v>
          </cell>
          <cell r="E1051">
            <v>46048</v>
          </cell>
          <cell r="F1051" t="str">
            <v>27323</v>
          </cell>
          <cell r="G1051" t="str">
            <v>六角三</v>
          </cell>
          <cell r="H1051">
            <v>100000</v>
          </cell>
          <cell r="I1051">
            <v>3</v>
          </cell>
          <cell r="J1051">
            <v>46048</v>
          </cell>
          <cell r="K1051">
            <v>101</v>
          </cell>
          <cell r="L1051">
            <v>46028</v>
          </cell>
          <cell r="M1051">
            <v>-3353</v>
          </cell>
          <cell r="N1051">
            <v>96647</v>
          </cell>
        </row>
        <row r="1052">
          <cell r="A1052">
            <v>27323</v>
          </cell>
          <cell r="B1052">
            <v>1046</v>
          </cell>
          <cell r="C1052" t="str">
            <v>IASWD2404001323</v>
          </cell>
          <cell r="D1052">
            <v>45385</v>
          </cell>
          <cell r="E1052">
            <v>46048</v>
          </cell>
          <cell r="F1052" t="str">
            <v>27323</v>
          </cell>
          <cell r="G1052" t="str">
            <v>六角三</v>
          </cell>
          <cell r="H1052">
            <v>100000</v>
          </cell>
          <cell r="I1052">
            <v>3</v>
          </cell>
          <cell r="J1052">
            <v>46048</v>
          </cell>
          <cell r="K1052">
            <v>101</v>
          </cell>
          <cell r="L1052">
            <v>46028</v>
          </cell>
          <cell r="M1052">
            <v>-3345</v>
          </cell>
          <cell r="N1052">
            <v>96655</v>
          </cell>
        </row>
        <row r="1053">
          <cell r="A1053">
            <v>50097</v>
          </cell>
          <cell r="B1053">
            <v>1047</v>
          </cell>
          <cell r="C1053" t="str">
            <v>IASWD2404001335</v>
          </cell>
          <cell r="D1053">
            <v>45385</v>
          </cell>
          <cell r="E1053">
            <v>46234</v>
          </cell>
          <cell r="F1053" t="str">
            <v>50097</v>
          </cell>
          <cell r="G1053" t="str">
            <v>榮剛七</v>
          </cell>
          <cell r="H1053">
            <v>2100000</v>
          </cell>
          <cell r="I1053">
            <v>4.7</v>
          </cell>
          <cell r="J1053">
            <v>46234</v>
          </cell>
          <cell r="K1053">
            <v>101.51</v>
          </cell>
          <cell r="L1053">
            <v>46216</v>
          </cell>
          <cell r="M1053">
            <v>-110057</v>
          </cell>
          <cell r="N1053">
            <v>1989943</v>
          </cell>
        </row>
        <row r="1054">
          <cell r="A1054">
            <v>50097</v>
          </cell>
          <cell r="B1054">
            <v>1048</v>
          </cell>
          <cell r="C1054" t="str">
            <v>IASWD2404001343</v>
          </cell>
          <cell r="D1054">
            <v>45385</v>
          </cell>
          <cell r="E1054">
            <v>46234</v>
          </cell>
          <cell r="F1054" t="str">
            <v>50097</v>
          </cell>
          <cell r="G1054" t="str">
            <v>榮剛七</v>
          </cell>
          <cell r="H1054">
            <v>400000</v>
          </cell>
          <cell r="I1054">
            <v>4.7</v>
          </cell>
          <cell r="J1054">
            <v>46234</v>
          </cell>
          <cell r="K1054">
            <v>101.51</v>
          </cell>
          <cell r="L1054">
            <v>46216</v>
          </cell>
          <cell r="M1054">
            <v>-20963</v>
          </cell>
          <cell r="N1054">
            <v>379037</v>
          </cell>
        </row>
        <row r="1055">
          <cell r="A1055">
            <v>50097</v>
          </cell>
          <cell r="B1055">
            <v>1049</v>
          </cell>
          <cell r="C1055" t="str">
            <v>IASWD2404001377</v>
          </cell>
          <cell r="D1055">
            <v>45390</v>
          </cell>
          <cell r="E1055">
            <v>46234</v>
          </cell>
          <cell r="F1055" t="str">
            <v>50097</v>
          </cell>
          <cell r="G1055" t="str">
            <v>榮剛七</v>
          </cell>
          <cell r="H1055">
            <v>1100000</v>
          </cell>
          <cell r="I1055">
            <v>4.7</v>
          </cell>
          <cell r="J1055">
            <v>46234</v>
          </cell>
          <cell r="K1055">
            <v>101.51</v>
          </cell>
          <cell r="L1055">
            <v>46216</v>
          </cell>
          <cell r="M1055">
            <v>-56941</v>
          </cell>
          <cell r="N1055">
            <v>1043059</v>
          </cell>
        </row>
        <row r="1056">
          <cell r="A1056">
            <v>50097</v>
          </cell>
          <cell r="B1056">
            <v>1050</v>
          </cell>
          <cell r="C1056" t="str">
            <v>IASWD2404001396</v>
          </cell>
          <cell r="D1056">
            <v>45390</v>
          </cell>
          <cell r="E1056">
            <v>46234</v>
          </cell>
          <cell r="F1056" t="str">
            <v>50097</v>
          </cell>
          <cell r="G1056" t="str">
            <v>榮剛七</v>
          </cell>
          <cell r="H1056">
            <v>200000</v>
          </cell>
          <cell r="I1056">
            <v>4.7</v>
          </cell>
          <cell r="J1056">
            <v>46234</v>
          </cell>
          <cell r="K1056">
            <v>101.51</v>
          </cell>
          <cell r="L1056">
            <v>46216</v>
          </cell>
          <cell r="M1056">
            <v>-10353</v>
          </cell>
          <cell r="N1056">
            <v>189647</v>
          </cell>
        </row>
        <row r="1057">
          <cell r="A1057">
            <v>27323</v>
          </cell>
          <cell r="B1057">
            <v>1051</v>
          </cell>
          <cell r="C1057" t="str">
            <v>IASWD2404001428</v>
          </cell>
          <cell r="D1057">
            <v>45391</v>
          </cell>
          <cell r="E1057">
            <v>46048</v>
          </cell>
          <cell r="F1057" t="str">
            <v>27323</v>
          </cell>
          <cell r="G1057" t="str">
            <v>六角三</v>
          </cell>
          <cell r="H1057">
            <v>100000</v>
          </cell>
          <cell r="I1057">
            <v>3</v>
          </cell>
          <cell r="J1057">
            <v>46048</v>
          </cell>
          <cell r="K1057">
            <v>101</v>
          </cell>
          <cell r="L1057">
            <v>46028</v>
          </cell>
          <cell r="M1057">
            <v>-3296</v>
          </cell>
          <cell r="N1057">
            <v>96704</v>
          </cell>
        </row>
        <row r="1058">
          <cell r="A1058">
            <v>27323</v>
          </cell>
          <cell r="B1058">
            <v>1052</v>
          </cell>
          <cell r="C1058" t="str">
            <v>IASWD2404001469</v>
          </cell>
          <cell r="D1058">
            <v>45392</v>
          </cell>
          <cell r="E1058">
            <v>46048</v>
          </cell>
          <cell r="F1058" t="str">
            <v>27323</v>
          </cell>
          <cell r="G1058" t="str">
            <v>六角三</v>
          </cell>
          <cell r="H1058">
            <v>300000</v>
          </cell>
          <cell r="I1058">
            <v>3</v>
          </cell>
          <cell r="J1058">
            <v>46048</v>
          </cell>
          <cell r="K1058">
            <v>101</v>
          </cell>
          <cell r="L1058">
            <v>46028</v>
          </cell>
          <cell r="M1058">
            <v>-9863</v>
          </cell>
          <cell r="N1058">
            <v>290137</v>
          </cell>
        </row>
        <row r="1059">
          <cell r="A1059">
            <v>50097</v>
          </cell>
          <cell r="B1059">
            <v>1053</v>
          </cell>
          <cell r="C1059" t="str">
            <v>IASWD2404001475</v>
          </cell>
          <cell r="D1059">
            <v>45392</v>
          </cell>
          <cell r="E1059">
            <v>46234</v>
          </cell>
          <cell r="F1059" t="str">
            <v>50097</v>
          </cell>
          <cell r="G1059" t="str">
            <v>榮剛七</v>
          </cell>
          <cell r="H1059">
            <v>500000</v>
          </cell>
          <cell r="I1059">
            <v>4.7</v>
          </cell>
          <cell r="J1059">
            <v>46234</v>
          </cell>
          <cell r="K1059">
            <v>101.51</v>
          </cell>
          <cell r="L1059">
            <v>46216</v>
          </cell>
          <cell r="M1059">
            <v>-25753</v>
          </cell>
          <cell r="N1059">
            <v>474247</v>
          </cell>
        </row>
        <row r="1060">
          <cell r="A1060">
            <v>50097</v>
          </cell>
          <cell r="B1060">
            <v>1054</v>
          </cell>
          <cell r="C1060" t="str">
            <v>IASWD2404001501</v>
          </cell>
          <cell r="D1060">
            <v>45392</v>
          </cell>
          <cell r="E1060">
            <v>46234</v>
          </cell>
          <cell r="F1060" t="str">
            <v>50097</v>
          </cell>
          <cell r="G1060" t="str">
            <v>榮剛七</v>
          </cell>
          <cell r="H1060">
            <v>100000</v>
          </cell>
          <cell r="I1060">
            <v>4.7</v>
          </cell>
          <cell r="J1060">
            <v>46234</v>
          </cell>
          <cell r="K1060">
            <v>101.51</v>
          </cell>
          <cell r="L1060">
            <v>46216</v>
          </cell>
          <cell r="M1060">
            <v>-5151</v>
          </cell>
          <cell r="N1060">
            <v>94849</v>
          </cell>
        </row>
        <row r="1061">
          <cell r="A1061">
            <v>50097</v>
          </cell>
          <cell r="B1061">
            <v>1055</v>
          </cell>
          <cell r="C1061" t="str">
            <v>IASWD2404001506</v>
          </cell>
          <cell r="D1061">
            <v>45392</v>
          </cell>
          <cell r="E1061">
            <v>46234</v>
          </cell>
          <cell r="F1061" t="str">
            <v>50097</v>
          </cell>
          <cell r="G1061" t="str">
            <v>榮剛七</v>
          </cell>
          <cell r="H1061">
            <v>100000</v>
          </cell>
          <cell r="I1061">
            <v>4.7</v>
          </cell>
          <cell r="J1061">
            <v>46234</v>
          </cell>
          <cell r="K1061">
            <v>101.51</v>
          </cell>
          <cell r="L1061">
            <v>46216</v>
          </cell>
          <cell r="M1061">
            <v>-5151</v>
          </cell>
          <cell r="N1061">
            <v>94849</v>
          </cell>
        </row>
        <row r="1062">
          <cell r="A1062">
            <v>34132</v>
          </cell>
          <cell r="B1062">
            <v>1056</v>
          </cell>
          <cell r="C1062" t="str">
            <v>IASWD2404001510</v>
          </cell>
          <cell r="D1062">
            <v>45392</v>
          </cell>
          <cell r="E1062">
            <v>45977</v>
          </cell>
          <cell r="F1062" t="str">
            <v>34132</v>
          </cell>
          <cell r="G1062" t="str">
            <v>京鼎二</v>
          </cell>
          <cell r="H1062">
            <v>100000</v>
          </cell>
          <cell r="I1062">
            <v>3</v>
          </cell>
          <cell r="J1062">
            <v>45977</v>
          </cell>
          <cell r="K1062">
            <v>100</v>
          </cell>
          <cell r="L1062">
            <v>45958</v>
          </cell>
          <cell r="M1062">
            <v>-3288</v>
          </cell>
          <cell r="N1062">
            <v>96712</v>
          </cell>
        </row>
        <row r="1063">
          <cell r="A1063">
            <v>50097</v>
          </cell>
          <cell r="B1063">
            <v>1057</v>
          </cell>
          <cell r="C1063" t="str">
            <v>IASWD2404001512</v>
          </cell>
          <cell r="D1063">
            <v>45392</v>
          </cell>
          <cell r="E1063">
            <v>46234</v>
          </cell>
          <cell r="F1063" t="str">
            <v>50097</v>
          </cell>
          <cell r="G1063" t="str">
            <v>榮剛七</v>
          </cell>
          <cell r="H1063">
            <v>200000</v>
          </cell>
          <cell r="I1063">
            <v>4.7</v>
          </cell>
          <cell r="J1063">
            <v>46234</v>
          </cell>
          <cell r="K1063">
            <v>101.51</v>
          </cell>
          <cell r="L1063">
            <v>46216</v>
          </cell>
          <cell r="M1063">
            <v>-10301</v>
          </cell>
          <cell r="N1063">
            <v>189699</v>
          </cell>
        </row>
        <row r="1064">
          <cell r="A1064">
            <v>50097</v>
          </cell>
          <cell r="B1064">
            <v>1058</v>
          </cell>
          <cell r="C1064" t="str">
            <v>IASWD2404001513</v>
          </cell>
          <cell r="D1064">
            <v>45392</v>
          </cell>
          <cell r="E1064">
            <v>46234</v>
          </cell>
          <cell r="F1064" t="str">
            <v>50097</v>
          </cell>
          <cell r="G1064" t="str">
            <v>榮剛七</v>
          </cell>
          <cell r="H1064">
            <v>100000</v>
          </cell>
          <cell r="I1064">
            <v>4.7</v>
          </cell>
          <cell r="J1064">
            <v>46234</v>
          </cell>
          <cell r="K1064">
            <v>101.51</v>
          </cell>
          <cell r="L1064">
            <v>46216</v>
          </cell>
          <cell r="M1064">
            <v>-5151</v>
          </cell>
          <cell r="N1064">
            <v>94849</v>
          </cell>
        </row>
        <row r="1065">
          <cell r="A1065">
            <v>50097</v>
          </cell>
          <cell r="B1065">
            <v>1059</v>
          </cell>
          <cell r="C1065" t="str">
            <v>IASWD2404001557</v>
          </cell>
          <cell r="D1065">
            <v>45394</v>
          </cell>
          <cell r="E1065">
            <v>46234</v>
          </cell>
          <cell r="F1065" t="str">
            <v>50097</v>
          </cell>
          <cell r="G1065" t="str">
            <v>榮剛七</v>
          </cell>
          <cell r="H1065">
            <v>200000</v>
          </cell>
          <cell r="I1065">
            <v>4.7</v>
          </cell>
          <cell r="J1065">
            <v>46234</v>
          </cell>
          <cell r="K1065">
            <v>101.51</v>
          </cell>
          <cell r="L1065">
            <v>46216</v>
          </cell>
          <cell r="M1065">
            <v>-10250</v>
          </cell>
          <cell r="N1065">
            <v>189750</v>
          </cell>
        </row>
        <row r="1066">
          <cell r="A1066">
            <v>50097</v>
          </cell>
          <cell r="B1066">
            <v>1060</v>
          </cell>
          <cell r="C1066" t="str">
            <v>IASWD2404001567</v>
          </cell>
          <cell r="D1066">
            <v>45394</v>
          </cell>
          <cell r="E1066">
            <v>46234</v>
          </cell>
          <cell r="F1066" t="str">
            <v>50097</v>
          </cell>
          <cell r="G1066" t="str">
            <v>榮剛七</v>
          </cell>
          <cell r="H1066">
            <v>100000</v>
          </cell>
          <cell r="I1066">
            <v>4.7</v>
          </cell>
          <cell r="J1066">
            <v>46234</v>
          </cell>
          <cell r="K1066">
            <v>101.51</v>
          </cell>
          <cell r="L1066">
            <v>46216</v>
          </cell>
          <cell r="M1066">
            <v>-5125</v>
          </cell>
          <cell r="N1066">
            <v>94875</v>
          </cell>
        </row>
        <row r="1067">
          <cell r="A1067">
            <v>50097</v>
          </cell>
          <cell r="B1067">
            <v>1061</v>
          </cell>
          <cell r="C1067" t="str">
            <v>IASWD2404001585</v>
          </cell>
          <cell r="D1067">
            <v>45394</v>
          </cell>
          <cell r="E1067">
            <v>46234</v>
          </cell>
          <cell r="F1067" t="str">
            <v>50097</v>
          </cell>
          <cell r="G1067" t="str">
            <v>榮剛七</v>
          </cell>
          <cell r="H1067">
            <v>200000</v>
          </cell>
          <cell r="I1067">
            <v>4.7</v>
          </cell>
          <cell r="J1067">
            <v>46234</v>
          </cell>
          <cell r="K1067">
            <v>101.51</v>
          </cell>
          <cell r="L1067">
            <v>46216</v>
          </cell>
          <cell r="M1067">
            <v>-10250</v>
          </cell>
          <cell r="N1067">
            <v>189750</v>
          </cell>
        </row>
        <row r="1068">
          <cell r="A1068">
            <v>50097</v>
          </cell>
          <cell r="B1068">
            <v>1062</v>
          </cell>
          <cell r="C1068" t="str">
            <v>IASWD2404001586</v>
          </cell>
          <cell r="D1068">
            <v>45394</v>
          </cell>
          <cell r="E1068">
            <v>46234</v>
          </cell>
          <cell r="F1068" t="str">
            <v>50097</v>
          </cell>
          <cell r="G1068" t="str">
            <v>榮剛七</v>
          </cell>
          <cell r="H1068">
            <v>100000</v>
          </cell>
          <cell r="I1068">
            <v>4.7</v>
          </cell>
          <cell r="J1068">
            <v>46234</v>
          </cell>
          <cell r="K1068">
            <v>101.51</v>
          </cell>
          <cell r="L1068">
            <v>46216</v>
          </cell>
          <cell r="M1068">
            <v>-5125</v>
          </cell>
          <cell r="N1068">
            <v>94875</v>
          </cell>
        </row>
        <row r="1069">
          <cell r="A1069">
            <v>50097</v>
          </cell>
          <cell r="B1069">
            <v>1063</v>
          </cell>
          <cell r="C1069" t="str">
            <v>IASWD2404001588</v>
          </cell>
          <cell r="D1069">
            <v>45394</v>
          </cell>
          <cell r="E1069">
            <v>46234</v>
          </cell>
          <cell r="F1069" t="str">
            <v>50097</v>
          </cell>
          <cell r="G1069" t="str">
            <v>榮剛七</v>
          </cell>
          <cell r="H1069">
            <v>100000</v>
          </cell>
          <cell r="I1069">
            <v>4.7</v>
          </cell>
          <cell r="J1069">
            <v>46234</v>
          </cell>
          <cell r="K1069">
            <v>101.51</v>
          </cell>
          <cell r="L1069">
            <v>46216</v>
          </cell>
          <cell r="M1069">
            <v>-5125</v>
          </cell>
          <cell r="N1069">
            <v>94875</v>
          </cell>
        </row>
        <row r="1070">
          <cell r="A1070">
            <v>50097</v>
          </cell>
          <cell r="B1070">
            <v>1064</v>
          </cell>
          <cell r="C1070" t="str">
            <v>IASWD2404001595</v>
          </cell>
          <cell r="D1070">
            <v>45394</v>
          </cell>
          <cell r="E1070">
            <v>46234</v>
          </cell>
          <cell r="F1070" t="str">
            <v>50097</v>
          </cell>
          <cell r="G1070" t="str">
            <v>榮剛七</v>
          </cell>
          <cell r="H1070">
            <v>200000</v>
          </cell>
          <cell r="I1070">
            <v>4.7</v>
          </cell>
          <cell r="J1070">
            <v>46234</v>
          </cell>
          <cell r="K1070">
            <v>101.51</v>
          </cell>
          <cell r="L1070">
            <v>46216</v>
          </cell>
          <cell r="M1070">
            <v>-10250</v>
          </cell>
          <cell r="N1070">
            <v>189750</v>
          </cell>
        </row>
        <row r="1071">
          <cell r="A1071">
            <v>50097</v>
          </cell>
          <cell r="B1071">
            <v>1065</v>
          </cell>
          <cell r="C1071" t="str">
            <v>IASWD2404001596</v>
          </cell>
          <cell r="D1071">
            <v>45394</v>
          </cell>
          <cell r="E1071">
            <v>46234</v>
          </cell>
          <cell r="F1071" t="str">
            <v>50097</v>
          </cell>
          <cell r="G1071" t="str">
            <v>榮剛七</v>
          </cell>
          <cell r="H1071">
            <v>100000</v>
          </cell>
          <cell r="I1071">
            <v>4.7</v>
          </cell>
          <cell r="J1071">
            <v>46234</v>
          </cell>
          <cell r="K1071">
            <v>101.51</v>
          </cell>
          <cell r="L1071">
            <v>46216</v>
          </cell>
          <cell r="M1071">
            <v>-5125</v>
          </cell>
          <cell r="N1071">
            <v>94875</v>
          </cell>
        </row>
        <row r="1072">
          <cell r="A1072">
            <v>27323</v>
          </cell>
          <cell r="B1072">
            <v>1066</v>
          </cell>
          <cell r="C1072" t="str">
            <v>IASWD2404001597</v>
          </cell>
          <cell r="D1072">
            <v>45394</v>
          </cell>
          <cell r="E1072">
            <v>46048</v>
          </cell>
          <cell r="F1072" t="str">
            <v>27323</v>
          </cell>
          <cell r="G1072" t="str">
            <v>六角三</v>
          </cell>
          <cell r="H1072">
            <v>300000</v>
          </cell>
          <cell r="I1072">
            <v>3</v>
          </cell>
          <cell r="J1072">
            <v>46048</v>
          </cell>
          <cell r="K1072">
            <v>101</v>
          </cell>
          <cell r="L1072">
            <v>46028</v>
          </cell>
          <cell r="M1072">
            <v>-9814</v>
          </cell>
          <cell r="N1072">
            <v>290186</v>
          </cell>
        </row>
        <row r="1073">
          <cell r="A1073">
            <v>50097</v>
          </cell>
          <cell r="B1073">
            <v>1067</v>
          </cell>
          <cell r="C1073" t="str">
            <v>IASWD2404001600</v>
          </cell>
          <cell r="D1073">
            <v>45397</v>
          </cell>
          <cell r="E1073">
            <v>46234</v>
          </cell>
          <cell r="F1073" t="str">
            <v>50097</v>
          </cell>
          <cell r="G1073" t="str">
            <v>榮剛七</v>
          </cell>
          <cell r="H1073">
            <v>500000</v>
          </cell>
          <cell r="I1073">
            <v>4.7</v>
          </cell>
          <cell r="J1073">
            <v>46234</v>
          </cell>
          <cell r="K1073">
            <v>101.51</v>
          </cell>
          <cell r="L1073">
            <v>46216</v>
          </cell>
          <cell r="M1073">
            <v>-25432</v>
          </cell>
          <cell r="N1073">
            <v>474568</v>
          </cell>
        </row>
        <row r="1074">
          <cell r="A1074">
            <v>50097</v>
          </cell>
          <cell r="B1074">
            <v>1068</v>
          </cell>
          <cell r="C1074" t="str">
            <v>IASWD2404001612</v>
          </cell>
          <cell r="D1074">
            <v>45397</v>
          </cell>
          <cell r="E1074">
            <v>46234</v>
          </cell>
          <cell r="F1074" t="str">
            <v>50097</v>
          </cell>
          <cell r="G1074" t="str">
            <v>榮剛七</v>
          </cell>
          <cell r="H1074">
            <v>300000</v>
          </cell>
          <cell r="I1074">
            <v>4.7</v>
          </cell>
          <cell r="J1074">
            <v>46234</v>
          </cell>
          <cell r="K1074">
            <v>101.51</v>
          </cell>
          <cell r="L1074">
            <v>46216</v>
          </cell>
          <cell r="M1074">
            <v>-15259</v>
          </cell>
          <cell r="N1074">
            <v>284741</v>
          </cell>
        </row>
        <row r="1075">
          <cell r="A1075">
            <v>50097</v>
          </cell>
          <cell r="B1075">
            <v>1069</v>
          </cell>
          <cell r="C1075" t="str">
            <v>IASWD2404001627</v>
          </cell>
          <cell r="D1075">
            <v>45397</v>
          </cell>
          <cell r="E1075">
            <v>46234</v>
          </cell>
          <cell r="F1075" t="str">
            <v>50097</v>
          </cell>
          <cell r="G1075" t="str">
            <v>榮剛七</v>
          </cell>
          <cell r="H1075">
            <v>100000</v>
          </cell>
          <cell r="I1075">
            <v>4.7</v>
          </cell>
          <cell r="J1075">
            <v>46234</v>
          </cell>
          <cell r="K1075">
            <v>101.51</v>
          </cell>
          <cell r="L1075">
            <v>46216</v>
          </cell>
          <cell r="M1075">
            <v>-5086</v>
          </cell>
          <cell r="N1075">
            <v>94914</v>
          </cell>
        </row>
        <row r="1076">
          <cell r="A1076">
            <v>50097</v>
          </cell>
          <cell r="B1076">
            <v>1070</v>
          </cell>
          <cell r="C1076" t="str">
            <v>IASWD2404001628</v>
          </cell>
          <cell r="D1076">
            <v>45397</v>
          </cell>
          <cell r="E1076">
            <v>46234</v>
          </cell>
          <cell r="F1076" t="str">
            <v>50097</v>
          </cell>
          <cell r="G1076" t="str">
            <v>榮剛七</v>
          </cell>
          <cell r="H1076">
            <v>500000</v>
          </cell>
          <cell r="I1076">
            <v>4.7</v>
          </cell>
          <cell r="J1076">
            <v>46234</v>
          </cell>
          <cell r="K1076">
            <v>101.51</v>
          </cell>
          <cell r="L1076">
            <v>46216</v>
          </cell>
          <cell r="M1076">
            <v>-25432</v>
          </cell>
          <cell r="N1076">
            <v>474568</v>
          </cell>
        </row>
        <row r="1077">
          <cell r="A1077">
            <v>50097</v>
          </cell>
          <cell r="B1077">
            <v>1071</v>
          </cell>
          <cell r="C1077" t="str">
            <v>IASWD2404001629</v>
          </cell>
          <cell r="D1077">
            <v>45397</v>
          </cell>
          <cell r="E1077">
            <v>46234</v>
          </cell>
          <cell r="F1077" t="str">
            <v>50097</v>
          </cell>
          <cell r="G1077" t="str">
            <v>榮剛七</v>
          </cell>
          <cell r="H1077">
            <v>200000</v>
          </cell>
          <cell r="I1077">
            <v>4.7</v>
          </cell>
          <cell r="J1077">
            <v>46234</v>
          </cell>
          <cell r="K1077">
            <v>101.51</v>
          </cell>
          <cell r="L1077">
            <v>46216</v>
          </cell>
          <cell r="M1077">
            <v>-10173</v>
          </cell>
          <cell r="N1077">
            <v>189827</v>
          </cell>
        </row>
        <row r="1078">
          <cell r="A1078">
            <v>50097</v>
          </cell>
          <cell r="B1078">
            <v>1072</v>
          </cell>
          <cell r="C1078" t="str">
            <v>IASWD2404001633</v>
          </cell>
          <cell r="D1078">
            <v>45397</v>
          </cell>
          <cell r="E1078">
            <v>46234</v>
          </cell>
          <cell r="F1078" t="str">
            <v>50097</v>
          </cell>
          <cell r="G1078" t="str">
            <v>榮剛七</v>
          </cell>
          <cell r="H1078">
            <v>100000</v>
          </cell>
          <cell r="I1078">
            <v>4.7</v>
          </cell>
          <cell r="J1078">
            <v>46234</v>
          </cell>
          <cell r="K1078">
            <v>101.51</v>
          </cell>
          <cell r="L1078">
            <v>46216</v>
          </cell>
          <cell r="M1078">
            <v>-5086</v>
          </cell>
          <cell r="N1078">
            <v>94914</v>
          </cell>
        </row>
        <row r="1079">
          <cell r="A1079">
            <v>50097</v>
          </cell>
          <cell r="B1079">
            <v>1073</v>
          </cell>
          <cell r="C1079" t="str">
            <v>IASWD2404001635</v>
          </cell>
          <cell r="D1079">
            <v>45397</v>
          </cell>
          <cell r="E1079">
            <v>46234</v>
          </cell>
          <cell r="F1079" t="str">
            <v>50097</v>
          </cell>
          <cell r="G1079" t="str">
            <v>榮剛七</v>
          </cell>
          <cell r="H1079">
            <v>200000</v>
          </cell>
          <cell r="I1079">
            <v>4.7</v>
          </cell>
          <cell r="J1079">
            <v>46234</v>
          </cell>
          <cell r="K1079">
            <v>101.51</v>
          </cell>
          <cell r="L1079">
            <v>46216</v>
          </cell>
          <cell r="M1079">
            <v>-10173</v>
          </cell>
          <cell r="N1079">
            <v>189827</v>
          </cell>
        </row>
        <row r="1080">
          <cell r="A1080">
            <v>50097</v>
          </cell>
          <cell r="B1080">
            <v>1074</v>
          </cell>
          <cell r="C1080" t="str">
            <v>IASWD2404001642</v>
          </cell>
          <cell r="D1080">
            <v>45398</v>
          </cell>
          <cell r="E1080">
            <v>46234</v>
          </cell>
          <cell r="F1080" t="str">
            <v>50097</v>
          </cell>
          <cell r="G1080" t="str">
            <v>榮剛七</v>
          </cell>
          <cell r="H1080">
            <v>200000</v>
          </cell>
          <cell r="I1080">
            <v>4.7</v>
          </cell>
          <cell r="J1080">
            <v>46234</v>
          </cell>
          <cell r="K1080">
            <v>101.51</v>
          </cell>
          <cell r="L1080">
            <v>46216</v>
          </cell>
          <cell r="M1080">
            <v>-10147</v>
          </cell>
          <cell r="N1080">
            <v>189853</v>
          </cell>
        </row>
        <row r="1081">
          <cell r="A1081">
            <v>50097</v>
          </cell>
          <cell r="B1081">
            <v>1075</v>
          </cell>
          <cell r="C1081" t="str">
            <v>IASWD2404001643</v>
          </cell>
          <cell r="D1081">
            <v>45398</v>
          </cell>
          <cell r="E1081">
            <v>46234</v>
          </cell>
          <cell r="F1081" t="str">
            <v>50097</v>
          </cell>
          <cell r="G1081" t="str">
            <v>榮剛七</v>
          </cell>
          <cell r="H1081">
            <v>200000</v>
          </cell>
          <cell r="I1081">
            <v>4.7</v>
          </cell>
          <cell r="J1081">
            <v>46234</v>
          </cell>
          <cell r="K1081">
            <v>101.51</v>
          </cell>
          <cell r="L1081">
            <v>46216</v>
          </cell>
          <cell r="M1081">
            <v>-10147</v>
          </cell>
          <cell r="N1081">
            <v>189853</v>
          </cell>
        </row>
        <row r="1082">
          <cell r="A1082">
            <v>50097</v>
          </cell>
          <cell r="B1082">
            <v>1076</v>
          </cell>
          <cell r="C1082" t="str">
            <v>IASWD2404001653</v>
          </cell>
          <cell r="D1082">
            <v>45398</v>
          </cell>
          <cell r="E1082">
            <v>46234</v>
          </cell>
          <cell r="F1082" t="str">
            <v>50097</v>
          </cell>
          <cell r="G1082" t="str">
            <v>榮剛七</v>
          </cell>
          <cell r="H1082">
            <v>100000</v>
          </cell>
          <cell r="I1082">
            <v>4.7</v>
          </cell>
          <cell r="J1082">
            <v>46234</v>
          </cell>
          <cell r="K1082">
            <v>101.51</v>
          </cell>
          <cell r="L1082">
            <v>46216</v>
          </cell>
          <cell r="M1082">
            <v>-5073</v>
          </cell>
          <cell r="N1082">
            <v>94927</v>
          </cell>
        </row>
        <row r="1083">
          <cell r="A1083">
            <v>50097</v>
          </cell>
          <cell r="B1083">
            <v>1077</v>
          </cell>
          <cell r="C1083" t="str">
            <v>IASWD2404001660</v>
          </cell>
          <cell r="D1083">
            <v>45398</v>
          </cell>
          <cell r="E1083">
            <v>46234</v>
          </cell>
          <cell r="F1083" t="str">
            <v>50097</v>
          </cell>
          <cell r="G1083" t="str">
            <v>榮剛七</v>
          </cell>
          <cell r="H1083">
            <v>100000</v>
          </cell>
          <cell r="I1083">
            <v>4.7</v>
          </cell>
          <cell r="J1083">
            <v>46234</v>
          </cell>
          <cell r="K1083">
            <v>101.51</v>
          </cell>
          <cell r="L1083">
            <v>46216</v>
          </cell>
          <cell r="M1083">
            <v>-5073</v>
          </cell>
          <cell r="N1083">
            <v>94927</v>
          </cell>
        </row>
        <row r="1084">
          <cell r="A1084">
            <v>50097</v>
          </cell>
          <cell r="B1084">
            <v>1078</v>
          </cell>
          <cell r="C1084" t="str">
            <v>IASWD2404001669</v>
          </cell>
          <cell r="D1084">
            <v>45398</v>
          </cell>
          <cell r="E1084">
            <v>46234</v>
          </cell>
          <cell r="F1084" t="str">
            <v>50097</v>
          </cell>
          <cell r="G1084" t="str">
            <v>榮剛七</v>
          </cell>
          <cell r="H1084">
            <v>300000</v>
          </cell>
          <cell r="I1084">
            <v>4.7</v>
          </cell>
          <cell r="J1084">
            <v>46234</v>
          </cell>
          <cell r="K1084">
            <v>101.51</v>
          </cell>
          <cell r="L1084">
            <v>46216</v>
          </cell>
          <cell r="M1084">
            <v>-15220</v>
          </cell>
          <cell r="N1084">
            <v>284780</v>
          </cell>
        </row>
        <row r="1085">
          <cell r="A1085">
            <v>50097</v>
          </cell>
          <cell r="B1085">
            <v>1079</v>
          </cell>
          <cell r="C1085" t="str">
            <v>IASWD2404001680</v>
          </cell>
          <cell r="D1085">
            <v>45398</v>
          </cell>
          <cell r="E1085">
            <v>46234</v>
          </cell>
          <cell r="F1085" t="str">
            <v>50097</v>
          </cell>
          <cell r="G1085" t="str">
            <v>榮剛七</v>
          </cell>
          <cell r="H1085">
            <v>100000</v>
          </cell>
          <cell r="I1085">
            <v>4.7</v>
          </cell>
          <cell r="J1085">
            <v>46234</v>
          </cell>
          <cell r="K1085">
            <v>101.51</v>
          </cell>
          <cell r="L1085">
            <v>46216</v>
          </cell>
          <cell r="M1085">
            <v>-5073</v>
          </cell>
          <cell r="N1085">
            <v>94927</v>
          </cell>
        </row>
        <row r="1086">
          <cell r="A1086">
            <v>50097</v>
          </cell>
          <cell r="B1086">
            <v>1080</v>
          </cell>
          <cell r="C1086" t="str">
            <v>IASWD2404001684</v>
          </cell>
          <cell r="D1086">
            <v>45398</v>
          </cell>
          <cell r="E1086">
            <v>46234</v>
          </cell>
          <cell r="F1086" t="str">
            <v>50097</v>
          </cell>
          <cell r="G1086" t="str">
            <v>榮剛七</v>
          </cell>
          <cell r="H1086">
            <v>100000</v>
          </cell>
          <cell r="I1086">
            <v>4.7</v>
          </cell>
          <cell r="J1086">
            <v>46234</v>
          </cell>
          <cell r="K1086">
            <v>101.51</v>
          </cell>
          <cell r="L1086">
            <v>46216</v>
          </cell>
          <cell r="M1086">
            <v>-5073</v>
          </cell>
          <cell r="N1086">
            <v>94927</v>
          </cell>
        </row>
        <row r="1087">
          <cell r="A1087">
            <v>50097</v>
          </cell>
          <cell r="B1087">
            <v>1081</v>
          </cell>
          <cell r="C1087" t="str">
            <v>IASWD2404001686</v>
          </cell>
          <cell r="D1087">
            <v>45398</v>
          </cell>
          <cell r="E1087">
            <v>46234</v>
          </cell>
          <cell r="F1087" t="str">
            <v>50097</v>
          </cell>
          <cell r="G1087" t="str">
            <v>榮剛七</v>
          </cell>
          <cell r="H1087">
            <v>200000</v>
          </cell>
          <cell r="I1087">
            <v>4.7</v>
          </cell>
          <cell r="J1087">
            <v>46234</v>
          </cell>
          <cell r="K1087">
            <v>101.51</v>
          </cell>
          <cell r="L1087">
            <v>46216</v>
          </cell>
          <cell r="M1087">
            <v>-10147</v>
          </cell>
          <cell r="N1087">
            <v>189853</v>
          </cell>
        </row>
        <row r="1088">
          <cell r="A1088">
            <v>50097</v>
          </cell>
          <cell r="B1088">
            <v>1082</v>
          </cell>
          <cell r="C1088" t="str">
            <v>IASWD2404001701</v>
          </cell>
          <cell r="D1088">
            <v>45398</v>
          </cell>
          <cell r="E1088">
            <v>46234</v>
          </cell>
          <cell r="F1088" t="str">
            <v>50097</v>
          </cell>
          <cell r="G1088" t="str">
            <v>榮剛七</v>
          </cell>
          <cell r="H1088">
            <v>500000</v>
          </cell>
          <cell r="I1088">
            <v>4.7</v>
          </cell>
          <cell r="J1088">
            <v>46234</v>
          </cell>
          <cell r="K1088">
            <v>101.51</v>
          </cell>
          <cell r="L1088">
            <v>46216</v>
          </cell>
          <cell r="M1088">
            <v>-25367</v>
          </cell>
          <cell r="N1088">
            <v>474633</v>
          </cell>
        </row>
        <row r="1089">
          <cell r="A1089">
            <v>50097</v>
          </cell>
          <cell r="B1089">
            <v>1083</v>
          </cell>
          <cell r="C1089" t="str">
            <v>IASWD2404001705</v>
          </cell>
          <cell r="D1089">
            <v>45399</v>
          </cell>
          <cell r="E1089">
            <v>46234</v>
          </cell>
          <cell r="F1089" t="str">
            <v>50097</v>
          </cell>
          <cell r="G1089" t="str">
            <v>榮剛七</v>
          </cell>
          <cell r="H1089">
            <v>200000</v>
          </cell>
          <cell r="I1089">
            <v>4.7</v>
          </cell>
          <cell r="J1089">
            <v>46234</v>
          </cell>
          <cell r="K1089">
            <v>101.51</v>
          </cell>
          <cell r="L1089">
            <v>46216</v>
          </cell>
          <cell r="M1089">
            <v>-10121</v>
          </cell>
          <cell r="N1089">
            <v>189879</v>
          </cell>
        </row>
        <row r="1090">
          <cell r="A1090">
            <v>50097</v>
          </cell>
          <cell r="B1090">
            <v>1084</v>
          </cell>
          <cell r="C1090" t="str">
            <v>IASWD2404001712</v>
          </cell>
          <cell r="D1090">
            <v>45399</v>
          </cell>
          <cell r="E1090">
            <v>46234</v>
          </cell>
          <cell r="F1090" t="str">
            <v>50097</v>
          </cell>
          <cell r="G1090" t="str">
            <v>榮剛七</v>
          </cell>
          <cell r="H1090">
            <v>300000</v>
          </cell>
          <cell r="I1090">
            <v>4.7</v>
          </cell>
          <cell r="J1090">
            <v>46234</v>
          </cell>
          <cell r="K1090">
            <v>101.51</v>
          </cell>
          <cell r="L1090">
            <v>46216</v>
          </cell>
          <cell r="M1090">
            <v>-15182</v>
          </cell>
          <cell r="N1090">
            <v>284818</v>
          </cell>
        </row>
        <row r="1091">
          <cell r="A1091">
            <v>50097</v>
          </cell>
          <cell r="B1091">
            <v>1085</v>
          </cell>
          <cell r="C1091" t="str">
            <v>IASWD2404001732</v>
          </cell>
          <cell r="D1091">
            <v>45399</v>
          </cell>
          <cell r="E1091">
            <v>46234</v>
          </cell>
          <cell r="F1091" t="str">
            <v>50097</v>
          </cell>
          <cell r="G1091" t="str">
            <v>榮剛七</v>
          </cell>
          <cell r="H1091">
            <v>1900000</v>
          </cell>
          <cell r="I1091">
            <v>4.7</v>
          </cell>
          <cell r="J1091">
            <v>46234</v>
          </cell>
          <cell r="K1091">
            <v>101.51</v>
          </cell>
          <cell r="L1091">
            <v>46216</v>
          </cell>
          <cell r="M1091">
            <v>-96150</v>
          </cell>
          <cell r="N1091">
            <v>1803850</v>
          </cell>
        </row>
        <row r="1092">
          <cell r="A1092">
            <v>50097</v>
          </cell>
          <cell r="B1092">
            <v>1086</v>
          </cell>
          <cell r="C1092" t="str">
            <v>IASWD2404001755</v>
          </cell>
          <cell r="D1092">
            <v>45400</v>
          </cell>
          <cell r="E1092">
            <v>46234</v>
          </cell>
          <cell r="F1092" t="str">
            <v>50097</v>
          </cell>
          <cell r="G1092" t="str">
            <v>榮剛七</v>
          </cell>
          <cell r="H1092">
            <v>300000</v>
          </cell>
          <cell r="I1092">
            <v>4.7</v>
          </cell>
          <cell r="J1092">
            <v>46234</v>
          </cell>
          <cell r="K1092">
            <v>101.51</v>
          </cell>
          <cell r="L1092">
            <v>46216</v>
          </cell>
          <cell r="M1092">
            <v>-15143</v>
          </cell>
          <cell r="N1092">
            <v>284857</v>
          </cell>
        </row>
        <row r="1093">
          <cell r="A1093">
            <v>50097</v>
          </cell>
          <cell r="B1093">
            <v>1087</v>
          </cell>
          <cell r="C1093" t="str">
            <v>IASWD2404001772</v>
          </cell>
          <cell r="D1093">
            <v>45400</v>
          </cell>
          <cell r="E1093">
            <v>46234</v>
          </cell>
          <cell r="F1093" t="str">
            <v>50097</v>
          </cell>
          <cell r="G1093" t="str">
            <v>榮剛七</v>
          </cell>
          <cell r="H1093">
            <v>700000</v>
          </cell>
          <cell r="I1093">
            <v>4.7</v>
          </cell>
          <cell r="J1093">
            <v>46234</v>
          </cell>
          <cell r="K1093">
            <v>101.51</v>
          </cell>
          <cell r="L1093">
            <v>46216</v>
          </cell>
          <cell r="M1093">
            <v>-35334</v>
          </cell>
          <cell r="N1093">
            <v>664666</v>
          </cell>
        </row>
        <row r="1094">
          <cell r="A1094">
            <v>34132</v>
          </cell>
          <cell r="B1094">
            <v>1088</v>
          </cell>
          <cell r="C1094" t="str">
            <v>IASWD2404001776</v>
          </cell>
          <cell r="D1094">
            <v>45400</v>
          </cell>
          <cell r="E1094">
            <v>45977</v>
          </cell>
          <cell r="F1094" t="str">
            <v>34132</v>
          </cell>
          <cell r="G1094" t="str">
            <v>京鼎二</v>
          </cell>
          <cell r="H1094">
            <v>100000</v>
          </cell>
          <cell r="I1094">
            <v>3</v>
          </cell>
          <cell r="J1094">
            <v>45977</v>
          </cell>
          <cell r="K1094">
            <v>100</v>
          </cell>
          <cell r="L1094">
            <v>45958</v>
          </cell>
          <cell r="M1094">
            <v>-3222</v>
          </cell>
          <cell r="N1094">
            <v>96778</v>
          </cell>
        </row>
        <row r="1095">
          <cell r="A1095">
            <v>34132</v>
          </cell>
          <cell r="B1095">
            <v>1089</v>
          </cell>
          <cell r="C1095" t="str">
            <v>IASWD2404001782</v>
          </cell>
          <cell r="D1095">
            <v>45400</v>
          </cell>
          <cell r="E1095">
            <v>45977</v>
          </cell>
          <cell r="F1095" t="str">
            <v>34132</v>
          </cell>
          <cell r="G1095" t="str">
            <v>京鼎二</v>
          </cell>
          <cell r="H1095">
            <v>100000</v>
          </cell>
          <cell r="I1095">
            <v>3</v>
          </cell>
          <cell r="J1095">
            <v>45977</v>
          </cell>
          <cell r="K1095">
            <v>100</v>
          </cell>
          <cell r="L1095">
            <v>45958</v>
          </cell>
          <cell r="M1095">
            <v>-3222</v>
          </cell>
          <cell r="N1095">
            <v>96778</v>
          </cell>
        </row>
        <row r="1096">
          <cell r="A1096">
            <v>50097</v>
          </cell>
          <cell r="B1096">
            <v>1090</v>
          </cell>
          <cell r="C1096" t="str">
            <v>IASWD2404001786</v>
          </cell>
          <cell r="D1096">
            <v>45400</v>
          </cell>
          <cell r="E1096">
            <v>46234</v>
          </cell>
          <cell r="F1096" t="str">
            <v>50097</v>
          </cell>
          <cell r="G1096" t="str">
            <v>榮剛七</v>
          </cell>
          <cell r="H1096">
            <v>100000</v>
          </cell>
          <cell r="I1096">
            <v>4.7</v>
          </cell>
          <cell r="J1096">
            <v>46234</v>
          </cell>
          <cell r="K1096">
            <v>101.51</v>
          </cell>
          <cell r="L1096">
            <v>46216</v>
          </cell>
          <cell r="M1096">
            <v>-5048</v>
          </cell>
          <cell r="N1096">
            <v>94952</v>
          </cell>
        </row>
        <row r="1097">
          <cell r="A1097">
            <v>34132</v>
          </cell>
          <cell r="B1097">
            <v>1091</v>
          </cell>
          <cell r="C1097" t="str">
            <v>IASWD2404001795</v>
          </cell>
          <cell r="D1097">
            <v>45400</v>
          </cell>
          <cell r="E1097">
            <v>45977</v>
          </cell>
          <cell r="F1097" t="str">
            <v>34132</v>
          </cell>
          <cell r="G1097" t="str">
            <v>京鼎二</v>
          </cell>
          <cell r="H1097">
            <v>100000</v>
          </cell>
          <cell r="I1097">
            <v>3</v>
          </cell>
          <cell r="J1097">
            <v>45977</v>
          </cell>
          <cell r="K1097">
            <v>100</v>
          </cell>
          <cell r="L1097">
            <v>45958</v>
          </cell>
          <cell r="M1097">
            <v>-3222</v>
          </cell>
          <cell r="N1097">
            <v>96778</v>
          </cell>
        </row>
        <row r="1098">
          <cell r="A1098">
            <v>50097</v>
          </cell>
          <cell r="B1098">
            <v>1092</v>
          </cell>
          <cell r="C1098" t="str">
            <v>IASWD2404001799</v>
          </cell>
          <cell r="D1098">
            <v>45401</v>
          </cell>
          <cell r="E1098">
            <v>46234</v>
          </cell>
          <cell r="F1098" t="str">
            <v>50097</v>
          </cell>
          <cell r="G1098" t="str">
            <v>榮剛七</v>
          </cell>
          <cell r="H1098">
            <v>100000</v>
          </cell>
          <cell r="I1098">
            <v>4.7</v>
          </cell>
          <cell r="J1098">
            <v>46234</v>
          </cell>
          <cell r="K1098">
            <v>101.51</v>
          </cell>
          <cell r="L1098">
            <v>46216</v>
          </cell>
          <cell r="M1098">
            <v>-5035</v>
          </cell>
          <cell r="N1098">
            <v>94965</v>
          </cell>
        </row>
        <row r="1099">
          <cell r="A1099">
            <v>50097</v>
          </cell>
          <cell r="B1099">
            <v>1093</v>
          </cell>
          <cell r="C1099" t="str">
            <v>IASWD2404001817</v>
          </cell>
          <cell r="D1099">
            <v>45401</v>
          </cell>
          <cell r="E1099">
            <v>46234</v>
          </cell>
          <cell r="F1099" t="str">
            <v>50097</v>
          </cell>
          <cell r="G1099" t="str">
            <v>榮剛七</v>
          </cell>
          <cell r="H1099">
            <v>100000</v>
          </cell>
          <cell r="I1099">
            <v>4.7</v>
          </cell>
          <cell r="J1099">
            <v>46234</v>
          </cell>
          <cell r="K1099">
            <v>101.51</v>
          </cell>
          <cell r="L1099">
            <v>46216</v>
          </cell>
          <cell r="M1099">
            <v>-5035</v>
          </cell>
          <cell r="N1099">
            <v>94965</v>
          </cell>
        </row>
        <row r="1100">
          <cell r="A1100">
            <v>50097</v>
          </cell>
          <cell r="B1100">
            <v>1094</v>
          </cell>
          <cell r="C1100" t="str">
            <v>IASWD2404001818</v>
          </cell>
          <cell r="D1100">
            <v>45401</v>
          </cell>
          <cell r="E1100">
            <v>46234</v>
          </cell>
          <cell r="F1100" t="str">
            <v>50097</v>
          </cell>
          <cell r="G1100" t="str">
            <v>榮剛七</v>
          </cell>
          <cell r="H1100">
            <v>100000</v>
          </cell>
          <cell r="I1100">
            <v>4.7</v>
          </cell>
          <cell r="J1100">
            <v>46234</v>
          </cell>
          <cell r="K1100">
            <v>101.51</v>
          </cell>
          <cell r="L1100">
            <v>46216</v>
          </cell>
          <cell r="M1100">
            <v>-5035</v>
          </cell>
          <cell r="N1100">
            <v>94965</v>
          </cell>
        </row>
        <row r="1101">
          <cell r="A1101">
            <v>50097</v>
          </cell>
          <cell r="B1101">
            <v>1095</v>
          </cell>
          <cell r="C1101" t="str">
            <v>IASWD2404001830</v>
          </cell>
          <cell r="D1101">
            <v>45401</v>
          </cell>
          <cell r="E1101">
            <v>46234</v>
          </cell>
          <cell r="F1101" t="str">
            <v>50097</v>
          </cell>
          <cell r="G1101" t="str">
            <v>榮剛七</v>
          </cell>
          <cell r="H1101">
            <v>200000</v>
          </cell>
          <cell r="I1101">
            <v>4.7</v>
          </cell>
          <cell r="J1101">
            <v>46234</v>
          </cell>
          <cell r="K1101">
            <v>101.51</v>
          </cell>
          <cell r="L1101">
            <v>46216</v>
          </cell>
          <cell r="M1101">
            <v>-10070</v>
          </cell>
          <cell r="N1101">
            <v>189930</v>
          </cell>
        </row>
        <row r="1102">
          <cell r="A1102">
            <v>50097</v>
          </cell>
          <cell r="B1102">
            <v>1096</v>
          </cell>
          <cell r="C1102" t="str">
            <v>IASWD2404001835</v>
          </cell>
          <cell r="D1102">
            <v>45401</v>
          </cell>
          <cell r="E1102">
            <v>46234</v>
          </cell>
          <cell r="F1102" t="str">
            <v>50097</v>
          </cell>
          <cell r="G1102" t="str">
            <v>榮剛七</v>
          </cell>
          <cell r="H1102">
            <v>200000</v>
          </cell>
          <cell r="I1102">
            <v>4.7</v>
          </cell>
          <cell r="J1102">
            <v>46234</v>
          </cell>
          <cell r="K1102">
            <v>101.51</v>
          </cell>
          <cell r="L1102">
            <v>46216</v>
          </cell>
          <cell r="M1102">
            <v>-10070</v>
          </cell>
          <cell r="N1102">
            <v>189930</v>
          </cell>
        </row>
        <row r="1103">
          <cell r="A1103">
            <v>50097</v>
          </cell>
          <cell r="B1103">
            <v>1097</v>
          </cell>
          <cell r="C1103" t="str">
            <v>IASWD2404001844</v>
          </cell>
          <cell r="D1103">
            <v>45401</v>
          </cell>
          <cell r="E1103">
            <v>46234</v>
          </cell>
          <cell r="F1103" t="str">
            <v>50097</v>
          </cell>
          <cell r="G1103" t="str">
            <v>榮剛七</v>
          </cell>
          <cell r="H1103">
            <v>200000</v>
          </cell>
          <cell r="I1103">
            <v>4.7</v>
          </cell>
          <cell r="J1103">
            <v>46234</v>
          </cell>
          <cell r="K1103">
            <v>101.51</v>
          </cell>
          <cell r="L1103">
            <v>46216</v>
          </cell>
          <cell r="M1103">
            <v>-10070</v>
          </cell>
          <cell r="N1103">
            <v>189930</v>
          </cell>
        </row>
        <row r="1104">
          <cell r="A1104">
            <v>34132</v>
          </cell>
          <cell r="B1104">
            <v>1098</v>
          </cell>
          <cell r="C1104" t="str">
            <v>IASWD2404001877</v>
          </cell>
          <cell r="D1104">
            <v>45401</v>
          </cell>
          <cell r="E1104">
            <v>45977</v>
          </cell>
          <cell r="F1104" t="str">
            <v>34132</v>
          </cell>
          <cell r="G1104" t="str">
            <v>京鼎二</v>
          </cell>
          <cell r="H1104">
            <v>200000</v>
          </cell>
          <cell r="I1104">
            <v>3</v>
          </cell>
          <cell r="J1104">
            <v>45977</v>
          </cell>
          <cell r="K1104">
            <v>100</v>
          </cell>
          <cell r="L1104">
            <v>45958</v>
          </cell>
          <cell r="M1104">
            <v>-6427</v>
          </cell>
          <cell r="N1104">
            <v>193573</v>
          </cell>
        </row>
        <row r="1105">
          <cell r="A1105">
            <v>50097</v>
          </cell>
          <cell r="B1105">
            <v>1099</v>
          </cell>
          <cell r="C1105" t="str">
            <v>IASWD2404001885</v>
          </cell>
          <cell r="D1105">
            <v>45404</v>
          </cell>
          <cell r="E1105">
            <v>46234</v>
          </cell>
          <cell r="F1105" t="str">
            <v>50097</v>
          </cell>
          <cell r="G1105" t="str">
            <v>榮剛七</v>
          </cell>
          <cell r="H1105">
            <v>100000</v>
          </cell>
          <cell r="I1105">
            <v>4.7</v>
          </cell>
          <cell r="J1105">
            <v>46234</v>
          </cell>
          <cell r="K1105">
            <v>101.51</v>
          </cell>
          <cell r="L1105">
            <v>46216</v>
          </cell>
          <cell r="M1105">
            <v>-4996</v>
          </cell>
          <cell r="N1105">
            <v>95004</v>
          </cell>
        </row>
        <row r="1106">
          <cell r="A1106">
            <v>50097</v>
          </cell>
          <cell r="B1106">
            <v>1100</v>
          </cell>
          <cell r="C1106" t="str">
            <v>IASWD2404001890</v>
          </cell>
          <cell r="D1106">
            <v>45404</v>
          </cell>
          <cell r="E1106">
            <v>46234</v>
          </cell>
          <cell r="F1106" t="str">
            <v>50097</v>
          </cell>
          <cell r="G1106" t="str">
            <v>榮剛七</v>
          </cell>
          <cell r="H1106">
            <v>100000</v>
          </cell>
          <cell r="I1106">
            <v>4.7</v>
          </cell>
          <cell r="J1106">
            <v>46234</v>
          </cell>
          <cell r="K1106">
            <v>101.51</v>
          </cell>
          <cell r="L1106">
            <v>46216</v>
          </cell>
          <cell r="M1106">
            <v>-4996</v>
          </cell>
          <cell r="N1106">
            <v>95004</v>
          </cell>
        </row>
        <row r="1107">
          <cell r="A1107">
            <v>50097</v>
          </cell>
          <cell r="B1107">
            <v>1101</v>
          </cell>
          <cell r="C1107" t="str">
            <v>IASWD2404001896</v>
          </cell>
          <cell r="D1107">
            <v>45404</v>
          </cell>
          <cell r="E1107">
            <v>46234</v>
          </cell>
          <cell r="F1107" t="str">
            <v>50097</v>
          </cell>
          <cell r="G1107" t="str">
            <v>榮剛七</v>
          </cell>
          <cell r="H1107">
            <v>200000</v>
          </cell>
          <cell r="I1107">
            <v>4.7</v>
          </cell>
          <cell r="J1107">
            <v>46234</v>
          </cell>
          <cell r="K1107">
            <v>101.51</v>
          </cell>
          <cell r="L1107">
            <v>46216</v>
          </cell>
          <cell r="M1107">
            <v>-9992</v>
          </cell>
          <cell r="N1107">
            <v>190008</v>
          </cell>
        </row>
        <row r="1108">
          <cell r="A1108">
            <v>34132</v>
          </cell>
          <cell r="B1108">
            <v>1102</v>
          </cell>
          <cell r="C1108" t="str">
            <v>IASWD2404001903</v>
          </cell>
          <cell r="D1108">
            <v>45404</v>
          </cell>
          <cell r="E1108">
            <v>45977</v>
          </cell>
          <cell r="F1108" t="str">
            <v>34132</v>
          </cell>
          <cell r="G1108" t="str">
            <v>京鼎二</v>
          </cell>
          <cell r="H1108">
            <v>100000</v>
          </cell>
          <cell r="I1108">
            <v>3</v>
          </cell>
          <cell r="J1108">
            <v>45977</v>
          </cell>
          <cell r="K1108">
            <v>100</v>
          </cell>
          <cell r="L1108">
            <v>45958</v>
          </cell>
          <cell r="M1108">
            <v>-3189</v>
          </cell>
          <cell r="N1108">
            <v>96811</v>
          </cell>
        </row>
        <row r="1109">
          <cell r="A1109">
            <v>50097</v>
          </cell>
          <cell r="B1109">
            <v>1103</v>
          </cell>
          <cell r="C1109" t="str">
            <v>IASWD2404001906</v>
          </cell>
          <cell r="D1109">
            <v>45404</v>
          </cell>
          <cell r="E1109">
            <v>46234</v>
          </cell>
          <cell r="F1109" t="str">
            <v>50097</v>
          </cell>
          <cell r="G1109" t="str">
            <v>榮剛七</v>
          </cell>
          <cell r="H1109">
            <v>100000</v>
          </cell>
          <cell r="I1109">
            <v>4.7</v>
          </cell>
          <cell r="J1109">
            <v>46234</v>
          </cell>
          <cell r="K1109">
            <v>101.51</v>
          </cell>
          <cell r="L1109">
            <v>46216</v>
          </cell>
          <cell r="M1109">
            <v>-4996</v>
          </cell>
          <cell r="N1109">
            <v>95004</v>
          </cell>
        </row>
        <row r="1110">
          <cell r="A1110">
            <v>50097</v>
          </cell>
          <cell r="B1110">
            <v>1104</v>
          </cell>
          <cell r="C1110" t="str">
            <v>IASWD2404001910</v>
          </cell>
          <cell r="D1110">
            <v>45404</v>
          </cell>
          <cell r="E1110">
            <v>46234</v>
          </cell>
          <cell r="F1110" t="str">
            <v>50097</v>
          </cell>
          <cell r="G1110" t="str">
            <v>榮剛七</v>
          </cell>
          <cell r="H1110">
            <v>100000</v>
          </cell>
          <cell r="I1110">
            <v>4.7</v>
          </cell>
          <cell r="J1110">
            <v>46234</v>
          </cell>
          <cell r="K1110">
            <v>101.51</v>
          </cell>
          <cell r="L1110">
            <v>46216</v>
          </cell>
          <cell r="M1110">
            <v>-4996</v>
          </cell>
          <cell r="N1110">
            <v>95004</v>
          </cell>
        </row>
        <row r="1111">
          <cell r="A1111">
            <v>50097</v>
          </cell>
          <cell r="B1111">
            <v>1105</v>
          </cell>
          <cell r="C1111" t="str">
            <v>IASWD2404001917</v>
          </cell>
          <cell r="D1111">
            <v>45404</v>
          </cell>
          <cell r="E1111">
            <v>46234</v>
          </cell>
          <cell r="F1111" t="str">
            <v>50097</v>
          </cell>
          <cell r="G1111" t="str">
            <v>榮剛七</v>
          </cell>
          <cell r="H1111">
            <v>500000</v>
          </cell>
          <cell r="I1111">
            <v>4.7</v>
          </cell>
          <cell r="J1111">
            <v>46234</v>
          </cell>
          <cell r="K1111">
            <v>101.51</v>
          </cell>
          <cell r="L1111">
            <v>46216</v>
          </cell>
          <cell r="M1111">
            <v>-24981</v>
          </cell>
          <cell r="N1111">
            <v>475019</v>
          </cell>
        </row>
        <row r="1112">
          <cell r="A1112">
            <v>50097</v>
          </cell>
          <cell r="B1112">
            <v>1106</v>
          </cell>
          <cell r="C1112" t="str">
            <v>IASWD2404001920</v>
          </cell>
          <cell r="D1112">
            <v>45404</v>
          </cell>
          <cell r="E1112">
            <v>46234</v>
          </cell>
          <cell r="F1112" t="str">
            <v>50097</v>
          </cell>
          <cell r="G1112" t="str">
            <v>榮剛七</v>
          </cell>
          <cell r="H1112">
            <v>100000</v>
          </cell>
          <cell r="I1112">
            <v>4.7</v>
          </cell>
          <cell r="J1112">
            <v>46234</v>
          </cell>
          <cell r="K1112">
            <v>101.51</v>
          </cell>
          <cell r="L1112">
            <v>46216</v>
          </cell>
          <cell r="M1112">
            <v>-4996</v>
          </cell>
          <cell r="N1112">
            <v>95004</v>
          </cell>
        </row>
        <row r="1113">
          <cell r="A1113">
            <v>50097</v>
          </cell>
          <cell r="B1113">
            <v>1107</v>
          </cell>
          <cell r="C1113" t="str">
            <v>IASWD2404001922</v>
          </cell>
          <cell r="D1113">
            <v>45404</v>
          </cell>
          <cell r="E1113">
            <v>46234</v>
          </cell>
          <cell r="F1113" t="str">
            <v>50097</v>
          </cell>
          <cell r="G1113" t="str">
            <v>榮剛七</v>
          </cell>
          <cell r="H1113">
            <v>100000</v>
          </cell>
          <cell r="I1113">
            <v>4.7</v>
          </cell>
          <cell r="J1113">
            <v>46234</v>
          </cell>
          <cell r="K1113">
            <v>101.51</v>
          </cell>
          <cell r="L1113">
            <v>46216</v>
          </cell>
          <cell r="M1113">
            <v>-4996</v>
          </cell>
          <cell r="N1113">
            <v>95004</v>
          </cell>
        </row>
        <row r="1114">
          <cell r="A1114">
            <v>50097</v>
          </cell>
          <cell r="B1114">
            <v>1108</v>
          </cell>
          <cell r="C1114" t="str">
            <v>IASWD2404001936</v>
          </cell>
          <cell r="D1114">
            <v>45404</v>
          </cell>
          <cell r="E1114">
            <v>46234</v>
          </cell>
          <cell r="F1114" t="str">
            <v>50097</v>
          </cell>
          <cell r="G1114" t="str">
            <v>榮剛七</v>
          </cell>
          <cell r="H1114">
            <v>200000</v>
          </cell>
          <cell r="I1114">
            <v>4.7</v>
          </cell>
          <cell r="J1114">
            <v>46234</v>
          </cell>
          <cell r="K1114">
            <v>101.51</v>
          </cell>
          <cell r="L1114">
            <v>46216</v>
          </cell>
          <cell r="M1114">
            <v>-9992</v>
          </cell>
          <cell r="N1114">
            <v>190008</v>
          </cell>
        </row>
        <row r="1115">
          <cell r="A1115">
            <v>27323</v>
          </cell>
          <cell r="B1115">
            <v>1109</v>
          </cell>
          <cell r="C1115" t="str">
            <v>IASWD2404001948</v>
          </cell>
          <cell r="D1115">
            <v>45405</v>
          </cell>
          <cell r="E1115">
            <v>46048</v>
          </cell>
          <cell r="F1115" t="str">
            <v>27323</v>
          </cell>
          <cell r="G1115" t="str">
            <v>六角三</v>
          </cell>
          <cell r="H1115">
            <v>300000</v>
          </cell>
          <cell r="I1115">
            <v>3</v>
          </cell>
          <cell r="J1115">
            <v>46048</v>
          </cell>
          <cell r="K1115">
            <v>101</v>
          </cell>
          <cell r="L1115">
            <v>46028</v>
          </cell>
          <cell r="M1115">
            <v>-9542</v>
          </cell>
          <cell r="N1115">
            <v>290458</v>
          </cell>
        </row>
        <row r="1116">
          <cell r="A1116">
            <v>27323</v>
          </cell>
          <cell r="B1116">
            <v>1110</v>
          </cell>
          <cell r="C1116" t="str">
            <v>IASWD2404002023</v>
          </cell>
          <cell r="D1116">
            <v>45408</v>
          </cell>
          <cell r="E1116">
            <v>46048</v>
          </cell>
          <cell r="F1116" t="str">
            <v>27323</v>
          </cell>
          <cell r="G1116" t="str">
            <v>六角三</v>
          </cell>
          <cell r="H1116">
            <v>100000</v>
          </cell>
          <cell r="I1116">
            <v>3</v>
          </cell>
          <cell r="J1116">
            <v>46048</v>
          </cell>
          <cell r="K1116">
            <v>101</v>
          </cell>
          <cell r="L1116">
            <v>46028</v>
          </cell>
          <cell r="M1116">
            <v>-3156</v>
          </cell>
          <cell r="N1116">
            <v>96844</v>
          </cell>
        </row>
        <row r="1117">
          <cell r="A1117">
            <v>27323</v>
          </cell>
          <cell r="B1117">
            <v>1111</v>
          </cell>
          <cell r="C1117" t="str">
            <v>IASWD2405000016</v>
          </cell>
          <cell r="D1117">
            <v>45414</v>
          </cell>
          <cell r="E1117">
            <v>46048</v>
          </cell>
          <cell r="F1117" t="str">
            <v>27323</v>
          </cell>
          <cell r="G1117" t="str">
            <v>六角三</v>
          </cell>
          <cell r="H1117">
            <v>200000</v>
          </cell>
          <cell r="I1117">
            <v>3</v>
          </cell>
          <cell r="J1117">
            <v>46048</v>
          </cell>
          <cell r="K1117">
            <v>101</v>
          </cell>
          <cell r="L1117">
            <v>46028</v>
          </cell>
          <cell r="M1117">
            <v>-6214</v>
          </cell>
          <cell r="N1117">
            <v>193786</v>
          </cell>
        </row>
        <row r="1118">
          <cell r="A1118">
            <v>49681</v>
          </cell>
          <cell r="B1118">
            <v>1112</v>
          </cell>
          <cell r="C1118" t="str">
            <v>IASWD2405000191</v>
          </cell>
          <cell r="D1118">
            <v>45418</v>
          </cell>
          <cell r="E1118">
            <v>45867</v>
          </cell>
          <cell r="F1118" t="str">
            <v>49681</v>
          </cell>
          <cell r="G1118" t="str">
            <v>立積一</v>
          </cell>
          <cell r="H1118">
            <v>100000</v>
          </cell>
          <cell r="I1118">
            <v>3.5</v>
          </cell>
          <cell r="J1118">
            <v>45867</v>
          </cell>
          <cell r="K1118">
            <v>100</v>
          </cell>
          <cell r="L1118">
            <v>45847</v>
          </cell>
          <cell r="M1118">
            <v>-3586</v>
          </cell>
          <cell r="N1118">
            <v>96414</v>
          </cell>
        </row>
        <row r="1119">
          <cell r="A1119">
            <v>22313</v>
          </cell>
          <cell r="B1119">
            <v>1113</v>
          </cell>
          <cell r="C1119" t="str">
            <v>IASWD2405000246</v>
          </cell>
          <cell r="D1119">
            <v>45420</v>
          </cell>
          <cell r="E1119">
            <v>45898</v>
          </cell>
          <cell r="F1119" t="str">
            <v>22313</v>
          </cell>
          <cell r="G1119" t="str">
            <v>為升三</v>
          </cell>
          <cell r="H1119">
            <v>100000</v>
          </cell>
          <cell r="I1119">
            <v>3.5</v>
          </cell>
          <cell r="J1119">
            <v>45898</v>
          </cell>
          <cell r="K1119">
            <v>101.50749999999999</v>
          </cell>
          <cell r="L1119">
            <v>45880</v>
          </cell>
          <cell r="M1119">
            <v>-3567</v>
          </cell>
          <cell r="N1119">
            <v>96433</v>
          </cell>
        </row>
        <row r="1120">
          <cell r="A1120">
            <v>22013</v>
          </cell>
          <cell r="B1120">
            <v>1114</v>
          </cell>
          <cell r="C1120" t="str">
            <v>IASWD2405000333</v>
          </cell>
          <cell r="D1120">
            <v>45422</v>
          </cell>
          <cell r="E1120">
            <v>46167</v>
          </cell>
          <cell r="F1120" t="str">
            <v>22013</v>
          </cell>
          <cell r="G1120" t="str">
            <v>裕隆三</v>
          </cell>
          <cell r="H1120">
            <v>100000</v>
          </cell>
          <cell r="I1120">
            <v>3.25</v>
          </cell>
          <cell r="J1120">
            <v>46167</v>
          </cell>
          <cell r="K1120">
            <v>100.75190000000001</v>
          </cell>
          <cell r="L1120">
            <v>46147</v>
          </cell>
          <cell r="M1120">
            <v>-3295</v>
          </cell>
          <cell r="N1120">
            <v>96705</v>
          </cell>
        </row>
        <row r="1121">
          <cell r="A1121">
            <v>22013</v>
          </cell>
          <cell r="B1121">
            <v>1115</v>
          </cell>
          <cell r="C1121" t="str">
            <v>IASWD2405000335</v>
          </cell>
          <cell r="D1121">
            <v>45422</v>
          </cell>
          <cell r="E1121">
            <v>46167</v>
          </cell>
          <cell r="F1121" t="str">
            <v>22013</v>
          </cell>
          <cell r="G1121" t="str">
            <v>裕隆三</v>
          </cell>
          <cell r="H1121">
            <v>100000</v>
          </cell>
          <cell r="I1121">
            <v>3.25</v>
          </cell>
          <cell r="J1121">
            <v>46167</v>
          </cell>
          <cell r="K1121">
            <v>100.75190000000001</v>
          </cell>
          <cell r="L1121">
            <v>46147</v>
          </cell>
          <cell r="M1121">
            <v>-3295</v>
          </cell>
          <cell r="N1121">
            <v>96705</v>
          </cell>
        </row>
        <row r="1122">
          <cell r="A1122">
            <v>82992</v>
          </cell>
          <cell r="B1122">
            <v>1116</v>
          </cell>
          <cell r="C1122" t="str">
            <v>IASWD2405000355</v>
          </cell>
          <cell r="D1122">
            <v>45425</v>
          </cell>
          <cell r="E1122">
            <v>46410</v>
          </cell>
          <cell r="F1122" t="str">
            <v>82992</v>
          </cell>
          <cell r="G1122" t="str">
            <v>群聯二</v>
          </cell>
          <cell r="H1122">
            <v>800000</v>
          </cell>
          <cell r="I1122">
            <v>2.5</v>
          </cell>
          <cell r="J1122">
            <v>46410</v>
          </cell>
          <cell r="K1122">
            <v>100</v>
          </cell>
          <cell r="L1122">
            <v>46392</v>
          </cell>
          <cell r="M1122">
            <v>-20110</v>
          </cell>
          <cell r="N1122">
            <v>779890</v>
          </cell>
        </row>
        <row r="1123">
          <cell r="A1123">
            <v>82992</v>
          </cell>
          <cell r="B1123">
            <v>1117</v>
          </cell>
          <cell r="C1123" t="str">
            <v>IASWD2405000363</v>
          </cell>
          <cell r="D1123">
            <v>45425</v>
          </cell>
          <cell r="E1123">
            <v>46410</v>
          </cell>
          <cell r="F1123" t="str">
            <v>82992</v>
          </cell>
          <cell r="G1123" t="str">
            <v>群聯二</v>
          </cell>
          <cell r="H1123">
            <v>300000</v>
          </cell>
          <cell r="I1123">
            <v>2.5</v>
          </cell>
          <cell r="J1123">
            <v>46410</v>
          </cell>
          <cell r="K1123">
            <v>100</v>
          </cell>
          <cell r="L1123">
            <v>46392</v>
          </cell>
          <cell r="M1123">
            <v>-7541</v>
          </cell>
          <cell r="N1123">
            <v>292459</v>
          </cell>
        </row>
        <row r="1124">
          <cell r="A1124">
            <v>24361</v>
          </cell>
          <cell r="B1124">
            <v>1118</v>
          </cell>
          <cell r="C1124" t="str">
            <v>IASWD2405000365</v>
          </cell>
          <cell r="D1124">
            <v>45425</v>
          </cell>
          <cell r="E1124">
            <v>45911</v>
          </cell>
          <cell r="F1124" t="str">
            <v>24361</v>
          </cell>
          <cell r="G1124" t="str">
            <v>偉詮電一</v>
          </cell>
          <cell r="H1124">
            <v>100000</v>
          </cell>
          <cell r="I1124">
            <v>3.75</v>
          </cell>
          <cell r="J1124">
            <v>45911</v>
          </cell>
          <cell r="K1124">
            <v>100.50060000000001</v>
          </cell>
          <cell r="L1124">
            <v>45891</v>
          </cell>
          <cell r="M1124">
            <v>-3771</v>
          </cell>
          <cell r="N1124">
            <v>96229</v>
          </cell>
        </row>
        <row r="1125">
          <cell r="A1125">
            <v>82992</v>
          </cell>
          <cell r="B1125">
            <v>1119</v>
          </cell>
          <cell r="C1125" t="str">
            <v>IASWD2405000368</v>
          </cell>
          <cell r="D1125">
            <v>45425</v>
          </cell>
          <cell r="E1125">
            <v>46410</v>
          </cell>
          <cell r="F1125" t="str">
            <v>82992</v>
          </cell>
          <cell r="G1125" t="str">
            <v>群聯二</v>
          </cell>
          <cell r="H1125">
            <v>100000</v>
          </cell>
          <cell r="I1125">
            <v>2.5</v>
          </cell>
          <cell r="J1125">
            <v>46410</v>
          </cell>
          <cell r="K1125">
            <v>100</v>
          </cell>
          <cell r="L1125">
            <v>46392</v>
          </cell>
          <cell r="M1125">
            <v>-2514</v>
          </cell>
          <cell r="N1125">
            <v>97486</v>
          </cell>
        </row>
        <row r="1126">
          <cell r="A1126">
            <v>82992</v>
          </cell>
          <cell r="B1126">
            <v>1120</v>
          </cell>
          <cell r="C1126" t="str">
            <v>IASWD2405000371</v>
          </cell>
          <cell r="D1126">
            <v>45425</v>
          </cell>
          <cell r="E1126">
            <v>46410</v>
          </cell>
          <cell r="F1126" t="str">
            <v>82992</v>
          </cell>
          <cell r="G1126" t="str">
            <v>群聯二</v>
          </cell>
          <cell r="H1126">
            <v>200000</v>
          </cell>
          <cell r="I1126">
            <v>2.5</v>
          </cell>
          <cell r="J1126">
            <v>46410</v>
          </cell>
          <cell r="K1126">
            <v>100</v>
          </cell>
          <cell r="L1126">
            <v>46392</v>
          </cell>
          <cell r="M1126">
            <v>-5027</v>
          </cell>
          <cell r="N1126">
            <v>194973</v>
          </cell>
        </row>
        <row r="1127">
          <cell r="A1127">
            <v>82992</v>
          </cell>
          <cell r="B1127">
            <v>1121</v>
          </cell>
          <cell r="C1127" t="str">
            <v>IASWD2405000372</v>
          </cell>
          <cell r="D1127">
            <v>45425</v>
          </cell>
          <cell r="E1127">
            <v>46410</v>
          </cell>
          <cell r="F1127" t="str">
            <v>82992</v>
          </cell>
          <cell r="G1127" t="str">
            <v>群聯二</v>
          </cell>
          <cell r="H1127">
            <v>100000</v>
          </cell>
          <cell r="I1127">
            <v>2.5</v>
          </cell>
          <cell r="J1127">
            <v>46410</v>
          </cell>
          <cell r="K1127">
            <v>100</v>
          </cell>
          <cell r="L1127">
            <v>46392</v>
          </cell>
          <cell r="M1127">
            <v>-2514</v>
          </cell>
          <cell r="N1127">
            <v>97486</v>
          </cell>
        </row>
        <row r="1128">
          <cell r="A1128">
            <v>82992</v>
          </cell>
          <cell r="B1128">
            <v>1122</v>
          </cell>
          <cell r="C1128" t="str">
            <v>IASWD2405000373</v>
          </cell>
          <cell r="D1128">
            <v>45425</v>
          </cell>
          <cell r="E1128">
            <v>46410</v>
          </cell>
          <cell r="F1128" t="str">
            <v>82992</v>
          </cell>
          <cell r="G1128" t="str">
            <v>群聯二</v>
          </cell>
          <cell r="H1128">
            <v>100000</v>
          </cell>
          <cell r="I1128">
            <v>2.5</v>
          </cell>
          <cell r="J1128">
            <v>46410</v>
          </cell>
          <cell r="K1128">
            <v>100</v>
          </cell>
          <cell r="L1128">
            <v>46392</v>
          </cell>
          <cell r="M1128">
            <v>-2514</v>
          </cell>
          <cell r="N1128">
            <v>97486</v>
          </cell>
        </row>
        <row r="1129">
          <cell r="A1129">
            <v>22013</v>
          </cell>
          <cell r="B1129">
            <v>1123</v>
          </cell>
          <cell r="C1129" t="str">
            <v>IASWD2405000374</v>
          </cell>
          <cell r="D1129">
            <v>45425</v>
          </cell>
          <cell r="E1129">
            <v>46167</v>
          </cell>
          <cell r="F1129" t="str">
            <v>22013</v>
          </cell>
          <cell r="G1129" t="str">
            <v>裕隆三</v>
          </cell>
          <cell r="H1129">
            <v>100000</v>
          </cell>
          <cell r="I1129">
            <v>3.25</v>
          </cell>
          <cell r="J1129">
            <v>46167</v>
          </cell>
          <cell r="K1129">
            <v>100.75190000000001</v>
          </cell>
          <cell r="L1129">
            <v>46147</v>
          </cell>
          <cell r="M1129">
            <v>-3268</v>
          </cell>
          <cell r="N1129">
            <v>96732</v>
          </cell>
        </row>
        <row r="1130">
          <cell r="A1130">
            <v>24361</v>
          </cell>
          <cell r="B1130">
            <v>1124</v>
          </cell>
          <cell r="C1130" t="str">
            <v>IASWD2405000375</v>
          </cell>
          <cell r="D1130">
            <v>45425</v>
          </cell>
          <cell r="E1130">
            <v>45911</v>
          </cell>
          <cell r="F1130" t="str">
            <v>24361</v>
          </cell>
          <cell r="G1130" t="str">
            <v>偉詮電一</v>
          </cell>
          <cell r="H1130">
            <v>100000</v>
          </cell>
          <cell r="I1130">
            <v>3.75</v>
          </cell>
          <cell r="J1130">
            <v>45911</v>
          </cell>
          <cell r="K1130">
            <v>100.50060000000001</v>
          </cell>
          <cell r="L1130">
            <v>45891</v>
          </cell>
          <cell r="M1130">
            <v>-3771</v>
          </cell>
          <cell r="N1130">
            <v>96229</v>
          </cell>
        </row>
        <row r="1131">
          <cell r="A1131">
            <v>82992</v>
          </cell>
          <cell r="B1131">
            <v>1125</v>
          </cell>
          <cell r="C1131" t="str">
            <v>IASWD2405000376</v>
          </cell>
          <cell r="D1131">
            <v>45425</v>
          </cell>
          <cell r="E1131">
            <v>46410</v>
          </cell>
          <cell r="F1131" t="str">
            <v>82992</v>
          </cell>
          <cell r="G1131" t="str">
            <v>群聯二</v>
          </cell>
          <cell r="H1131">
            <v>100000</v>
          </cell>
          <cell r="I1131">
            <v>2.5</v>
          </cell>
          <cell r="J1131">
            <v>46410</v>
          </cell>
          <cell r="K1131">
            <v>100</v>
          </cell>
          <cell r="L1131">
            <v>46392</v>
          </cell>
          <cell r="M1131">
            <v>-2514</v>
          </cell>
          <cell r="N1131">
            <v>97486</v>
          </cell>
        </row>
        <row r="1132">
          <cell r="A1132">
            <v>82992</v>
          </cell>
          <cell r="B1132">
            <v>1126</v>
          </cell>
          <cell r="C1132" t="str">
            <v>IASWD2405000377</v>
          </cell>
          <cell r="D1132">
            <v>45425</v>
          </cell>
          <cell r="E1132">
            <v>46410</v>
          </cell>
          <cell r="F1132" t="str">
            <v>82992</v>
          </cell>
          <cell r="G1132" t="str">
            <v>群聯二</v>
          </cell>
          <cell r="H1132">
            <v>200000</v>
          </cell>
          <cell r="I1132">
            <v>2.5</v>
          </cell>
          <cell r="J1132">
            <v>46410</v>
          </cell>
          <cell r="K1132">
            <v>100</v>
          </cell>
          <cell r="L1132">
            <v>46392</v>
          </cell>
          <cell r="M1132">
            <v>-5027</v>
          </cell>
          <cell r="N1132">
            <v>194973</v>
          </cell>
        </row>
        <row r="1133">
          <cell r="A1133">
            <v>82992</v>
          </cell>
          <cell r="B1133">
            <v>1127</v>
          </cell>
          <cell r="C1133" t="str">
            <v>IASWD2405000378</v>
          </cell>
          <cell r="D1133">
            <v>45425</v>
          </cell>
          <cell r="E1133">
            <v>46410</v>
          </cell>
          <cell r="F1133" t="str">
            <v>82992</v>
          </cell>
          <cell r="G1133" t="str">
            <v>群聯二</v>
          </cell>
          <cell r="H1133">
            <v>100000</v>
          </cell>
          <cell r="I1133">
            <v>2.5</v>
          </cell>
          <cell r="J1133">
            <v>46410</v>
          </cell>
          <cell r="K1133">
            <v>100</v>
          </cell>
          <cell r="L1133">
            <v>46392</v>
          </cell>
          <cell r="M1133">
            <v>-2514</v>
          </cell>
          <cell r="N1133">
            <v>97486</v>
          </cell>
        </row>
        <row r="1134">
          <cell r="A1134">
            <v>82992</v>
          </cell>
          <cell r="B1134">
            <v>1128</v>
          </cell>
          <cell r="C1134" t="str">
            <v>IASWD2405000379</v>
          </cell>
          <cell r="D1134">
            <v>45425</v>
          </cell>
          <cell r="E1134">
            <v>46410</v>
          </cell>
          <cell r="F1134" t="str">
            <v>82992</v>
          </cell>
          <cell r="G1134" t="str">
            <v>群聯二</v>
          </cell>
          <cell r="H1134">
            <v>200000</v>
          </cell>
          <cell r="I1134">
            <v>2.5</v>
          </cell>
          <cell r="J1134">
            <v>46410</v>
          </cell>
          <cell r="K1134">
            <v>100</v>
          </cell>
          <cell r="L1134">
            <v>46392</v>
          </cell>
          <cell r="M1134">
            <v>-5027</v>
          </cell>
          <cell r="N1134">
            <v>194973</v>
          </cell>
        </row>
        <row r="1135">
          <cell r="A1135">
            <v>82992</v>
          </cell>
          <cell r="B1135">
            <v>1129</v>
          </cell>
          <cell r="C1135" t="str">
            <v>IASWD2405000382</v>
          </cell>
          <cell r="D1135">
            <v>45425</v>
          </cell>
          <cell r="E1135">
            <v>46410</v>
          </cell>
          <cell r="F1135" t="str">
            <v>82992</v>
          </cell>
          <cell r="G1135" t="str">
            <v>群聯二</v>
          </cell>
          <cell r="H1135">
            <v>1000000</v>
          </cell>
          <cell r="I1135">
            <v>2.5</v>
          </cell>
          <cell r="J1135">
            <v>46410</v>
          </cell>
          <cell r="K1135">
            <v>100</v>
          </cell>
          <cell r="L1135">
            <v>46392</v>
          </cell>
          <cell r="M1135">
            <v>-25137</v>
          </cell>
          <cell r="N1135">
            <v>974863</v>
          </cell>
        </row>
        <row r="1136">
          <cell r="A1136">
            <v>82992</v>
          </cell>
          <cell r="B1136">
            <v>1130</v>
          </cell>
          <cell r="C1136" t="str">
            <v>IASWD2405000383</v>
          </cell>
          <cell r="D1136">
            <v>45425</v>
          </cell>
          <cell r="E1136">
            <v>46410</v>
          </cell>
          <cell r="F1136" t="str">
            <v>82992</v>
          </cell>
          <cell r="G1136" t="str">
            <v>群聯二</v>
          </cell>
          <cell r="H1136">
            <v>100000</v>
          </cell>
          <cell r="I1136">
            <v>2.5</v>
          </cell>
          <cell r="J1136">
            <v>46410</v>
          </cell>
          <cell r="K1136">
            <v>100</v>
          </cell>
          <cell r="L1136">
            <v>46392</v>
          </cell>
          <cell r="M1136">
            <v>-2514</v>
          </cell>
          <cell r="N1136">
            <v>97486</v>
          </cell>
        </row>
        <row r="1137">
          <cell r="A1137">
            <v>82992</v>
          </cell>
          <cell r="B1137">
            <v>1131</v>
          </cell>
          <cell r="C1137" t="str">
            <v>IASWD2405000385</v>
          </cell>
          <cell r="D1137">
            <v>45425</v>
          </cell>
          <cell r="E1137">
            <v>46410</v>
          </cell>
          <cell r="F1137" t="str">
            <v>82992</v>
          </cell>
          <cell r="G1137" t="str">
            <v>群聯二</v>
          </cell>
          <cell r="H1137">
            <v>200000</v>
          </cell>
          <cell r="I1137">
            <v>2.5</v>
          </cell>
          <cell r="J1137">
            <v>46410</v>
          </cell>
          <cell r="K1137">
            <v>100</v>
          </cell>
          <cell r="L1137">
            <v>46392</v>
          </cell>
          <cell r="M1137">
            <v>-5027</v>
          </cell>
          <cell r="N1137">
            <v>194973</v>
          </cell>
        </row>
        <row r="1138">
          <cell r="A1138">
            <v>22013</v>
          </cell>
          <cell r="B1138">
            <v>1132</v>
          </cell>
          <cell r="C1138" t="str">
            <v>IASWD2405000386</v>
          </cell>
          <cell r="D1138">
            <v>45425</v>
          </cell>
          <cell r="E1138">
            <v>46167</v>
          </cell>
          <cell r="F1138" t="str">
            <v>22013</v>
          </cell>
          <cell r="G1138" t="str">
            <v>裕隆三</v>
          </cell>
          <cell r="H1138">
            <v>200000</v>
          </cell>
          <cell r="I1138">
            <v>3.25</v>
          </cell>
          <cell r="J1138">
            <v>46167</v>
          </cell>
          <cell r="K1138">
            <v>100.75190000000001</v>
          </cell>
          <cell r="L1138">
            <v>46147</v>
          </cell>
          <cell r="M1138">
            <v>-6536</v>
          </cell>
          <cell r="N1138">
            <v>193464</v>
          </cell>
        </row>
        <row r="1139">
          <cell r="A1139">
            <v>22313</v>
          </cell>
          <cell r="B1139">
            <v>1133</v>
          </cell>
          <cell r="C1139" t="str">
            <v>IASWD2405000387</v>
          </cell>
          <cell r="D1139">
            <v>45425</v>
          </cell>
          <cell r="E1139">
            <v>45898</v>
          </cell>
          <cell r="F1139" t="str">
            <v>22313</v>
          </cell>
          <cell r="G1139" t="str">
            <v>為升三</v>
          </cell>
          <cell r="H1139">
            <v>100000</v>
          </cell>
          <cell r="I1139">
            <v>3.5</v>
          </cell>
          <cell r="J1139">
            <v>45898</v>
          </cell>
          <cell r="K1139">
            <v>101.50749999999999</v>
          </cell>
          <cell r="L1139">
            <v>45880</v>
          </cell>
          <cell r="M1139">
            <v>-3519</v>
          </cell>
          <cell r="N1139">
            <v>96481</v>
          </cell>
        </row>
        <row r="1140">
          <cell r="A1140">
            <v>82992</v>
          </cell>
          <cell r="B1140">
            <v>1134</v>
          </cell>
          <cell r="C1140" t="str">
            <v>IASWD2405000389</v>
          </cell>
          <cell r="D1140">
            <v>45425</v>
          </cell>
          <cell r="E1140">
            <v>46410</v>
          </cell>
          <cell r="F1140" t="str">
            <v>82992</v>
          </cell>
          <cell r="G1140" t="str">
            <v>群聯二</v>
          </cell>
          <cell r="H1140">
            <v>200000</v>
          </cell>
          <cell r="I1140">
            <v>2.5</v>
          </cell>
          <cell r="J1140">
            <v>46410</v>
          </cell>
          <cell r="K1140">
            <v>100</v>
          </cell>
          <cell r="L1140">
            <v>46392</v>
          </cell>
          <cell r="M1140">
            <v>-5027</v>
          </cell>
          <cell r="N1140">
            <v>194973</v>
          </cell>
        </row>
        <row r="1141">
          <cell r="A1141">
            <v>82992</v>
          </cell>
          <cell r="B1141">
            <v>1135</v>
          </cell>
          <cell r="C1141" t="str">
            <v>IASWD2405000390</v>
          </cell>
          <cell r="D1141">
            <v>45425</v>
          </cell>
          <cell r="E1141">
            <v>46410</v>
          </cell>
          <cell r="F1141" t="str">
            <v>82992</v>
          </cell>
          <cell r="G1141" t="str">
            <v>群聯二</v>
          </cell>
          <cell r="H1141">
            <v>200000</v>
          </cell>
          <cell r="I1141">
            <v>2.5</v>
          </cell>
          <cell r="J1141">
            <v>46410</v>
          </cell>
          <cell r="K1141">
            <v>100</v>
          </cell>
          <cell r="L1141">
            <v>46392</v>
          </cell>
          <cell r="M1141">
            <v>-5027</v>
          </cell>
          <cell r="N1141">
            <v>194973</v>
          </cell>
        </row>
        <row r="1142">
          <cell r="A1142">
            <v>22013</v>
          </cell>
          <cell r="B1142">
            <v>1136</v>
          </cell>
          <cell r="C1142" t="str">
            <v>IASWD2405000392</v>
          </cell>
          <cell r="D1142">
            <v>45425</v>
          </cell>
          <cell r="E1142">
            <v>46167</v>
          </cell>
          <cell r="F1142" t="str">
            <v>22013</v>
          </cell>
          <cell r="G1142" t="str">
            <v>裕隆三</v>
          </cell>
          <cell r="H1142">
            <v>100000</v>
          </cell>
          <cell r="I1142">
            <v>3.25</v>
          </cell>
          <cell r="J1142">
            <v>46167</v>
          </cell>
          <cell r="K1142">
            <v>100.75190000000001</v>
          </cell>
          <cell r="L1142">
            <v>46147</v>
          </cell>
          <cell r="M1142">
            <v>-3268</v>
          </cell>
          <cell r="N1142">
            <v>96732</v>
          </cell>
        </row>
        <row r="1143">
          <cell r="A1143">
            <v>82992</v>
          </cell>
          <cell r="B1143">
            <v>1137</v>
          </cell>
          <cell r="C1143" t="str">
            <v>IASWD2405000393</v>
          </cell>
          <cell r="D1143">
            <v>45425</v>
          </cell>
          <cell r="E1143">
            <v>46410</v>
          </cell>
          <cell r="F1143" t="str">
            <v>82992</v>
          </cell>
          <cell r="G1143" t="str">
            <v>群聯二</v>
          </cell>
          <cell r="H1143">
            <v>100000</v>
          </cell>
          <cell r="I1143">
            <v>2.5</v>
          </cell>
          <cell r="J1143">
            <v>46410</v>
          </cell>
          <cell r="K1143">
            <v>100</v>
          </cell>
          <cell r="L1143">
            <v>46392</v>
          </cell>
          <cell r="M1143">
            <v>-2514</v>
          </cell>
          <cell r="N1143">
            <v>97486</v>
          </cell>
        </row>
        <row r="1144">
          <cell r="A1144">
            <v>82992</v>
          </cell>
          <cell r="B1144">
            <v>1138</v>
          </cell>
          <cell r="C1144" t="str">
            <v>IASWD2405000395</v>
          </cell>
          <cell r="D1144">
            <v>45425</v>
          </cell>
          <cell r="E1144">
            <v>46410</v>
          </cell>
          <cell r="F1144" t="str">
            <v>82992</v>
          </cell>
          <cell r="G1144" t="str">
            <v>群聯二</v>
          </cell>
          <cell r="H1144">
            <v>100000</v>
          </cell>
          <cell r="I1144">
            <v>2.5</v>
          </cell>
          <cell r="J1144">
            <v>46410</v>
          </cell>
          <cell r="K1144">
            <v>100</v>
          </cell>
          <cell r="L1144">
            <v>46392</v>
          </cell>
          <cell r="M1144">
            <v>-2514</v>
          </cell>
          <cell r="N1144">
            <v>97486</v>
          </cell>
        </row>
        <row r="1145">
          <cell r="A1145">
            <v>82992</v>
          </cell>
          <cell r="B1145">
            <v>1139</v>
          </cell>
          <cell r="C1145" t="str">
            <v>IASWD2405000397</v>
          </cell>
          <cell r="D1145">
            <v>45425</v>
          </cell>
          <cell r="E1145">
            <v>46410</v>
          </cell>
          <cell r="F1145" t="str">
            <v>82992</v>
          </cell>
          <cell r="G1145" t="str">
            <v>群聯二</v>
          </cell>
          <cell r="H1145">
            <v>100000</v>
          </cell>
          <cell r="I1145">
            <v>2.5</v>
          </cell>
          <cell r="J1145">
            <v>46410</v>
          </cell>
          <cell r="K1145">
            <v>100</v>
          </cell>
          <cell r="L1145">
            <v>46392</v>
          </cell>
          <cell r="M1145">
            <v>-2514</v>
          </cell>
          <cell r="N1145">
            <v>97486</v>
          </cell>
        </row>
        <row r="1146">
          <cell r="A1146">
            <v>82992</v>
          </cell>
          <cell r="B1146">
            <v>1140</v>
          </cell>
          <cell r="C1146" t="str">
            <v>IASWD2405000398</v>
          </cell>
          <cell r="D1146">
            <v>45425</v>
          </cell>
          <cell r="E1146">
            <v>46410</v>
          </cell>
          <cell r="F1146" t="str">
            <v>82992</v>
          </cell>
          <cell r="G1146" t="str">
            <v>群聯二</v>
          </cell>
          <cell r="H1146">
            <v>100000</v>
          </cell>
          <cell r="I1146">
            <v>2.5</v>
          </cell>
          <cell r="J1146">
            <v>46410</v>
          </cell>
          <cell r="K1146">
            <v>100</v>
          </cell>
          <cell r="L1146">
            <v>46392</v>
          </cell>
          <cell r="M1146">
            <v>-2514</v>
          </cell>
          <cell r="N1146">
            <v>97486</v>
          </cell>
        </row>
        <row r="1147">
          <cell r="A1147">
            <v>82992</v>
          </cell>
          <cell r="B1147">
            <v>1141</v>
          </cell>
          <cell r="C1147" t="str">
            <v>IASWD2405000399</v>
          </cell>
          <cell r="D1147">
            <v>45425</v>
          </cell>
          <cell r="E1147">
            <v>46410</v>
          </cell>
          <cell r="F1147" t="str">
            <v>82992</v>
          </cell>
          <cell r="G1147" t="str">
            <v>群聯二</v>
          </cell>
          <cell r="H1147">
            <v>200000</v>
          </cell>
          <cell r="I1147">
            <v>2.5</v>
          </cell>
          <cell r="J1147">
            <v>46410</v>
          </cell>
          <cell r="K1147">
            <v>100</v>
          </cell>
          <cell r="L1147">
            <v>46392</v>
          </cell>
          <cell r="M1147">
            <v>-5027</v>
          </cell>
          <cell r="N1147">
            <v>194973</v>
          </cell>
        </row>
        <row r="1148">
          <cell r="A1148">
            <v>82992</v>
          </cell>
          <cell r="B1148">
            <v>1142</v>
          </cell>
          <cell r="C1148" t="str">
            <v>IASWD2405000400</v>
          </cell>
          <cell r="D1148">
            <v>45425</v>
          </cell>
          <cell r="E1148">
            <v>46410</v>
          </cell>
          <cell r="F1148" t="str">
            <v>82992</v>
          </cell>
          <cell r="G1148" t="str">
            <v>群聯二</v>
          </cell>
          <cell r="H1148">
            <v>200000</v>
          </cell>
          <cell r="I1148">
            <v>2.5</v>
          </cell>
          <cell r="J1148">
            <v>46410</v>
          </cell>
          <cell r="K1148">
            <v>100</v>
          </cell>
          <cell r="L1148">
            <v>46392</v>
          </cell>
          <cell r="M1148">
            <v>-5027</v>
          </cell>
          <cell r="N1148">
            <v>194973</v>
          </cell>
        </row>
        <row r="1149">
          <cell r="A1149">
            <v>82992</v>
          </cell>
          <cell r="B1149">
            <v>1143</v>
          </cell>
          <cell r="C1149" t="str">
            <v>IASWD2405000401</v>
          </cell>
          <cell r="D1149">
            <v>45425</v>
          </cell>
          <cell r="E1149">
            <v>46410</v>
          </cell>
          <cell r="F1149" t="str">
            <v>82992</v>
          </cell>
          <cell r="G1149" t="str">
            <v>群聯二</v>
          </cell>
          <cell r="H1149">
            <v>100000</v>
          </cell>
          <cell r="I1149">
            <v>2.5</v>
          </cell>
          <cell r="J1149">
            <v>46410</v>
          </cell>
          <cell r="K1149">
            <v>100</v>
          </cell>
          <cell r="L1149">
            <v>46392</v>
          </cell>
          <cell r="M1149">
            <v>-2514</v>
          </cell>
          <cell r="N1149">
            <v>97486</v>
          </cell>
        </row>
        <row r="1150">
          <cell r="A1150">
            <v>82992</v>
          </cell>
          <cell r="B1150">
            <v>1144</v>
          </cell>
          <cell r="C1150" t="str">
            <v>IASWD2405000402</v>
          </cell>
          <cell r="D1150">
            <v>45425</v>
          </cell>
          <cell r="E1150">
            <v>46410</v>
          </cell>
          <cell r="F1150" t="str">
            <v>82992</v>
          </cell>
          <cell r="G1150" t="str">
            <v>群聯二</v>
          </cell>
          <cell r="H1150">
            <v>300000</v>
          </cell>
          <cell r="I1150">
            <v>2.5</v>
          </cell>
          <cell r="J1150">
            <v>46410</v>
          </cell>
          <cell r="K1150">
            <v>100</v>
          </cell>
          <cell r="L1150">
            <v>46392</v>
          </cell>
          <cell r="M1150">
            <v>-7541</v>
          </cell>
          <cell r="N1150">
            <v>292459</v>
          </cell>
        </row>
        <row r="1151">
          <cell r="A1151">
            <v>22013</v>
          </cell>
          <cell r="B1151">
            <v>1145</v>
          </cell>
          <cell r="C1151" t="str">
            <v>IASWD2405000404</v>
          </cell>
          <cell r="D1151">
            <v>45425</v>
          </cell>
          <cell r="E1151">
            <v>46167</v>
          </cell>
          <cell r="F1151" t="str">
            <v>22013</v>
          </cell>
          <cell r="G1151" t="str">
            <v>裕隆三</v>
          </cell>
          <cell r="H1151">
            <v>300000</v>
          </cell>
          <cell r="I1151">
            <v>3.25</v>
          </cell>
          <cell r="J1151">
            <v>46167</v>
          </cell>
          <cell r="K1151">
            <v>100.75190000000001</v>
          </cell>
          <cell r="L1151">
            <v>46147</v>
          </cell>
          <cell r="M1151">
            <v>-9803</v>
          </cell>
          <cell r="N1151">
            <v>290197</v>
          </cell>
        </row>
        <row r="1152">
          <cell r="A1152">
            <v>82992</v>
          </cell>
          <cell r="B1152">
            <v>1146</v>
          </cell>
          <cell r="C1152" t="str">
            <v>IASWD2405000405</v>
          </cell>
          <cell r="D1152">
            <v>45425</v>
          </cell>
          <cell r="E1152">
            <v>46410</v>
          </cell>
          <cell r="F1152" t="str">
            <v>82992</v>
          </cell>
          <cell r="G1152" t="str">
            <v>群聯二</v>
          </cell>
          <cell r="H1152">
            <v>100000</v>
          </cell>
          <cell r="I1152">
            <v>2.5</v>
          </cell>
          <cell r="J1152">
            <v>46410</v>
          </cell>
          <cell r="K1152">
            <v>100</v>
          </cell>
          <cell r="L1152">
            <v>46392</v>
          </cell>
          <cell r="M1152">
            <v>-2514</v>
          </cell>
          <cell r="N1152">
            <v>97486</v>
          </cell>
        </row>
        <row r="1153">
          <cell r="A1153">
            <v>82992</v>
          </cell>
          <cell r="B1153">
            <v>1147</v>
          </cell>
          <cell r="C1153" t="str">
            <v>IASWD2405000407</v>
          </cell>
          <cell r="D1153">
            <v>45425</v>
          </cell>
          <cell r="E1153">
            <v>46410</v>
          </cell>
          <cell r="F1153" t="str">
            <v>82992</v>
          </cell>
          <cell r="G1153" t="str">
            <v>群聯二</v>
          </cell>
          <cell r="H1153">
            <v>1000000</v>
          </cell>
          <cell r="I1153">
            <v>2.5</v>
          </cell>
          <cell r="J1153">
            <v>46410</v>
          </cell>
          <cell r="K1153">
            <v>100</v>
          </cell>
          <cell r="L1153">
            <v>46392</v>
          </cell>
          <cell r="M1153">
            <v>-25137</v>
          </cell>
          <cell r="N1153">
            <v>974863</v>
          </cell>
        </row>
        <row r="1154">
          <cell r="A1154">
            <v>82992</v>
          </cell>
          <cell r="B1154">
            <v>1148</v>
          </cell>
          <cell r="C1154" t="str">
            <v>IASWD2405000408</v>
          </cell>
          <cell r="D1154">
            <v>45425</v>
          </cell>
          <cell r="E1154">
            <v>46410</v>
          </cell>
          <cell r="F1154" t="str">
            <v>82992</v>
          </cell>
          <cell r="G1154" t="str">
            <v>群聯二</v>
          </cell>
          <cell r="H1154">
            <v>100000</v>
          </cell>
          <cell r="I1154">
            <v>2.5</v>
          </cell>
          <cell r="J1154">
            <v>46410</v>
          </cell>
          <cell r="K1154">
            <v>100</v>
          </cell>
          <cell r="L1154">
            <v>46392</v>
          </cell>
          <cell r="M1154">
            <v>-2514</v>
          </cell>
          <cell r="N1154">
            <v>97486</v>
          </cell>
        </row>
        <row r="1155">
          <cell r="A1155">
            <v>82992</v>
          </cell>
          <cell r="B1155">
            <v>1149</v>
          </cell>
          <cell r="C1155" t="str">
            <v>IASWD2405000409</v>
          </cell>
          <cell r="D1155">
            <v>45425</v>
          </cell>
          <cell r="E1155">
            <v>46410</v>
          </cell>
          <cell r="F1155" t="str">
            <v>82992</v>
          </cell>
          <cell r="G1155" t="str">
            <v>群聯二</v>
          </cell>
          <cell r="H1155">
            <v>100000</v>
          </cell>
          <cell r="I1155">
            <v>2.5</v>
          </cell>
          <cell r="J1155">
            <v>46410</v>
          </cell>
          <cell r="K1155">
            <v>100</v>
          </cell>
          <cell r="L1155">
            <v>46392</v>
          </cell>
          <cell r="M1155">
            <v>-2514</v>
          </cell>
          <cell r="N1155">
            <v>97486</v>
          </cell>
        </row>
        <row r="1156">
          <cell r="A1156">
            <v>82992</v>
          </cell>
          <cell r="B1156">
            <v>1150</v>
          </cell>
          <cell r="C1156" t="str">
            <v>IASWD2405000410</v>
          </cell>
          <cell r="D1156">
            <v>45425</v>
          </cell>
          <cell r="E1156">
            <v>46410</v>
          </cell>
          <cell r="F1156" t="str">
            <v>82992</v>
          </cell>
          <cell r="G1156" t="str">
            <v>群聯二</v>
          </cell>
          <cell r="H1156">
            <v>100000</v>
          </cell>
          <cell r="I1156">
            <v>2.5</v>
          </cell>
          <cell r="J1156">
            <v>46410</v>
          </cell>
          <cell r="K1156">
            <v>100</v>
          </cell>
          <cell r="L1156">
            <v>46392</v>
          </cell>
          <cell r="M1156">
            <v>-2514</v>
          </cell>
          <cell r="N1156">
            <v>97486</v>
          </cell>
        </row>
        <row r="1157">
          <cell r="A1157">
            <v>82992</v>
          </cell>
          <cell r="B1157">
            <v>1151</v>
          </cell>
          <cell r="C1157" t="str">
            <v>IASWD2405000413</v>
          </cell>
          <cell r="D1157">
            <v>45425</v>
          </cell>
          <cell r="E1157">
            <v>46410</v>
          </cell>
          <cell r="F1157" t="str">
            <v>82992</v>
          </cell>
          <cell r="G1157" t="str">
            <v>群聯二</v>
          </cell>
          <cell r="H1157">
            <v>200000</v>
          </cell>
          <cell r="I1157">
            <v>2.5</v>
          </cell>
          <cell r="J1157">
            <v>46410</v>
          </cell>
          <cell r="K1157">
            <v>100</v>
          </cell>
          <cell r="L1157">
            <v>46392</v>
          </cell>
          <cell r="M1157">
            <v>-5027</v>
          </cell>
          <cell r="N1157">
            <v>194973</v>
          </cell>
        </row>
        <row r="1158">
          <cell r="A1158">
            <v>82992</v>
          </cell>
          <cell r="B1158">
            <v>1152</v>
          </cell>
          <cell r="C1158" t="str">
            <v>IASWD2405000414</v>
          </cell>
          <cell r="D1158">
            <v>45425</v>
          </cell>
          <cell r="E1158">
            <v>46410</v>
          </cell>
          <cell r="F1158" t="str">
            <v>82992</v>
          </cell>
          <cell r="G1158" t="str">
            <v>群聯二</v>
          </cell>
          <cell r="H1158">
            <v>200000</v>
          </cell>
          <cell r="I1158">
            <v>2.5</v>
          </cell>
          <cell r="J1158">
            <v>46410</v>
          </cell>
          <cell r="K1158">
            <v>100</v>
          </cell>
          <cell r="L1158">
            <v>46392</v>
          </cell>
          <cell r="M1158">
            <v>-5027</v>
          </cell>
          <cell r="N1158">
            <v>194973</v>
          </cell>
        </row>
        <row r="1159">
          <cell r="A1159">
            <v>82992</v>
          </cell>
          <cell r="B1159">
            <v>1153</v>
          </cell>
          <cell r="C1159" t="str">
            <v>IASWD2405000415</v>
          </cell>
          <cell r="D1159">
            <v>45425</v>
          </cell>
          <cell r="E1159">
            <v>46410</v>
          </cell>
          <cell r="F1159" t="str">
            <v>82992</v>
          </cell>
          <cell r="G1159" t="str">
            <v>群聯二</v>
          </cell>
          <cell r="H1159">
            <v>100000</v>
          </cell>
          <cell r="I1159">
            <v>2.5</v>
          </cell>
          <cell r="J1159">
            <v>46410</v>
          </cell>
          <cell r="K1159">
            <v>100</v>
          </cell>
          <cell r="L1159">
            <v>46392</v>
          </cell>
          <cell r="M1159">
            <v>-2514</v>
          </cell>
          <cell r="N1159">
            <v>97486</v>
          </cell>
        </row>
        <row r="1160">
          <cell r="A1160">
            <v>82992</v>
          </cell>
          <cell r="B1160">
            <v>1154</v>
          </cell>
          <cell r="C1160" t="str">
            <v>IASWD2405000417</v>
          </cell>
          <cell r="D1160">
            <v>45425</v>
          </cell>
          <cell r="E1160">
            <v>46410</v>
          </cell>
          <cell r="F1160" t="str">
            <v>82992</v>
          </cell>
          <cell r="G1160" t="str">
            <v>群聯二</v>
          </cell>
          <cell r="H1160">
            <v>100000</v>
          </cell>
          <cell r="I1160">
            <v>2.5</v>
          </cell>
          <cell r="J1160">
            <v>46410</v>
          </cell>
          <cell r="K1160">
            <v>100</v>
          </cell>
          <cell r="L1160">
            <v>46392</v>
          </cell>
          <cell r="M1160">
            <v>-2514</v>
          </cell>
          <cell r="N1160">
            <v>97486</v>
          </cell>
        </row>
        <row r="1161">
          <cell r="A1161">
            <v>82992</v>
          </cell>
          <cell r="B1161">
            <v>1155</v>
          </cell>
          <cell r="C1161" t="str">
            <v>IASWD2405000418</v>
          </cell>
          <cell r="D1161">
            <v>45425</v>
          </cell>
          <cell r="E1161">
            <v>46410</v>
          </cell>
          <cell r="F1161" t="str">
            <v>82992</v>
          </cell>
          <cell r="G1161" t="str">
            <v>群聯二</v>
          </cell>
          <cell r="H1161">
            <v>500000</v>
          </cell>
          <cell r="I1161">
            <v>2.5</v>
          </cell>
          <cell r="J1161">
            <v>46410</v>
          </cell>
          <cell r="K1161">
            <v>100</v>
          </cell>
          <cell r="L1161">
            <v>46392</v>
          </cell>
          <cell r="M1161">
            <v>-12568</v>
          </cell>
          <cell r="N1161">
            <v>487432</v>
          </cell>
        </row>
        <row r="1162">
          <cell r="A1162">
            <v>82992</v>
          </cell>
          <cell r="B1162">
            <v>1156</v>
          </cell>
          <cell r="C1162" t="str">
            <v>IASWD2405000421</v>
          </cell>
          <cell r="D1162">
            <v>45425</v>
          </cell>
          <cell r="E1162">
            <v>46410</v>
          </cell>
          <cell r="F1162" t="str">
            <v>82992</v>
          </cell>
          <cell r="G1162" t="str">
            <v>群聯二</v>
          </cell>
          <cell r="H1162">
            <v>100000</v>
          </cell>
          <cell r="I1162">
            <v>2.5</v>
          </cell>
          <cell r="J1162">
            <v>46410</v>
          </cell>
          <cell r="K1162">
            <v>100</v>
          </cell>
          <cell r="L1162">
            <v>46392</v>
          </cell>
          <cell r="M1162">
            <v>-2514</v>
          </cell>
          <cell r="N1162">
            <v>97486</v>
          </cell>
        </row>
        <row r="1163">
          <cell r="A1163">
            <v>82992</v>
          </cell>
          <cell r="B1163">
            <v>1157</v>
          </cell>
          <cell r="C1163" t="str">
            <v>IASWD2405000424</v>
          </cell>
          <cell r="D1163">
            <v>45425</v>
          </cell>
          <cell r="E1163">
            <v>46410</v>
          </cell>
          <cell r="F1163" t="str">
            <v>82992</v>
          </cell>
          <cell r="G1163" t="str">
            <v>群聯二</v>
          </cell>
          <cell r="H1163">
            <v>200000</v>
          </cell>
          <cell r="I1163">
            <v>2.5</v>
          </cell>
          <cell r="J1163">
            <v>46410</v>
          </cell>
          <cell r="K1163">
            <v>100</v>
          </cell>
          <cell r="L1163">
            <v>46392</v>
          </cell>
          <cell r="M1163">
            <v>-5027</v>
          </cell>
          <cell r="N1163">
            <v>194973</v>
          </cell>
        </row>
        <row r="1164">
          <cell r="A1164">
            <v>82992</v>
          </cell>
          <cell r="B1164">
            <v>1158</v>
          </cell>
          <cell r="C1164" t="str">
            <v>IASWD2405000425</v>
          </cell>
          <cell r="D1164">
            <v>45425</v>
          </cell>
          <cell r="E1164">
            <v>46410</v>
          </cell>
          <cell r="F1164" t="str">
            <v>82992</v>
          </cell>
          <cell r="G1164" t="str">
            <v>群聯二</v>
          </cell>
          <cell r="H1164">
            <v>200000</v>
          </cell>
          <cell r="I1164">
            <v>2.5</v>
          </cell>
          <cell r="J1164">
            <v>46410</v>
          </cell>
          <cell r="K1164">
            <v>100</v>
          </cell>
          <cell r="L1164">
            <v>46392</v>
          </cell>
          <cell r="M1164">
            <v>-5027</v>
          </cell>
          <cell r="N1164">
            <v>194973</v>
          </cell>
        </row>
        <row r="1165">
          <cell r="A1165">
            <v>82992</v>
          </cell>
          <cell r="B1165">
            <v>1159</v>
          </cell>
          <cell r="C1165" t="str">
            <v>IASWD2405000426</v>
          </cell>
          <cell r="D1165">
            <v>45425</v>
          </cell>
          <cell r="E1165">
            <v>46410</v>
          </cell>
          <cell r="F1165" t="str">
            <v>82992</v>
          </cell>
          <cell r="G1165" t="str">
            <v>群聯二</v>
          </cell>
          <cell r="H1165">
            <v>300000</v>
          </cell>
          <cell r="I1165">
            <v>2.5</v>
          </cell>
          <cell r="J1165">
            <v>46410</v>
          </cell>
          <cell r="K1165">
            <v>100</v>
          </cell>
          <cell r="L1165">
            <v>46392</v>
          </cell>
          <cell r="M1165">
            <v>-7541</v>
          </cell>
          <cell r="N1165">
            <v>292459</v>
          </cell>
        </row>
        <row r="1166">
          <cell r="A1166">
            <v>82992</v>
          </cell>
          <cell r="B1166">
            <v>1160</v>
          </cell>
          <cell r="C1166" t="str">
            <v>IASWD2405000427</v>
          </cell>
          <cell r="D1166">
            <v>45425</v>
          </cell>
          <cell r="E1166">
            <v>46410</v>
          </cell>
          <cell r="F1166" t="str">
            <v>82992</v>
          </cell>
          <cell r="G1166" t="str">
            <v>群聯二</v>
          </cell>
          <cell r="H1166">
            <v>200000</v>
          </cell>
          <cell r="I1166">
            <v>2.5</v>
          </cell>
          <cell r="J1166">
            <v>46410</v>
          </cell>
          <cell r="K1166">
            <v>100</v>
          </cell>
          <cell r="L1166">
            <v>46392</v>
          </cell>
          <cell r="M1166">
            <v>-5027</v>
          </cell>
          <cell r="N1166">
            <v>194973</v>
          </cell>
        </row>
        <row r="1167">
          <cell r="A1167">
            <v>82992</v>
          </cell>
          <cell r="B1167">
            <v>1161</v>
          </cell>
          <cell r="C1167" t="str">
            <v>IASWD2405000428</v>
          </cell>
          <cell r="D1167">
            <v>45426</v>
          </cell>
          <cell r="E1167">
            <v>46410</v>
          </cell>
          <cell r="F1167" t="str">
            <v>82992</v>
          </cell>
          <cell r="G1167" t="str">
            <v>群聯二</v>
          </cell>
          <cell r="H1167">
            <v>1000000</v>
          </cell>
          <cell r="I1167">
            <v>2.5</v>
          </cell>
          <cell r="J1167">
            <v>46410</v>
          </cell>
          <cell r="K1167">
            <v>100</v>
          </cell>
          <cell r="L1167">
            <v>46392</v>
          </cell>
          <cell r="M1167">
            <v>-25068</v>
          </cell>
          <cell r="N1167">
            <v>974932</v>
          </cell>
        </row>
        <row r="1168">
          <cell r="A1168">
            <v>24361</v>
          </cell>
          <cell r="B1168">
            <v>1162</v>
          </cell>
          <cell r="C1168" t="str">
            <v>IASWD2405000430</v>
          </cell>
          <cell r="D1168">
            <v>45426</v>
          </cell>
          <cell r="E1168">
            <v>45911</v>
          </cell>
          <cell r="F1168" t="str">
            <v>24361</v>
          </cell>
          <cell r="G1168" t="str">
            <v>偉詮電一</v>
          </cell>
          <cell r="H1168">
            <v>100000</v>
          </cell>
          <cell r="I1168">
            <v>3.75</v>
          </cell>
          <cell r="J1168">
            <v>45911</v>
          </cell>
          <cell r="K1168">
            <v>100.50060000000001</v>
          </cell>
          <cell r="L1168">
            <v>45891</v>
          </cell>
          <cell r="M1168">
            <v>-3760</v>
          </cell>
          <cell r="N1168">
            <v>96240</v>
          </cell>
        </row>
        <row r="1169">
          <cell r="A1169">
            <v>82992</v>
          </cell>
          <cell r="B1169">
            <v>1163</v>
          </cell>
          <cell r="C1169" t="str">
            <v>IASWD2405000433</v>
          </cell>
          <cell r="D1169">
            <v>45426</v>
          </cell>
          <cell r="E1169">
            <v>46410</v>
          </cell>
          <cell r="F1169" t="str">
            <v>82992</v>
          </cell>
          <cell r="G1169" t="str">
            <v>群聯二</v>
          </cell>
          <cell r="H1169">
            <v>200000</v>
          </cell>
          <cell r="I1169">
            <v>2.5</v>
          </cell>
          <cell r="J1169">
            <v>46410</v>
          </cell>
          <cell r="K1169">
            <v>100</v>
          </cell>
          <cell r="L1169">
            <v>46392</v>
          </cell>
          <cell r="M1169">
            <v>-5014</v>
          </cell>
          <cell r="N1169">
            <v>194986</v>
          </cell>
        </row>
        <row r="1170">
          <cell r="A1170">
            <v>82992</v>
          </cell>
          <cell r="B1170">
            <v>1164</v>
          </cell>
          <cell r="C1170" t="str">
            <v>IASWD2405000436</v>
          </cell>
          <cell r="D1170">
            <v>45426</v>
          </cell>
          <cell r="E1170">
            <v>46410</v>
          </cell>
          <cell r="F1170" t="str">
            <v>82992</v>
          </cell>
          <cell r="G1170" t="str">
            <v>群聯二</v>
          </cell>
          <cell r="H1170">
            <v>100000</v>
          </cell>
          <cell r="I1170">
            <v>2.5</v>
          </cell>
          <cell r="J1170">
            <v>46410</v>
          </cell>
          <cell r="K1170">
            <v>100</v>
          </cell>
          <cell r="L1170">
            <v>46392</v>
          </cell>
          <cell r="M1170">
            <v>-2507</v>
          </cell>
          <cell r="N1170">
            <v>97493</v>
          </cell>
        </row>
        <row r="1171">
          <cell r="A1171">
            <v>82992</v>
          </cell>
          <cell r="B1171">
            <v>1165</v>
          </cell>
          <cell r="C1171" t="str">
            <v>IASWD2405000437</v>
          </cell>
          <cell r="D1171">
            <v>45426</v>
          </cell>
          <cell r="E1171">
            <v>46410</v>
          </cell>
          <cell r="F1171" t="str">
            <v>82992</v>
          </cell>
          <cell r="G1171" t="str">
            <v>群聯二</v>
          </cell>
          <cell r="H1171">
            <v>500000</v>
          </cell>
          <cell r="I1171">
            <v>2.5</v>
          </cell>
          <cell r="J1171">
            <v>46410</v>
          </cell>
          <cell r="K1171">
            <v>100</v>
          </cell>
          <cell r="L1171">
            <v>46392</v>
          </cell>
          <cell r="M1171">
            <v>-12534</v>
          </cell>
          <cell r="N1171">
            <v>487466</v>
          </cell>
        </row>
        <row r="1172">
          <cell r="A1172">
            <v>82992</v>
          </cell>
          <cell r="B1172">
            <v>1166</v>
          </cell>
          <cell r="C1172" t="str">
            <v>IASWD2405000438</v>
          </cell>
          <cell r="D1172">
            <v>45426</v>
          </cell>
          <cell r="E1172">
            <v>46410</v>
          </cell>
          <cell r="F1172" t="str">
            <v>82992</v>
          </cell>
          <cell r="G1172" t="str">
            <v>群聯二</v>
          </cell>
          <cell r="H1172">
            <v>900000</v>
          </cell>
          <cell r="I1172">
            <v>2.5</v>
          </cell>
          <cell r="J1172">
            <v>46410</v>
          </cell>
          <cell r="K1172">
            <v>100</v>
          </cell>
          <cell r="L1172">
            <v>46392</v>
          </cell>
          <cell r="M1172">
            <v>-22562</v>
          </cell>
          <cell r="N1172">
            <v>877438</v>
          </cell>
        </row>
        <row r="1173">
          <cell r="A1173">
            <v>82992</v>
          </cell>
          <cell r="B1173">
            <v>1167</v>
          </cell>
          <cell r="C1173" t="str">
            <v>IASWD2405000439</v>
          </cell>
          <cell r="D1173">
            <v>45426</v>
          </cell>
          <cell r="E1173">
            <v>46410</v>
          </cell>
          <cell r="F1173" t="str">
            <v>82992</v>
          </cell>
          <cell r="G1173" t="str">
            <v>群聯二</v>
          </cell>
          <cell r="H1173">
            <v>500000</v>
          </cell>
          <cell r="I1173">
            <v>2.5</v>
          </cell>
          <cell r="J1173">
            <v>46410</v>
          </cell>
          <cell r="K1173">
            <v>100</v>
          </cell>
          <cell r="L1173">
            <v>46392</v>
          </cell>
          <cell r="M1173">
            <v>-12534</v>
          </cell>
          <cell r="N1173">
            <v>487466</v>
          </cell>
        </row>
        <row r="1174">
          <cell r="A1174">
            <v>82992</v>
          </cell>
          <cell r="B1174">
            <v>1168</v>
          </cell>
          <cell r="C1174" t="str">
            <v>IASWD2405000440</v>
          </cell>
          <cell r="D1174">
            <v>45426</v>
          </cell>
          <cell r="E1174">
            <v>46410</v>
          </cell>
          <cell r="F1174" t="str">
            <v>82992</v>
          </cell>
          <cell r="G1174" t="str">
            <v>群聯二</v>
          </cell>
          <cell r="H1174">
            <v>100000</v>
          </cell>
          <cell r="I1174">
            <v>2.5</v>
          </cell>
          <cell r="J1174">
            <v>46410</v>
          </cell>
          <cell r="K1174">
            <v>100</v>
          </cell>
          <cell r="L1174">
            <v>46392</v>
          </cell>
          <cell r="M1174">
            <v>-2507</v>
          </cell>
          <cell r="N1174">
            <v>97493</v>
          </cell>
        </row>
        <row r="1175">
          <cell r="A1175">
            <v>82992</v>
          </cell>
          <cell r="B1175">
            <v>1169</v>
          </cell>
          <cell r="C1175" t="str">
            <v>IASWD2405000441</v>
          </cell>
          <cell r="D1175">
            <v>45426</v>
          </cell>
          <cell r="E1175">
            <v>46410</v>
          </cell>
          <cell r="F1175" t="str">
            <v>82992</v>
          </cell>
          <cell r="G1175" t="str">
            <v>群聯二</v>
          </cell>
          <cell r="H1175">
            <v>100000</v>
          </cell>
          <cell r="I1175">
            <v>2.5</v>
          </cell>
          <cell r="J1175">
            <v>46410</v>
          </cell>
          <cell r="K1175">
            <v>100</v>
          </cell>
          <cell r="L1175">
            <v>46392</v>
          </cell>
          <cell r="M1175">
            <v>-2507</v>
          </cell>
          <cell r="N1175">
            <v>97493</v>
          </cell>
        </row>
        <row r="1176">
          <cell r="A1176">
            <v>82992</v>
          </cell>
          <cell r="B1176">
            <v>1170</v>
          </cell>
          <cell r="C1176" t="str">
            <v>IASWD2405000444</v>
          </cell>
          <cell r="D1176">
            <v>45426</v>
          </cell>
          <cell r="E1176">
            <v>46410</v>
          </cell>
          <cell r="F1176" t="str">
            <v>82992</v>
          </cell>
          <cell r="G1176" t="str">
            <v>群聯二</v>
          </cell>
          <cell r="H1176">
            <v>200000</v>
          </cell>
          <cell r="I1176">
            <v>2.5</v>
          </cell>
          <cell r="J1176">
            <v>46410</v>
          </cell>
          <cell r="K1176">
            <v>100</v>
          </cell>
          <cell r="L1176">
            <v>46392</v>
          </cell>
          <cell r="M1176">
            <v>-5014</v>
          </cell>
          <cell r="N1176">
            <v>194986</v>
          </cell>
        </row>
        <row r="1177">
          <cell r="A1177">
            <v>82992</v>
          </cell>
          <cell r="B1177">
            <v>1171</v>
          </cell>
          <cell r="C1177" t="str">
            <v>IASWD2405000445</v>
          </cell>
          <cell r="D1177">
            <v>45426</v>
          </cell>
          <cell r="E1177">
            <v>46410</v>
          </cell>
          <cell r="F1177" t="str">
            <v>82992</v>
          </cell>
          <cell r="G1177" t="str">
            <v>群聯二</v>
          </cell>
          <cell r="H1177">
            <v>400000</v>
          </cell>
          <cell r="I1177">
            <v>2.5</v>
          </cell>
          <cell r="J1177">
            <v>46410</v>
          </cell>
          <cell r="K1177">
            <v>100</v>
          </cell>
          <cell r="L1177">
            <v>46392</v>
          </cell>
          <cell r="M1177">
            <v>-10027</v>
          </cell>
          <cell r="N1177">
            <v>389973</v>
          </cell>
        </row>
        <row r="1178">
          <cell r="A1178">
            <v>82992</v>
          </cell>
          <cell r="B1178">
            <v>1172</v>
          </cell>
          <cell r="C1178" t="str">
            <v>IASWD2405000447</v>
          </cell>
          <cell r="D1178">
            <v>45426</v>
          </cell>
          <cell r="E1178">
            <v>46410</v>
          </cell>
          <cell r="F1178" t="str">
            <v>82992</v>
          </cell>
          <cell r="G1178" t="str">
            <v>群聯二</v>
          </cell>
          <cell r="H1178">
            <v>500000</v>
          </cell>
          <cell r="I1178">
            <v>2.5</v>
          </cell>
          <cell r="J1178">
            <v>46410</v>
          </cell>
          <cell r="K1178">
            <v>100</v>
          </cell>
          <cell r="L1178">
            <v>46392</v>
          </cell>
          <cell r="M1178">
            <v>-12534</v>
          </cell>
          <cell r="N1178">
            <v>487466</v>
          </cell>
        </row>
        <row r="1179">
          <cell r="A1179">
            <v>82992</v>
          </cell>
          <cell r="B1179">
            <v>1173</v>
          </cell>
          <cell r="C1179" t="str">
            <v>IASWD2405000448</v>
          </cell>
          <cell r="D1179">
            <v>45426</v>
          </cell>
          <cell r="E1179">
            <v>46410</v>
          </cell>
          <cell r="F1179" t="str">
            <v>82992</v>
          </cell>
          <cell r="G1179" t="str">
            <v>群聯二</v>
          </cell>
          <cell r="H1179">
            <v>100000</v>
          </cell>
          <cell r="I1179">
            <v>2.5</v>
          </cell>
          <cell r="J1179">
            <v>46410</v>
          </cell>
          <cell r="K1179">
            <v>100</v>
          </cell>
          <cell r="L1179">
            <v>46392</v>
          </cell>
          <cell r="M1179">
            <v>-2507</v>
          </cell>
          <cell r="N1179">
            <v>97493</v>
          </cell>
        </row>
        <row r="1180">
          <cell r="A1180">
            <v>82992</v>
          </cell>
          <cell r="B1180">
            <v>1174</v>
          </cell>
          <cell r="C1180" t="str">
            <v>IASWD2405000449</v>
          </cell>
          <cell r="D1180">
            <v>45426</v>
          </cell>
          <cell r="E1180">
            <v>46410</v>
          </cell>
          <cell r="F1180" t="str">
            <v>82992</v>
          </cell>
          <cell r="G1180" t="str">
            <v>群聯二</v>
          </cell>
          <cell r="H1180">
            <v>200000</v>
          </cell>
          <cell r="I1180">
            <v>2.5</v>
          </cell>
          <cell r="J1180">
            <v>46410</v>
          </cell>
          <cell r="K1180">
            <v>100</v>
          </cell>
          <cell r="L1180">
            <v>46392</v>
          </cell>
          <cell r="M1180">
            <v>-5014</v>
          </cell>
          <cell r="N1180">
            <v>194986</v>
          </cell>
        </row>
        <row r="1181">
          <cell r="A1181">
            <v>22313</v>
          </cell>
          <cell r="B1181">
            <v>1175</v>
          </cell>
          <cell r="C1181" t="str">
            <v>IASWD2405000452</v>
          </cell>
          <cell r="D1181">
            <v>45426</v>
          </cell>
          <cell r="E1181">
            <v>45898</v>
          </cell>
          <cell r="F1181" t="str">
            <v>22313</v>
          </cell>
          <cell r="G1181" t="str">
            <v>為升三</v>
          </cell>
          <cell r="H1181">
            <v>100000</v>
          </cell>
          <cell r="I1181">
            <v>3.5</v>
          </cell>
          <cell r="J1181">
            <v>45898</v>
          </cell>
          <cell r="K1181">
            <v>101.50749999999999</v>
          </cell>
          <cell r="L1181">
            <v>45880</v>
          </cell>
          <cell r="M1181">
            <v>-3510</v>
          </cell>
          <cell r="N1181">
            <v>96490</v>
          </cell>
        </row>
        <row r="1182">
          <cell r="A1182">
            <v>82992</v>
          </cell>
          <cell r="B1182">
            <v>1176</v>
          </cell>
          <cell r="C1182" t="str">
            <v>IASWD2405000453</v>
          </cell>
          <cell r="D1182">
            <v>45426</v>
          </cell>
          <cell r="E1182">
            <v>46410</v>
          </cell>
          <cell r="F1182" t="str">
            <v>82992</v>
          </cell>
          <cell r="G1182" t="str">
            <v>群聯二</v>
          </cell>
          <cell r="H1182">
            <v>100000</v>
          </cell>
          <cell r="I1182">
            <v>2.5</v>
          </cell>
          <cell r="J1182">
            <v>46410</v>
          </cell>
          <cell r="K1182">
            <v>100</v>
          </cell>
          <cell r="L1182">
            <v>46392</v>
          </cell>
          <cell r="M1182">
            <v>-2507</v>
          </cell>
          <cell r="N1182">
            <v>97493</v>
          </cell>
        </row>
        <row r="1183">
          <cell r="A1183">
            <v>82992</v>
          </cell>
          <cell r="B1183">
            <v>1177</v>
          </cell>
          <cell r="C1183" t="str">
            <v>IASWD2405000454</v>
          </cell>
          <cell r="D1183">
            <v>45426</v>
          </cell>
          <cell r="E1183">
            <v>46410</v>
          </cell>
          <cell r="F1183" t="str">
            <v>82992</v>
          </cell>
          <cell r="G1183" t="str">
            <v>群聯二</v>
          </cell>
          <cell r="H1183">
            <v>100000</v>
          </cell>
          <cell r="I1183">
            <v>2.5</v>
          </cell>
          <cell r="J1183">
            <v>46410</v>
          </cell>
          <cell r="K1183">
            <v>100</v>
          </cell>
          <cell r="L1183">
            <v>46392</v>
          </cell>
          <cell r="M1183">
            <v>-2507</v>
          </cell>
          <cell r="N1183">
            <v>97493</v>
          </cell>
        </row>
        <row r="1184">
          <cell r="A1184">
            <v>82992</v>
          </cell>
          <cell r="B1184">
            <v>1178</v>
          </cell>
          <cell r="C1184" t="str">
            <v>IASWD2405000457</v>
          </cell>
          <cell r="D1184">
            <v>45426</v>
          </cell>
          <cell r="E1184">
            <v>46410</v>
          </cell>
          <cell r="F1184" t="str">
            <v>82992</v>
          </cell>
          <cell r="G1184" t="str">
            <v>群聯二</v>
          </cell>
          <cell r="H1184">
            <v>200000</v>
          </cell>
          <cell r="I1184">
            <v>2.5</v>
          </cell>
          <cell r="J1184">
            <v>46410</v>
          </cell>
          <cell r="K1184">
            <v>100</v>
          </cell>
          <cell r="L1184">
            <v>46392</v>
          </cell>
          <cell r="M1184">
            <v>-5014</v>
          </cell>
          <cell r="N1184">
            <v>194986</v>
          </cell>
        </row>
        <row r="1185">
          <cell r="A1185">
            <v>82992</v>
          </cell>
          <cell r="B1185">
            <v>1179</v>
          </cell>
          <cell r="C1185" t="str">
            <v>IASWD2405000458</v>
          </cell>
          <cell r="D1185">
            <v>45426</v>
          </cell>
          <cell r="E1185">
            <v>46410</v>
          </cell>
          <cell r="F1185" t="str">
            <v>82992</v>
          </cell>
          <cell r="G1185" t="str">
            <v>群聯二</v>
          </cell>
          <cell r="H1185">
            <v>500000</v>
          </cell>
          <cell r="I1185">
            <v>2.5</v>
          </cell>
          <cell r="J1185">
            <v>46410</v>
          </cell>
          <cell r="K1185">
            <v>100</v>
          </cell>
          <cell r="L1185">
            <v>46392</v>
          </cell>
          <cell r="M1185">
            <v>-12534</v>
          </cell>
          <cell r="N1185">
            <v>487466</v>
          </cell>
        </row>
        <row r="1186">
          <cell r="A1186">
            <v>82992</v>
          </cell>
          <cell r="B1186">
            <v>1180</v>
          </cell>
          <cell r="C1186" t="str">
            <v>IASWD2405000459</v>
          </cell>
          <cell r="D1186">
            <v>45426</v>
          </cell>
          <cell r="E1186">
            <v>46410</v>
          </cell>
          <cell r="F1186" t="str">
            <v>82992</v>
          </cell>
          <cell r="G1186" t="str">
            <v>群聯二</v>
          </cell>
          <cell r="H1186">
            <v>100000</v>
          </cell>
          <cell r="I1186">
            <v>2.5</v>
          </cell>
          <cell r="J1186">
            <v>46410</v>
          </cell>
          <cell r="K1186">
            <v>100</v>
          </cell>
          <cell r="L1186">
            <v>46392</v>
          </cell>
          <cell r="M1186">
            <v>-2507</v>
          </cell>
          <cell r="N1186">
            <v>97493</v>
          </cell>
        </row>
        <row r="1187">
          <cell r="A1187">
            <v>82992</v>
          </cell>
          <cell r="B1187">
            <v>1181</v>
          </cell>
          <cell r="C1187" t="str">
            <v>IASWD2405000460</v>
          </cell>
          <cell r="D1187">
            <v>45426</v>
          </cell>
          <cell r="E1187">
            <v>46410</v>
          </cell>
          <cell r="F1187" t="str">
            <v>82992</v>
          </cell>
          <cell r="G1187" t="str">
            <v>群聯二</v>
          </cell>
          <cell r="H1187">
            <v>200000</v>
          </cell>
          <cell r="I1187">
            <v>2.5</v>
          </cell>
          <cell r="J1187">
            <v>46410</v>
          </cell>
          <cell r="K1187">
            <v>100</v>
          </cell>
          <cell r="L1187">
            <v>46392</v>
          </cell>
          <cell r="M1187">
            <v>-5014</v>
          </cell>
          <cell r="N1187">
            <v>194986</v>
          </cell>
        </row>
        <row r="1188">
          <cell r="A1188">
            <v>22013</v>
          </cell>
          <cell r="B1188">
            <v>1182</v>
          </cell>
          <cell r="C1188" t="str">
            <v>IASWD2405000461</v>
          </cell>
          <cell r="D1188">
            <v>45426</v>
          </cell>
          <cell r="E1188">
            <v>46167</v>
          </cell>
          <cell r="F1188" t="str">
            <v>22013</v>
          </cell>
          <cell r="G1188" t="str">
            <v>裕隆三</v>
          </cell>
          <cell r="H1188">
            <v>500000</v>
          </cell>
          <cell r="I1188">
            <v>3.25</v>
          </cell>
          <cell r="J1188">
            <v>46167</v>
          </cell>
          <cell r="K1188">
            <v>100.75190000000001</v>
          </cell>
          <cell r="L1188">
            <v>46147</v>
          </cell>
          <cell r="M1188">
            <v>-16295</v>
          </cell>
          <cell r="N1188">
            <v>483705</v>
          </cell>
        </row>
        <row r="1189">
          <cell r="A1189">
            <v>82992</v>
          </cell>
          <cell r="B1189">
            <v>1183</v>
          </cell>
          <cell r="C1189" t="str">
            <v>IASWD2405000462</v>
          </cell>
          <cell r="D1189">
            <v>45426</v>
          </cell>
          <cell r="E1189">
            <v>46410</v>
          </cell>
          <cell r="F1189" t="str">
            <v>82992</v>
          </cell>
          <cell r="G1189" t="str">
            <v>群聯二</v>
          </cell>
          <cell r="H1189">
            <v>200000</v>
          </cell>
          <cell r="I1189">
            <v>2.5</v>
          </cell>
          <cell r="J1189">
            <v>46410</v>
          </cell>
          <cell r="K1189">
            <v>100</v>
          </cell>
          <cell r="L1189">
            <v>46392</v>
          </cell>
          <cell r="M1189">
            <v>-5014</v>
          </cell>
          <cell r="N1189">
            <v>194986</v>
          </cell>
        </row>
        <row r="1190">
          <cell r="A1190">
            <v>82992</v>
          </cell>
          <cell r="B1190">
            <v>1184</v>
          </cell>
          <cell r="C1190" t="str">
            <v>IASWD2405000463</v>
          </cell>
          <cell r="D1190">
            <v>45426</v>
          </cell>
          <cell r="E1190">
            <v>46410</v>
          </cell>
          <cell r="F1190" t="str">
            <v>82992</v>
          </cell>
          <cell r="G1190" t="str">
            <v>群聯二</v>
          </cell>
          <cell r="H1190">
            <v>400000</v>
          </cell>
          <cell r="I1190">
            <v>2.5</v>
          </cell>
          <cell r="J1190">
            <v>46410</v>
          </cell>
          <cell r="K1190">
            <v>100</v>
          </cell>
          <cell r="L1190">
            <v>46392</v>
          </cell>
          <cell r="M1190">
            <v>-10027</v>
          </cell>
          <cell r="N1190">
            <v>389973</v>
          </cell>
        </row>
        <row r="1191">
          <cell r="A1191">
            <v>82992</v>
          </cell>
          <cell r="B1191">
            <v>1185</v>
          </cell>
          <cell r="C1191" t="str">
            <v>IASWD2405000464</v>
          </cell>
          <cell r="D1191">
            <v>45426</v>
          </cell>
          <cell r="E1191">
            <v>46410</v>
          </cell>
          <cell r="F1191" t="str">
            <v>82992</v>
          </cell>
          <cell r="G1191" t="str">
            <v>群聯二</v>
          </cell>
          <cell r="H1191">
            <v>100000</v>
          </cell>
          <cell r="I1191">
            <v>2.5</v>
          </cell>
          <cell r="J1191">
            <v>46410</v>
          </cell>
          <cell r="K1191">
            <v>100</v>
          </cell>
          <cell r="L1191">
            <v>46392</v>
          </cell>
          <cell r="M1191">
            <v>-2507</v>
          </cell>
          <cell r="N1191">
            <v>97493</v>
          </cell>
        </row>
        <row r="1192">
          <cell r="A1192">
            <v>82992</v>
          </cell>
          <cell r="B1192">
            <v>1186</v>
          </cell>
          <cell r="C1192" t="str">
            <v>IASWD2405000468</v>
          </cell>
          <cell r="D1192">
            <v>45426</v>
          </cell>
          <cell r="E1192">
            <v>46410</v>
          </cell>
          <cell r="F1192" t="str">
            <v>82992</v>
          </cell>
          <cell r="G1192" t="str">
            <v>群聯二</v>
          </cell>
          <cell r="H1192">
            <v>300000</v>
          </cell>
          <cell r="I1192">
            <v>2.5</v>
          </cell>
          <cell r="J1192">
            <v>46410</v>
          </cell>
          <cell r="K1192">
            <v>100</v>
          </cell>
          <cell r="L1192">
            <v>46392</v>
          </cell>
          <cell r="M1192">
            <v>-7521</v>
          </cell>
          <cell r="N1192">
            <v>292479</v>
          </cell>
        </row>
        <row r="1193">
          <cell r="A1193">
            <v>82992</v>
          </cell>
          <cell r="B1193">
            <v>1187</v>
          </cell>
          <cell r="C1193" t="str">
            <v>IASWD2405000469</v>
          </cell>
          <cell r="D1193">
            <v>45426</v>
          </cell>
          <cell r="E1193">
            <v>46410</v>
          </cell>
          <cell r="F1193" t="str">
            <v>82992</v>
          </cell>
          <cell r="G1193" t="str">
            <v>群聯二</v>
          </cell>
          <cell r="H1193">
            <v>100000</v>
          </cell>
          <cell r="I1193">
            <v>2.5</v>
          </cell>
          <cell r="J1193">
            <v>46410</v>
          </cell>
          <cell r="K1193">
            <v>100</v>
          </cell>
          <cell r="L1193">
            <v>46392</v>
          </cell>
          <cell r="M1193">
            <v>-2507</v>
          </cell>
          <cell r="N1193">
            <v>97493</v>
          </cell>
        </row>
        <row r="1194">
          <cell r="A1194">
            <v>82992</v>
          </cell>
          <cell r="B1194">
            <v>1188</v>
          </cell>
          <cell r="C1194" t="str">
            <v>IASWD2405000473</v>
          </cell>
          <cell r="D1194">
            <v>45426</v>
          </cell>
          <cell r="E1194">
            <v>46410</v>
          </cell>
          <cell r="F1194" t="str">
            <v>82992</v>
          </cell>
          <cell r="G1194" t="str">
            <v>群聯二</v>
          </cell>
          <cell r="H1194">
            <v>300000</v>
          </cell>
          <cell r="I1194">
            <v>2.5</v>
          </cell>
          <cell r="J1194">
            <v>46410</v>
          </cell>
          <cell r="K1194">
            <v>100</v>
          </cell>
          <cell r="L1194">
            <v>46392</v>
          </cell>
          <cell r="M1194">
            <v>-7521</v>
          </cell>
          <cell r="N1194">
            <v>292479</v>
          </cell>
        </row>
        <row r="1195">
          <cell r="A1195">
            <v>82992</v>
          </cell>
          <cell r="B1195">
            <v>1189</v>
          </cell>
          <cell r="C1195" t="str">
            <v>IASWD2405000475</v>
          </cell>
          <cell r="D1195">
            <v>45426</v>
          </cell>
          <cell r="E1195">
            <v>46410</v>
          </cell>
          <cell r="F1195" t="str">
            <v>82992</v>
          </cell>
          <cell r="G1195" t="str">
            <v>群聯二</v>
          </cell>
          <cell r="H1195">
            <v>500000</v>
          </cell>
          <cell r="I1195">
            <v>2.5</v>
          </cell>
          <cell r="J1195">
            <v>46410</v>
          </cell>
          <cell r="K1195">
            <v>100</v>
          </cell>
          <cell r="L1195">
            <v>46392</v>
          </cell>
          <cell r="M1195">
            <v>-12534</v>
          </cell>
          <cell r="N1195">
            <v>487466</v>
          </cell>
        </row>
        <row r="1196">
          <cell r="A1196">
            <v>82992</v>
          </cell>
          <cell r="B1196">
            <v>1190</v>
          </cell>
          <cell r="C1196" t="str">
            <v>IASWD2405000476</v>
          </cell>
          <cell r="D1196">
            <v>45426</v>
          </cell>
          <cell r="E1196">
            <v>46410</v>
          </cell>
          <cell r="F1196" t="str">
            <v>82992</v>
          </cell>
          <cell r="G1196" t="str">
            <v>群聯二</v>
          </cell>
          <cell r="H1196">
            <v>100000</v>
          </cell>
          <cell r="I1196">
            <v>2.5</v>
          </cell>
          <cell r="J1196">
            <v>46410</v>
          </cell>
          <cell r="K1196">
            <v>100</v>
          </cell>
          <cell r="L1196">
            <v>46392</v>
          </cell>
          <cell r="M1196">
            <v>-2507</v>
          </cell>
          <cell r="N1196">
            <v>97493</v>
          </cell>
        </row>
        <row r="1197">
          <cell r="A1197">
            <v>82992</v>
          </cell>
          <cell r="B1197">
            <v>1191</v>
          </cell>
          <cell r="C1197" t="str">
            <v>IASWD2405000477</v>
          </cell>
          <cell r="D1197">
            <v>45426</v>
          </cell>
          <cell r="E1197">
            <v>46410</v>
          </cell>
          <cell r="F1197" t="str">
            <v>82992</v>
          </cell>
          <cell r="G1197" t="str">
            <v>群聯二</v>
          </cell>
          <cell r="H1197">
            <v>100000</v>
          </cell>
          <cell r="I1197">
            <v>2.5</v>
          </cell>
          <cell r="J1197">
            <v>46410</v>
          </cell>
          <cell r="K1197">
            <v>100</v>
          </cell>
          <cell r="L1197">
            <v>46392</v>
          </cell>
          <cell r="M1197">
            <v>-2507</v>
          </cell>
          <cell r="N1197">
            <v>97493</v>
          </cell>
        </row>
        <row r="1198">
          <cell r="A1198">
            <v>82992</v>
          </cell>
          <cell r="B1198">
            <v>1192</v>
          </cell>
          <cell r="C1198" t="str">
            <v>IASWD2405000479</v>
          </cell>
          <cell r="D1198">
            <v>45426</v>
          </cell>
          <cell r="E1198">
            <v>46410</v>
          </cell>
          <cell r="F1198" t="str">
            <v>82992</v>
          </cell>
          <cell r="G1198" t="str">
            <v>群聯二</v>
          </cell>
          <cell r="H1198">
            <v>100000</v>
          </cell>
          <cell r="I1198">
            <v>2.5</v>
          </cell>
          <cell r="J1198">
            <v>46410</v>
          </cell>
          <cell r="K1198">
            <v>100</v>
          </cell>
          <cell r="L1198">
            <v>46392</v>
          </cell>
          <cell r="M1198">
            <v>-2507</v>
          </cell>
          <cell r="N1198">
            <v>97493</v>
          </cell>
        </row>
        <row r="1199">
          <cell r="A1199">
            <v>82992</v>
          </cell>
          <cell r="B1199">
            <v>1193</v>
          </cell>
          <cell r="C1199" t="str">
            <v>IASWD2405000480</v>
          </cell>
          <cell r="D1199">
            <v>45426</v>
          </cell>
          <cell r="E1199">
            <v>46410</v>
          </cell>
          <cell r="F1199" t="str">
            <v>82992</v>
          </cell>
          <cell r="G1199" t="str">
            <v>群聯二</v>
          </cell>
          <cell r="H1199">
            <v>200000</v>
          </cell>
          <cell r="I1199">
            <v>2.5</v>
          </cell>
          <cell r="J1199">
            <v>46410</v>
          </cell>
          <cell r="K1199">
            <v>100</v>
          </cell>
          <cell r="L1199">
            <v>46392</v>
          </cell>
          <cell r="M1199">
            <v>-5014</v>
          </cell>
          <cell r="N1199">
            <v>194986</v>
          </cell>
        </row>
        <row r="1200">
          <cell r="A1200">
            <v>82992</v>
          </cell>
          <cell r="B1200">
            <v>1194</v>
          </cell>
          <cell r="C1200" t="str">
            <v>IASWD2405000481</v>
          </cell>
          <cell r="D1200">
            <v>45426</v>
          </cell>
          <cell r="E1200">
            <v>46410</v>
          </cell>
          <cell r="F1200" t="str">
            <v>82992</v>
          </cell>
          <cell r="G1200" t="str">
            <v>群聯二</v>
          </cell>
          <cell r="H1200">
            <v>100000</v>
          </cell>
          <cell r="I1200">
            <v>2.5</v>
          </cell>
          <cell r="J1200">
            <v>46410</v>
          </cell>
          <cell r="K1200">
            <v>100</v>
          </cell>
          <cell r="L1200">
            <v>46392</v>
          </cell>
          <cell r="M1200">
            <v>-2507</v>
          </cell>
          <cell r="N1200">
            <v>97493</v>
          </cell>
        </row>
        <row r="1201">
          <cell r="A1201">
            <v>82992</v>
          </cell>
          <cell r="B1201">
            <v>1195</v>
          </cell>
          <cell r="C1201" t="str">
            <v>IASWD2405000483</v>
          </cell>
          <cell r="D1201">
            <v>45426</v>
          </cell>
          <cell r="E1201">
            <v>46410</v>
          </cell>
          <cell r="F1201" t="str">
            <v>82992</v>
          </cell>
          <cell r="G1201" t="str">
            <v>群聯二</v>
          </cell>
          <cell r="H1201">
            <v>6600000</v>
          </cell>
          <cell r="I1201">
            <v>2.5</v>
          </cell>
          <cell r="J1201">
            <v>46410</v>
          </cell>
          <cell r="K1201">
            <v>100</v>
          </cell>
          <cell r="L1201">
            <v>46392</v>
          </cell>
          <cell r="M1201">
            <v>-165452</v>
          </cell>
          <cell r="N1201">
            <v>6434548</v>
          </cell>
        </row>
        <row r="1202">
          <cell r="A1202">
            <v>82992</v>
          </cell>
          <cell r="B1202">
            <v>1196</v>
          </cell>
          <cell r="C1202" t="str">
            <v>IASWD2405000484</v>
          </cell>
          <cell r="D1202">
            <v>45426</v>
          </cell>
          <cell r="E1202">
            <v>46410</v>
          </cell>
          <cell r="F1202" t="str">
            <v>82992</v>
          </cell>
          <cell r="G1202" t="str">
            <v>群聯二</v>
          </cell>
          <cell r="H1202">
            <v>100000</v>
          </cell>
          <cell r="I1202">
            <v>2.5</v>
          </cell>
          <cell r="J1202">
            <v>46410</v>
          </cell>
          <cell r="K1202">
            <v>100</v>
          </cell>
          <cell r="L1202">
            <v>46392</v>
          </cell>
          <cell r="M1202">
            <v>-2507</v>
          </cell>
          <cell r="N1202">
            <v>97493</v>
          </cell>
        </row>
        <row r="1203">
          <cell r="A1203">
            <v>82992</v>
          </cell>
          <cell r="B1203">
            <v>1197</v>
          </cell>
          <cell r="C1203" t="str">
            <v>IASWD2405000485</v>
          </cell>
          <cell r="D1203">
            <v>45426</v>
          </cell>
          <cell r="E1203">
            <v>46410</v>
          </cell>
          <cell r="F1203" t="str">
            <v>82992</v>
          </cell>
          <cell r="G1203" t="str">
            <v>群聯二</v>
          </cell>
          <cell r="H1203">
            <v>300000</v>
          </cell>
          <cell r="I1203">
            <v>2.5</v>
          </cell>
          <cell r="J1203">
            <v>46410</v>
          </cell>
          <cell r="K1203">
            <v>100</v>
          </cell>
          <cell r="L1203">
            <v>46392</v>
          </cell>
          <cell r="M1203">
            <v>-7521</v>
          </cell>
          <cell r="N1203">
            <v>292479</v>
          </cell>
        </row>
        <row r="1204">
          <cell r="A1204">
            <v>82992</v>
          </cell>
          <cell r="B1204">
            <v>1198</v>
          </cell>
          <cell r="C1204" t="str">
            <v>IASWD2405000486</v>
          </cell>
          <cell r="D1204">
            <v>45426</v>
          </cell>
          <cell r="E1204">
            <v>46410</v>
          </cell>
          <cell r="F1204" t="str">
            <v>82992</v>
          </cell>
          <cell r="G1204" t="str">
            <v>群聯二</v>
          </cell>
          <cell r="H1204">
            <v>1000000</v>
          </cell>
          <cell r="I1204">
            <v>2.5</v>
          </cell>
          <cell r="J1204">
            <v>46410</v>
          </cell>
          <cell r="K1204">
            <v>100</v>
          </cell>
          <cell r="L1204">
            <v>46392</v>
          </cell>
          <cell r="M1204">
            <v>-25068</v>
          </cell>
          <cell r="N1204">
            <v>974932</v>
          </cell>
        </row>
        <row r="1205">
          <cell r="A1205">
            <v>82992</v>
          </cell>
          <cell r="B1205">
            <v>1199</v>
          </cell>
          <cell r="C1205" t="str">
            <v>IASWD2405000488</v>
          </cell>
          <cell r="D1205">
            <v>45426</v>
          </cell>
          <cell r="E1205">
            <v>46410</v>
          </cell>
          <cell r="F1205" t="str">
            <v>82992</v>
          </cell>
          <cell r="G1205" t="str">
            <v>群聯二</v>
          </cell>
          <cell r="H1205">
            <v>100000</v>
          </cell>
          <cell r="I1205">
            <v>2.5</v>
          </cell>
          <cell r="J1205">
            <v>46410</v>
          </cell>
          <cell r="K1205">
            <v>100</v>
          </cell>
          <cell r="L1205">
            <v>46392</v>
          </cell>
          <cell r="M1205">
            <v>-2507</v>
          </cell>
          <cell r="N1205">
            <v>97493</v>
          </cell>
        </row>
        <row r="1206">
          <cell r="A1206">
            <v>82992</v>
          </cell>
          <cell r="B1206">
            <v>1200</v>
          </cell>
          <cell r="C1206" t="str">
            <v>IASWD2405000492</v>
          </cell>
          <cell r="D1206">
            <v>45426</v>
          </cell>
          <cell r="E1206">
            <v>46410</v>
          </cell>
          <cell r="F1206" t="str">
            <v>82992</v>
          </cell>
          <cell r="G1206" t="str">
            <v>群聯二</v>
          </cell>
          <cell r="H1206">
            <v>100000</v>
          </cell>
          <cell r="I1206">
            <v>2.5</v>
          </cell>
          <cell r="J1206">
            <v>46410</v>
          </cell>
          <cell r="K1206">
            <v>100</v>
          </cell>
          <cell r="L1206">
            <v>46392</v>
          </cell>
          <cell r="M1206">
            <v>-2507</v>
          </cell>
          <cell r="N1206">
            <v>97493</v>
          </cell>
        </row>
        <row r="1207">
          <cell r="A1207">
            <v>22013</v>
          </cell>
          <cell r="B1207">
            <v>1201</v>
          </cell>
          <cell r="C1207" t="str">
            <v>IASWD2405000494</v>
          </cell>
          <cell r="D1207">
            <v>45426</v>
          </cell>
          <cell r="E1207">
            <v>46167</v>
          </cell>
          <cell r="F1207" t="str">
            <v>22013</v>
          </cell>
          <cell r="G1207" t="str">
            <v>裕隆三</v>
          </cell>
          <cell r="H1207">
            <v>1900000</v>
          </cell>
          <cell r="I1207">
            <v>3.25</v>
          </cell>
          <cell r="J1207">
            <v>46167</v>
          </cell>
          <cell r="K1207">
            <v>100.75190000000001</v>
          </cell>
          <cell r="L1207">
            <v>46147</v>
          </cell>
          <cell r="M1207">
            <v>-61919</v>
          </cell>
          <cell r="N1207">
            <v>1838081</v>
          </cell>
        </row>
        <row r="1208">
          <cell r="A1208">
            <v>82992</v>
          </cell>
          <cell r="B1208">
            <v>1202</v>
          </cell>
          <cell r="C1208" t="str">
            <v>IASWD2405000495</v>
          </cell>
          <cell r="D1208">
            <v>45426</v>
          </cell>
          <cell r="E1208">
            <v>46410</v>
          </cell>
          <cell r="F1208" t="str">
            <v>82992</v>
          </cell>
          <cell r="G1208" t="str">
            <v>群聯二</v>
          </cell>
          <cell r="H1208">
            <v>2000000</v>
          </cell>
          <cell r="I1208">
            <v>2.5</v>
          </cell>
          <cell r="J1208">
            <v>46410</v>
          </cell>
          <cell r="K1208">
            <v>100</v>
          </cell>
          <cell r="L1208">
            <v>46392</v>
          </cell>
          <cell r="M1208">
            <v>-50137</v>
          </cell>
          <cell r="N1208">
            <v>1949863</v>
          </cell>
        </row>
        <row r="1209">
          <cell r="A1209">
            <v>82992</v>
          </cell>
          <cell r="B1209">
            <v>1203</v>
          </cell>
          <cell r="C1209" t="str">
            <v>IASWD2405000496</v>
          </cell>
          <cell r="D1209">
            <v>45426</v>
          </cell>
          <cell r="E1209">
            <v>46410</v>
          </cell>
          <cell r="F1209" t="str">
            <v>82992</v>
          </cell>
          <cell r="G1209" t="str">
            <v>群聯二</v>
          </cell>
          <cell r="H1209">
            <v>100000</v>
          </cell>
          <cell r="I1209">
            <v>2.5</v>
          </cell>
          <cell r="J1209">
            <v>46410</v>
          </cell>
          <cell r="K1209">
            <v>100</v>
          </cell>
          <cell r="L1209">
            <v>46392</v>
          </cell>
          <cell r="M1209">
            <v>-2507</v>
          </cell>
          <cell r="N1209">
            <v>97493</v>
          </cell>
        </row>
        <row r="1210">
          <cell r="A1210">
            <v>82992</v>
          </cell>
          <cell r="B1210">
            <v>1204</v>
          </cell>
          <cell r="C1210" t="str">
            <v>IASWD2405000497</v>
          </cell>
          <cell r="D1210">
            <v>45426</v>
          </cell>
          <cell r="E1210">
            <v>46410</v>
          </cell>
          <cell r="F1210" t="str">
            <v>82992</v>
          </cell>
          <cell r="G1210" t="str">
            <v>群聯二</v>
          </cell>
          <cell r="H1210">
            <v>3000000</v>
          </cell>
          <cell r="I1210">
            <v>2.5</v>
          </cell>
          <cell r="J1210">
            <v>46410</v>
          </cell>
          <cell r="K1210">
            <v>100</v>
          </cell>
          <cell r="L1210">
            <v>46392</v>
          </cell>
          <cell r="M1210">
            <v>-75205</v>
          </cell>
          <cell r="N1210">
            <v>2924795</v>
          </cell>
        </row>
        <row r="1211">
          <cell r="A1211">
            <v>82992</v>
          </cell>
          <cell r="B1211">
            <v>1205</v>
          </cell>
          <cell r="C1211" t="str">
            <v>IASWD2405000499</v>
          </cell>
          <cell r="D1211">
            <v>45426</v>
          </cell>
          <cell r="E1211">
            <v>46410</v>
          </cell>
          <cell r="F1211" t="str">
            <v>82992</v>
          </cell>
          <cell r="G1211" t="str">
            <v>群聯二</v>
          </cell>
          <cell r="H1211">
            <v>200000</v>
          </cell>
          <cell r="I1211">
            <v>2.5</v>
          </cell>
          <cell r="J1211">
            <v>46410</v>
          </cell>
          <cell r="K1211">
            <v>100</v>
          </cell>
          <cell r="L1211">
            <v>46392</v>
          </cell>
          <cell r="M1211">
            <v>-5014</v>
          </cell>
          <cell r="N1211">
            <v>194986</v>
          </cell>
        </row>
        <row r="1212">
          <cell r="A1212">
            <v>22013</v>
          </cell>
          <cell r="B1212">
            <v>1206</v>
          </cell>
          <cell r="C1212" t="str">
            <v>IASWD2405000502</v>
          </cell>
          <cell r="D1212">
            <v>45426</v>
          </cell>
          <cell r="E1212">
            <v>46167</v>
          </cell>
          <cell r="F1212" t="str">
            <v>22013</v>
          </cell>
          <cell r="G1212" t="str">
            <v>裕隆三</v>
          </cell>
          <cell r="H1212">
            <v>100000</v>
          </cell>
          <cell r="I1212">
            <v>3.25</v>
          </cell>
          <cell r="J1212">
            <v>46167</v>
          </cell>
          <cell r="K1212">
            <v>100.75190000000001</v>
          </cell>
          <cell r="L1212">
            <v>46147</v>
          </cell>
          <cell r="M1212">
            <v>-3259</v>
          </cell>
          <cell r="N1212">
            <v>96741</v>
          </cell>
        </row>
        <row r="1213">
          <cell r="A1213">
            <v>82992</v>
          </cell>
          <cell r="B1213">
            <v>1207</v>
          </cell>
          <cell r="C1213" t="str">
            <v>IASWD2405000503</v>
          </cell>
          <cell r="D1213">
            <v>45426</v>
          </cell>
          <cell r="E1213">
            <v>46410</v>
          </cell>
          <cell r="F1213" t="str">
            <v>82992</v>
          </cell>
          <cell r="G1213" t="str">
            <v>群聯二</v>
          </cell>
          <cell r="H1213">
            <v>100000</v>
          </cell>
          <cell r="I1213">
            <v>2.5</v>
          </cell>
          <cell r="J1213">
            <v>46410</v>
          </cell>
          <cell r="K1213">
            <v>100</v>
          </cell>
          <cell r="L1213">
            <v>46392</v>
          </cell>
          <cell r="M1213">
            <v>-2507</v>
          </cell>
          <cell r="N1213">
            <v>97493</v>
          </cell>
        </row>
        <row r="1214">
          <cell r="A1214">
            <v>82992</v>
          </cell>
          <cell r="B1214">
            <v>1208</v>
          </cell>
          <cell r="C1214" t="str">
            <v>IASWD2405000504</v>
          </cell>
          <cell r="D1214">
            <v>45426</v>
          </cell>
          <cell r="E1214">
            <v>46410</v>
          </cell>
          <cell r="F1214" t="str">
            <v>82992</v>
          </cell>
          <cell r="G1214" t="str">
            <v>群聯二</v>
          </cell>
          <cell r="H1214">
            <v>500000</v>
          </cell>
          <cell r="I1214">
            <v>2.5</v>
          </cell>
          <cell r="J1214">
            <v>46410</v>
          </cell>
          <cell r="K1214">
            <v>100</v>
          </cell>
          <cell r="L1214">
            <v>46392</v>
          </cell>
          <cell r="M1214">
            <v>-12534</v>
          </cell>
          <cell r="N1214">
            <v>487466</v>
          </cell>
        </row>
        <row r="1215">
          <cell r="A1215">
            <v>82992</v>
          </cell>
          <cell r="B1215">
            <v>1209</v>
          </cell>
          <cell r="C1215" t="str">
            <v>IASWD2405000507</v>
          </cell>
          <cell r="D1215">
            <v>45427</v>
          </cell>
          <cell r="E1215">
            <v>46410</v>
          </cell>
          <cell r="F1215" t="str">
            <v>82992</v>
          </cell>
          <cell r="G1215" t="str">
            <v>群聯二</v>
          </cell>
          <cell r="H1215">
            <v>700000</v>
          </cell>
          <cell r="I1215">
            <v>2.5</v>
          </cell>
          <cell r="J1215">
            <v>46410</v>
          </cell>
          <cell r="K1215">
            <v>100</v>
          </cell>
          <cell r="L1215">
            <v>46392</v>
          </cell>
          <cell r="M1215">
            <v>-17500</v>
          </cell>
          <cell r="N1215">
            <v>682500</v>
          </cell>
        </row>
        <row r="1216">
          <cell r="A1216">
            <v>22013</v>
          </cell>
          <cell r="B1216">
            <v>1210</v>
          </cell>
          <cell r="C1216" t="str">
            <v>IASWD2405000509</v>
          </cell>
          <cell r="D1216">
            <v>45427</v>
          </cell>
          <cell r="E1216">
            <v>46167</v>
          </cell>
          <cell r="F1216" t="str">
            <v>22013</v>
          </cell>
          <cell r="G1216" t="str">
            <v>裕隆三</v>
          </cell>
          <cell r="H1216">
            <v>100000</v>
          </cell>
          <cell r="I1216">
            <v>3.25</v>
          </cell>
          <cell r="J1216">
            <v>46167</v>
          </cell>
          <cell r="K1216">
            <v>100.75190000000001</v>
          </cell>
          <cell r="L1216">
            <v>46147</v>
          </cell>
          <cell r="M1216">
            <v>-3250</v>
          </cell>
          <cell r="N1216">
            <v>96750</v>
          </cell>
        </row>
        <row r="1217">
          <cell r="A1217">
            <v>22013</v>
          </cell>
          <cell r="B1217">
            <v>1211</v>
          </cell>
          <cell r="C1217" t="str">
            <v>IASWD2405000512</v>
          </cell>
          <cell r="D1217">
            <v>45427</v>
          </cell>
          <cell r="E1217">
            <v>46167</v>
          </cell>
          <cell r="F1217" t="str">
            <v>22013</v>
          </cell>
          <cell r="G1217" t="str">
            <v>裕隆三</v>
          </cell>
          <cell r="H1217">
            <v>100000</v>
          </cell>
          <cell r="I1217">
            <v>3.25</v>
          </cell>
          <cell r="J1217">
            <v>46167</v>
          </cell>
          <cell r="K1217">
            <v>100.75190000000001</v>
          </cell>
          <cell r="L1217">
            <v>46147</v>
          </cell>
          <cell r="M1217">
            <v>-3250</v>
          </cell>
          <cell r="N1217">
            <v>96750</v>
          </cell>
        </row>
        <row r="1218">
          <cell r="A1218">
            <v>82992</v>
          </cell>
          <cell r="B1218">
            <v>1212</v>
          </cell>
          <cell r="C1218" t="str">
            <v>IASWD2405000514</v>
          </cell>
          <cell r="D1218">
            <v>45427</v>
          </cell>
          <cell r="E1218">
            <v>46410</v>
          </cell>
          <cell r="F1218" t="str">
            <v>82992</v>
          </cell>
          <cell r="G1218" t="str">
            <v>群聯二</v>
          </cell>
          <cell r="H1218">
            <v>400000</v>
          </cell>
          <cell r="I1218">
            <v>2.5</v>
          </cell>
          <cell r="J1218">
            <v>46410</v>
          </cell>
          <cell r="K1218">
            <v>100</v>
          </cell>
          <cell r="L1218">
            <v>46392</v>
          </cell>
          <cell r="M1218">
            <v>-10000</v>
          </cell>
          <cell r="N1218">
            <v>390000</v>
          </cell>
        </row>
        <row r="1219">
          <cell r="A1219">
            <v>82992</v>
          </cell>
          <cell r="B1219">
            <v>1213</v>
          </cell>
          <cell r="C1219" t="str">
            <v>IASWD2405000515</v>
          </cell>
          <cell r="D1219">
            <v>45427</v>
          </cell>
          <cell r="E1219">
            <v>46410</v>
          </cell>
          <cell r="F1219" t="str">
            <v>82992</v>
          </cell>
          <cell r="G1219" t="str">
            <v>群聯二</v>
          </cell>
          <cell r="H1219">
            <v>200000</v>
          </cell>
          <cell r="I1219">
            <v>2.5</v>
          </cell>
          <cell r="J1219">
            <v>46410</v>
          </cell>
          <cell r="K1219">
            <v>100</v>
          </cell>
          <cell r="L1219">
            <v>46392</v>
          </cell>
          <cell r="M1219">
            <v>-5000</v>
          </cell>
          <cell r="N1219">
            <v>195000</v>
          </cell>
        </row>
        <row r="1220">
          <cell r="A1220">
            <v>82992</v>
          </cell>
          <cell r="B1220">
            <v>1214</v>
          </cell>
          <cell r="C1220" t="str">
            <v>IASWD2405000516</v>
          </cell>
          <cell r="D1220">
            <v>45427</v>
          </cell>
          <cell r="E1220">
            <v>46410</v>
          </cell>
          <cell r="F1220" t="str">
            <v>82992</v>
          </cell>
          <cell r="G1220" t="str">
            <v>群聯二</v>
          </cell>
          <cell r="H1220">
            <v>100000</v>
          </cell>
          <cell r="I1220">
            <v>2.5</v>
          </cell>
          <cell r="J1220">
            <v>46410</v>
          </cell>
          <cell r="K1220">
            <v>100</v>
          </cell>
          <cell r="L1220">
            <v>46392</v>
          </cell>
          <cell r="M1220">
            <v>-2500</v>
          </cell>
          <cell r="N1220">
            <v>97500</v>
          </cell>
        </row>
        <row r="1221">
          <cell r="A1221">
            <v>82992</v>
          </cell>
          <cell r="B1221">
            <v>1215</v>
          </cell>
          <cell r="C1221" t="str">
            <v>IASWD2405000517</v>
          </cell>
          <cell r="D1221">
            <v>45427</v>
          </cell>
          <cell r="E1221">
            <v>46410</v>
          </cell>
          <cell r="F1221" t="str">
            <v>82992</v>
          </cell>
          <cell r="G1221" t="str">
            <v>群聯二</v>
          </cell>
          <cell r="H1221">
            <v>100000</v>
          </cell>
          <cell r="I1221">
            <v>2.5</v>
          </cell>
          <cell r="J1221">
            <v>46410</v>
          </cell>
          <cell r="K1221">
            <v>100</v>
          </cell>
          <cell r="L1221">
            <v>46392</v>
          </cell>
          <cell r="M1221">
            <v>-2500</v>
          </cell>
          <cell r="N1221">
            <v>97500</v>
          </cell>
        </row>
        <row r="1222">
          <cell r="A1222">
            <v>82992</v>
          </cell>
          <cell r="B1222">
            <v>1216</v>
          </cell>
          <cell r="C1222" t="str">
            <v>IASWD2405000518</v>
          </cell>
          <cell r="D1222">
            <v>45427</v>
          </cell>
          <cell r="E1222">
            <v>46410</v>
          </cell>
          <cell r="F1222" t="str">
            <v>82992</v>
          </cell>
          <cell r="G1222" t="str">
            <v>群聯二</v>
          </cell>
          <cell r="H1222">
            <v>100000</v>
          </cell>
          <cell r="I1222">
            <v>2.5</v>
          </cell>
          <cell r="J1222">
            <v>46410</v>
          </cell>
          <cell r="K1222">
            <v>100</v>
          </cell>
          <cell r="L1222">
            <v>46392</v>
          </cell>
          <cell r="M1222">
            <v>-2500</v>
          </cell>
          <cell r="N1222">
            <v>97500</v>
          </cell>
        </row>
        <row r="1223">
          <cell r="A1223">
            <v>82992</v>
          </cell>
          <cell r="B1223">
            <v>1217</v>
          </cell>
          <cell r="C1223" t="str">
            <v>IASWD2405000520</v>
          </cell>
          <cell r="D1223">
            <v>45427</v>
          </cell>
          <cell r="E1223">
            <v>46410</v>
          </cell>
          <cell r="F1223" t="str">
            <v>82992</v>
          </cell>
          <cell r="G1223" t="str">
            <v>群聯二</v>
          </cell>
          <cell r="H1223">
            <v>1000000</v>
          </cell>
          <cell r="I1223">
            <v>2.5</v>
          </cell>
          <cell r="J1223">
            <v>46410</v>
          </cell>
          <cell r="K1223">
            <v>100</v>
          </cell>
          <cell r="L1223">
            <v>46392</v>
          </cell>
          <cell r="M1223">
            <v>-25000</v>
          </cell>
          <cell r="N1223">
            <v>975000</v>
          </cell>
        </row>
        <row r="1224">
          <cell r="A1224">
            <v>82992</v>
          </cell>
          <cell r="B1224">
            <v>1218</v>
          </cell>
          <cell r="C1224" t="str">
            <v>IASWD2405000521</v>
          </cell>
          <cell r="D1224">
            <v>45427</v>
          </cell>
          <cell r="E1224">
            <v>46410</v>
          </cell>
          <cell r="F1224" t="str">
            <v>82992</v>
          </cell>
          <cell r="G1224" t="str">
            <v>群聯二</v>
          </cell>
          <cell r="H1224">
            <v>1000000</v>
          </cell>
          <cell r="I1224">
            <v>2.5</v>
          </cell>
          <cell r="J1224">
            <v>46410</v>
          </cell>
          <cell r="K1224">
            <v>100</v>
          </cell>
          <cell r="L1224">
            <v>46392</v>
          </cell>
          <cell r="M1224">
            <v>-25000</v>
          </cell>
          <cell r="N1224">
            <v>975000</v>
          </cell>
        </row>
        <row r="1225">
          <cell r="A1225">
            <v>82992</v>
          </cell>
          <cell r="B1225">
            <v>1219</v>
          </cell>
          <cell r="C1225" t="str">
            <v>IASWD2405000524</v>
          </cell>
          <cell r="D1225">
            <v>45427</v>
          </cell>
          <cell r="E1225">
            <v>46410</v>
          </cell>
          <cell r="F1225" t="str">
            <v>82992</v>
          </cell>
          <cell r="G1225" t="str">
            <v>群聯二</v>
          </cell>
          <cell r="H1225">
            <v>200000</v>
          </cell>
          <cell r="I1225">
            <v>2.5</v>
          </cell>
          <cell r="J1225">
            <v>46410</v>
          </cell>
          <cell r="K1225">
            <v>100</v>
          </cell>
          <cell r="L1225">
            <v>46392</v>
          </cell>
          <cell r="M1225">
            <v>-5000</v>
          </cell>
          <cell r="N1225">
            <v>195000</v>
          </cell>
        </row>
        <row r="1226">
          <cell r="A1226">
            <v>82992</v>
          </cell>
          <cell r="B1226">
            <v>1220</v>
          </cell>
          <cell r="C1226" t="str">
            <v>IASWD2405000526</v>
          </cell>
          <cell r="D1226">
            <v>45427</v>
          </cell>
          <cell r="E1226">
            <v>46410</v>
          </cell>
          <cell r="F1226" t="str">
            <v>82992</v>
          </cell>
          <cell r="G1226" t="str">
            <v>群聯二</v>
          </cell>
          <cell r="H1226">
            <v>100000</v>
          </cell>
          <cell r="I1226">
            <v>2.5</v>
          </cell>
          <cell r="J1226">
            <v>46410</v>
          </cell>
          <cell r="K1226">
            <v>100</v>
          </cell>
          <cell r="L1226">
            <v>46392</v>
          </cell>
          <cell r="M1226">
            <v>-2500</v>
          </cell>
          <cell r="N1226">
            <v>97500</v>
          </cell>
        </row>
        <row r="1227">
          <cell r="A1227">
            <v>82992</v>
          </cell>
          <cell r="B1227">
            <v>1221</v>
          </cell>
          <cell r="C1227" t="str">
            <v>IASWD2405000529</v>
          </cell>
          <cell r="D1227">
            <v>45427</v>
          </cell>
          <cell r="E1227">
            <v>46410</v>
          </cell>
          <cell r="F1227" t="str">
            <v>82992</v>
          </cell>
          <cell r="G1227" t="str">
            <v>群聯二</v>
          </cell>
          <cell r="H1227">
            <v>200000</v>
          </cell>
          <cell r="I1227">
            <v>2.5</v>
          </cell>
          <cell r="J1227">
            <v>46410</v>
          </cell>
          <cell r="K1227">
            <v>100</v>
          </cell>
          <cell r="L1227">
            <v>46392</v>
          </cell>
          <cell r="M1227">
            <v>-5000</v>
          </cell>
          <cell r="N1227">
            <v>195000</v>
          </cell>
        </row>
        <row r="1228">
          <cell r="A1228">
            <v>82992</v>
          </cell>
          <cell r="B1228">
            <v>1222</v>
          </cell>
          <cell r="C1228" t="str">
            <v>IASWD2405000532</v>
          </cell>
          <cell r="D1228">
            <v>45427</v>
          </cell>
          <cell r="E1228">
            <v>46410</v>
          </cell>
          <cell r="F1228" t="str">
            <v>82992</v>
          </cell>
          <cell r="G1228" t="str">
            <v>群聯二</v>
          </cell>
          <cell r="H1228">
            <v>100000</v>
          </cell>
          <cell r="I1228">
            <v>2.5</v>
          </cell>
          <cell r="J1228">
            <v>46410</v>
          </cell>
          <cell r="K1228">
            <v>100</v>
          </cell>
          <cell r="L1228">
            <v>46392</v>
          </cell>
          <cell r="M1228">
            <v>-2500</v>
          </cell>
          <cell r="N1228">
            <v>97500</v>
          </cell>
        </row>
        <row r="1229">
          <cell r="A1229">
            <v>82992</v>
          </cell>
          <cell r="B1229">
            <v>1223</v>
          </cell>
          <cell r="C1229" t="str">
            <v>IASWD2405000533</v>
          </cell>
          <cell r="D1229">
            <v>45427</v>
          </cell>
          <cell r="E1229">
            <v>46410</v>
          </cell>
          <cell r="F1229" t="str">
            <v>82992</v>
          </cell>
          <cell r="G1229" t="str">
            <v>群聯二</v>
          </cell>
          <cell r="H1229">
            <v>700000</v>
          </cell>
          <cell r="I1229">
            <v>2.5</v>
          </cell>
          <cell r="J1229">
            <v>46410</v>
          </cell>
          <cell r="K1229">
            <v>100</v>
          </cell>
          <cell r="L1229">
            <v>46392</v>
          </cell>
          <cell r="M1229">
            <v>-17500</v>
          </cell>
          <cell r="N1229">
            <v>682500</v>
          </cell>
        </row>
        <row r="1230">
          <cell r="A1230">
            <v>82992</v>
          </cell>
          <cell r="B1230">
            <v>1224</v>
          </cell>
          <cell r="C1230" t="str">
            <v>IASWD2405000538</v>
          </cell>
          <cell r="D1230">
            <v>45427</v>
          </cell>
          <cell r="E1230">
            <v>46410</v>
          </cell>
          <cell r="F1230" t="str">
            <v>82992</v>
          </cell>
          <cell r="G1230" t="str">
            <v>群聯二</v>
          </cell>
          <cell r="H1230">
            <v>100000</v>
          </cell>
          <cell r="I1230">
            <v>2.5</v>
          </cell>
          <cell r="J1230">
            <v>46410</v>
          </cell>
          <cell r="K1230">
            <v>100</v>
          </cell>
          <cell r="L1230">
            <v>46392</v>
          </cell>
          <cell r="M1230">
            <v>-2500</v>
          </cell>
          <cell r="N1230">
            <v>97500</v>
          </cell>
        </row>
        <row r="1231">
          <cell r="A1231">
            <v>82992</v>
          </cell>
          <cell r="B1231">
            <v>1225</v>
          </cell>
          <cell r="C1231" t="str">
            <v>IASWD2405000539</v>
          </cell>
          <cell r="D1231">
            <v>45427</v>
          </cell>
          <cell r="E1231">
            <v>46410</v>
          </cell>
          <cell r="F1231" t="str">
            <v>82992</v>
          </cell>
          <cell r="G1231" t="str">
            <v>群聯二</v>
          </cell>
          <cell r="H1231">
            <v>200000</v>
          </cell>
          <cell r="I1231">
            <v>2.5</v>
          </cell>
          <cell r="J1231">
            <v>46410</v>
          </cell>
          <cell r="K1231">
            <v>100</v>
          </cell>
          <cell r="L1231">
            <v>46392</v>
          </cell>
          <cell r="M1231">
            <v>-5000</v>
          </cell>
          <cell r="N1231">
            <v>195000</v>
          </cell>
        </row>
        <row r="1232">
          <cell r="A1232">
            <v>82992</v>
          </cell>
          <cell r="B1232">
            <v>1226</v>
          </cell>
          <cell r="C1232" t="str">
            <v>IASWD2405000540</v>
          </cell>
          <cell r="D1232">
            <v>45427</v>
          </cell>
          <cell r="E1232">
            <v>46410</v>
          </cell>
          <cell r="F1232" t="str">
            <v>82992</v>
          </cell>
          <cell r="G1232" t="str">
            <v>群聯二</v>
          </cell>
          <cell r="H1232">
            <v>100000</v>
          </cell>
          <cell r="I1232">
            <v>2.5</v>
          </cell>
          <cell r="J1232">
            <v>46410</v>
          </cell>
          <cell r="K1232">
            <v>100</v>
          </cell>
          <cell r="L1232">
            <v>46392</v>
          </cell>
          <cell r="M1232">
            <v>-2500</v>
          </cell>
          <cell r="N1232">
            <v>97500</v>
          </cell>
        </row>
        <row r="1233">
          <cell r="A1233">
            <v>82992</v>
          </cell>
          <cell r="B1233">
            <v>1227</v>
          </cell>
          <cell r="C1233" t="str">
            <v>IASWD2405000541</v>
          </cell>
          <cell r="D1233">
            <v>45427</v>
          </cell>
          <cell r="E1233">
            <v>46410</v>
          </cell>
          <cell r="F1233" t="str">
            <v>82992</v>
          </cell>
          <cell r="G1233" t="str">
            <v>群聯二</v>
          </cell>
          <cell r="H1233">
            <v>100000</v>
          </cell>
          <cell r="I1233">
            <v>2.5</v>
          </cell>
          <cell r="J1233">
            <v>46410</v>
          </cell>
          <cell r="K1233">
            <v>100</v>
          </cell>
          <cell r="L1233">
            <v>46392</v>
          </cell>
          <cell r="M1233">
            <v>-2500</v>
          </cell>
          <cell r="N1233">
            <v>97500</v>
          </cell>
        </row>
        <row r="1234">
          <cell r="A1234">
            <v>82992</v>
          </cell>
          <cell r="B1234">
            <v>1228</v>
          </cell>
          <cell r="C1234" t="str">
            <v>IASWD2405000546</v>
          </cell>
          <cell r="D1234">
            <v>45427</v>
          </cell>
          <cell r="E1234">
            <v>46410</v>
          </cell>
          <cell r="F1234" t="str">
            <v>82992</v>
          </cell>
          <cell r="G1234" t="str">
            <v>群聯二</v>
          </cell>
          <cell r="H1234">
            <v>100000</v>
          </cell>
          <cell r="I1234">
            <v>2.5</v>
          </cell>
          <cell r="J1234">
            <v>46410</v>
          </cell>
          <cell r="K1234">
            <v>100</v>
          </cell>
          <cell r="L1234">
            <v>46392</v>
          </cell>
          <cell r="M1234">
            <v>-2500</v>
          </cell>
          <cell r="N1234">
            <v>97500</v>
          </cell>
        </row>
        <row r="1235">
          <cell r="A1235">
            <v>22013</v>
          </cell>
          <cell r="B1235">
            <v>1229</v>
          </cell>
          <cell r="C1235" t="str">
            <v>IASWD2405000547</v>
          </cell>
          <cell r="D1235">
            <v>45427</v>
          </cell>
          <cell r="E1235">
            <v>46167</v>
          </cell>
          <cell r="F1235" t="str">
            <v>22013</v>
          </cell>
          <cell r="G1235" t="str">
            <v>裕隆三</v>
          </cell>
          <cell r="H1235">
            <v>100000</v>
          </cell>
          <cell r="I1235">
            <v>3.25</v>
          </cell>
          <cell r="J1235">
            <v>46167</v>
          </cell>
          <cell r="K1235">
            <v>100.75190000000001</v>
          </cell>
          <cell r="L1235">
            <v>46147</v>
          </cell>
          <cell r="M1235">
            <v>-3250</v>
          </cell>
          <cell r="N1235">
            <v>96750</v>
          </cell>
        </row>
        <row r="1236">
          <cell r="A1236">
            <v>82992</v>
          </cell>
          <cell r="B1236">
            <v>1230</v>
          </cell>
          <cell r="C1236" t="str">
            <v>IASWD2405000552</v>
          </cell>
          <cell r="D1236">
            <v>45427</v>
          </cell>
          <cell r="E1236">
            <v>46410</v>
          </cell>
          <cell r="F1236" t="str">
            <v>82992</v>
          </cell>
          <cell r="G1236" t="str">
            <v>群聯二</v>
          </cell>
          <cell r="H1236">
            <v>100000</v>
          </cell>
          <cell r="I1236">
            <v>2.5</v>
          </cell>
          <cell r="J1236">
            <v>46410</v>
          </cell>
          <cell r="K1236">
            <v>100</v>
          </cell>
          <cell r="L1236">
            <v>46392</v>
          </cell>
          <cell r="M1236">
            <v>-2500</v>
          </cell>
          <cell r="N1236">
            <v>97500</v>
          </cell>
        </row>
        <row r="1237">
          <cell r="A1237">
            <v>82992</v>
          </cell>
          <cell r="B1237">
            <v>1231</v>
          </cell>
          <cell r="C1237" t="str">
            <v>IASWD2405000554</v>
          </cell>
          <cell r="D1237">
            <v>45427</v>
          </cell>
          <cell r="E1237">
            <v>46410</v>
          </cell>
          <cell r="F1237" t="str">
            <v>82992</v>
          </cell>
          <cell r="G1237" t="str">
            <v>群聯二</v>
          </cell>
          <cell r="H1237">
            <v>100000</v>
          </cell>
          <cell r="I1237">
            <v>2.5</v>
          </cell>
          <cell r="J1237">
            <v>46410</v>
          </cell>
          <cell r="K1237">
            <v>100</v>
          </cell>
          <cell r="L1237">
            <v>46392</v>
          </cell>
          <cell r="M1237">
            <v>-2500</v>
          </cell>
          <cell r="N1237">
            <v>97500</v>
          </cell>
        </row>
        <row r="1238">
          <cell r="A1238">
            <v>82992</v>
          </cell>
          <cell r="B1238">
            <v>1232</v>
          </cell>
          <cell r="C1238" t="str">
            <v>IASWD2405000557</v>
          </cell>
          <cell r="D1238">
            <v>45427</v>
          </cell>
          <cell r="E1238">
            <v>46410</v>
          </cell>
          <cell r="F1238" t="str">
            <v>82992</v>
          </cell>
          <cell r="G1238" t="str">
            <v>群聯二</v>
          </cell>
          <cell r="H1238">
            <v>200000</v>
          </cell>
          <cell r="I1238">
            <v>2.5</v>
          </cell>
          <cell r="J1238">
            <v>46410</v>
          </cell>
          <cell r="K1238">
            <v>100</v>
          </cell>
          <cell r="L1238">
            <v>46392</v>
          </cell>
          <cell r="M1238">
            <v>-5000</v>
          </cell>
          <cell r="N1238">
            <v>195000</v>
          </cell>
        </row>
        <row r="1239">
          <cell r="A1239">
            <v>82992</v>
          </cell>
          <cell r="B1239">
            <v>1233</v>
          </cell>
          <cell r="C1239" t="str">
            <v>IASWD2405000558</v>
          </cell>
          <cell r="D1239">
            <v>45427</v>
          </cell>
          <cell r="E1239">
            <v>46410</v>
          </cell>
          <cell r="F1239" t="str">
            <v>82992</v>
          </cell>
          <cell r="G1239" t="str">
            <v>群聯二</v>
          </cell>
          <cell r="H1239">
            <v>100000</v>
          </cell>
          <cell r="I1239">
            <v>2.5</v>
          </cell>
          <cell r="J1239">
            <v>46410</v>
          </cell>
          <cell r="K1239">
            <v>100</v>
          </cell>
          <cell r="L1239">
            <v>46392</v>
          </cell>
          <cell r="M1239">
            <v>-2500</v>
          </cell>
          <cell r="N1239">
            <v>97500</v>
          </cell>
        </row>
        <row r="1240">
          <cell r="A1240">
            <v>82992</v>
          </cell>
          <cell r="B1240">
            <v>1234</v>
          </cell>
          <cell r="C1240" t="str">
            <v>IASWD2405000559</v>
          </cell>
          <cell r="D1240">
            <v>45427</v>
          </cell>
          <cell r="E1240">
            <v>46410</v>
          </cell>
          <cell r="F1240" t="str">
            <v>82992</v>
          </cell>
          <cell r="G1240" t="str">
            <v>群聯二</v>
          </cell>
          <cell r="H1240">
            <v>200000</v>
          </cell>
          <cell r="I1240">
            <v>2.5</v>
          </cell>
          <cell r="J1240">
            <v>46410</v>
          </cell>
          <cell r="K1240">
            <v>100</v>
          </cell>
          <cell r="L1240">
            <v>46392</v>
          </cell>
          <cell r="M1240">
            <v>-5000</v>
          </cell>
          <cell r="N1240">
            <v>195000</v>
          </cell>
        </row>
        <row r="1241">
          <cell r="A1241">
            <v>82992</v>
          </cell>
          <cell r="B1241">
            <v>1235</v>
          </cell>
          <cell r="C1241" t="str">
            <v>IASWD2405000563</v>
          </cell>
          <cell r="D1241">
            <v>45428</v>
          </cell>
          <cell r="E1241">
            <v>46410</v>
          </cell>
          <cell r="F1241" t="str">
            <v>82992</v>
          </cell>
          <cell r="G1241" t="str">
            <v>群聯二</v>
          </cell>
          <cell r="H1241">
            <v>100000</v>
          </cell>
          <cell r="I1241">
            <v>2.5</v>
          </cell>
          <cell r="J1241">
            <v>46410</v>
          </cell>
          <cell r="K1241">
            <v>100</v>
          </cell>
          <cell r="L1241">
            <v>46392</v>
          </cell>
          <cell r="M1241">
            <v>-2493</v>
          </cell>
          <cell r="N1241">
            <v>97507</v>
          </cell>
        </row>
        <row r="1242">
          <cell r="A1242">
            <v>82992</v>
          </cell>
          <cell r="B1242">
            <v>1236</v>
          </cell>
          <cell r="C1242" t="str">
            <v>IASWD2405000569</v>
          </cell>
          <cell r="D1242">
            <v>45428</v>
          </cell>
          <cell r="E1242">
            <v>46410</v>
          </cell>
          <cell r="F1242" t="str">
            <v>82992</v>
          </cell>
          <cell r="G1242" t="str">
            <v>群聯二</v>
          </cell>
          <cell r="H1242">
            <v>200000</v>
          </cell>
          <cell r="I1242">
            <v>2.5</v>
          </cell>
          <cell r="J1242">
            <v>46410</v>
          </cell>
          <cell r="K1242">
            <v>100</v>
          </cell>
          <cell r="L1242">
            <v>46392</v>
          </cell>
          <cell r="M1242">
            <v>-4986</v>
          </cell>
          <cell r="N1242">
            <v>195014</v>
          </cell>
        </row>
        <row r="1243">
          <cell r="A1243">
            <v>22013</v>
          </cell>
          <cell r="B1243">
            <v>1237</v>
          </cell>
          <cell r="C1243" t="str">
            <v>IASWD2405000576</v>
          </cell>
          <cell r="D1243">
            <v>45428</v>
          </cell>
          <cell r="E1243">
            <v>46167</v>
          </cell>
          <cell r="F1243" t="str">
            <v>22013</v>
          </cell>
          <cell r="G1243" t="str">
            <v>裕隆三</v>
          </cell>
          <cell r="H1243">
            <v>300000</v>
          </cell>
          <cell r="I1243">
            <v>3.25</v>
          </cell>
          <cell r="J1243">
            <v>46167</v>
          </cell>
          <cell r="K1243">
            <v>100.75190000000001</v>
          </cell>
          <cell r="L1243">
            <v>46147</v>
          </cell>
          <cell r="M1243">
            <v>-9723</v>
          </cell>
          <cell r="N1243">
            <v>290277</v>
          </cell>
        </row>
        <row r="1244">
          <cell r="A1244">
            <v>22013</v>
          </cell>
          <cell r="B1244">
            <v>1238</v>
          </cell>
          <cell r="C1244" t="str">
            <v>IASWD2405000577</v>
          </cell>
          <cell r="D1244">
            <v>45428</v>
          </cell>
          <cell r="E1244">
            <v>46167</v>
          </cell>
          <cell r="F1244" t="str">
            <v>22013</v>
          </cell>
          <cell r="G1244" t="str">
            <v>裕隆三</v>
          </cell>
          <cell r="H1244">
            <v>1000000</v>
          </cell>
          <cell r="I1244">
            <v>3.25</v>
          </cell>
          <cell r="J1244">
            <v>46167</v>
          </cell>
          <cell r="K1244">
            <v>100.75190000000001</v>
          </cell>
          <cell r="L1244">
            <v>46147</v>
          </cell>
          <cell r="M1244">
            <v>-32411</v>
          </cell>
          <cell r="N1244">
            <v>967589</v>
          </cell>
        </row>
        <row r="1245">
          <cell r="A1245">
            <v>22013</v>
          </cell>
          <cell r="B1245">
            <v>1239</v>
          </cell>
          <cell r="C1245" t="str">
            <v>IASWD2405000588</v>
          </cell>
          <cell r="D1245">
            <v>45428</v>
          </cell>
          <cell r="E1245">
            <v>46167</v>
          </cell>
          <cell r="F1245" t="str">
            <v>22013</v>
          </cell>
          <cell r="G1245" t="str">
            <v>裕隆三</v>
          </cell>
          <cell r="H1245">
            <v>300000</v>
          </cell>
          <cell r="I1245">
            <v>3.25</v>
          </cell>
          <cell r="J1245">
            <v>46167</v>
          </cell>
          <cell r="K1245">
            <v>100.75190000000001</v>
          </cell>
          <cell r="L1245">
            <v>46147</v>
          </cell>
          <cell r="M1245">
            <v>-9723</v>
          </cell>
          <cell r="N1245">
            <v>290277</v>
          </cell>
        </row>
        <row r="1246">
          <cell r="A1246">
            <v>22013</v>
          </cell>
          <cell r="B1246">
            <v>1240</v>
          </cell>
          <cell r="C1246" t="str">
            <v>IASWD2405000589</v>
          </cell>
          <cell r="D1246">
            <v>45428</v>
          </cell>
          <cell r="E1246">
            <v>46167</v>
          </cell>
          <cell r="F1246" t="str">
            <v>22013</v>
          </cell>
          <cell r="G1246" t="str">
            <v>裕隆三</v>
          </cell>
          <cell r="H1246">
            <v>100000</v>
          </cell>
          <cell r="I1246">
            <v>3.25</v>
          </cell>
          <cell r="J1246">
            <v>46167</v>
          </cell>
          <cell r="K1246">
            <v>100.75190000000001</v>
          </cell>
          <cell r="L1246">
            <v>46147</v>
          </cell>
          <cell r="M1246">
            <v>-3241</v>
          </cell>
          <cell r="N1246">
            <v>96759</v>
          </cell>
        </row>
        <row r="1247">
          <cell r="A1247">
            <v>82992</v>
          </cell>
          <cell r="B1247">
            <v>1241</v>
          </cell>
          <cell r="C1247" t="str">
            <v>IASWD2405000599</v>
          </cell>
          <cell r="D1247">
            <v>45428</v>
          </cell>
          <cell r="E1247">
            <v>46410</v>
          </cell>
          <cell r="F1247" t="str">
            <v>82992</v>
          </cell>
          <cell r="G1247" t="str">
            <v>群聯二</v>
          </cell>
          <cell r="H1247">
            <v>800000</v>
          </cell>
          <cell r="I1247">
            <v>2.5</v>
          </cell>
          <cell r="J1247">
            <v>46410</v>
          </cell>
          <cell r="K1247">
            <v>100</v>
          </cell>
          <cell r="L1247">
            <v>46392</v>
          </cell>
          <cell r="M1247">
            <v>-19945</v>
          </cell>
          <cell r="N1247">
            <v>780055</v>
          </cell>
        </row>
        <row r="1248">
          <cell r="A1248">
            <v>82992</v>
          </cell>
          <cell r="B1248">
            <v>1242</v>
          </cell>
          <cell r="C1248" t="str">
            <v>IASWD2405000600</v>
          </cell>
          <cell r="D1248">
            <v>45428</v>
          </cell>
          <cell r="E1248">
            <v>46410</v>
          </cell>
          <cell r="F1248" t="str">
            <v>82992</v>
          </cell>
          <cell r="G1248" t="str">
            <v>群聯二</v>
          </cell>
          <cell r="H1248">
            <v>200000</v>
          </cell>
          <cell r="I1248">
            <v>2.5</v>
          </cell>
          <cell r="J1248">
            <v>46410</v>
          </cell>
          <cell r="K1248">
            <v>100</v>
          </cell>
          <cell r="L1248">
            <v>46392</v>
          </cell>
          <cell r="M1248">
            <v>-4986</v>
          </cell>
          <cell r="N1248">
            <v>195014</v>
          </cell>
        </row>
        <row r="1249">
          <cell r="A1249">
            <v>82992</v>
          </cell>
          <cell r="B1249">
            <v>1243</v>
          </cell>
          <cell r="C1249" t="str">
            <v>IASWD2405000604</v>
          </cell>
          <cell r="D1249">
            <v>45428</v>
          </cell>
          <cell r="E1249">
            <v>46410</v>
          </cell>
          <cell r="F1249" t="str">
            <v>82992</v>
          </cell>
          <cell r="G1249" t="str">
            <v>群聯二</v>
          </cell>
          <cell r="H1249">
            <v>1100000</v>
          </cell>
          <cell r="I1249">
            <v>2.5</v>
          </cell>
          <cell r="J1249">
            <v>46410</v>
          </cell>
          <cell r="K1249">
            <v>100</v>
          </cell>
          <cell r="L1249">
            <v>46392</v>
          </cell>
          <cell r="M1249">
            <v>-27425</v>
          </cell>
          <cell r="N1249">
            <v>1072575</v>
          </cell>
        </row>
        <row r="1250">
          <cell r="A1250">
            <v>22013</v>
          </cell>
          <cell r="B1250">
            <v>1244</v>
          </cell>
          <cell r="C1250" t="str">
            <v>IASWD2405000605</v>
          </cell>
          <cell r="D1250">
            <v>45428</v>
          </cell>
          <cell r="E1250">
            <v>46167</v>
          </cell>
          <cell r="F1250" t="str">
            <v>22013</v>
          </cell>
          <cell r="G1250" t="str">
            <v>裕隆三</v>
          </cell>
          <cell r="H1250">
            <v>100000</v>
          </cell>
          <cell r="I1250">
            <v>3.25</v>
          </cell>
          <cell r="J1250">
            <v>46167</v>
          </cell>
          <cell r="K1250">
            <v>100.75190000000001</v>
          </cell>
          <cell r="L1250">
            <v>46147</v>
          </cell>
          <cell r="M1250">
            <v>-3241</v>
          </cell>
          <cell r="N1250">
            <v>96759</v>
          </cell>
        </row>
        <row r="1251">
          <cell r="A1251">
            <v>82992</v>
          </cell>
          <cell r="B1251">
            <v>1245</v>
          </cell>
          <cell r="C1251" t="str">
            <v>IASWD2405000608</v>
          </cell>
          <cell r="D1251">
            <v>45428</v>
          </cell>
          <cell r="E1251">
            <v>46410</v>
          </cell>
          <cell r="F1251" t="str">
            <v>82992</v>
          </cell>
          <cell r="G1251" t="str">
            <v>群聯二</v>
          </cell>
          <cell r="H1251">
            <v>100000</v>
          </cell>
          <cell r="I1251">
            <v>2.5</v>
          </cell>
          <cell r="J1251">
            <v>46410</v>
          </cell>
          <cell r="K1251">
            <v>100</v>
          </cell>
          <cell r="L1251">
            <v>46392</v>
          </cell>
          <cell r="M1251">
            <v>-2493</v>
          </cell>
          <cell r="N1251">
            <v>97507</v>
          </cell>
        </row>
        <row r="1252">
          <cell r="A1252">
            <v>82992</v>
          </cell>
          <cell r="B1252">
            <v>1246</v>
          </cell>
          <cell r="C1252" t="str">
            <v>IASWD2405000611</v>
          </cell>
          <cell r="D1252">
            <v>45428</v>
          </cell>
          <cell r="E1252">
            <v>46410</v>
          </cell>
          <cell r="F1252" t="str">
            <v>82992</v>
          </cell>
          <cell r="G1252" t="str">
            <v>群聯二</v>
          </cell>
          <cell r="H1252">
            <v>100000</v>
          </cell>
          <cell r="I1252">
            <v>2.5</v>
          </cell>
          <cell r="J1252">
            <v>46410</v>
          </cell>
          <cell r="K1252">
            <v>100</v>
          </cell>
          <cell r="L1252">
            <v>46392</v>
          </cell>
          <cell r="M1252">
            <v>-2493</v>
          </cell>
          <cell r="N1252">
            <v>97507</v>
          </cell>
        </row>
        <row r="1253">
          <cell r="A1253">
            <v>82992</v>
          </cell>
          <cell r="B1253">
            <v>1247</v>
          </cell>
          <cell r="C1253" t="str">
            <v>IASWD2405000613</v>
          </cell>
          <cell r="D1253">
            <v>45428</v>
          </cell>
          <cell r="E1253">
            <v>46410</v>
          </cell>
          <cell r="F1253" t="str">
            <v>82992</v>
          </cell>
          <cell r="G1253" t="str">
            <v>群聯二</v>
          </cell>
          <cell r="H1253">
            <v>100000</v>
          </cell>
          <cell r="I1253">
            <v>2.5</v>
          </cell>
          <cell r="J1253">
            <v>46410</v>
          </cell>
          <cell r="K1253">
            <v>100</v>
          </cell>
          <cell r="L1253">
            <v>46392</v>
          </cell>
          <cell r="M1253">
            <v>-2493</v>
          </cell>
          <cell r="N1253">
            <v>97507</v>
          </cell>
        </row>
        <row r="1254">
          <cell r="A1254">
            <v>82992</v>
          </cell>
          <cell r="B1254">
            <v>1248</v>
          </cell>
          <cell r="C1254" t="str">
            <v>IASWD2405000626</v>
          </cell>
          <cell r="D1254">
            <v>45429</v>
          </cell>
          <cell r="E1254">
            <v>46410</v>
          </cell>
          <cell r="F1254" t="str">
            <v>82992</v>
          </cell>
          <cell r="G1254" t="str">
            <v>群聯二</v>
          </cell>
          <cell r="H1254">
            <v>100000</v>
          </cell>
          <cell r="I1254">
            <v>2.5</v>
          </cell>
          <cell r="J1254">
            <v>46410</v>
          </cell>
          <cell r="K1254">
            <v>100</v>
          </cell>
          <cell r="L1254">
            <v>46392</v>
          </cell>
          <cell r="M1254">
            <v>-2486</v>
          </cell>
          <cell r="N1254">
            <v>97514</v>
          </cell>
        </row>
        <row r="1255">
          <cell r="A1255">
            <v>82992</v>
          </cell>
          <cell r="B1255">
            <v>1249</v>
          </cell>
          <cell r="C1255" t="str">
            <v>IASWD2405000632</v>
          </cell>
          <cell r="D1255">
            <v>45429</v>
          </cell>
          <cell r="E1255">
            <v>46410</v>
          </cell>
          <cell r="F1255" t="str">
            <v>82992</v>
          </cell>
          <cell r="G1255" t="str">
            <v>群聯二</v>
          </cell>
          <cell r="H1255">
            <v>300000</v>
          </cell>
          <cell r="I1255">
            <v>2.5</v>
          </cell>
          <cell r="J1255">
            <v>46410</v>
          </cell>
          <cell r="K1255">
            <v>100</v>
          </cell>
          <cell r="L1255">
            <v>46392</v>
          </cell>
          <cell r="M1255">
            <v>-7459</v>
          </cell>
          <cell r="N1255">
            <v>292541</v>
          </cell>
        </row>
        <row r="1256">
          <cell r="A1256">
            <v>82992</v>
          </cell>
          <cell r="B1256">
            <v>1250</v>
          </cell>
          <cell r="C1256" t="str">
            <v>IASWD2405000633</v>
          </cell>
          <cell r="D1256">
            <v>45429</v>
          </cell>
          <cell r="E1256">
            <v>46410</v>
          </cell>
          <cell r="F1256" t="str">
            <v>82992</v>
          </cell>
          <cell r="G1256" t="str">
            <v>群聯二</v>
          </cell>
          <cell r="H1256">
            <v>100000</v>
          </cell>
          <cell r="I1256">
            <v>2.5</v>
          </cell>
          <cell r="J1256">
            <v>46410</v>
          </cell>
          <cell r="K1256">
            <v>100</v>
          </cell>
          <cell r="L1256">
            <v>46392</v>
          </cell>
          <cell r="M1256">
            <v>-2486</v>
          </cell>
          <cell r="N1256">
            <v>97514</v>
          </cell>
        </row>
        <row r="1257">
          <cell r="A1257">
            <v>82992</v>
          </cell>
          <cell r="B1257">
            <v>1251</v>
          </cell>
          <cell r="C1257" t="str">
            <v>IASWD2405000639</v>
          </cell>
          <cell r="D1257">
            <v>45429</v>
          </cell>
          <cell r="E1257">
            <v>46410</v>
          </cell>
          <cell r="F1257" t="str">
            <v>82992</v>
          </cell>
          <cell r="G1257" t="str">
            <v>群聯二</v>
          </cell>
          <cell r="H1257">
            <v>500000</v>
          </cell>
          <cell r="I1257">
            <v>2.5</v>
          </cell>
          <cell r="J1257">
            <v>46410</v>
          </cell>
          <cell r="K1257">
            <v>100</v>
          </cell>
          <cell r="L1257">
            <v>46392</v>
          </cell>
          <cell r="M1257">
            <v>-12432</v>
          </cell>
          <cell r="N1257">
            <v>487568</v>
          </cell>
        </row>
        <row r="1258">
          <cell r="A1258">
            <v>82992</v>
          </cell>
          <cell r="B1258">
            <v>1252</v>
          </cell>
          <cell r="C1258" t="str">
            <v>IASWD2405000641</v>
          </cell>
          <cell r="D1258">
            <v>45429</v>
          </cell>
          <cell r="E1258">
            <v>46410</v>
          </cell>
          <cell r="F1258" t="str">
            <v>82992</v>
          </cell>
          <cell r="G1258" t="str">
            <v>群聯二</v>
          </cell>
          <cell r="H1258">
            <v>100000</v>
          </cell>
          <cell r="I1258">
            <v>2.5</v>
          </cell>
          <cell r="J1258">
            <v>46410</v>
          </cell>
          <cell r="K1258">
            <v>100</v>
          </cell>
          <cell r="L1258">
            <v>46392</v>
          </cell>
          <cell r="M1258">
            <v>-2486</v>
          </cell>
          <cell r="N1258">
            <v>97514</v>
          </cell>
        </row>
        <row r="1259">
          <cell r="A1259">
            <v>82992</v>
          </cell>
          <cell r="B1259">
            <v>1253</v>
          </cell>
          <cell r="C1259" t="str">
            <v>IASWD2405000643</v>
          </cell>
          <cell r="D1259">
            <v>45429</v>
          </cell>
          <cell r="E1259">
            <v>46410</v>
          </cell>
          <cell r="F1259" t="str">
            <v>82992</v>
          </cell>
          <cell r="G1259" t="str">
            <v>群聯二</v>
          </cell>
          <cell r="H1259">
            <v>100000</v>
          </cell>
          <cell r="I1259">
            <v>2.5</v>
          </cell>
          <cell r="J1259">
            <v>46410</v>
          </cell>
          <cell r="K1259">
            <v>100</v>
          </cell>
          <cell r="L1259">
            <v>46392</v>
          </cell>
          <cell r="M1259">
            <v>-2486</v>
          </cell>
          <cell r="N1259">
            <v>97514</v>
          </cell>
        </row>
        <row r="1260">
          <cell r="A1260">
            <v>82992</v>
          </cell>
          <cell r="B1260">
            <v>1254</v>
          </cell>
          <cell r="C1260" t="str">
            <v>IASWD2405000644</v>
          </cell>
          <cell r="D1260">
            <v>45429</v>
          </cell>
          <cell r="E1260">
            <v>46410</v>
          </cell>
          <cell r="F1260" t="str">
            <v>82992</v>
          </cell>
          <cell r="G1260" t="str">
            <v>群聯二</v>
          </cell>
          <cell r="H1260">
            <v>100000</v>
          </cell>
          <cell r="I1260">
            <v>2.5</v>
          </cell>
          <cell r="J1260">
            <v>46410</v>
          </cell>
          <cell r="K1260">
            <v>100</v>
          </cell>
          <cell r="L1260">
            <v>46392</v>
          </cell>
          <cell r="M1260">
            <v>-2486</v>
          </cell>
          <cell r="N1260">
            <v>97514</v>
          </cell>
        </row>
        <row r="1261">
          <cell r="A1261">
            <v>82992</v>
          </cell>
          <cell r="B1261">
            <v>1255</v>
          </cell>
          <cell r="C1261" t="str">
            <v>IASWD2405000646</v>
          </cell>
          <cell r="D1261">
            <v>45429</v>
          </cell>
          <cell r="E1261">
            <v>46410</v>
          </cell>
          <cell r="F1261" t="str">
            <v>82992</v>
          </cell>
          <cell r="G1261" t="str">
            <v>群聯二</v>
          </cell>
          <cell r="H1261">
            <v>500000</v>
          </cell>
          <cell r="I1261">
            <v>2.5</v>
          </cell>
          <cell r="J1261">
            <v>46410</v>
          </cell>
          <cell r="K1261">
            <v>100</v>
          </cell>
          <cell r="L1261">
            <v>46392</v>
          </cell>
          <cell r="M1261">
            <v>-12432</v>
          </cell>
          <cell r="N1261">
            <v>487568</v>
          </cell>
        </row>
        <row r="1262">
          <cell r="A1262">
            <v>82992</v>
          </cell>
          <cell r="B1262">
            <v>1256</v>
          </cell>
          <cell r="C1262" t="str">
            <v>IASWD2405000650</v>
          </cell>
          <cell r="D1262">
            <v>45429</v>
          </cell>
          <cell r="E1262">
            <v>46410</v>
          </cell>
          <cell r="F1262" t="str">
            <v>82992</v>
          </cell>
          <cell r="G1262" t="str">
            <v>群聯二</v>
          </cell>
          <cell r="H1262">
            <v>500000</v>
          </cell>
          <cell r="I1262">
            <v>2.5</v>
          </cell>
          <cell r="J1262">
            <v>46410</v>
          </cell>
          <cell r="K1262">
            <v>100</v>
          </cell>
          <cell r="L1262">
            <v>46392</v>
          </cell>
          <cell r="M1262">
            <v>-12432</v>
          </cell>
          <cell r="N1262">
            <v>487568</v>
          </cell>
        </row>
        <row r="1263">
          <cell r="A1263">
            <v>24361</v>
          </cell>
          <cell r="B1263">
            <v>1257</v>
          </cell>
          <cell r="C1263" t="str">
            <v>IASWD2405000653</v>
          </cell>
          <cell r="D1263">
            <v>45429</v>
          </cell>
          <cell r="E1263">
            <v>45911</v>
          </cell>
          <cell r="F1263" t="str">
            <v>24361</v>
          </cell>
          <cell r="G1263" t="str">
            <v>偉詮電一</v>
          </cell>
          <cell r="H1263">
            <v>100000</v>
          </cell>
          <cell r="I1263">
            <v>3.75</v>
          </cell>
          <cell r="J1263">
            <v>45911</v>
          </cell>
          <cell r="K1263">
            <v>100.50060000000001</v>
          </cell>
          <cell r="L1263">
            <v>45891</v>
          </cell>
          <cell r="M1263">
            <v>-3729</v>
          </cell>
          <cell r="N1263">
            <v>96271</v>
          </cell>
        </row>
        <row r="1264">
          <cell r="A1264">
            <v>82992</v>
          </cell>
          <cell r="B1264">
            <v>1258</v>
          </cell>
          <cell r="C1264" t="str">
            <v>IASWD2405000656</v>
          </cell>
          <cell r="D1264">
            <v>45429</v>
          </cell>
          <cell r="E1264">
            <v>46410</v>
          </cell>
          <cell r="F1264" t="str">
            <v>82992</v>
          </cell>
          <cell r="G1264" t="str">
            <v>群聯二</v>
          </cell>
          <cell r="H1264">
            <v>700000</v>
          </cell>
          <cell r="I1264">
            <v>2.5</v>
          </cell>
          <cell r="J1264">
            <v>46410</v>
          </cell>
          <cell r="K1264">
            <v>100</v>
          </cell>
          <cell r="L1264">
            <v>46392</v>
          </cell>
          <cell r="M1264">
            <v>-17404</v>
          </cell>
          <cell r="N1264">
            <v>682596</v>
          </cell>
        </row>
        <row r="1265">
          <cell r="A1265">
            <v>82992</v>
          </cell>
          <cell r="B1265">
            <v>1259</v>
          </cell>
          <cell r="C1265" t="str">
            <v>IASWD2405000660</v>
          </cell>
          <cell r="D1265">
            <v>45432</v>
          </cell>
          <cell r="E1265">
            <v>46410</v>
          </cell>
          <cell r="F1265" t="str">
            <v>82992</v>
          </cell>
          <cell r="G1265" t="str">
            <v>群聯二</v>
          </cell>
          <cell r="H1265">
            <v>200000</v>
          </cell>
          <cell r="I1265">
            <v>2.5</v>
          </cell>
          <cell r="J1265">
            <v>46410</v>
          </cell>
          <cell r="K1265">
            <v>100</v>
          </cell>
          <cell r="L1265">
            <v>46392</v>
          </cell>
          <cell r="M1265">
            <v>-4932</v>
          </cell>
          <cell r="N1265">
            <v>195068</v>
          </cell>
        </row>
        <row r="1266">
          <cell r="A1266">
            <v>82992</v>
          </cell>
          <cell r="B1266">
            <v>1260</v>
          </cell>
          <cell r="C1266" t="str">
            <v>IASWD2405000662</v>
          </cell>
          <cell r="D1266">
            <v>45432</v>
          </cell>
          <cell r="E1266">
            <v>46410</v>
          </cell>
          <cell r="F1266" t="str">
            <v>82992</v>
          </cell>
          <cell r="G1266" t="str">
            <v>群聯二</v>
          </cell>
          <cell r="H1266">
            <v>100000</v>
          </cell>
          <cell r="I1266">
            <v>2.5</v>
          </cell>
          <cell r="J1266">
            <v>46410</v>
          </cell>
          <cell r="K1266">
            <v>100</v>
          </cell>
          <cell r="L1266">
            <v>46392</v>
          </cell>
          <cell r="M1266">
            <v>-2466</v>
          </cell>
          <cell r="N1266">
            <v>97534</v>
          </cell>
        </row>
        <row r="1267">
          <cell r="A1267">
            <v>82992</v>
          </cell>
          <cell r="B1267">
            <v>1261</v>
          </cell>
          <cell r="C1267" t="str">
            <v>IASWD2405000663</v>
          </cell>
          <cell r="D1267">
            <v>45432</v>
          </cell>
          <cell r="E1267">
            <v>46410</v>
          </cell>
          <cell r="F1267" t="str">
            <v>82992</v>
          </cell>
          <cell r="G1267" t="str">
            <v>群聯二</v>
          </cell>
          <cell r="H1267">
            <v>100000</v>
          </cell>
          <cell r="I1267">
            <v>2.5</v>
          </cell>
          <cell r="J1267">
            <v>46410</v>
          </cell>
          <cell r="K1267">
            <v>100</v>
          </cell>
          <cell r="L1267">
            <v>46392</v>
          </cell>
          <cell r="M1267">
            <v>-2466</v>
          </cell>
          <cell r="N1267">
            <v>97534</v>
          </cell>
        </row>
        <row r="1268">
          <cell r="A1268">
            <v>82992</v>
          </cell>
          <cell r="B1268">
            <v>1262</v>
          </cell>
          <cell r="C1268" t="str">
            <v>IASWD2405000667</v>
          </cell>
          <cell r="D1268">
            <v>45432</v>
          </cell>
          <cell r="E1268">
            <v>46410</v>
          </cell>
          <cell r="F1268" t="str">
            <v>82992</v>
          </cell>
          <cell r="G1268" t="str">
            <v>群聯二</v>
          </cell>
          <cell r="H1268">
            <v>200000</v>
          </cell>
          <cell r="I1268">
            <v>2.5</v>
          </cell>
          <cell r="J1268">
            <v>46410</v>
          </cell>
          <cell r="K1268">
            <v>100</v>
          </cell>
          <cell r="L1268">
            <v>46392</v>
          </cell>
          <cell r="M1268">
            <v>-4932</v>
          </cell>
          <cell r="N1268">
            <v>195068</v>
          </cell>
        </row>
        <row r="1269">
          <cell r="A1269">
            <v>27323</v>
          </cell>
          <cell r="B1269">
            <v>1263</v>
          </cell>
          <cell r="C1269" t="str">
            <v>IASWD2405000671</v>
          </cell>
          <cell r="D1269">
            <v>45432</v>
          </cell>
          <cell r="E1269">
            <v>46048</v>
          </cell>
          <cell r="F1269" t="str">
            <v>27323</v>
          </cell>
          <cell r="G1269" t="str">
            <v>六角三</v>
          </cell>
          <cell r="H1269">
            <v>100000</v>
          </cell>
          <cell r="I1269">
            <v>3</v>
          </cell>
          <cell r="J1269">
            <v>46048</v>
          </cell>
          <cell r="K1269">
            <v>101</v>
          </cell>
          <cell r="L1269">
            <v>46028</v>
          </cell>
          <cell r="M1269">
            <v>-2959</v>
          </cell>
          <cell r="N1269">
            <v>97041</v>
          </cell>
        </row>
        <row r="1270">
          <cell r="A1270">
            <v>22013</v>
          </cell>
          <cell r="B1270">
            <v>1264</v>
          </cell>
          <cell r="C1270" t="str">
            <v>IASWD2405000677</v>
          </cell>
          <cell r="D1270">
            <v>45432</v>
          </cell>
          <cell r="E1270">
            <v>46167</v>
          </cell>
          <cell r="F1270" t="str">
            <v>22013</v>
          </cell>
          <cell r="G1270" t="str">
            <v>裕隆三</v>
          </cell>
          <cell r="H1270">
            <v>100000</v>
          </cell>
          <cell r="I1270">
            <v>3.25</v>
          </cell>
          <cell r="J1270">
            <v>46167</v>
          </cell>
          <cell r="K1270">
            <v>100.75190000000001</v>
          </cell>
          <cell r="L1270">
            <v>46147</v>
          </cell>
          <cell r="M1270">
            <v>-3205</v>
          </cell>
          <cell r="N1270">
            <v>96795</v>
          </cell>
        </row>
        <row r="1271">
          <cell r="A1271">
            <v>82992</v>
          </cell>
          <cell r="B1271">
            <v>1265</v>
          </cell>
          <cell r="C1271" t="str">
            <v>IASWD2405000680</v>
          </cell>
          <cell r="D1271">
            <v>45432</v>
          </cell>
          <cell r="E1271">
            <v>46410</v>
          </cell>
          <cell r="F1271" t="str">
            <v>82992</v>
          </cell>
          <cell r="G1271" t="str">
            <v>群聯二</v>
          </cell>
          <cell r="H1271">
            <v>200000</v>
          </cell>
          <cell r="I1271">
            <v>2.5</v>
          </cell>
          <cell r="J1271">
            <v>46410</v>
          </cell>
          <cell r="K1271">
            <v>100</v>
          </cell>
          <cell r="L1271">
            <v>46392</v>
          </cell>
          <cell r="M1271">
            <v>-4932</v>
          </cell>
          <cell r="N1271">
            <v>195068</v>
          </cell>
        </row>
        <row r="1272">
          <cell r="A1272">
            <v>82992</v>
          </cell>
          <cell r="B1272">
            <v>1266</v>
          </cell>
          <cell r="C1272" t="str">
            <v>IASWD2405000681</v>
          </cell>
          <cell r="D1272">
            <v>45432</v>
          </cell>
          <cell r="E1272">
            <v>46410</v>
          </cell>
          <cell r="F1272" t="str">
            <v>82992</v>
          </cell>
          <cell r="G1272" t="str">
            <v>群聯二</v>
          </cell>
          <cell r="H1272">
            <v>100000</v>
          </cell>
          <cell r="I1272">
            <v>2.5</v>
          </cell>
          <cell r="J1272">
            <v>46410</v>
          </cell>
          <cell r="K1272">
            <v>100</v>
          </cell>
          <cell r="L1272">
            <v>46392</v>
          </cell>
          <cell r="M1272">
            <v>-2466</v>
          </cell>
          <cell r="N1272">
            <v>97534</v>
          </cell>
        </row>
        <row r="1273">
          <cell r="A1273">
            <v>22013</v>
          </cell>
          <cell r="B1273">
            <v>1267</v>
          </cell>
          <cell r="C1273" t="str">
            <v>IASWD2405000682</v>
          </cell>
          <cell r="D1273">
            <v>45432</v>
          </cell>
          <cell r="E1273">
            <v>46167</v>
          </cell>
          <cell r="F1273" t="str">
            <v>22013</v>
          </cell>
          <cell r="G1273" t="str">
            <v>裕隆三</v>
          </cell>
          <cell r="H1273">
            <v>100000</v>
          </cell>
          <cell r="I1273">
            <v>3.25</v>
          </cell>
          <cell r="J1273">
            <v>46167</v>
          </cell>
          <cell r="K1273">
            <v>100.75190000000001</v>
          </cell>
          <cell r="L1273">
            <v>46147</v>
          </cell>
          <cell r="M1273">
            <v>-3205</v>
          </cell>
          <cell r="N1273">
            <v>96795</v>
          </cell>
        </row>
        <row r="1274">
          <cell r="A1274">
            <v>82992</v>
          </cell>
          <cell r="B1274">
            <v>1268</v>
          </cell>
          <cell r="C1274" t="str">
            <v>IASWD2405000684</v>
          </cell>
          <cell r="D1274">
            <v>45432</v>
          </cell>
          <cell r="E1274">
            <v>46410</v>
          </cell>
          <cell r="F1274" t="str">
            <v>82992</v>
          </cell>
          <cell r="G1274" t="str">
            <v>群聯二</v>
          </cell>
          <cell r="H1274">
            <v>100000</v>
          </cell>
          <cell r="I1274">
            <v>2.5</v>
          </cell>
          <cell r="J1274">
            <v>46410</v>
          </cell>
          <cell r="K1274">
            <v>100</v>
          </cell>
          <cell r="L1274">
            <v>46392</v>
          </cell>
          <cell r="M1274">
            <v>-2466</v>
          </cell>
          <cell r="N1274">
            <v>97534</v>
          </cell>
        </row>
        <row r="1275">
          <cell r="A1275">
            <v>82992</v>
          </cell>
          <cell r="B1275">
            <v>1269</v>
          </cell>
          <cell r="C1275" t="str">
            <v>IASWD2405000685</v>
          </cell>
          <cell r="D1275">
            <v>45432</v>
          </cell>
          <cell r="E1275">
            <v>46410</v>
          </cell>
          <cell r="F1275" t="str">
            <v>82992</v>
          </cell>
          <cell r="G1275" t="str">
            <v>群聯二</v>
          </cell>
          <cell r="H1275">
            <v>500000</v>
          </cell>
          <cell r="I1275">
            <v>2.5</v>
          </cell>
          <cell r="J1275">
            <v>46410</v>
          </cell>
          <cell r="K1275">
            <v>100</v>
          </cell>
          <cell r="L1275">
            <v>46392</v>
          </cell>
          <cell r="M1275">
            <v>-12329</v>
          </cell>
          <cell r="N1275">
            <v>487671</v>
          </cell>
        </row>
        <row r="1276">
          <cell r="A1276">
            <v>82992</v>
          </cell>
          <cell r="B1276">
            <v>1270</v>
          </cell>
          <cell r="C1276" t="str">
            <v>IASWD2405000686</v>
          </cell>
          <cell r="D1276">
            <v>45432</v>
          </cell>
          <cell r="E1276">
            <v>46410</v>
          </cell>
          <cell r="F1276" t="str">
            <v>82992</v>
          </cell>
          <cell r="G1276" t="str">
            <v>群聯二</v>
          </cell>
          <cell r="H1276">
            <v>200000</v>
          </cell>
          <cell r="I1276">
            <v>2.5</v>
          </cell>
          <cell r="J1276">
            <v>46410</v>
          </cell>
          <cell r="K1276">
            <v>100</v>
          </cell>
          <cell r="L1276">
            <v>46392</v>
          </cell>
          <cell r="M1276">
            <v>-4932</v>
          </cell>
          <cell r="N1276">
            <v>195068</v>
          </cell>
        </row>
        <row r="1277">
          <cell r="A1277">
            <v>82992</v>
          </cell>
          <cell r="B1277">
            <v>1271</v>
          </cell>
          <cell r="C1277" t="str">
            <v>IASWD2405000692</v>
          </cell>
          <cell r="D1277">
            <v>45432</v>
          </cell>
          <cell r="E1277">
            <v>46410</v>
          </cell>
          <cell r="F1277" t="str">
            <v>82992</v>
          </cell>
          <cell r="G1277" t="str">
            <v>群聯二</v>
          </cell>
          <cell r="H1277">
            <v>4500000</v>
          </cell>
          <cell r="I1277">
            <v>2.5</v>
          </cell>
          <cell r="J1277">
            <v>46410</v>
          </cell>
          <cell r="K1277">
            <v>100</v>
          </cell>
          <cell r="L1277">
            <v>46392</v>
          </cell>
          <cell r="M1277">
            <v>-110959</v>
          </cell>
          <cell r="N1277">
            <v>4389041</v>
          </cell>
        </row>
        <row r="1278">
          <cell r="A1278">
            <v>82992</v>
          </cell>
          <cell r="B1278">
            <v>1272</v>
          </cell>
          <cell r="C1278" t="str">
            <v>IASWD2405000695</v>
          </cell>
          <cell r="D1278">
            <v>45432</v>
          </cell>
          <cell r="E1278">
            <v>46410</v>
          </cell>
          <cell r="F1278" t="str">
            <v>82992</v>
          </cell>
          <cell r="G1278" t="str">
            <v>群聯二</v>
          </cell>
          <cell r="H1278">
            <v>200000</v>
          </cell>
          <cell r="I1278">
            <v>2.5</v>
          </cell>
          <cell r="J1278">
            <v>46410</v>
          </cell>
          <cell r="K1278">
            <v>100</v>
          </cell>
          <cell r="L1278">
            <v>46392</v>
          </cell>
          <cell r="M1278">
            <v>-4932</v>
          </cell>
          <cell r="N1278">
            <v>195068</v>
          </cell>
        </row>
        <row r="1279">
          <cell r="A1279">
            <v>22013</v>
          </cell>
          <cell r="B1279">
            <v>1273</v>
          </cell>
          <cell r="C1279" t="str">
            <v>IASWD2405000697</v>
          </cell>
          <cell r="D1279">
            <v>45432</v>
          </cell>
          <cell r="E1279">
            <v>46167</v>
          </cell>
          <cell r="F1279" t="str">
            <v>22013</v>
          </cell>
          <cell r="G1279" t="str">
            <v>裕隆三</v>
          </cell>
          <cell r="H1279">
            <v>100000</v>
          </cell>
          <cell r="I1279">
            <v>3.25</v>
          </cell>
          <cell r="J1279">
            <v>46167</v>
          </cell>
          <cell r="K1279">
            <v>100.75190000000001</v>
          </cell>
          <cell r="L1279">
            <v>46147</v>
          </cell>
          <cell r="M1279">
            <v>-3205</v>
          </cell>
          <cell r="N1279">
            <v>96795</v>
          </cell>
        </row>
        <row r="1280">
          <cell r="A1280">
            <v>22013</v>
          </cell>
          <cell r="B1280">
            <v>1274</v>
          </cell>
          <cell r="C1280" t="str">
            <v>IASWD2405000698</v>
          </cell>
          <cell r="D1280">
            <v>45432</v>
          </cell>
          <cell r="E1280">
            <v>46167</v>
          </cell>
          <cell r="F1280" t="str">
            <v>22013</v>
          </cell>
          <cell r="G1280" t="str">
            <v>裕隆三</v>
          </cell>
          <cell r="H1280">
            <v>200000</v>
          </cell>
          <cell r="I1280">
            <v>3.25</v>
          </cell>
          <cell r="J1280">
            <v>46167</v>
          </cell>
          <cell r="K1280">
            <v>100.75190000000001</v>
          </cell>
          <cell r="L1280">
            <v>46147</v>
          </cell>
          <cell r="M1280">
            <v>-6411</v>
          </cell>
          <cell r="N1280">
            <v>193589</v>
          </cell>
        </row>
        <row r="1281">
          <cell r="A1281">
            <v>82992</v>
          </cell>
          <cell r="B1281">
            <v>1275</v>
          </cell>
          <cell r="C1281" t="str">
            <v>IASWD2405000700</v>
          </cell>
          <cell r="D1281">
            <v>45433</v>
          </cell>
          <cell r="E1281">
            <v>46410</v>
          </cell>
          <cell r="F1281" t="str">
            <v>82992</v>
          </cell>
          <cell r="G1281" t="str">
            <v>群聯二</v>
          </cell>
          <cell r="H1281">
            <v>100000</v>
          </cell>
          <cell r="I1281">
            <v>2.5</v>
          </cell>
          <cell r="J1281">
            <v>46410</v>
          </cell>
          <cell r="K1281">
            <v>100</v>
          </cell>
          <cell r="L1281">
            <v>46392</v>
          </cell>
          <cell r="M1281">
            <v>-2459</v>
          </cell>
          <cell r="N1281">
            <v>97541</v>
          </cell>
        </row>
        <row r="1282">
          <cell r="A1282">
            <v>27323</v>
          </cell>
          <cell r="B1282">
            <v>1276</v>
          </cell>
          <cell r="C1282" t="str">
            <v>IASWD2405000703</v>
          </cell>
          <cell r="D1282">
            <v>45433</v>
          </cell>
          <cell r="E1282">
            <v>46048</v>
          </cell>
          <cell r="F1282" t="str">
            <v>27323</v>
          </cell>
          <cell r="G1282" t="str">
            <v>六角三</v>
          </cell>
          <cell r="H1282">
            <v>100000</v>
          </cell>
          <cell r="I1282">
            <v>3</v>
          </cell>
          <cell r="J1282">
            <v>46048</v>
          </cell>
          <cell r="K1282">
            <v>101</v>
          </cell>
          <cell r="L1282">
            <v>46028</v>
          </cell>
          <cell r="M1282">
            <v>-2951</v>
          </cell>
          <cell r="N1282">
            <v>97049</v>
          </cell>
        </row>
        <row r="1283">
          <cell r="A1283">
            <v>82992</v>
          </cell>
          <cell r="B1283">
            <v>1277</v>
          </cell>
          <cell r="C1283" t="str">
            <v>IASWD2405000706</v>
          </cell>
          <cell r="D1283">
            <v>45433</v>
          </cell>
          <cell r="E1283">
            <v>46410</v>
          </cell>
          <cell r="F1283" t="str">
            <v>82992</v>
          </cell>
          <cell r="G1283" t="str">
            <v>群聯二</v>
          </cell>
          <cell r="H1283">
            <v>100000</v>
          </cell>
          <cell r="I1283">
            <v>2.5</v>
          </cell>
          <cell r="J1283">
            <v>46410</v>
          </cell>
          <cell r="K1283">
            <v>100</v>
          </cell>
          <cell r="L1283">
            <v>46392</v>
          </cell>
          <cell r="M1283">
            <v>-2459</v>
          </cell>
          <cell r="N1283">
            <v>97541</v>
          </cell>
        </row>
        <row r="1284">
          <cell r="A1284">
            <v>82992</v>
          </cell>
          <cell r="B1284">
            <v>1278</v>
          </cell>
          <cell r="C1284" t="str">
            <v>IASWD2405000707</v>
          </cell>
          <cell r="D1284">
            <v>45433</v>
          </cell>
          <cell r="E1284">
            <v>46410</v>
          </cell>
          <cell r="F1284" t="str">
            <v>82992</v>
          </cell>
          <cell r="G1284" t="str">
            <v>群聯二</v>
          </cell>
          <cell r="H1284">
            <v>200000</v>
          </cell>
          <cell r="I1284">
            <v>2.5</v>
          </cell>
          <cell r="J1284">
            <v>46410</v>
          </cell>
          <cell r="K1284">
            <v>100</v>
          </cell>
          <cell r="L1284">
            <v>46392</v>
          </cell>
          <cell r="M1284">
            <v>-4918</v>
          </cell>
          <cell r="N1284">
            <v>195082</v>
          </cell>
        </row>
        <row r="1285">
          <cell r="A1285">
            <v>82992</v>
          </cell>
          <cell r="B1285">
            <v>1279</v>
          </cell>
          <cell r="C1285" t="str">
            <v>IASWD2405000709</v>
          </cell>
          <cell r="D1285">
            <v>45433</v>
          </cell>
          <cell r="E1285">
            <v>46410</v>
          </cell>
          <cell r="F1285" t="str">
            <v>82992</v>
          </cell>
          <cell r="G1285" t="str">
            <v>群聯二</v>
          </cell>
          <cell r="H1285">
            <v>100000</v>
          </cell>
          <cell r="I1285">
            <v>2.5</v>
          </cell>
          <cell r="J1285">
            <v>46410</v>
          </cell>
          <cell r="K1285">
            <v>100</v>
          </cell>
          <cell r="L1285">
            <v>46392</v>
          </cell>
          <cell r="M1285">
            <v>-2459</v>
          </cell>
          <cell r="N1285">
            <v>97541</v>
          </cell>
        </row>
        <row r="1286">
          <cell r="A1286">
            <v>22013</v>
          </cell>
          <cell r="B1286">
            <v>1280</v>
          </cell>
          <cell r="C1286" t="str">
            <v>IASWD2405000711</v>
          </cell>
          <cell r="D1286">
            <v>45433</v>
          </cell>
          <cell r="E1286">
            <v>46167</v>
          </cell>
          <cell r="F1286" t="str">
            <v>22013</v>
          </cell>
          <cell r="G1286" t="str">
            <v>裕隆三</v>
          </cell>
          <cell r="H1286">
            <v>1000000</v>
          </cell>
          <cell r="I1286">
            <v>3.25</v>
          </cell>
          <cell r="J1286">
            <v>46167</v>
          </cell>
          <cell r="K1286">
            <v>100.75190000000001</v>
          </cell>
          <cell r="L1286">
            <v>46147</v>
          </cell>
          <cell r="M1286">
            <v>-31966</v>
          </cell>
          <cell r="N1286">
            <v>968034</v>
          </cell>
        </row>
        <row r="1287">
          <cell r="A1287">
            <v>27323</v>
          </cell>
          <cell r="B1287">
            <v>1281</v>
          </cell>
          <cell r="C1287" t="str">
            <v>IASWD2405000721</v>
          </cell>
          <cell r="D1287">
            <v>45433</v>
          </cell>
          <cell r="E1287">
            <v>46048</v>
          </cell>
          <cell r="F1287" t="str">
            <v>27323</v>
          </cell>
          <cell r="G1287" t="str">
            <v>六角三</v>
          </cell>
          <cell r="H1287">
            <v>100000</v>
          </cell>
          <cell r="I1287">
            <v>3</v>
          </cell>
          <cell r="J1287">
            <v>46048</v>
          </cell>
          <cell r="K1287">
            <v>101</v>
          </cell>
          <cell r="L1287">
            <v>46028</v>
          </cell>
          <cell r="M1287">
            <v>-2951</v>
          </cell>
          <cell r="N1287">
            <v>97049</v>
          </cell>
        </row>
        <row r="1288">
          <cell r="A1288">
            <v>22013</v>
          </cell>
          <cell r="B1288">
            <v>1282</v>
          </cell>
          <cell r="C1288" t="str">
            <v>IASWD2405000725</v>
          </cell>
          <cell r="D1288">
            <v>45433</v>
          </cell>
          <cell r="E1288">
            <v>46167</v>
          </cell>
          <cell r="F1288" t="str">
            <v>22013</v>
          </cell>
          <cell r="G1288" t="str">
            <v>裕隆三</v>
          </cell>
          <cell r="H1288">
            <v>200000</v>
          </cell>
          <cell r="I1288">
            <v>3.25</v>
          </cell>
          <cell r="J1288">
            <v>46167</v>
          </cell>
          <cell r="K1288">
            <v>100.75190000000001</v>
          </cell>
          <cell r="L1288">
            <v>46147</v>
          </cell>
          <cell r="M1288">
            <v>-6393</v>
          </cell>
          <cell r="N1288">
            <v>193607</v>
          </cell>
        </row>
        <row r="1289">
          <cell r="A1289">
            <v>82992</v>
          </cell>
          <cell r="B1289">
            <v>1283</v>
          </cell>
          <cell r="C1289" t="str">
            <v>IASWD2405000726</v>
          </cell>
          <cell r="D1289">
            <v>45433</v>
          </cell>
          <cell r="E1289">
            <v>46410</v>
          </cell>
          <cell r="F1289" t="str">
            <v>82992</v>
          </cell>
          <cell r="G1289" t="str">
            <v>群聯二</v>
          </cell>
          <cell r="H1289">
            <v>100000</v>
          </cell>
          <cell r="I1289">
            <v>2.5</v>
          </cell>
          <cell r="J1289">
            <v>46410</v>
          </cell>
          <cell r="K1289">
            <v>100</v>
          </cell>
          <cell r="L1289">
            <v>46392</v>
          </cell>
          <cell r="M1289">
            <v>-2459</v>
          </cell>
          <cell r="N1289">
            <v>97541</v>
          </cell>
        </row>
        <row r="1290">
          <cell r="A1290">
            <v>82992</v>
          </cell>
          <cell r="B1290">
            <v>1284</v>
          </cell>
          <cell r="C1290" t="str">
            <v>IASWD2405000727</v>
          </cell>
          <cell r="D1290">
            <v>45433</v>
          </cell>
          <cell r="E1290">
            <v>46410</v>
          </cell>
          <cell r="F1290" t="str">
            <v>82992</v>
          </cell>
          <cell r="G1290" t="str">
            <v>群聯二</v>
          </cell>
          <cell r="H1290">
            <v>100000</v>
          </cell>
          <cell r="I1290">
            <v>2.5</v>
          </cell>
          <cell r="J1290">
            <v>46410</v>
          </cell>
          <cell r="K1290">
            <v>100</v>
          </cell>
          <cell r="L1290">
            <v>46392</v>
          </cell>
          <cell r="M1290">
            <v>-2459</v>
          </cell>
          <cell r="N1290">
            <v>97541</v>
          </cell>
        </row>
        <row r="1291">
          <cell r="A1291">
            <v>22313</v>
          </cell>
          <cell r="B1291">
            <v>1285</v>
          </cell>
          <cell r="C1291" t="str">
            <v>IASWD2405000733</v>
          </cell>
          <cell r="D1291">
            <v>45434</v>
          </cell>
          <cell r="E1291">
            <v>45898</v>
          </cell>
          <cell r="F1291" t="str">
            <v>22313</v>
          </cell>
          <cell r="G1291" t="str">
            <v>為升三</v>
          </cell>
          <cell r="H1291">
            <v>100000</v>
          </cell>
          <cell r="I1291">
            <v>3.5</v>
          </cell>
          <cell r="J1291">
            <v>45898</v>
          </cell>
          <cell r="K1291">
            <v>101.50749999999999</v>
          </cell>
          <cell r="L1291">
            <v>45880</v>
          </cell>
          <cell r="M1291">
            <v>-3433</v>
          </cell>
          <cell r="N1291">
            <v>96567</v>
          </cell>
        </row>
        <row r="1292">
          <cell r="A1292">
            <v>27323</v>
          </cell>
          <cell r="B1292">
            <v>1286</v>
          </cell>
          <cell r="C1292" t="str">
            <v>IASWD2405000735</v>
          </cell>
          <cell r="D1292">
            <v>45434</v>
          </cell>
          <cell r="E1292">
            <v>46048</v>
          </cell>
          <cell r="F1292" t="str">
            <v>27323</v>
          </cell>
          <cell r="G1292" t="str">
            <v>六角三</v>
          </cell>
          <cell r="H1292">
            <v>100000</v>
          </cell>
          <cell r="I1292">
            <v>3</v>
          </cell>
          <cell r="J1292">
            <v>46048</v>
          </cell>
          <cell r="K1292">
            <v>101</v>
          </cell>
          <cell r="L1292">
            <v>46028</v>
          </cell>
          <cell r="M1292">
            <v>-2942</v>
          </cell>
          <cell r="N1292">
            <v>97058</v>
          </cell>
        </row>
        <row r="1293">
          <cell r="A1293">
            <v>82992</v>
          </cell>
          <cell r="B1293">
            <v>1287</v>
          </cell>
          <cell r="C1293" t="str">
            <v>IASWD2405000736</v>
          </cell>
          <cell r="D1293">
            <v>45434</v>
          </cell>
          <cell r="E1293">
            <v>46410</v>
          </cell>
          <cell r="F1293" t="str">
            <v>82992</v>
          </cell>
          <cell r="G1293" t="str">
            <v>群聯二</v>
          </cell>
          <cell r="H1293">
            <v>100000</v>
          </cell>
          <cell r="I1293">
            <v>2.5</v>
          </cell>
          <cell r="J1293">
            <v>46410</v>
          </cell>
          <cell r="K1293">
            <v>100</v>
          </cell>
          <cell r="L1293">
            <v>46392</v>
          </cell>
          <cell r="M1293">
            <v>-2452</v>
          </cell>
          <cell r="N1293">
            <v>97548</v>
          </cell>
        </row>
        <row r="1294">
          <cell r="A1294">
            <v>82992</v>
          </cell>
          <cell r="B1294">
            <v>1288</v>
          </cell>
          <cell r="C1294" t="str">
            <v>IASWD2405000739</v>
          </cell>
          <cell r="D1294">
            <v>45434</v>
          </cell>
          <cell r="E1294">
            <v>46410</v>
          </cell>
          <cell r="F1294" t="str">
            <v>82992</v>
          </cell>
          <cell r="G1294" t="str">
            <v>群聯二</v>
          </cell>
          <cell r="H1294">
            <v>100000</v>
          </cell>
          <cell r="I1294">
            <v>2.5</v>
          </cell>
          <cell r="J1294">
            <v>46410</v>
          </cell>
          <cell r="K1294">
            <v>100</v>
          </cell>
          <cell r="L1294">
            <v>46392</v>
          </cell>
          <cell r="M1294">
            <v>-2452</v>
          </cell>
          <cell r="N1294">
            <v>97548</v>
          </cell>
        </row>
        <row r="1295">
          <cell r="A1295">
            <v>20632</v>
          </cell>
          <cell r="B1295">
            <v>1289</v>
          </cell>
          <cell r="C1295" t="str">
            <v>IASWD2405000741</v>
          </cell>
          <cell r="D1295">
            <v>45434</v>
          </cell>
          <cell r="E1295">
            <v>45971</v>
          </cell>
          <cell r="F1295" t="str">
            <v>20632</v>
          </cell>
          <cell r="G1295" t="str">
            <v>世鎧二</v>
          </cell>
          <cell r="H1295">
            <v>100000</v>
          </cell>
          <cell r="I1295">
            <v>3.25</v>
          </cell>
          <cell r="J1295">
            <v>45971</v>
          </cell>
          <cell r="K1295">
            <v>100</v>
          </cell>
          <cell r="L1295">
            <v>45951</v>
          </cell>
          <cell r="M1295">
            <v>-3188</v>
          </cell>
          <cell r="N1295">
            <v>96812</v>
          </cell>
        </row>
        <row r="1296">
          <cell r="A1296">
            <v>82992</v>
          </cell>
          <cell r="B1296">
            <v>1290</v>
          </cell>
          <cell r="C1296" t="str">
            <v>IASWD2405000744</v>
          </cell>
          <cell r="D1296">
            <v>45434</v>
          </cell>
          <cell r="E1296">
            <v>46410</v>
          </cell>
          <cell r="F1296" t="str">
            <v>82992</v>
          </cell>
          <cell r="G1296" t="str">
            <v>群聯二</v>
          </cell>
          <cell r="H1296">
            <v>200000</v>
          </cell>
          <cell r="I1296">
            <v>2.5</v>
          </cell>
          <cell r="J1296">
            <v>46410</v>
          </cell>
          <cell r="K1296">
            <v>100</v>
          </cell>
          <cell r="L1296">
            <v>46392</v>
          </cell>
          <cell r="M1296">
            <v>-4904</v>
          </cell>
          <cell r="N1296">
            <v>195096</v>
          </cell>
        </row>
        <row r="1297">
          <cell r="A1297">
            <v>82992</v>
          </cell>
          <cell r="B1297">
            <v>1291</v>
          </cell>
          <cell r="C1297" t="str">
            <v>IASWD2405000747</v>
          </cell>
          <cell r="D1297">
            <v>45434</v>
          </cell>
          <cell r="E1297">
            <v>46410</v>
          </cell>
          <cell r="F1297" t="str">
            <v>82992</v>
          </cell>
          <cell r="G1297" t="str">
            <v>群聯二</v>
          </cell>
          <cell r="H1297">
            <v>100000</v>
          </cell>
          <cell r="I1297">
            <v>2.5</v>
          </cell>
          <cell r="J1297">
            <v>46410</v>
          </cell>
          <cell r="K1297">
            <v>100</v>
          </cell>
          <cell r="L1297">
            <v>46392</v>
          </cell>
          <cell r="M1297">
            <v>-2452</v>
          </cell>
          <cell r="N1297">
            <v>97548</v>
          </cell>
        </row>
        <row r="1298">
          <cell r="A1298">
            <v>29061</v>
          </cell>
          <cell r="B1298">
            <v>1292</v>
          </cell>
          <cell r="C1298" t="str">
            <v>IASWD2405000748</v>
          </cell>
          <cell r="D1298">
            <v>45434</v>
          </cell>
          <cell r="E1298">
            <v>45920</v>
          </cell>
          <cell r="F1298" t="str">
            <v>29061</v>
          </cell>
          <cell r="G1298" t="str">
            <v>高林一</v>
          </cell>
          <cell r="H1298">
            <v>400000</v>
          </cell>
          <cell r="I1298">
            <v>3.75</v>
          </cell>
          <cell r="J1298">
            <v>45920</v>
          </cell>
          <cell r="K1298">
            <v>102.01</v>
          </cell>
          <cell r="L1298">
            <v>45902</v>
          </cell>
          <cell r="M1298">
            <v>-14712</v>
          </cell>
          <cell r="N1298">
            <v>385288</v>
          </cell>
        </row>
        <row r="1299">
          <cell r="A1299">
            <v>29061</v>
          </cell>
          <cell r="B1299">
            <v>1293</v>
          </cell>
          <cell r="C1299" t="str">
            <v>IASWD2405000750</v>
          </cell>
          <cell r="D1299">
            <v>45434</v>
          </cell>
          <cell r="E1299">
            <v>45920</v>
          </cell>
          <cell r="F1299" t="str">
            <v>29061</v>
          </cell>
          <cell r="G1299" t="str">
            <v>高林一</v>
          </cell>
          <cell r="H1299">
            <v>500000</v>
          </cell>
          <cell r="I1299">
            <v>3.75</v>
          </cell>
          <cell r="J1299">
            <v>45920</v>
          </cell>
          <cell r="K1299">
            <v>102.01</v>
          </cell>
          <cell r="L1299">
            <v>45902</v>
          </cell>
          <cell r="M1299">
            <v>-18390</v>
          </cell>
          <cell r="N1299">
            <v>481610</v>
          </cell>
        </row>
        <row r="1300">
          <cell r="A1300">
            <v>20632</v>
          </cell>
          <cell r="B1300">
            <v>1294</v>
          </cell>
          <cell r="C1300" t="str">
            <v>IASWD2405000752</v>
          </cell>
          <cell r="D1300">
            <v>45434</v>
          </cell>
          <cell r="E1300">
            <v>45971</v>
          </cell>
          <cell r="F1300" t="str">
            <v>20632</v>
          </cell>
          <cell r="G1300" t="str">
            <v>世鎧二</v>
          </cell>
          <cell r="H1300">
            <v>500000</v>
          </cell>
          <cell r="I1300">
            <v>3.25</v>
          </cell>
          <cell r="J1300">
            <v>45971</v>
          </cell>
          <cell r="K1300">
            <v>100</v>
          </cell>
          <cell r="L1300">
            <v>45951</v>
          </cell>
          <cell r="M1300">
            <v>-15938</v>
          </cell>
          <cell r="N1300">
            <v>484062</v>
          </cell>
        </row>
        <row r="1301">
          <cell r="A1301">
            <v>82992</v>
          </cell>
          <cell r="B1301">
            <v>1295</v>
          </cell>
          <cell r="C1301" t="str">
            <v>IASWD2405000760</v>
          </cell>
          <cell r="D1301">
            <v>45434</v>
          </cell>
          <cell r="E1301">
            <v>46410</v>
          </cell>
          <cell r="F1301" t="str">
            <v>82992</v>
          </cell>
          <cell r="G1301" t="str">
            <v>群聯二</v>
          </cell>
          <cell r="H1301">
            <v>100000</v>
          </cell>
          <cell r="I1301">
            <v>2.5</v>
          </cell>
          <cell r="J1301">
            <v>46410</v>
          </cell>
          <cell r="K1301">
            <v>100</v>
          </cell>
          <cell r="L1301">
            <v>46392</v>
          </cell>
          <cell r="M1301">
            <v>-2452</v>
          </cell>
          <cell r="N1301">
            <v>97548</v>
          </cell>
        </row>
        <row r="1302">
          <cell r="A1302">
            <v>20632</v>
          </cell>
          <cell r="B1302">
            <v>1296</v>
          </cell>
          <cell r="C1302" t="str">
            <v>IASWD2405000762</v>
          </cell>
          <cell r="D1302">
            <v>45434</v>
          </cell>
          <cell r="E1302">
            <v>45971</v>
          </cell>
          <cell r="F1302" t="str">
            <v>20632</v>
          </cell>
          <cell r="G1302" t="str">
            <v>世鎧二</v>
          </cell>
          <cell r="H1302">
            <v>100000</v>
          </cell>
          <cell r="I1302">
            <v>3.25</v>
          </cell>
          <cell r="J1302">
            <v>45971</v>
          </cell>
          <cell r="K1302">
            <v>100</v>
          </cell>
          <cell r="L1302">
            <v>45951</v>
          </cell>
          <cell r="M1302">
            <v>-3188</v>
          </cell>
          <cell r="N1302">
            <v>96812</v>
          </cell>
        </row>
        <row r="1303">
          <cell r="A1303">
            <v>82992</v>
          </cell>
          <cell r="B1303">
            <v>1297</v>
          </cell>
          <cell r="C1303" t="str">
            <v>IASWD2405000768</v>
          </cell>
          <cell r="D1303">
            <v>45434</v>
          </cell>
          <cell r="E1303">
            <v>46410</v>
          </cell>
          <cell r="F1303" t="str">
            <v>82992</v>
          </cell>
          <cell r="G1303" t="str">
            <v>群聯二</v>
          </cell>
          <cell r="H1303">
            <v>100000</v>
          </cell>
          <cell r="I1303">
            <v>2.5</v>
          </cell>
          <cell r="J1303">
            <v>46410</v>
          </cell>
          <cell r="K1303">
            <v>100</v>
          </cell>
          <cell r="L1303">
            <v>46392</v>
          </cell>
          <cell r="M1303">
            <v>-2452</v>
          </cell>
          <cell r="N1303">
            <v>97548</v>
          </cell>
        </row>
        <row r="1304">
          <cell r="A1304">
            <v>24361</v>
          </cell>
          <cell r="B1304">
            <v>1298</v>
          </cell>
          <cell r="C1304" t="str">
            <v>IASWD2405000778</v>
          </cell>
          <cell r="D1304">
            <v>45435</v>
          </cell>
          <cell r="E1304">
            <v>45911</v>
          </cell>
          <cell r="F1304" t="str">
            <v>24361</v>
          </cell>
          <cell r="G1304" t="str">
            <v>偉詮電一</v>
          </cell>
          <cell r="H1304">
            <v>100000</v>
          </cell>
          <cell r="I1304">
            <v>3.75</v>
          </cell>
          <cell r="J1304">
            <v>45911</v>
          </cell>
          <cell r="K1304">
            <v>100.50060000000001</v>
          </cell>
          <cell r="L1304">
            <v>45891</v>
          </cell>
          <cell r="M1304">
            <v>-3668</v>
          </cell>
          <cell r="N1304">
            <v>96332</v>
          </cell>
        </row>
        <row r="1305">
          <cell r="A1305">
            <v>29061</v>
          </cell>
          <cell r="B1305">
            <v>1299</v>
          </cell>
          <cell r="C1305" t="str">
            <v>IASWD2405000791</v>
          </cell>
          <cell r="D1305">
            <v>45435</v>
          </cell>
          <cell r="E1305">
            <v>45920</v>
          </cell>
          <cell r="F1305" t="str">
            <v>29061</v>
          </cell>
          <cell r="G1305" t="str">
            <v>高林一</v>
          </cell>
          <cell r="H1305">
            <v>100000</v>
          </cell>
          <cell r="I1305">
            <v>3.75</v>
          </cell>
          <cell r="J1305">
            <v>45920</v>
          </cell>
          <cell r="K1305">
            <v>102.01</v>
          </cell>
          <cell r="L1305">
            <v>45902</v>
          </cell>
          <cell r="M1305">
            <v>-3668</v>
          </cell>
          <cell r="N1305">
            <v>96332</v>
          </cell>
        </row>
        <row r="1306">
          <cell r="A1306">
            <v>29061</v>
          </cell>
          <cell r="B1306">
            <v>1300</v>
          </cell>
          <cell r="C1306" t="str">
            <v>IASWD2405000792</v>
          </cell>
          <cell r="D1306">
            <v>45435</v>
          </cell>
          <cell r="E1306">
            <v>45920</v>
          </cell>
          <cell r="F1306" t="str">
            <v>29061</v>
          </cell>
          <cell r="G1306" t="str">
            <v>高林一</v>
          </cell>
          <cell r="H1306">
            <v>200000</v>
          </cell>
          <cell r="I1306">
            <v>3.75</v>
          </cell>
          <cell r="J1306">
            <v>45920</v>
          </cell>
          <cell r="K1306">
            <v>102.01</v>
          </cell>
          <cell r="L1306">
            <v>45902</v>
          </cell>
          <cell r="M1306">
            <v>-7336</v>
          </cell>
          <cell r="N1306">
            <v>192664</v>
          </cell>
        </row>
        <row r="1307">
          <cell r="A1307">
            <v>22313</v>
          </cell>
          <cell r="B1307">
            <v>1301</v>
          </cell>
          <cell r="C1307" t="str">
            <v>IASWD2405000810</v>
          </cell>
          <cell r="D1307">
            <v>45435</v>
          </cell>
          <cell r="E1307">
            <v>45898</v>
          </cell>
          <cell r="F1307" t="str">
            <v>22313</v>
          </cell>
          <cell r="G1307" t="str">
            <v>為升三</v>
          </cell>
          <cell r="H1307">
            <v>500000</v>
          </cell>
          <cell r="I1307">
            <v>3.5</v>
          </cell>
          <cell r="J1307">
            <v>45898</v>
          </cell>
          <cell r="K1307">
            <v>101.50749999999999</v>
          </cell>
          <cell r="L1307">
            <v>45880</v>
          </cell>
          <cell r="M1307">
            <v>-17116</v>
          </cell>
          <cell r="N1307">
            <v>482884</v>
          </cell>
        </row>
        <row r="1308">
          <cell r="A1308">
            <v>82992</v>
          </cell>
          <cell r="B1308">
            <v>1302</v>
          </cell>
          <cell r="C1308" t="str">
            <v>IASWD2405000816</v>
          </cell>
          <cell r="D1308">
            <v>45435</v>
          </cell>
          <cell r="E1308">
            <v>46410</v>
          </cell>
          <cell r="F1308" t="str">
            <v>82992</v>
          </cell>
          <cell r="G1308" t="str">
            <v>群聯二</v>
          </cell>
          <cell r="H1308">
            <v>300000</v>
          </cell>
          <cell r="I1308">
            <v>2.5</v>
          </cell>
          <cell r="J1308">
            <v>46410</v>
          </cell>
          <cell r="K1308">
            <v>100</v>
          </cell>
          <cell r="L1308">
            <v>46392</v>
          </cell>
          <cell r="M1308">
            <v>-7336</v>
          </cell>
          <cell r="N1308">
            <v>292664</v>
          </cell>
        </row>
        <row r="1309">
          <cell r="A1309">
            <v>82992</v>
          </cell>
          <cell r="B1309">
            <v>1303</v>
          </cell>
          <cell r="C1309" t="str">
            <v>IASWD2405000819</v>
          </cell>
          <cell r="D1309">
            <v>45435</v>
          </cell>
          <cell r="E1309">
            <v>46410</v>
          </cell>
          <cell r="F1309" t="str">
            <v>82992</v>
          </cell>
          <cell r="G1309" t="str">
            <v>群聯二</v>
          </cell>
          <cell r="H1309">
            <v>100000</v>
          </cell>
          <cell r="I1309">
            <v>2.5</v>
          </cell>
          <cell r="J1309">
            <v>46410</v>
          </cell>
          <cell r="K1309">
            <v>100</v>
          </cell>
          <cell r="L1309">
            <v>46392</v>
          </cell>
          <cell r="M1309">
            <v>-2445</v>
          </cell>
          <cell r="N1309">
            <v>97555</v>
          </cell>
        </row>
        <row r="1310">
          <cell r="A1310">
            <v>22313</v>
          </cell>
          <cell r="B1310">
            <v>1304</v>
          </cell>
          <cell r="C1310" t="str">
            <v>IASWD2405000821</v>
          </cell>
          <cell r="D1310">
            <v>45435</v>
          </cell>
          <cell r="E1310">
            <v>45898</v>
          </cell>
          <cell r="F1310" t="str">
            <v>22313</v>
          </cell>
          <cell r="G1310" t="str">
            <v>為升三</v>
          </cell>
          <cell r="H1310">
            <v>200000</v>
          </cell>
          <cell r="I1310">
            <v>3.5</v>
          </cell>
          <cell r="J1310">
            <v>45898</v>
          </cell>
          <cell r="K1310">
            <v>101.50749999999999</v>
          </cell>
          <cell r="L1310">
            <v>45880</v>
          </cell>
          <cell r="M1310">
            <v>-6847</v>
          </cell>
          <cell r="N1310">
            <v>193153</v>
          </cell>
        </row>
        <row r="1311">
          <cell r="A1311">
            <v>82992</v>
          </cell>
          <cell r="B1311">
            <v>1305</v>
          </cell>
          <cell r="C1311" t="str">
            <v>IASWD2405000831</v>
          </cell>
          <cell r="D1311">
            <v>45436</v>
          </cell>
          <cell r="E1311">
            <v>46410</v>
          </cell>
          <cell r="F1311" t="str">
            <v>82992</v>
          </cell>
          <cell r="G1311" t="str">
            <v>群聯二</v>
          </cell>
          <cell r="H1311">
            <v>100000</v>
          </cell>
          <cell r="I1311">
            <v>2.5</v>
          </cell>
          <cell r="J1311">
            <v>46410</v>
          </cell>
          <cell r="K1311">
            <v>100</v>
          </cell>
          <cell r="L1311">
            <v>46392</v>
          </cell>
          <cell r="M1311">
            <v>-2438</v>
          </cell>
          <cell r="N1311">
            <v>97562</v>
          </cell>
        </row>
        <row r="1312">
          <cell r="A1312">
            <v>82992</v>
          </cell>
          <cell r="B1312">
            <v>1306</v>
          </cell>
          <cell r="C1312" t="str">
            <v>IASWD2405000833</v>
          </cell>
          <cell r="D1312">
            <v>45436</v>
          </cell>
          <cell r="E1312">
            <v>46410</v>
          </cell>
          <cell r="F1312" t="str">
            <v>82992</v>
          </cell>
          <cell r="G1312" t="str">
            <v>群聯二</v>
          </cell>
          <cell r="H1312">
            <v>100000</v>
          </cell>
          <cell r="I1312">
            <v>2.5</v>
          </cell>
          <cell r="J1312">
            <v>46410</v>
          </cell>
          <cell r="K1312">
            <v>100</v>
          </cell>
          <cell r="L1312">
            <v>46392</v>
          </cell>
          <cell r="M1312">
            <v>-2438</v>
          </cell>
          <cell r="N1312">
            <v>97562</v>
          </cell>
        </row>
        <row r="1313">
          <cell r="A1313">
            <v>82992</v>
          </cell>
          <cell r="B1313">
            <v>1307</v>
          </cell>
          <cell r="C1313" t="str">
            <v>IASWD2405000839</v>
          </cell>
          <cell r="D1313">
            <v>45436</v>
          </cell>
          <cell r="E1313">
            <v>46410</v>
          </cell>
          <cell r="F1313" t="str">
            <v>82992</v>
          </cell>
          <cell r="G1313" t="str">
            <v>群聯二</v>
          </cell>
          <cell r="H1313">
            <v>500000</v>
          </cell>
          <cell r="I1313">
            <v>2.5</v>
          </cell>
          <cell r="J1313">
            <v>46410</v>
          </cell>
          <cell r="K1313">
            <v>100</v>
          </cell>
          <cell r="L1313">
            <v>46392</v>
          </cell>
          <cell r="M1313">
            <v>-12192</v>
          </cell>
          <cell r="N1313">
            <v>487808</v>
          </cell>
        </row>
        <row r="1314">
          <cell r="A1314">
            <v>82992</v>
          </cell>
          <cell r="B1314">
            <v>1308</v>
          </cell>
          <cell r="C1314" t="str">
            <v>IASWD2405000842</v>
          </cell>
          <cell r="D1314">
            <v>45436</v>
          </cell>
          <cell r="E1314">
            <v>46410</v>
          </cell>
          <cell r="F1314" t="str">
            <v>82992</v>
          </cell>
          <cell r="G1314" t="str">
            <v>群聯二</v>
          </cell>
          <cell r="H1314">
            <v>100000</v>
          </cell>
          <cell r="I1314">
            <v>2.5</v>
          </cell>
          <cell r="J1314">
            <v>46410</v>
          </cell>
          <cell r="K1314">
            <v>100</v>
          </cell>
          <cell r="L1314">
            <v>46392</v>
          </cell>
          <cell r="M1314">
            <v>-2438</v>
          </cell>
          <cell r="N1314">
            <v>97562</v>
          </cell>
        </row>
        <row r="1315">
          <cell r="A1315">
            <v>34793</v>
          </cell>
          <cell r="B1315">
            <v>1309</v>
          </cell>
          <cell r="C1315" t="str">
            <v>IASWD2405000846</v>
          </cell>
          <cell r="D1315">
            <v>45436</v>
          </cell>
          <cell r="E1315">
            <v>46409</v>
          </cell>
          <cell r="F1315" t="str">
            <v>34793</v>
          </cell>
          <cell r="G1315" t="str">
            <v>安勤三</v>
          </cell>
          <cell r="H1315">
            <v>200000</v>
          </cell>
          <cell r="I1315">
            <v>3</v>
          </cell>
          <cell r="J1315">
            <v>46409</v>
          </cell>
          <cell r="K1315">
            <v>100</v>
          </cell>
          <cell r="L1315">
            <v>46391</v>
          </cell>
          <cell r="M1315">
            <v>-5852</v>
          </cell>
          <cell r="N1315">
            <v>194148</v>
          </cell>
        </row>
        <row r="1316">
          <cell r="A1316">
            <v>82992</v>
          </cell>
          <cell r="B1316">
            <v>1310</v>
          </cell>
          <cell r="C1316" t="str">
            <v>IASWD2405000848</v>
          </cell>
          <cell r="D1316">
            <v>45436</v>
          </cell>
          <cell r="E1316">
            <v>46410</v>
          </cell>
          <cell r="F1316" t="str">
            <v>82992</v>
          </cell>
          <cell r="G1316" t="str">
            <v>群聯二</v>
          </cell>
          <cell r="H1316">
            <v>200000</v>
          </cell>
          <cell r="I1316">
            <v>2.5</v>
          </cell>
          <cell r="J1316">
            <v>46410</v>
          </cell>
          <cell r="K1316">
            <v>100</v>
          </cell>
          <cell r="L1316">
            <v>46392</v>
          </cell>
          <cell r="M1316">
            <v>-4877</v>
          </cell>
          <cell r="N1316">
            <v>195123</v>
          </cell>
        </row>
        <row r="1317">
          <cell r="A1317">
            <v>22013</v>
          </cell>
          <cell r="B1317">
            <v>1311</v>
          </cell>
          <cell r="C1317" t="str">
            <v>IASWD2405000849</v>
          </cell>
          <cell r="D1317">
            <v>45436</v>
          </cell>
          <cell r="E1317">
            <v>46167</v>
          </cell>
          <cell r="F1317" t="str">
            <v>22013</v>
          </cell>
          <cell r="G1317" t="str">
            <v>裕隆三</v>
          </cell>
          <cell r="H1317">
            <v>200000</v>
          </cell>
          <cell r="I1317">
            <v>3.25</v>
          </cell>
          <cell r="J1317">
            <v>46167</v>
          </cell>
          <cell r="K1317">
            <v>100.75190000000001</v>
          </cell>
          <cell r="L1317">
            <v>46147</v>
          </cell>
          <cell r="M1317">
            <v>-6340</v>
          </cell>
          <cell r="N1317">
            <v>193660</v>
          </cell>
        </row>
        <row r="1318">
          <cell r="A1318">
            <v>34163</v>
          </cell>
          <cell r="B1318">
            <v>1312</v>
          </cell>
          <cell r="C1318" t="str">
            <v>IASWD2405000850</v>
          </cell>
          <cell r="D1318">
            <v>45436</v>
          </cell>
          <cell r="E1318">
            <v>46047</v>
          </cell>
          <cell r="F1318" t="str">
            <v>34163</v>
          </cell>
          <cell r="G1318" t="str">
            <v>融程電三</v>
          </cell>
          <cell r="H1318">
            <v>300000</v>
          </cell>
          <cell r="I1318">
            <v>3</v>
          </cell>
          <cell r="J1318">
            <v>46047</v>
          </cell>
          <cell r="K1318">
            <v>100.5</v>
          </cell>
          <cell r="L1318">
            <v>46028</v>
          </cell>
          <cell r="M1318">
            <v>-8778</v>
          </cell>
          <cell r="N1318">
            <v>291222</v>
          </cell>
        </row>
        <row r="1319">
          <cell r="A1319">
            <v>82992</v>
          </cell>
          <cell r="B1319">
            <v>1313</v>
          </cell>
          <cell r="C1319" t="str">
            <v>IASWD2405000851</v>
          </cell>
          <cell r="D1319">
            <v>45436</v>
          </cell>
          <cell r="E1319">
            <v>46410</v>
          </cell>
          <cell r="F1319" t="str">
            <v>82992</v>
          </cell>
          <cell r="G1319" t="str">
            <v>群聯二</v>
          </cell>
          <cell r="H1319">
            <v>200000</v>
          </cell>
          <cell r="I1319">
            <v>2.5</v>
          </cell>
          <cell r="J1319">
            <v>46410</v>
          </cell>
          <cell r="K1319">
            <v>100</v>
          </cell>
          <cell r="L1319">
            <v>46392</v>
          </cell>
          <cell r="M1319">
            <v>-4877</v>
          </cell>
          <cell r="N1319">
            <v>195123</v>
          </cell>
        </row>
        <row r="1320">
          <cell r="A1320">
            <v>34793</v>
          </cell>
          <cell r="B1320">
            <v>1314</v>
          </cell>
          <cell r="C1320" t="str">
            <v>IASWD2405000854</v>
          </cell>
          <cell r="D1320">
            <v>45436</v>
          </cell>
          <cell r="E1320">
            <v>46409</v>
          </cell>
          <cell r="F1320" t="str">
            <v>34793</v>
          </cell>
          <cell r="G1320" t="str">
            <v>安勤三</v>
          </cell>
          <cell r="H1320">
            <v>100000</v>
          </cell>
          <cell r="I1320">
            <v>3</v>
          </cell>
          <cell r="J1320">
            <v>46409</v>
          </cell>
          <cell r="K1320">
            <v>100</v>
          </cell>
          <cell r="L1320">
            <v>46391</v>
          </cell>
          <cell r="M1320">
            <v>-2926</v>
          </cell>
          <cell r="N1320">
            <v>97074</v>
          </cell>
        </row>
        <row r="1321">
          <cell r="A1321">
            <v>24361</v>
          </cell>
          <cell r="B1321">
            <v>1315</v>
          </cell>
          <cell r="C1321" t="str">
            <v>IASWD2405000855</v>
          </cell>
          <cell r="D1321">
            <v>45436</v>
          </cell>
          <cell r="E1321">
            <v>45911</v>
          </cell>
          <cell r="F1321" t="str">
            <v>24361</v>
          </cell>
          <cell r="G1321" t="str">
            <v>偉詮電一</v>
          </cell>
          <cell r="H1321">
            <v>200000</v>
          </cell>
          <cell r="I1321">
            <v>3.75</v>
          </cell>
          <cell r="J1321">
            <v>45911</v>
          </cell>
          <cell r="K1321">
            <v>100.50060000000001</v>
          </cell>
          <cell r="L1321">
            <v>45891</v>
          </cell>
          <cell r="M1321">
            <v>-7315</v>
          </cell>
          <cell r="N1321">
            <v>192685</v>
          </cell>
        </row>
        <row r="1322">
          <cell r="A1322">
            <v>34793</v>
          </cell>
          <cell r="B1322">
            <v>1316</v>
          </cell>
          <cell r="C1322" t="str">
            <v>IASWD2405000857</v>
          </cell>
          <cell r="D1322">
            <v>45436</v>
          </cell>
          <cell r="E1322">
            <v>46409</v>
          </cell>
          <cell r="F1322" t="str">
            <v>34793</v>
          </cell>
          <cell r="G1322" t="str">
            <v>安勤三</v>
          </cell>
          <cell r="H1322">
            <v>100000</v>
          </cell>
          <cell r="I1322">
            <v>3</v>
          </cell>
          <cell r="J1322">
            <v>46409</v>
          </cell>
          <cell r="K1322">
            <v>100</v>
          </cell>
          <cell r="L1322">
            <v>46391</v>
          </cell>
          <cell r="M1322">
            <v>-2926</v>
          </cell>
          <cell r="N1322">
            <v>97074</v>
          </cell>
        </row>
        <row r="1323">
          <cell r="A1323">
            <v>27323</v>
          </cell>
          <cell r="B1323">
            <v>1317</v>
          </cell>
          <cell r="C1323" t="str">
            <v>IASWD2405000864</v>
          </cell>
          <cell r="D1323">
            <v>45436</v>
          </cell>
          <cell r="E1323">
            <v>46048</v>
          </cell>
          <cell r="F1323" t="str">
            <v>27323</v>
          </cell>
          <cell r="G1323" t="str">
            <v>六角三</v>
          </cell>
          <cell r="H1323">
            <v>100000</v>
          </cell>
          <cell r="I1323">
            <v>3</v>
          </cell>
          <cell r="J1323">
            <v>46048</v>
          </cell>
          <cell r="K1323">
            <v>101</v>
          </cell>
          <cell r="L1323">
            <v>46028</v>
          </cell>
          <cell r="M1323">
            <v>-2926</v>
          </cell>
          <cell r="N1323">
            <v>97074</v>
          </cell>
        </row>
        <row r="1324">
          <cell r="A1324">
            <v>27323</v>
          </cell>
          <cell r="B1324">
            <v>1318</v>
          </cell>
          <cell r="C1324" t="str">
            <v>IASWD2405000871</v>
          </cell>
          <cell r="D1324">
            <v>45436</v>
          </cell>
          <cell r="E1324">
            <v>46048</v>
          </cell>
          <cell r="F1324" t="str">
            <v>27323</v>
          </cell>
          <cell r="G1324" t="str">
            <v>六角三</v>
          </cell>
          <cell r="H1324">
            <v>100000</v>
          </cell>
          <cell r="I1324">
            <v>3</v>
          </cell>
          <cell r="J1324">
            <v>46048</v>
          </cell>
          <cell r="K1324">
            <v>101</v>
          </cell>
          <cell r="L1324">
            <v>46028</v>
          </cell>
          <cell r="M1324">
            <v>-2926</v>
          </cell>
          <cell r="N1324">
            <v>97074</v>
          </cell>
        </row>
        <row r="1325">
          <cell r="A1325">
            <v>82992</v>
          </cell>
          <cell r="B1325">
            <v>1319</v>
          </cell>
          <cell r="C1325" t="str">
            <v>IASWD2405000872</v>
          </cell>
          <cell r="D1325">
            <v>45436</v>
          </cell>
          <cell r="E1325">
            <v>46410</v>
          </cell>
          <cell r="F1325" t="str">
            <v>82992</v>
          </cell>
          <cell r="G1325" t="str">
            <v>群聯二</v>
          </cell>
          <cell r="H1325">
            <v>200000</v>
          </cell>
          <cell r="I1325">
            <v>2.5</v>
          </cell>
          <cell r="J1325">
            <v>46410</v>
          </cell>
          <cell r="K1325">
            <v>100</v>
          </cell>
          <cell r="L1325">
            <v>46392</v>
          </cell>
          <cell r="M1325">
            <v>-4877</v>
          </cell>
          <cell r="N1325">
            <v>195123</v>
          </cell>
        </row>
        <row r="1326">
          <cell r="A1326">
            <v>22013</v>
          </cell>
          <cell r="B1326">
            <v>1320</v>
          </cell>
          <cell r="C1326" t="str">
            <v>IASWD2405000878</v>
          </cell>
          <cell r="D1326">
            <v>45436</v>
          </cell>
          <cell r="E1326">
            <v>46167</v>
          </cell>
          <cell r="F1326" t="str">
            <v>22013</v>
          </cell>
          <cell r="G1326" t="str">
            <v>裕隆三</v>
          </cell>
          <cell r="H1326">
            <v>300000</v>
          </cell>
          <cell r="I1326">
            <v>3.25</v>
          </cell>
          <cell r="J1326">
            <v>46167</v>
          </cell>
          <cell r="K1326">
            <v>100.75190000000001</v>
          </cell>
          <cell r="L1326">
            <v>46147</v>
          </cell>
          <cell r="M1326">
            <v>-9510</v>
          </cell>
          <cell r="N1326">
            <v>290490</v>
          </cell>
        </row>
        <row r="1327">
          <cell r="A1327">
            <v>82992</v>
          </cell>
          <cell r="B1327">
            <v>1321</v>
          </cell>
          <cell r="C1327" t="str">
            <v>IASWD2405000879</v>
          </cell>
          <cell r="D1327">
            <v>45436</v>
          </cell>
          <cell r="E1327">
            <v>46410</v>
          </cell>
          <cell r="F1327" t="str">
            <v>82992</v>
          </cell>
          <cell r="G1327" t="str">
            <v>群聯二</v>
          </cell>
          <cell r="H1327">
            <v>200000</v>
          </cell>
          <cell r="I1327">
            <v>2.5</v>
          </cell>
          <cell r="J1327">
            <v>46410</v>
          </cell>
          <cell r="K1327">
            <v>100</v>
          </cell>
          <cell r="L1327">
            <v>46392</v>
          </cell>
          <cell r="M1327">
            <v>-4877</v>
          </cell>
          <cell r="N1327">
            <v>195123</v>
          </cell>
        </row>
        <row r="1328">
          <cell r="A1328">
            <v>24361</v>
          </cell>
          <cell r="B1328">
            <v>1322</v>
          </cell>
          <cell r="C1328" t="str">
            <v>IASWD2405000890</v>
          </cell>
          <cell r="D1328">
            <v>45439</v>
          </cell>
          <cell r="E1328">
            <v>45911</v>
          </cell>
          <cell r="F1328" t="str">
            <v>24361</v>
          </cell>
          <cell r="G1328" t="str">
            <v>偉詮電一</v>
          </cell>
          <cell r="H1328">
            <v>100000</v>
          </cell>
          <cell r="I1328">
            <v>3.75</v>
          </cell>
          <cell r="J1328">
            <v>45911</v>
          </cell>
          <cell r="K1328">
            <v>100.50060000000001</v>
          </cell>
          <cell r="L1328">
            <v>45891</v>
          </cell>
          <cell r="M1328">
            <v>-3627</v>
          </cell>
          <cell r="N1328">
            <v>96373</v>
          </cell>
        </row>
        <row r="1329">
          <cell r="A1329">
            <v>34163</v>
          </cell>
          <cell r="B1329">
            <v>1323</v>
          </cell>
          <cell r="C1329" t="str">
            <v>IASWD2405000891</v>
          </cell>
          <cell r="D1329">
            <v>45439</v>
          </cell>
          <cell r="E1329">
            <v>46047</v>
          </cell>
          <cell r="F1329" t="str">
            <v>34163</v>
          </cell>
          <cell r="G1329" t="str">
            <v>融程電三</v>
          </cell>
          <cell r="H1329">
            <v>100000</v>
          </cell>
          <cell r="I1329">
            <v>3</v>
          </cell>
          <cell r="J1329">
            <v>46047</v>
          </cell>
          <cell r="K1329">
            <v>100.5</v>
          </cell>
          <cell r="L1329">
            <v>46028</v>
          </cell>
          <cell r="M1329">
            <v>-2901</v>
          </cell>
          <cell r="N1329">
            <v>97099</v>
          </cell>
        </row>
        <row r="1330">
          <cell r="A1330">
            <v>22013</v>
          </cell>
          <cell r="B1330">
            <v>1324</v>
          </cell>
          <cell r="C1330" t="str">
            <v>IASWD2405000896</v>
          </cell>
          <cell r="D1330">
            <v>45439</v>
          </cell>
          <cell r="E1330">
            <v>46167</v>
          </cell>
          <cell r="F1330" t="str">
            <v>22013</v>
          </cell>
          <cell r="G1330" t="str">
            <v>裕隆三</v>
          </cell>
          <cell r="H1330">
            <v>200000</v>
          </cell>
          <cell r="I1330">
            <v>3</v>
          </cell>
          <cell r="J1330">
            <v>46167</v>
          </cell>
          <cell r="K1330">
            <v>100.75190000000001</v>
          </cell>
          <cell r="L1330">
            <v>46147</v>
          </cell>
          <cell r="M1330">
            <v>-5803</v>
          </cell>
          <cell r="N1330">
            <v>194197</v>
          </cell>
        </row>
        <row r="1331">
          <cell r="A1331">
            <v>22313</v>
          </cell>
          <cell r="B1331">
            <v>1325</v>
          </cell>
          <cell r="C1331" t="str">
            <v>IASWD2405000898</v>
          </cell>
          <cell r="D1331">
            <v>45439</v>
          </cell>
          <cell r="E1331">
            <v>45898</v>
          </cell>
          <cell r="F1331" t="str">
            <v>22313</v>
          </cell>
          <cell r="G1331" t="str">
            <v>為升三</v>
          </cell>
          <cell r="H1331">
            <v>200000</v>
          </cell>
          <cell r="I1331">
            <v>3.5</v>
          </cell>
          <cell r="J1331">
            <v>45898</v>
          </cell>
          <cell r="K1331">
            <v>101.50749999999999</v>
          </cell>
          <cell r="L1331">
            <v>45880</v>
          </cell>
          <cell r="M1331">
            <v>-6770</v>
          </cell>
          <cell r="N1331">
            <v>193230</v>
          </cell>
        </row>
        <row r="1332">
          <cell r="A1332">
            <v>22013</v>
          </cell>
          <cell r="B1332">
            <v>1326</v>
          </cell>
          <cell r="C1332" t="str">
            <v>IASWD2405000899</v>
          </cell>
          <cell r="D1332">
            <v>45439</v>
          </cell>
          <cell r="E1332">
            <v>46167</v>
          </cell>
          <cell r="F1332" t="str">
            <v>22013</v>
          </cell>
          <cell r="G1332" t="str">
            <v>裕隆三</v>
          </cell>
          <cell r="H1332">
            <v>200000</v>
          </cell>
          <cell r="I1332">
            <v>3</v>
          </cell>
          <cell r="J1332">
            <v>46167</v>
          </cell>
          <cell r="K1332">
            <v>100.75190000000001</v>
          </cell>
          <cell r="L1332">
            <v>46147</v>
          </cell>
          <cell r="M1332">
            <v>-5803</v>
          </cell>
          <cell r="N1332">
            <v>194197</v>
          </cell>
        </row>
        <row r="1333">
          <cell r="A1333">
            <v>82992</v>
          </cell>
          <cell r="B1333">
            <v>1327</v>
          </cell>
          <cell r="C1333" t="str">
            <v>IASWD2405000900</v>
          </cell>
          <cell r="D1333">
            <v>45439</v>
          </cell>
          <cell r="E1333">
            <v>46410</v>
          </cell>
          <cell r="F1333" t="str">
            <v>82992</v>
          </cell>
          <cell r="G1333" t="str">
            <v>群聯二</v>
          </cell>
          <cell r="H1333">
            <v>200000</v>
          </cell>
          <cell r="I1333">
            <v>2.5</v>
          </cell>
          <cell r="J1333">
            <v>46410</v>
          </cell>
          <cell r="K1333">
            <v>100</v>
          </cell>
          <cell r="L1333">
            <v>46392</v>
          </cell>
          <cell r="M1333">
            <v>-4836</v>
          </cell>
          <cell r="N1333">
            <v>195164</v>
          </cell>
        </row>
        <row r="1334">
          <cell r="A1334">
            <v>82992</v>
          </cell>
          <cell r="B1334">
            <v>1328</v>
          </cell>
          <cell r="C1334" t="str">
            <v>IASWD2405000902</v>
          </cell>
          <cell r="D1334">
            <v>45439</v>
          </cell>
          <cell r="E1334">
            <v>46410</v>
          </cell>
          <cell r="F1334" t="str">
            <v>82992</v>
          </cell>
          <cell r="G1334" t="str">
            <v>群聯二</v>
          </cell>
          <cell r="H1334">
            <v>800000</v>
          </cell>
          <cell r="I1334">
            <v>2.5</v>
          </cell>
          <cell r="J1334">
            <v>46410</v>
          </cell>
          <cell r="K1334">
            <v>100</v>
          </cell>
          <cell r="L1334">
            <v>46392</v>
          </cell>
          <cell r="M1334">
            <v>-19342</v>
          </cell>
          <cell r="N1334">
            <v>780658</v>
          </cell>
        </row>
        <row r="1335">
          <cell r="A1335">
            <v>22313</v>
          </cell>
          <cell r="B1335">
            <v>1329</v>
          </cell>
          <cell r="C1335" t="str">
            <v>IASWD2405000905</v>
          </cell>
          <cell r="D1335">
            <v>45439</v>
          </cell>
          <cell r="E1335">
            <v>45898</v>
          </cell>
          <cell r="F1335" t="str">
            <v>22313</v>
          </cell>
          <cell r="G1335" t="str">
            <v>為升三</v>
          </cell>
          <cell r="H1335">
            <v>100000</v>
          </cell>
          <cell r="I1335">
            <v>3.5</v>
          </cell>
          <cell r="J1335">
            <v>45898</v>
          </cell>
          <cell r="K1335">
            <v>101.50749999999999</v>
          </cell>
          <cell r="L1335">
            <v>45880</v>
          </cell>
          <cell r="M1335">
            <v>-3385</v>
          </cell>
          <cell r="N1335">
            <v>96615</v>
          </cell>
        </row>
        <row r="1336">
          <cell r="A1336">
            <v>82992</v>
          </cell>
          <cell r="B1336">
            <v>1330</v>
          </cell>
          <cell r="C1336" t="str">
            <v>IASWD2405000906</v>
          </cell>
          <cell r="D1336">
            <v>45439</v>
          </cell>
          <cell r="E1336">
            <v>46410</v>
          </cell>
          <cell r="F1336" t="str">
            <v>82992</v>
          </cell>
          <cell r="G1336" t="str">
            <v>群聯二</v>
          </cell>
          <cell r="H1336">
            <v>100000</v>
          </cell>
          <cell r="I1336">
            <v>2.5</v>
          </cell>
          <cell r="J1336">
            <v>46410</v>
          </cell>
          <cell r="K1336">
            <v>100</v>
          </cell>
          <cell r="L1336">
            <v>46392</v>
          </cell>
          <cell r="M1336">
            <v>-2418</v>
          </cell>
          <cell r="N1336">
            <v>97582</v>
          </cell>
        </row>
        <row r="1337">
          <cell r="A1337">
            <v>82992</v>
          </cell>
          <cell r="B1337">
            <v>1331</v>
          </cell>
          <cell r="C1337" t="str">
            <v>IASWD2405000907</v>
          </cell>
          <cell r="D1337">
            <v>45439</v>
          </cell>
          <cell r="E1337">
            <v>46410</v>
          </cell>
          <cell r="F1337" t="str">
            <v>82992</v>
          </cell>
          <cell r="G1337" t="str">
            <v>群聯二</v>
          </cell>
          <cell r="H1337">
            <v>100000</v>
          </cell>
          <cell r="I1337">
            <v>2.5</v>
          </cell>
          <cell r="J1337">
            <v>46410</v>
          </cell>
          <cell r="K1337">
            <v>100</v>
          </cell>
          <cell r="L1337">
            <v>46392</v>
          </cell>
          <cell r="M1337">
            <v>-2418</v>
          </cell>
          <cell r="N1337">
            <v>97582</v>
          </cell>
        </row>
        <row r="1338">
          <cell r="A1338">
            <v>29061</v>
          </cell>
          <cell r="B1338">
            <v>1332</v>
          </cell>
          <cell r="C1338" t="str">
            <v>IASWD2405000909</v>
          </cell>
          <cell r="D1338">
            <v>45439</v>
          </cell>
          <cell r="E1338">
            <v>45920</v>
          </cell>
          <cell r="F1338" t="str">
            <v>29061</v>
          </cell>
          <cell r="G1338" t="str">
            <v>高林一</v>
          </cell>
          <cell r="H1338">
            <v>100000</v>
          </cell>
          <cell r="I1338">
            <v>3.75</v>
          </cell>
          <cell r="J1338">
            <v>45920</v>
          </cell>
          <cell r="K1338">
            <v>102.01</v>
          </cell>
          <cell r="L1338">
            <v>45902</v>
          </cell>
          <cell r="M1338">
            <v>-3627</v>
          </cell>
          <cell r="N1338">
            <v>96373</v>
          </cell>
        </row>
        <row r="1339">
          <cell r="A1339">
            <v>82992</v>
          </cell>
          <cell r="B1339">
            <v>1333</v>
          </cell>
          <cell r="C1339" t="str">
            <v>IASWD2405000911</v>
          </cell>
          <cell r="D1339">
            <v>45439</v>
          </cell>
          <cell r="E1339">
            <v>46410</v>
          </cell>
          <cell r="F1339" t="str">
            <v>82992</v>
          </cell>
          <cell r="G1339" t="str">
            <v>群聯二</v>
          </cell>
          <cell r="H1339">
            <v>200000</v>
          </cell>
          <cell r="I1339">
            <v>2.5</v>
          </cell>
          <cell r="J1339">
            <v>46410</v>
          </cell>
          <cell r="K1339">
            <v>100</v>
          </cell>
          <cell r="L1339">
            <v>46392</v>
          </cell>
          <cell r="M1339">
            <v>-4836</v>
          </cell>
          <cell r="N1339">
            <v>195164</v>
          </cell>
        </row>
        <row r="1340">
          <cell r="A1340">
            <v>24361</v>
          </cell>
          <cell r="B1340">
            <v>1334</v>
          </cell>
          <cell r="C1340" t="str">
            <v>IASWD2405000912</v>
          </cell>
          <cell r="D1340">
            <v>45439</v>
          </cell>
          <cell r="E1340">
            <v>45911</v>
          </cell>
          <cell r="F1340" t="str">
            <v>24361</v>
          </cell>
          <cell r="G1340" t="str">
            <v>偉詮電一</v>
          </cell>
          <cell r="H1340">
            <v>200000</v>
          </cell>
          <cell r="I1340">
            <v>3.75</v>
          </cell>
          <cell r="J1340">
            <v>45911</v>
          </cell>
          <cell r="K1340">
            <v>100.50060000000001</v>
          </cell>
          <cell r="L1340">
            <v>45891</v>
          </cell>
          <cell r="M1340">
            <v>-7253</v>
          </cell>
          <cell r="N1340">
            <v>192747</v>
          </cell>
        </row>
        <row r="1341">
          <cell r="A1341">
            <v>82992</v>
          </cell>
          <cell r="B1341">
            <v>1335</v>
          </cell>
          <cell r="C1341" t="str">
            <v>IASWD2405000915</v>
          </cell>
          <cell r="D1341">
            <v>45439</v>
          </cell>
          <cell r="E1341">
            <v>46410</v>
          </cell>
          <cell r="F1341" t="str">
            <v>82992</v>
          </cell>
          <cell r="G1341" t="str">
            <v>群聯二</v>
          </cell>
          <cell r="H1341">
            <v>700000</v>
          </cell>
          <cell r="I1341">
            <v>2.5</v>
          </cell>
          <cell r="J1341">
            <v>46410</v>
          </cell>
          <cell r="K1341">
            <v>100</v>
          </cell>
          <cell r="L1341">
            <v>46392</v>
          </cell>
          <cell r="M1341">
            <v>-16925</v>
          </cell>
          <cell r="N1341">
            <v>683075</v>
          </cell>
        </row>
        <row r="1342">
          <cell r="A1342">
            <v>82992</v>
          </cell>
          <cell r="B1342">
            <v>1336</v>
          </cell>
          <cell r="C1342" t="str">
            <v>IASWD2405000919</v>
          </cell>
          <cell r="D1342">
            <v>45439</v>
          </cell>
          <cell r="E1342">
            <v>46410</v>
          </cell>
          <cell r="F1342" t="str">
            <v>82992</v>
          </cell>
          <cell r="G1342" t="str">
            <v>群聯二</v>
          </cell>
          <cell r="H1342">
            <v>200000</v>
          </cell>
          <cell r="I1342">
            <v>2.5</v>
          </cell>
          <cell r="J1342">
            <v>46410</v>
          </cell>
          <cell r="K1342">
            <v>100</v>
          </cell>
          <cell r="L1342">
            <v>46392</v>
          </cell>
          <cell r="M1342">
            <v>-4836</v>
          </cell>
          <cell r="N1342">
            <v>195164</v>
          </cell>
        </row>
        <row r="1343">
          <cell r="A1343">
            <v>24361</v>
          </cell>
          <cell r="B1343">
            <v>1337</v>
          </cell>
          <cell r="C1343" t="str">
            <v>IASWD2405000921</v>
          </cell>
          <cell r="D1343">
            <v>45439</v>
          </cell>
          <cell r="E1343">
            <v>45911</v>
          </cell>
          <cell r="F1343" t="str">
            <v>24361</v>
          </cell>
          <cell r="G1343" t="str">
            <v>偉詮電一</v>
          </cell>
          <cell r="H1343">
            <v>300000</v>
          </cell>
          <cell r="I1343">
            <v>3.75</v>
          </cell>
          <cell r="J1343">
            <v>45911</v>
          </cell>
          <cell r="K1343">
            <v>100.50060000000001</v>
          </cell>
          <cell r="L1343">
            <v>45891</v>
          </cell>
          <cell r="M1343">
            <v>-10880</v>
          </cell>
          <cell r="N1343">
            <v>289120</v>
          </cell>
        </row>
        <row r="1344">
          <cell r="A1344">
            <v>34163</v>
          </cell>
          <cell r="B1344">
            <v>1338</v>
          </cell>
          <cell r="C1344" t="str">
            <v>IASWD2405000924</v>
          </cell>
          <cell r="D1344">
            <v>45439</v>
          </cell>
          <cell r="E1344">
            <v>46047</v>
          </cell>
          <cell r="F1344" t="str">
            <v>34163</v>
          </cell>
          <cell r="G1344" t="str">
            <v>融程電三</v>
          </cell>
          <cell r="H1344">
            <v>100000</v>
          </cell>
          <cell r="I1344">
            <v>3</v>
          </cell>
          <cell r="J1344">
            <v>46047</v>
          </cell>
          <cell r="K1344">
            <v>100.5</v>
          </cell>
          <cell r="L1344">
            <v>46028</v>
          </cell>
          <cell r="M1344">
            <v>-2901</v>
          </cell>
          <cell r="N1344">
            <v>97099</v>
          </cell>
        </row>
        <row r="1345">
          <cell r="A1345">
            <v>22313</v>
          </cell>
          <cell r="B1345">
            <v>1339</v>
          </cell>
          <cell r="C1345" t="str">
            <v>IASWD2405000925</v>
          </cell>
          <cell r="D1345">
            <v>45439</v>
          </cell>
          <cell r="E1345">
            <v>45898</v>
          </cell>
          <cell r="F1345" t="str">
            <v>22313</v>
          </cell>
          <cell r="G1345" t="str">
            <v>為升三</v>
          </cell>
          <cell r="H1345">
            <v>200000</v>
          </cell>
          <cell r="I1345">
            <v>3.5</v>
          </cell>
          <cell r="J1345">
            <v>45898</v>
          </cell>
          <cell r="K1345">
            <v>101.50749999999999</v>
          </cell>
          <cell r="L1345">
            <v>45880</v>
          </cell>
          <cell r="M1345">
            <v>-6770</v>
          </cell>
          <cell r="N1345">
            <v>193230</v>
          </cell>
        </row>
        <row r="1346">
          <cell r="A1346">
            <v>22013</v>
          </cell>
          <cell r="B1346">
            <v>1340</v>
          </cell>
          <cell r="C1346" t="str">
            <v>IASWD2405000926</v>
          </cell>
          <cell r="D1346">
            <v>45439</v>
          </cell>
          <cell r="E1346">
            <v>46167</v>
          </cell>
          <cell r="F1346" t="str">
            <v>22013</v>
          </cell>
          <cell r="G1346" t="str">
            <v>裕隆三</v>
          </cell>
          <cell r="H1346">
            <v>100000</v>
          </cell>
          <cell r="I1346">
            <v>3</v>
          </cell>
          <cell r="J1346">
            <v>46167</v>
          </cell>
          <cell r="K1346">
            <v>100.75190000000001</v>
          </cell>
          <cell r="L1346">
            <v>46147</v>
          </cell>
          <cell r="M1346">
            <v>-2901</v>
          </cell>
          <cell r="N1346">
            <v>97099</v>
          </cell>
        </row>
        <row r="1347">
          <cell r="A1347">
            <v>24361</v>
          </cell>
          <cell r="B1347">
            <v>1341</v>
          </cell>
          <cell r="C1347" t="str">
            <v>IASWD2405000928</v>
          </cell>
          <cell r="D1347">
            <v>45439</v>
          </cell>
          <cell r="E1347">
            <v>45911</v>
          </cell>
          <cell r="F1347" t="str">
            <v>24361</v>
          </cell>
          <cell r="G1347" t="str">
            <v>偉詮電一</v>
          </cell>
          <cell r="H1347">
            <v>100000</v>
          </cell>
          <cell r="I1347">
            <v>3.75</v>
          </cell>
          <cell r="J1347">
            <v>45911</v>
          </cell>
          <cell r="K1347">
            <v>100.50060000000001</v>
          </cell>
          <cell r="L1347">
            <v>45891</v>
          </cell>
          <cell r="M1347">
            <v>-3627</v>
          </cell>
          <cell r="N1347">
            <v>96373</v>
          </cell>
        </row>
        <row r="1348">
          <cell r="A1348">
            <v>82992</v>
          </cell>
          <cell r="B1348">
            <v>1342</v>
          </cell>
          <cell r="C1348" t="str">
            <v>IASWD2405000931</v>
          </cell>
          <cell r="D1348">
            <v>45439</v>
          </cell>
          <cell r="E1348">
            <v>46410</v>
          </cell>
          <cell r="F1348" t="str">
            <v>82992</v>
          </cell>
          <cell r="G1348" t="str">
            <v>群聯二</v>
          </cell>
          <cell r="H1348">
            <v>300000</v>
          </cell>
          <cell r="I1348">
            <v>2.5</v>
          </cell>
          <cell r="J1348">
            <v>46410</v>
          </cell>
          <cell r="K1348">
            <v>100</v>
          </cell>
          <cell r="L1348">
            <v>46392</v>
          </cell>
          <cell r="M1348">
            <v>-7253</v>
          </cell>
          <cell r="N1348">
            <v>292747</v>
          </cell>
        </row>
        <row r="1349">
          <cell r="A1349">
            <v>82992</v>
          </cell>
          <cell r="B1349">
            <v>1343</v>
          </cell>
          <cell r="C1349" t="str">
            <v>IASWD2405000935</v>
          </cell>
          <cell r="D1349">
            <v>45439</v>
          </cell>
          <cell r="E1349">
            <v>46410</v>
          </cell>
          <cell r="F1349" t="str">
            <v>82992</v>
          </cell>
          <cell r="G1349" t="str">
            <v>群聯二</v>
          </cell>
          <cell r="H1349">
            <v>500000</v>
          </cell>
          <cell r="I1349">
            <v>2.5</v>
          </cell>
          <cell r="J1349">
            <v>46410</v>
          </cell>
          <cell r="K1349">
            <v>100</v>
          </cell>
          <cell r="L1349">
            <v>46392</v>
          </cell>
          <cell r="M1349">
            <v>-12089</v>
          </cell>
          <cell r="N1349">
            <v>487911</v>
          </cell>
        </row>
        <row r="1350">
          <cell r="A1350">
            <v>34163</v>
          </cell>
          <cell r="B1350">
            <v>1344</v>
          </cell>
          <cell r="C1350" t="str">
            <v>IASWD2405000936</v>
          </cell>
          <cell r="D1350">
            <v>45439</v>
          </cell>
          <cell r="E1350">
            <v>46047</v>
          </cell>
          <cell r="F1350" t="str">
            <v>34163</v>
          </cell>
          <cell r="G1350" t="str">
            <v>融程電三</v>
          </cell>
          <cell r="H1350">
            <v>200000</v>
          </cell>
          <cell r="I1350">
            <v>3</v>
          </cell>
          <cell r="J1350">
            <v>46047</v>
          </cell>
          <cell r="K1350">
            <v>100.5</v>
          </cell>
          <cell r="L1350">
            <v>46028</v>
          </cell>
          <cell r="M1350">
            <v>-5803</v>
          </cell>
          <cell r="N1350">
            <v>194197</v>
          </cell>
        </row>
        <row r="1351">
          <cell r="A1351">
            <v>22313</v>
          </cell>
          <cell r="B1351">
            <v>1345</v>
          </cell>
          <cell r="C1351" t="str">
            <v>IASWD2405000937</v>
          </cell>
          <cell r="D1351">
            <v>45439</v>
          </cell>
          <cell r="E1351">
            <v>45898</v>
          </cell>
          <cell r="F1351" t="str">
            <v>22313</v>
          </cell>
          <cell r="G1351" t="str">
            <v>為升三</v>
          </cell>
          <cell r="H1351">
            <v>200000</v>
          </cell>
          <cell r="I1351">
            <v>3.5</v>
          </cell>
          <cell r="J1351">
            <v>45898</v>
          </cell>
          <cell r="K1351">
            <v>101.50749999999999</v>
          </cell>
          <cell r="L1351">
            <v>45880</v>
          </cell>
          <cell r="M1351">
            <v>-6770</v>
          </cell>
          <cell r="N1351">
            <v>193230</v>
          </cell>
        </row>
        <row r="1352">
          <cell r="A1352">
            <v>82992</v>
          </cell>
          <cell r="B1352">
            <v>1346</v>
          </cell>
          <cell r="C1352" t="str">
            <v>IASWD2405000943</v>
          </cell>
          <cell r="D1352">
            <v>45439</v>
          </cell>
          <cell r="E1352">
            <v>46410</v>
          </cell>
          <cell r="F1352" t="str">
            <v>82992</v>
          </cell>
          <cell r="G1352" t="str">
            <v>群聯二</v>
          </cell>
          <cell r="H1352">
            <v>100000</v>
          </cell>
          <cell r="I1352">
            <v>2.5</v>
          </cell>
          <cell r="J1352">
            <v>46410</v>
          </cell>
          <cell r="K1352">
            <v>100</v>
          </cell>
          <cell r="L1352">
            <v>46392</v>
          </cell>
          <cell r="M1352">
            <v>-2418</v>
          </cell>
          <cell r="N1352">
            <v>97582</v>
          </cell>
        </row>
        <row r="1353">
          <cell r="A1353">
            <v>20632</v>
          </cell>
          <cell r="B1353">
            <v>1347</v>
          </cell>
          <cell r="C1353" t="str">
            <v>IASWD2405000944</v>
          </cell>
          <cell r="D1353">
            <v>45439</v>
          </cell>
          <cell r="E1353">
            <v>45971</v>
          </cell>
          <cell r="F1353" t="str">
            <v>20632</v>
          </cell>
          <cell r="G1353" t="str">
            <v>世鎧二</v>
          </cell>
          <cell r="H1353">
            <v>100000</v>
          </cell>
          <cell r="I1353">
            <v>3.25</v>
          </cell>
          <cell r="J1353">
            <v>45971</v>
          </cell>
          <cell r="K1353">
            <v>100</v>
          </cell>
          <cell r="L1353">
            <v>45951</v>
          </cell>
          <cell r="M1353">
            <v>-3143</v>
          </cell>
          <cell r="N1353">
            <v>96857</v>
          </cell>
        </row>
        <row r="1354">
          <cell r="A1354">
            <v>82992</v>
          </cell>
          <cell r="B1354">
            <v>1348</v>
          </cell>
          <cell r="C1354" t="str">
            <v>IASWD2405000946</v>
          </cell>
          <cell r="D1354">
            <v>45439</v>
          </cell>
          <cell r="E1354">
            <v>46410</v>
          </cell>
          <cell r="F1354" t="str">
            <v>82992</v>
          </cell>
          <cell r="G1354" t="str">
            <v>群聯二</v>
          </cell>
          <cell r="H1354">
            <v>100000</v>
          </cell>
          <cell r="I1354">
            <v>2.5</v>
          </cell>
          <cell r="J1354">
            <v>46410</v>
          </cell>
          <cell r="K1354">
            <v>100</v>
          </cell>
          <cell r="L1354">
            <v>46392</v>
          </cell>
          <cell r="M1354">
            <v>-2418</v>
          </cell>
          <cell r="N1354">
            <v>97582</v>
          </cell>
        </row>
        <row r="1355">
          <cell r="A1355">
            <v>22013</v>
          </cell>
          <cell r="B1355">
            <v>1349</v>
          </cell>
          <cell r="C1355" t="str">
            <v>IASWD2405000948</v>
          </cell>
          <cell r="D1355">
            <v>45439</v>
          </cell>
          <cell r="E1355">
            <v>46167</v>
          </cell>
          <cell r="F1355" t="str">
            <v>22013</v>
          </cell>
          <cell r="G1355" t="str">
            <v>裕隆三</v>
          </cell>
          <cell r="H1355">
            <v>1000000</v>
          </cell>
          <cell r="I1355">
            <v>3</v>
          </cell>
          <cell r="J1355">
            <v>46167</v>
          </cell>
          <cell r="K1355">
            <v>100.75190000000001</v>
          </cell>
          <cell r="L1355">
            <v>46147</v>
          </cell>
          <cell r="M1355">
            <v>-29014</v>
          </cell>
          <cell r="N1355">
            <v>970986</v>
          </cell>
        </row>
        <row r="1356">
          <cell r="A1356">
            <v>24361</v>
          </cell>
          <cell r="B1356">
            <v>1350</v>
          </cell>
          <cell r="C1356" t="str">
            <v>IASWD2405000949</v>
          </cell>
          <cell r="D1356">
            <v>45439</v>
          </cell>
          <cell r="E1356">
            <v>45911</v>
          </cell>
          <cell r="F1356" t="str">
            <v>24361</v>
          </cell>
          <cell r="G1356" t="str">
            <v>偉詮電一</v>
          </cell>
          <cell r="H1356">
            <v>200000</v>
          </cell>
          <cell r="I1356">
            <v>3.75</v>
          </cell>
          <cell r="J1356">
            <v>45911</v>
          </cell>
          <cell r="K1356">
            <v>100.50060000000001</v>
          </cell>
          <cell r="L1356">
            <v>45891</v>
          </cell>
          <cell r="M1356">
            <v>-7253</v>
          </cell>
          <cell r="N1356">
            <v>192747</v>
          </cell>
        </row>
        <row r="1357">
          <cell r="A1357">
            <v>82992</v>
          </cell>
          <cell r="B1357">
            <v>1351</v>
          </cell>
          <cell r="C1357" t="str">
            <v>IASWD2405000952</v>
          </cell>
          <cell r="D1357">
            <v>45439</v>
          </cell>
          <cell r="E1357">
            <v>46410</v>
          </cell>
          <cell r="F1357" t="str">
            <v>82992</v>
          </cell>
          <cell r="G1357" t="str">
            <v>群聯二</v>
          </cell>
          <cell r="H1357">
            <v>200000</v>
          </cell>
          <cell r="I1357">
            <v>2.5</v>
          </cell>
          <cell r="J1357">
            <v>46410</v>
          </cell>
          <cell r="K1357">
            <v>100</v>
          </cell>
          <cell r="L1357">
            <v>46392</v>
          </cell>
          <cell r="M1357">
            <v>-4836</v>
          </cell>
          <cell r="N1357">
            <v>195164</v>
          </cell>
        </row>
        <row r="1358">
          <cell r="A1358">
            <v>24361</v>
          </cell>
          <cell r="B1358">
            <v>1352</v>
          </cell>
          <cell r="C1358" t="str">
            <v>IASWD2405000957</v>
          </cell>
          <cell r="D1358">
            <v>45439</v>
          </cell>
          <cell r="E1358">
            <v>45911</v>
          </cell>
          <cell r="F1358" t="str">
            <v>24361</v>
          </cell>
          <cell r="G1358" t="str">
            <v>偉詮電一</v>
          </cell>
          <cell r="H1358">
            <v>100000</v>
          </cell>
          <cell r="I1358">
            <v>3.75</v>
          </cell>
          <cell r="J1358">
            <v>45911</v>
          </cell>
          <cell r="K1358">
            <v>100.50060000000001</v>
          </cell>
          <cell r="L1358">
            <v>45891</v>
          </cell>
          <cell r="M1358">
            <v>-3627</v>
          </cell>
          <cell r="N1358">
            <v>96373</v>
          </cell>
        </row>
        <row r="1359">
          <cell r="A1359">
            <v>82992</v>
          </cell>
          <cell r="B1359">
            <v>1353</v>
          </cell>
          <cell r="C1359" t="str">
            <v>IASWD2405000958</v>
          </cell>
          <cell r="D1359">
            <v>45439</v>
          </cell>
          <cell r="E1359">
            <v>46410</v>
          </cell>
          <cell r="F1359" t="str">
            <v>82992</v>
          </cell>
          <cell r="G1359" t="str">
            <v>群聯二</v>
          </cell>
          <cell r="H1359">
            <v>100000</v>
          </cell>
          <cell r="I1359">
            <v>2.5</v>
          </cell>
          <cell r="J1359">
            <v>46410</v>
          </cell>
          <cell r="K1359">
            <v>100</v>
          </cell>
          <cell r="L1359">
            <v>46392</v>
          </cell>
          <cell r="M1359">
            <v>-2418</v>
          </cell>
          <cell r="N1359">
            <v>97582</v>
          </cell>
        </row>
        <row r="1360">
          <cell r="A1360">
            <v>82992</v>
          </cell>
          <cell r="B1360">
            <v>1354</v>
          </cell>
          <cell r="C1360" t="str">
            <v>IASWD2405000959</v>
          </cell>
          <cell r="D1360">
            <v>45439</v>
          </cell>
          <cell r="E1360">
            <v>46410</v>
          </cell>
          <cell r="F1360" t="str">
            <v>82992</v>
          </cell>
          <cell r="G1360" t="str">
            <v>群聯二</v>
          </cell>
          <cell r="H1360">
            <v>100000</v>
          </cell>
          <cell r="I1360">
            <v>2.5</v>
          </cell>
          <cell r="J1360">
            <v>46410</v>
          </cell>
          <cell r="K1360">
            <v>100</v>
          </cell>
          <cell r="L1360">
            <v>46392</v>
          </cell>
          <cell r="M1360">
            <v>-2418</v>
          </cell>
          <cell r="N1360">
            <v>97582</v>
          </cell>
        </row>
        <row r="1361">
          <cell r="A1361">
            <v>30061</v>
          </cell>
          <cell r="B1361">
            <v>1355</v>
          </cell>
          <cell r="C1361" t="str">
            <v>IASWD2405000962</v>
          </cell>
          <cell r="D1361">
            <v>45440</v>
          </cell>
          <cell r="E1361">
            <v>46322</v>
          </cell>
          <cell r="F1361" t="str">
            <v>30061</v>
          </cell>
          <cell r="G1361" t="str">
            <v>晶豪科一</v>
          </cell>
          <cell r="H1361">
            <v>500000</v>
          </cell>
          <cell r="I1361">
            <v>3.75</v>
          </cell>
          <cell r="J1361">
            <v>46322</v>
          </cell>
          <cell r="K1361">
            <v>100</v>
          </cell>
          <cell r="L1361">
            <v>46302</v>
          </cell>
          <cell r="M1361">
            <v>-18082</v>
          </cell>
          <cell r="N1361">
            <v>481918</v>
          </cell>
        </row>
        <row r="1362">
          <cell r="A1362">
            <v>82992</v>
          </cell>
          <cell r="B1362">
            <v>1356</v>
          </cell>
          <cell r="C1362" t="str">
            <v>IASWD2405000963</v>
          </cell>
          <cell r="D1362">
            <v>45440</v>
          </cell>
          <cell r="E1362">
            <v>46410</v>
          </cell>
          <cell r="F1362" t="str">
            <v>82992</v>
          </cell>
          <cell r="G1362" t="str">
            <v>群聯二</v>
          </cell>
          <cell r="H1362">
            <v>200000</v>
          </cell>
          <cell r="I1362">
            <v>2.5</v>
          </cell>
          <cell r="J1362">
            <v>46410</v>
          </cell>
          <cell r="K1362">
            <v>100</v>
          </cell>
          <cell r="L1362">
            <v>46392</v>
          </cell>
          <cell r="M1362">
            <v>-4822</v>
          </cell>
          <cell r="N1362">
            <v>195178</v>
          </cell>
        </row>
        <row r="1363">
          <cell r="A1363">
            <v>82992</v>
          </cell>
          <cell r="B1363">
            <v>1357</v>
          </cell>
          <cell r="C1363" t="str">
            <v>IASWD2405000964</v>
          </cell>
          <cell r="D1363">
            <v>45440</v>
          </cell>
          <cell r="E1363">
            <v>46410</v>
          </cell>
          <cell r="F1363" t="str">
            <v>82992</v>
          </cell>
          <cell r="G1363" t="str">
            <v>群聯二</v>
          </cell>
          <cell r="H1363">
            <v>200000</v>
          </cell>
          <cell r="I1363">
            <v>2.5</v>
          </cell>
          <cell r="J1363">
            <v>46410</v>
          </cell>
          <cell r="K1363">
            <v>100</v>
          </cell>
          <cell r="L1363">
            <v>46392</v>
          </cell>
          <cell r="M1363">
            <v>-4822</v>
          </cell>
          <cell r="N1363">
            <v>195178</v>
          </cell>
        </row>
        <row r="1364">
          <cell r="A1364">
            <v>62843</v>
          </cell>
          <cell r="B1364">
            <v>1358</v>
          </cell>
          <cell r="C1364" t="str">
            <v>IASWD2405000966</v>
          </cell>
          <cell r="D1364">
            <v>45440</v>
          </cell>
          <cell r="E1364">
            <v>46005</v>
          </cell>
          <cell r="F1364" t="str">
            <v>62843</v>
          </cell>
          <cell r="G1364" t="str">
            <v>佳邦三</v>
          </cell>
          <cell r="H1364">
            <v>400000</v>
          </cell>
          <cell r="I1364">
            <v>2.7</v>
          </cell>
          <cell r="J1364">
            <v>46005</v>
          </cell>
          <cell r="K1364">
            <v>100</v>
          </cell>
          <cell r="L1364">
            <v>45986</v>
          </cell>
          <cell r="M1364">
            <v>-10415</v>
          </cell>
          <cell r="N1364">
            <v>389585</v>
          </cell>
        </row>
        <row r="1365">
          <cell r="A1365">
            <v>82992</v>
          </cell>
          <cell r="B1365">
            <v>1359</v>
          </cell>
          <cell r="C1365" t="str">
            <v>IASWD2405000967</v>
          </cell>
          <cell r="D1365">
            <v>45440</v>
          </cell>
          <cell r="E1365">
            <v>46410</v>
          </cell>
          <cell r="F1365" t="str">
            <v>82992</v>
          </cell>
          <cell r="G1365" t="str">
            <v>群聯二</v>
          </cell>
          <cell r="H1365">
            <v>200000</v>
          </cell>
          <cell r="I1365">
            <v>2.5</v>
          </cell>
          <cell r="J1365">
            <v>46410</v>
          </cell>
          <cell r="K1365">
            <v>100</v>
          </cell>
          <cell r="L1365">
            <v>46392</v>
          </cell>
          <cell r="M1365">
            <v>-4822</v>
          </cell>
          <cell r="N1365">
            <v>195178</v>
          </cell>
        </row>
        <row r="1366">
          <cell r="A1366">
            <v>62822</v>
          </cell>
          <cell r="B1366">
            <v>1360</v>
          </cell>
          <cell r="C1366" t="str">
            <v>IASWD2405000975</v>
          </cell>
          <cell r="D1366">
            <v>45440</v>
          </cell>
          <cell r="E1366">
            <v>46186</v>
          </cell>
          <cell r="F1366" t="str">
            <v>62822</v>
          </cell>
          <cell r="G1366" t="str">
            <v>康舒二</v>
          </cell>
          <cell r="H1366">
            <v>300000</v>
          </cell>
          <cell r="I1366">
            <v>3.2</v>
          </cell>
          <cell r="J1366">
            <v>46186</v>
          </cell>
          <cell r="K1366">
            <v>100</v>
          </cell>
          <cell r="L1366">
            <v>46168</v>
          </cell>
          <cell r="M1366">
            <v>-9258</v>
          </cell>
          <cell r="N1366">
            <v>290742</v>
          </cell>
        </row>
        <row r="1367">
          <cell r="A1367">
            <v>24361</v>
          </cell>
          <cell r="B1367">
            <v>1361</v>
          </cell>
          <cell r="C1367" t="str">
            <v>IASWD2405000976</v>
          </cell>
          <cell r="D1367">
            <v>45440</v>
          </cell>
          <cell r="E1367">
            <v>45911</v>
          </cell>
          <cell r="F1367" t="str">
            <v>24361</v>
          </cell>
          <cell r="G1367" t="str">
            <v>偉詮電一</v>
          </cell>
          <cell r="H1367">
            <v>600000</v>
          </cell>
          <cell r="I1367">
            <v>3.75</v>
          </cell>
          <cell r="J1367">
            <v>45911</v>
          </cell>
          <cell r="K1367">
            <v>100.50060000000001</v>
          </cell>
          <cell r="L1367">
            <v>45891</v>
          </cell>
          <cell r="M1367">
            <v>-21699</v>
          </cell>
          <cell r="N1367">
            <v>578301</v>
          </cell>
        </row>
        <row r="1368">
          <cell r="A1368">
            <v>82992</v>
          </cell>
          <cell r="B1368">
            <v>1362</v>
          </cell>
          <cell r="C1368" t="str">
            <v>IASWD2405000981</v>
          </cell>
          <cell r="D1368">
            <v>45440</v>
          </cell>
          <cell r="E1368">
            <v>46410</v>
          </cell>
          <cell r="F1368" t="str">
            <v>82992</v>
          </cell>
          <cell r="G1368" t="str">
            <v>群聯二</v>
          </cell>
          <cell r="H1368">
            <v>200000</v>
          </cell>
          <cell r="I1368">
            <v>2.5</v>
          </cell>
          <cell r="J1368">
            <v>46410</v>
          </cell>
          <cell r="K1368">
            <v>100</v>
          </cell>
          <cell r="L1368">
            <v>46392</v>
          </cell>
          <cell r="M1368">
            <v>-4822</v>
          </cell>
          <cell r="N1368">
            <v>195178</v>
          </cell>
        </row>
        <row r="1369">
          <cell r="A1369">
            <v>24361</v>
          </cell>
          <cell r="B1369">
            <v>1363</v>
          </cell>
          <cell r="C1369" t="str">
            <v>IASWD2405000986</v>
          </cell>
          <cell r="D1369">
            <v>45440</v>
          </cell>
          <cell r="E1369">
            <v>45911</v>
          </cell>
          <cell r="F1369" t="str">
            <v>24361</v>
          </cell>
          <cell r="G1369" t="str">
            <v>偉詮電一</v>
          </cell>
          <cell r="H1369">
            <v>100000</v>
          </cell>
          <cell r="I1369">
            <v>3.75</v>
          </cell>
          <cell r="J1369">
            <v>45911</v>
          </cell>
          <cell r="K1369">
            <v>100.50060000000001</v>
          </cell>
          <cell r="L1369">
            <v>45891</v>
          </cell>
          <cell r="M1369">
            <v>-3616</v>
          </cell>
          <cell r="N1369">
            <v>96384</v>
          </cell>
        </row>
        <row r="1370">
          <cell r="A1370">
            <v>22313</v>
          </cell>
          <cell r="B1370">
            <v>1364</v>
          </cell>
          <cell r="C1370" t="str">
            <v>IASWD2405000990</v>
          </cell>
          <cell r="D1370">
            <v>45440</v>
          </cell>
          <cell r="E1370">
            <v>45898</v>
          </cell>
          <cell r="F1370" t="str">
            <v>22313</v>
          </cell>
          <cell r="G1370" t="str">
            <v>為升三</v>
          </cell>
          <cell r="H1370">
            <v>100000</v>
          </cell>
          <cell r="I1370">
            <v>3.5</v>
          </cell>
          <cell r="J1370">
            <v>45898</v>
          </cell>
          <cell r="K1370">
            <v>101.50749999999999</v>
          </cell>
          <cell r="L1370">
            <v>45880</v>
          </cell>
          <cell r="M1370">
            <v>-3375</v>
          </cell>
          <cell r="N1370">
            <v>96625</v>
          </cell>
        </row>
        <row r="1371">
          <cell r="A1371">
            <v>82992</v>
          </cell>
          <cell r="B1371">
            <v>1365</v>
          </cell>
          <cell r="C1371" t="str">
            <v>IASWD2405000991</v>
          </cell>
          <cell r="D1371">
            <v>45440</v>
          </cell>
          <cell r="E1371">
            <v>46410</v>
          </cell>
          <cell r="F1371" t="str">
            <v>82992</v>
          </cell>
          <cell r="G1371" t="str">
            <v>群聯二</v>
          </cell>
          <cell r="H1371">
            <v>100000</v>
          </cell>
          <cell r="I1371">
            <v>2.5</v>
          </cell>
          <cell r="J1371">
            <v>46410</v>
          </cell>
          <cell r="K1371">
            <v>100</v>
          </cell>
          <cell r="L1371">
            <v>46392</v>
          </cell>
          <cell r="M1371">
            <v>-2411</v>
          </cell>
          <cell r="N1371">
            <v>97589</v>
          </cell>
        </row>
        <row r="1372">
          <cell r="A1372">
            <v>24361</v>
          </cell>
          <cell r="B1372">
            <v>1366</v>
          </cell>
          <cell r="C1372" t="str">
            <v>IASWD2405000992</v>
          </cell>
          <cell r="D1372">
            <v>45440</v>
          </cell>
          <cell r="E1372">
            <v>45911</v>
          </cell>
          <cell r="F1372" t="str">
            <v>24361</v>
          </cell>
          <cell r="G1372" t="str">
            <v>偉詮電一</v>
          </cell>
          <cell r="H1372">
            <v>100000</v>
          </cell>
          <cell r="I1372">
            <v>3.75</v>
          </cell>
          <cell r="J1372">
            <v>45911</v>
          </cell>
          <cell r="K1372">
            <v>100.50060000000001</v>
          </cell>
          <cell r="L1372">
            <v>45891</v>
          </cell>
          <cell r="M1372">
            <v>-3616</v>
          </cell>
          <cell r="N1372">
            <v>96384</v>
          </cell>
        </row>
        <row r="1373">
          <cell r="A1373">
            <v>29061</v>
          </cell>
          <cell r="B1373">
            <v>1367</v>
          </cell>
          <cell r="C1373" t="str">
            <v>IASWD2405000996</v>
          </cell>
          <cell r="D1373">
            <v>45440</v>
          </cell>
          <cell r="E1373">
            <v>45920</v>
          </cell>
          <cell r="F1373" t="str">
            <v>29061</v>
          </cell>
          <cell r="G1373" t="str">
            <v>高林一</v>
          </cell>
          <cell r="H1373">
            <v>100000</v>
          </cell>
          <cell r="I1373">
            <v>3.75</v>
          </cell>
          <cell r="J1373">
            <v>45920</v>
          </cell>
          <cell r="K1373">
            <v>102.01</v>
          </cell>
          <cell r="L1373">
            <v>45902</v>
          </cell>
          <cell r="M1373">
            <v>-3616</v>
          </cell>
          <cell r="N1373">
            <v>96384</v>
          </cell>
        </row>
        <row r="1374">
          <cell r="A1374">
            <v>62744</v>
          </cell>
          <cell r="B1374">
            <v>1368</v>
          </cell>
          <cell r="C1374" t="str">
            <v>IASWD2405001001</v>
          </cell>
          <cell r="D1374">
            <v>45440</v>
          </cell>
          <cell r="E1374">
            <v>46513</v>
          </cell>
          <cell r="F1374" t="str">
            <v>62744</v>
          </cell>
          <cell r="G1374" t="str">
            <v>台燿四</v>
          </cell>
          <cell r="H1374">
            <v>100000</v>
          </cell>
          <cell r="I1374">
            <v>2.5</v>
          </cell>
          <cell r="J1374">
            <v>46513</v>
          </cell>
          <cell r="K1374">
            <v>100</v>
          </cell>
          <cell r="L1374">
            <v>46493</v>
          </cell>
          <cell r="M1374">
            <v>-2411</v>
          </cell>
          <cell r="N1374">
            <v>97589</v>
          </cell>
        </row>
        <row r="1375">
          <cell r="A1375">
            <v>62744</v>
          </cell>
          <cell r="B1375">
            <v>1369</v>
          </cell>
          <cell r="C1375" t="str">
            <v>IASWD2405001002</v>
          </cell>
          <cell r="D1375">
            <v>45440</v>
          </cell>
          <cell r="E1375">
            <v>46513</v>
          </cell>
          <cell r="F1375" t="str">
            <v>62744</v>
          </cell>
          <cell r="G1375" t="str">
            <v>台燿四</v>
          </cell>
          <cell r="H1375">
            <v>200000</v>
          </cell>
          <cell r="I1375">
            <v>2.5</v>
          </cell>
          <cell r="J1375">
            <v>46513</v>
          </cell>
          <cell r="K1375">
            <v>100</v>
          </cell>
          <cell r="L1375">
            <v>46493</v>
          </cell>
          <cell r="M1375">
            <v>-4822</v>
          </cell>
          <cell r="N1375">
            <v>195178</v>
          </cell>
        </row>
        <row r="1376">
          <cell r="A1376">
            <v>99211</v>
          </cell>
          <cell r="B1376">
            <v>1370</v>
          </cell>
          <cell r="C1376" t="str">
            <v>IASWD2405001011</v>
          </cell>
          <cell r="D1376">
            <v>45440</v>
          </cell>
          <cell r="E1376">
            <v>45821</v>
          </cell>
          <cell r="F1376" t="str">
            <v>99211</v>
          </cell>
          <cell r="G1376" t="str">
            <v>巨大一</v>
          </cell>
          <cell r="H1376">
            <v>100000</v>
          </cell>
          <cell r="I1376">
            <v>3</v>
          </cell>
          <cell r="J1376">
            <v>45821</v>
          </cell>
          <cell r="K1376">
            <v>100</v>
          </cell>
          <cell r="L1376">
            <v>45800</v>
          </cell>
          <cell r="M1376">
            <v>-2893</v>
          </cell>
          <cell r="N1376">
            <v>97107</v>
          </cell>
        </row>
        <row r="1377">
          <cell r="A1377">
            <v>82101</v>
          </cell>
          <cell r="B1377">
            <v>1371</v>
          </cell>
          <cell r="C1377" t="str">
            <v>IASWD2405001015</v>
          </cell>
          <cell r="D1377">
            <v>45440</v>
          </cell>
          <cell r="E1377">
            <v>46406</v>
          </cell>
          <cell r="F1377" t="str">
            <v>82101</v>
          </cell>
          <cell r="G1377" t="str">
            <v>勤誠一</v>
          </cell>
          <cell r="H1377">
            <v>200000</v>
          </cell>
          <cell r="I1377">
            <v>2.6</v>
          </cell>
          <cell r="J1377">
            <v>46406</v>
          </cell>
          <cell r="K1377">
            <v>100</v>
          </cell>
          <cell r="L1377">
            <v>46386</v>
          </cell>
          <cell r="M1377">
            <v>-5015</v>
          </cell>
          <cell r="N1377">
            <v>194985</v>
          </cell>
        </row>
        <row r="1378">
          <cell r="A1378">
            <v>22013</v>
          </cell>
          <cell r="B1378">
            <v>1372</v>
          </cell>
          <cell r="C1378" t="str">
            <v>IASWD2405001022</v>
          </cell>
          <cell r="D1378">
            <v>45440</v>
          </cell>
          <cell r="E1378">
            <v>46167</v>
          </cell>
          <cell r="F1378" t="str">
            <v>22013</v>
          </cell>
          <cell r="G1378" t="str">
            <v>裕隆三</v>
          </cell>
          <cell r="H1378">
            <v>100000</v>
          </cell>
          <cell r="I1378">
            <v>3</v>
          </cell>
          <cell r="J1378">
            <v>46167</v>
          </cell>
          <cell r="K1378">
            <v>100.75190000000001</v>
          </cell>
          <cell r="L1378">
            <v>46147</v>
          </cell>
          <cell r="M1378">
            <v>-2893</v>
          </cell>
          <cell r="N1378">
            <v>97107</v>
          </cell>
        </row>
        <row r="1379">
          <cell r="A1379">
            <v>26107</v>
          </cell>
          <cell r="B1379">
            <v>1373</v>
          </cell>
          <cell r="C1379" t="str">
            <v>IASWD2405001023</v>
          </cell>
          <cell r="D1379">
            <v>45440</v>
          </cell>
          <cell r="E1379">
            <v>46140</v>
          </cell>
          <cell r="F1379" t="str">
            <v>26107</v>
          </cell>
          <cell r="G1379" t="str">
            <v>華航七</v>
          </cell>
          <cell r="H1379">
            <v>100000</v>
          </cell>
          <cell r="I1379">
            <v>2.6</v>
          </cell>
          <cell r="J1379">
            <v>46140</v>
          </cell>
          <cell r="K1379">
            <v>100</v>
          </cell>
          <cell r="L1379">
            <v>46120</v>
          </cell>
          <cell r="M1379">
            <v>-2507</v>
          </cell>
          <cell r="N1379">
            <v>97493</v>
          </cell>
        </row>
        <row r="1380">
          <cell r="A1380">
            <v>82992</v>
          </cell>
          <cell r="B1380">
            <v>1374</v>
          </cell>
          <cell r="C1380" t="str">
            <v>IASWD2405001025</v>
          </cell>
          <cell r="D1380">
            <v>45440</v>
          </cell>
          <cell r="E1380">
            <v>46410</v>
          </cell>
          <cell r="F1380" t="str">
            <v>82992</v>
          </cell>
          <cell r="G1380" t="str">
            <v>群聯二</v>
          </cell>
          <cell r="H1380">
            <v>100000</v>
          </cell>
          <cell r="I1380">
            <v>2.5</v>
          </cell>
          <cell r="J1380">
            <v>46410</v>
          </cell>
          <cell r="K1380">
            <v>100</v>
          </cell>
          <cell r="L1380">
            <v>46392</v>
          </cell>
          <cell r="M1380">
            <v>-2411</v>
          </cell>
          <cell r="N1380">
            <v>97589</v>
          </cell>
        </row>
        <row r="1381">
          <cell r="A1381">
            <v>29061</v>
          </cell>
          <cell r="B1381">
            <v>1375</v>
          </cell>
          <cell r="C1381" t="str">
            <v>IASWD2405001028</v>
          </cell>
          <cell r="D1381">
            <v>45440</v>
          </cell>
          <cell r="E1381">
            <v>45920</v>
          </cell>
          <cell r="F1381" t="str">
            <v>29061</v>
          </cell>
          <cell r="G1381" t="str">
            <v>高林一</v>
          </cell>
          <cell r="H1381">
            <v>200000</v>
          </cell>
          <cell r="I1381">
            <v>3.75</v>
          </cell>
          <cell r="J1381">
            <v>45920</v>
          </cell>
          <cell r="K1381">
            <v>102.01</v>
          </cell>
          <cell r="L1381">
            <v>45902</v>
          </cell>
          <cell r="M1381">
            <v>-7233</v>
          </cell>
          <cell r="N1381">
            <v>192767</v>
          </cell>
        </row>
        <row r="1382">
          <cell r="A1382">
            <v>34163</v>
          </cell>
          <cell r="B1382">
            <v>1376</v>
          </cell>
          <cell r="C1382" t="str">
            <v>IASWD2405001029</v>
          </cell>
          <cell r="D1382">
            <v>45440</v>
          </cell>
          <cell r="E1382">
            <v>46047</v>
          </cell>
          <cell r="F1382" t="str">
            <v>34163</v>
          </cell>
          <cell r="G1382" t="str">
            <v>融程電三</v>
          </cell>
          <cell r="H1382">
            <v>100000</v>
          </cell>
          <cell r="I1382">
            <v>3</v>
          </cell>
          <cell r="J1382">
            <v>46047</v>
          </cell>
          <cell r="K1382">
            <v>100.5</v>
          </cell>
          <cell r="L1382">
            <v>46028</v>
          </cell>
          <cell r="M1382">
            <v>-2893</v>
          </cell>
          <cell r="N1382">
            <v>97107</v>
          </cell>
        </row>
        <row r="1383">
          <cell r="A1383">
            <v>35266</v>
          </cell>
          <cell r="B1383">
            <v>1377</v>
          </cell>
          <cell r="C1383" t="str">
            <v>IASWD2405001030</v>
          </cell>
          <cell r="D1383">
            <v>45440</v>
          </cell>
          <cell r="E1383">
            <v>46416</v>
          </cell>
          <cell r="F1383" t="str">
            <v>35266</v>
          </cell>
          <cell r="G1383" t="str">
            <v>凡甲六</v>
          </cell>
          <cell r="H1383">
            <v>100000</v>
          </cell>
          <cell r="I1383">
            <v>3.5</v>
          </cell>
          <cell r="J1383">
            <v>46416</v>
          </cell>
          <cell r="K1383">
            <v>100</v>
          </cell>
          <cell r="L1383">
            <v>46398</v>
          </cell>
          <cell r="M1383">
            <v>-3375</v>
          </cell>
          <cell r="N1383">
            <v>96625</v>
          </cell>
        </row>
        <row r="1384">
          <cell r="A1384">
            <v>62843</v>
          </cell>
          <cell r="B1384">
            <v>1378</v>
          </cell>
          <cell r="C1384" t="str">
            <v>IASWD2405001031</v>
          </cell>
          <cell r="D1384">
            <v>45440</v>
          </cell>
          <cell r="E1384">
            <v>46005</v>
          </cell>
          <cell r="F1384" t="str">
            <v>62843</v>
          </cell>
          <cell r="G1384" t="str">
            <v>佳邦三</v>
          </cell>
          <cell r="H1384">
            <v>100000</v>
          </cell>
          <cell r="I1384">
            <v>2.7</v>
          </cell>
          <cell r="J1384">
            <v>46005</v>
          </cell>
          <cell r="K1384">
            <v>100</v>
          </cell>
          <cell r="L1384">
            <v>45986</v>
          </cell>
          <cell r="M1384">
            <v>-2604</v>
          </cell>
          <cell r="N1384">
            <v>97396</v>
          </cell>
        </row>
        <row r="1385">
          <cell r="A1385">
            <v>29061</v>
          </cell>
          <cell r="B1385">
            <v>1379</v>
          </cell>
          <cell r="C1385" t="str">
            <v>IASWD2405001032</v>
          </cell>
          <cell r="D1385">
            <v>45440</v>
          </cell>
          <cell r="E1385">
            <v>45920</v>
          </cell>
          <cell r="F1385" t="str">
            <v>29061</v>
          </cell>
          <cell r="G1385" t="str">
            <v>高林一</v>
          </cell>
          <cell r="H1385">
            <v>1000000</v>
          </cell>
          <cell r="I1385">
            <v>3.75</v>
          </cell>
          <cell r="J1385">
            <v>45920</v>
          </cell>
          <cell r="K1385">
            <v>102.01</v>
          </cell>
          <cell r="L1385">
            <v>45902</v>
          </cell>
          <cell r="M1385">
            <v>-36164</v>
          </cell>
          <cell r="N1385">
            <v>963836</v>
          </cell>
        </row>
        <row r="1386">
          <cell r="A1386">
            <v>24361</v>
          </cell>
          <cell r="B1386">
            <v>1380</v>
          </cell>
          <cell r="C1386" t="str">
            <v>IASWD2405001033</v>
          </cell>
          <cell r="D1386">
            <v>45440</v>
          </cell>
          <cell r="E1386">
            <v>45911</v>
          </cell>
          <cell r="F1386" t="str">
            <v>24361</v>
          </cell>
          <cell r="G1386" t="str">
            <v>偉詮電一</v>
          </cell>
          <cell r="H1386">
            <v>200000</v>
          </cell>
          <cell r="I1386">
            <v>3.75</v>
          </cell>
          <cell r="J1386">
            <v>45911</v>
          </cell>
          <cell r="K1386">
            <v>100.50060000000001</v>
          </cell>
          <cell r="L1386">
            <v>45891</v>
          </cell>
          <cell r="M1386">
            <v>-7233</v>
          </cell>
          <cell r="N1386">
            <v>192767</v>
          </cell>
        </row>
        <row r="1387">
          <cell r="A1387">
            <v>62843</v>
          </cell>
          <cell r="B1387">
            <v>1381</v>
          </cell>
          <cell r="C1387" t="str">
            <v>IASWD2405001035</v>
          </cell>
          <cell r="D1387">
            <v>45440</v>
          </cell>
          <cell r="E1387">
            <v>46005</v>
          </cell>
          <cell r="F1387" t="str">
            <v>62843</v>
          </cell>
          <cell r="G1387" t="str">
            <v>佳邦三</v>
          </cell>
          <cell r="H1387">
            <v>200000</v>
          </cell>
          <cell r="I1387">
            <v>2.7</v>
          </cell>
          <cell r="J1387">
            <v>46005</v>
          </cell>
          <cell r="K1387">
            <v>100</v>
          </cell>
          <cell r="L1387">
            <v>45986</v>
          </cell>
          <cell r="M1387">
            <v>-5208</v>
          </cell>
          <cell r="N1387">
            <v>194792</v>
          </cell>
        </row>
        <row r="1388">
          <cell r="A1388">
            <v>22313</v>
          </cell>
          <cell r="B1388">
            <v>1382</v>
          </cell>
          <cell r="C1388" t="str">
            <v>IASWD2405001037</v>
          </cell>
          <cell r="D1388">
            <v>45440</v>
          </cell>
          <cell r="E1388">
            <v>45898</v>
          </cell>
          <cell r="F1388" t="str">
            <v>22313</v>
          </cell>
          <cell r="G1388" t="str">
            <v>為升三</v>
          </cell>
          <cell r="H1388">
            <v>500000</v>
          </cell>
          <cell r="I1388">
            <v>3.5</v>
          </cell>
          <cell r="J1388">
            <v>45898</v>
          </cell>
          <cell r="K1388">
            <v>101.50749999999999</v>
          </cell>
          <cell r="L1388">
            <v>45880</v>
          </cell>
          <cell r="M1388">
            <v>-16877</v>
          </cell>
          <cell r="N1388">
            <v>483123</v>
          </cell>
        </row>
        <row r="1389">
          <cell r="A1389">
            <v>82992</v>
          </cell>
          <cell r="B1389">
            <v>1383</v>
          </cell>
          <cell r="C1389" t="str">
            <v>IASWD2405001041</v>
          </cell>
          <cell r="D1389">
            <v>45440</v>
          </cell>
          <cell r="E1389">
            <v>46410</v>
          </cell>
          <cell r="F1389" t="str">
            <v>82992</v>
          </cell>
          <cell r="G1389" t="str">
            <v>群聯二</v>
          </cell>
          <cell r="H1389">
            <v>300000</v>
          </cell>
          <cell r="I1389">
            <v>2.5</v>
          </cell>
          <cell r="J1389">
            <v>46410</v>
          </cell>
          <cell r="K1389">
            <v>100</v>
          </cell>
          <cell r="L1389">
            <v>46392</v>
          </cell>
          <cell r="M1389">
            <v>-7233</v>
          </cell>
          <cell r="N1389">
            <v>292767</v>
          </cell>
        </row>
        <row r="1390">
          <cell r="A1390">
            <v>24762</v>
          </cell>
          <cell r="B1390">
            <v>1384</v>
          </cell>
          <cell r="C1390" t="str">
            <v>IASWD2405001042</v>
          </cell>
          <cell r="D1390">
            <v>45440</v>
          </cell>
          <cell r="E1390">
            <v>46413</v>
          </cell>
          <cell r="F1390" t="str">
            <v>24762</v>
          </cell>
          <cell r="G1390" t="str">
            <v>鉅祥二</v>
          </cell>
          <cell r="H1390">
            <v>500000</v>
          </cell>
          <cell r="I1390">
            <v>2.6</v>
          </cell>
          <cell r="J1390">
            <v>46413</v>
          </cell>
          <cell r="K1390">
            <v>100</v>
          </cell>
          <cell r="L1390">
            <v>46393</v>
          </cell>
          <cell r="M1390">
            <v>-12537</v>
          </cell>
          <cell r="N1390">
            <v>487463</v>
          </cell>
        </row>
        <row r="1391">
          <cell r="A1391">
            <v>22313</v>
          </cell>
          <cell r="B1391">
            <v>1385</v>
          </cell>
          <cell r="C1391" t="str">
            <v>IASWD2405001043</v>
          </cell>
          <cell r="D1391">
            <v>45440</v>
          </cell>
          <cell r="E1391">
            <v>45898</v>
          </cell>
          <cell r="F1391" t="str">
            <v>22313</v>
          </cell>
          <cell r="G1391" t="str">
            <v>為升三</v>
          </cell>
          <cell r="H1391">
            <v>300000</v>
          </cell>
          <cell r="I1391">
            <v>3.5</v>
          </cell>
          <cell r="J1391">
            <v>45898</v>
          </cell>
          <cell r="K1391">
            <v>101.50749999999999</v>
          </cell>
          <cell r="L1391">
            <v>45880</v>
          </cell>
          <cell r="M1391">
            <v>-10126</v>
          </cell>
          <cell r="N1391">
            <v>289874</v>
          </cell>
        </row>
        <row r="1392">
          <cell r="A1392">
            <v>62744</v>
          </cell>
          <cell r="B1392">
            <v>1386</v>
          </cell>
          <cell r="C1392" t="str">
            <v>IASWD2405001044</v>
          </cell>
          <cell r="D1392">
            <v>45440</v>
          </cell>
          <cell r="E1392">
            <v>46513</v>
          </cell>
          <cell r="F1392" t="str">
            <v>62744</v>
          </cell>
          <cell r="G1392" t="str">
            <v>台燿四</v>
          </cell>
          <cell r="H1392">
            <v>100000</v>
          </cell>
          <cell r="I1392">
            <v>2.5</v>
          </cell>
          <cell r="J1392">
            <v>46513</v>
          </cell>
          <cell r="K1392">
            <v>100</v>
          </cell>
          <cell r="L1392">
            <v>46493</v>
          </cell>
          <cell r="M1392">
            <v>-2411</v>
          </cell>
          <cell r="N1392">
            <v>97589</v>
          </cell>
        </row>
        <row r="1393">
          <cell r="A1393">
            <v>30061</v>
          </cell>
          <cell r="B1393">
            <v>1387</v>
          </cell>
          <cell r="C1393" t="str">
            <v>IASWD2405001045</v>
          </cell>
          <cell r="D1393">
            <v>45440</v>
          </cell>
          <cell r="E1393">
            <v>46322</v>
          </cell>
          <cell r="F1393" t="str">
            <v>30061</v>
          </cell>
          <cell r="G1393" t="str">
            <v>晶豪科一</v>
          </cell>
          <cell r="H1393">
            <v>300000</v>
          </cell>
          <cell r="I1393">
            <v>3.75</v>
          </cell>
          <cell r="J1393">
            <v>46322</v>
          </cell>
          <cell r="K1393">
            <v>100</v>
          </cell>
          <cell r="L1393">
            <v>46302</v>
          </cell>
          <cell r="M1393">
            <v>-10849</v>
          </cell>
          <cell r="N1393">
            <v>289151</v>
          </cell>
        </row>
        <row r="1394">
          <cell r="A1394">
            <v>53887</v>
          </cell>
          <cell r="B1394">
            <v>1388</v>
          </cell>
          <cell r="C1394" t="str">
            <v>IASWD2405001048</v>
          </cell>
          <cell r="D1394">
            <v>45440</v>
          </cell>
          <cell r="E1394">
            <v>46362</v>
          </cell>
          <cell r="F1394" t="str">
            <v>53887</v>
          </cell>
          <cell r="G1394" t="str">
            <v>中磊七</v>
          </cell>
          <cell r="H1394">
            <v>200000</v>
          </cell>
          <cell r="I1394">
            <v>2.7</v>
          </cell>
          <cell r="J1394">
            <v>46362</v>
          </cell>
          <cell r="K1394">
            <v>100</v>
          </cell>
          <cell r="L1394">
            <v>46343</v>
          </cell>
          <cell r="M1394">
            <v>-5208</v>
          </cell>
          <cell r="N1394">
            <v>194792</v>
          </cell>
        </row>
        <row r="1395">
          <cell r="A1395">
            <v>82992</v>
          </cell>
          <cell r="B1395">
            <v>1389</v>
          </cell>
          <cell r="C1395" t="str">
            <v>IASWD2405001049</v>
          </cell>
          <cell r="D1395">
            <v>45440</v>
          </cell>
          <cell r="E1395">
            <v>46410</v>
          </cell>
          <cell r="F1395" t="str">
            <v>82992</v>
          </cell>
          <cell r="G1395" t="str">
            <v>群聯二</v>
          </cell>
          <cell r="H1395">
            <v>1900000</v>
          </cell>
          <cell r="I1395">
            <v>2.5</v>
          </cell>
          <cell r="J1395">
            <v>46410</v>
          </cell>
          <cell r="K1395">
            <v>100</v>
          </cell>
          <cell r="L1395">
            <v>46392</v>
          </cell>
          <cell r="M1395">
            <v>-45808</v>
          </cell>
          <cell r="N1395">
            <v>1854192</v>
          </cell>
        </row>
        <row r="1396">
          <cell r="A1396">
            <v>22313</v>
          </cell>
          <cell r="B1396">
            <v>1390</v>
          </cell>
          <cell r="C1396" t="str">
            <v>IASWD2405001050</v>
          </cell>
          <cell r="D1396">
            <v>45440</v>
          </cell>
          <cell r="E1396">
            <v>45898</v>
          </cell>
          <cell r="F1396" t="str">
            <v>22313</v>
          </cell>
          <cell r="G1396" t="str">
            <v>為升三</v>
          </cell>
          <cell r="H1396">
            <v>700000</v>
          </cell>
          <cell r="I1396">
            <v>3.5</v>
          </cell>
          <cell r="J1396">
            <v>45898</v>
          </cell>
          <cell r="K1396">
            <v>101.50749999999999</v>
          </cell>
          <cell r="L1396">
            <v>45880</v>
          </cell>
          <cell r="M1396">
            <v>-23627</v>
          </cell>
          <cell r="N1396">
            <v>676373</v>
          </cell>
        </row>
        <row r="1397">
          <cell r="A1397">
            <v>62744</v>
          </cell>
          <cell r="B1397">
            <v>1391</v>
          </cell>
          <cell r="C1397" t="str">
            <v>IASWD2405001051</v>
          </cell>
          <cell r="D1397">
            <v>45440</v>
          </cell>
          <cell r="E1397">
            <v>46513</v>
          </cell>
          <cell r="F1397" t="str">
            <v>62744</v>
          </cell>
          <cell r="G1397" t="str">
            <v>台燿四</v>
          </cell>
          <cell r="H1397">
            <v>100000</v>
          </cell>
          <cell r="I1397">
            <v>2.5</v>
          </cell>
          <cell r="J1397">
            <v>46513</v>
          </cell>
          <cell r="K1397">
            <v>100</v>
          </cell>
          <cell r="L1397">
            <v>46493</v>
          </cell>
          <cell r="M1397">
            <v>-2411</v>
          </cell>
          <cell r="N1397">
            <v>97589</v>
          </cell>
        </row>
        <row r="1398">
          <cell r="A1398">
            <v>26107</v>
          </cell>
          <cell r="B1398">
            <v>1392</v>
          </cell>
          <cell r="C1398" t="str">
            <v>IASWD2405001053</v>
          </cell>
          <cell r="D1398">
            <v>45440</v>
          </cell>
          <cell r="E1398">
            <v>46140</v>
          </cell>
          <cell r="F1398" t="str">
            <v>26107</v>
          </cell>
          <cell r="G1398" t="str">
            <v>華航七</v>
          </cell>
          <cell r="H1398">
            <v>200000</v>
          </cell>
          <cell r="I1398">
            <v>2.6</v>
          </cell>
          <cell r="J1398">
            <v>46140</v>
          </cell>
          <cell r="K1398">
            <v>100</v>
          </cell>
          <cell r="L1398">
            <v>46120</v>
          </cell>
          <cell r="M1398">
            <v>-5015</v>
          </cell>
          <cell r="N1398">
            <v>194985</v>
          </cell>
        </row>
        <row r="1399">
          <cell r="A1399">
            <v>82992</v>
          </cell>
          <cell r="B1399">
            <v>1393</v>
          </cell>
          <cell r="C1399" t="str">
            <v>IASWD2405001057</v>
          </cell>
          <cell r="D1399">
            <v>45440</v>
          </cell>
          <cell r="E1399">
            <v>46410</v>
          </cell>
          <cell r="F1399" t="str">
            <v>82992</v>
          </cell>
          <cell r="G1399" t="str">
            <v>群聯二</v>
          </cell>
          <cell r="H1399">
            <v>1000000</v>
          </cell>
          <cell r="I1399">
            <v>2.5</v>
          </cell>
          <cell r="J1399">
            <v>46410</v>
          </cell>
          <cell r="K1399">
            <v>100</v>
          </cell>
          <cell r="L1399">
            <v>46392</v>
          </cell>
          <cell r="M1399">
            <v>-24110</v>
          </cell>
          <cell r="N1399">
            <v>975890</v>
          </cell>
        </row>
        <row r="1400">
          <cell r="A1400">
            <v>29061</v>
          </cell>
          <cell r="B1400">
            <v>1394</v>
          </cell>
          <cell r="C1400" t="str">
            <v>IASWD2405001059</v>
          </cell>
          <cell r="D1400">
            <v>45440</v>
          </cell>
          <cell r="E1400">
            <v>45920</v>
          </cell>
          <cell r="F1400" t="str">
            <v>29061</v>
          </cell>
          <cell r="G1400" t="str">
            <v>高林一</v>
          </cell>
          <cell r="H1400">
            <v>100000</v>
          </cell>
          <cell r="I1400">
            <v>3.75</v>
          </cell>
          <cell r="J1400">
            <v>45920</v>
          </cell>
          <cell r="K1400">
            <v>102.01</v>
          </cell>
          <cell r="L1400">
            <v>45902</v>
          </cell>
          <cell r="M1400">
            <v>-3616</v>
          </cell>
          <cell r="N1400">
            <v>96384</v>
          </cell>
        </row>
        <row r="1401">
          <cell r="A1401">
            <v>23682</v>
          </cell>
          <cell r="B1401">
            <v>1395</v>
          </cell>
          <cell r="C1401" t="str">
            <v>IASWD2405001060</v>
          </cell>
          <cell r="D1401">
            <v>45440</v>
          </cell>
          <cell r="E1401">
            <v>46361</v>
          </cell>
          <cell r="F1401" t="str">
            <v>23682</v>
          </cell>
          <cell r="G1401" t="str">
            <v>金像電二</v>
          </cell>
          <cell r="H1401">
            <v>100000</v>
          </cell>
          <cell r="I1401">
            <v>2.6</v>
          </cell>
          <cell r="J1401">
            <v>46361</v>
          </cell>
          <cell r="K1401">
            <v>100</v>
          </cell>
          <cell r="L1401">
            <v>46343</v>
          </cell>
          <cell r="M1401">
            <v>-2507</v>
          </cell>
          <cell r="N1401">
            <v>97493</v>
          </cell>
        </row>
        <row r="1402">
          <cell r="A1402">
            <v>23682</v>
          </cell>
          <cell r="B1402">
            <v>1396</v>
          </cell>
          <cell r="C1402" t="str">
            <v>IASWD2405001061</v>
          </cell>
          <cell r="D1402">
            <v>45440</v>
          </cell>
          <cell r="E1402">
            <v>46361</v>
          </cell>
          <cell r="F1402" t="str">
            <v>23682</v>
          </cell>
          <cell r="G1402" t="str">
            <v>金像電二</v>
          </cell>
          <cell r="H1402">
            <v>600000</v>
          </cell>
          <cell r="I1402">
            <v>2.6</v>
          </cell>
          <cell r="J1402">
            <v>46361</v>
          </cell>
          <cell r="K1402">
            <v>100</v>
          </cell>
          <cell r="L1402">
            <v>46343</v>
          </cell>
          <cell r="M1402">
            <v>-15044</v>
          </cell>
          <cell r="N1402">
            <v>584956</v>
          </cell>
        </row>
        <row r="1403">
          <cell r="A1403">
            <v>84221</v>
          </cell>
          <cell r="B1403">
            <v>1397</v>
          </cell>
          <cell r="C1403" t="str">
            <v>IASWD2405001064</v>
          </cell>
          <cell r="D1403">
            <v>45440</v>
          </cell>
          <cell r="E1403">
            <v>45983</v>
          </cell>
          <cell r="F1403" t="str">
            <v>84221</v>
          </cell>
          <cell r="G1403" t="str">
            <v>可寧衛一</v>
          </cell>
          <cell r="H1403">
            <v>100000</v>
          </cell>
          <cell r="I1403">
            <v>2.8</v>
          </cell>
          <cell r="J1403">
            <v>45983</v>
          </cell>
          <cell r="K1403">
            <v>100.75190000000001</v>
          </cell>
          <cell r="L1403">
            <v>45965</v>
          </cell>
          <cell r="M1403">
            <v>-2700</v>
          </cell>
          <cell r="N1403">
            <v>97300</v>
          </cell>
        </row>
        <row r="1404">
          <cell r="A1404">
            <v>29061</v>
          </cell>
          <cell r="B1404">
            <v>1398</v>
          </cell>
          <cell r="C1404" t="str">
            <v>IASWD2405001066</v>
          </cell>
          <cell r="D1404">
            <v>45440</v>
          </cell>
          <cell r="E1404">
            <v>45920</v>
          </cell>
          <cell r="F1404" t="str">
            <v>29061</v>
          </cell>
          <cell r="G1404" t="str">
            <v>高林一</v>
          </cell>
          <cell r="H1404">
            <v>200000</v>
          </cell>
          <cell r="I1404">
            <v>3.75</v>
          </cell>
          <cell r="J1404">
            <v>45920</v>
          </cell>
          <cell r="K1404">
            <v>102.01</v>
          </cell>
          <cell r="L1404">
            <v>45902</v>
          </cell>
          <cell r="M1404">
            <v>-7233</v>
          </cell>
          <cell r="N1404">
            <v>192767</v>
          </cell>
        </row>
        <row r="1405">
          <cell r="A1405">
            <v>45553</v>
          </cell>
          <cell r="B1405">
            <v>1399</v>
          </cell>
          <cell r="C1405" t="str">
            <v>IASWD2405001067</v>
          </cell>
          <cell r="D1405">
            <v>45440</v>
          </cell>
          <cell r="E1405">
            <v>45905</v>
          </cell>
          <cell r="F1405" t="str">
            <v>45553</v>
          </cell>
          <cell r="G1405" t="str">
            <v>氣立三</v>
          </cell>
          <cell r="H1405">
            <v>500000</v>
          </cell>
          <cell r="I1405">
            <v>2.2000000000000002</v>
          </cell>
          <cell r="J1405">
            <v>45905</v>
          </cell>
          <cell r="K1405">
            <v>100</v>
          </cell>
          <cell r="L1405">
            <v>45887</v>
          </cell>
          <cell r="M1405">
            <v>-10608</v>
          </cell>
          <cell r="N1405">
            <v>489392</v>
          </cell>
        </row>
        <row r="1406">
          <cell r="A1406">
            <v>23682</v>
          </cell>
          <cell r="B1406">
            <v>1400</v>
          </cell>
          <cell r="C1406" t="str">
            <v>IASWD2405001070</v>
          </cell>
          <cell r="D1406">
            <v>45440</v>
          </cell>
          <cell r="E1406">
            <v>46361</v>
          </cell>
          <cell r="F1406" t="str">
            <v>23682</v>
          </cell>
          <cell r="G1406" t="str">
            <v>金像電二</v>
          </cell>
          <cell r="H1406">
            <v>200000</v>
          </cell>
          <cell r="I1406">
            <v>2.6</v>
          </cell>
          <cell r="J1406">
            <v>46361</v>
          </cell>
          <cell r="K1406">
            <v>100</v>
          </cell>
          <cell r="L1406">
            <v>46343</v>
          </cell>
          <cell r="M1406">
            <v>-5015</v>
          </cell>
          <cell r="N1406">
            <v>194985</v>
          </cell>
        </row>
        <row r="1407">
          <cell r="A1407">
            <v>82101</v>
          </cell>
          <cell r="B1407">
            <v>1401</v>
          </cell>
          <cell r="C1407" t="str">
            <v>IASWD2405001076</v>
          </cell>
          <cell r="D1407">
            <v>45440</v>
          </cell>
          <cell r="E1407">
            <v>46406</v>
          </cell>
          <cell r="F1407" t="str">
            <v>82101</v>
          </cell>
          <cell r="G1407" t="str">
            <v>勤誠一</v>
          </cell>
          <cell r="H1407">
            <v>100000</v>
          </cell>
          <cell r="I1407">
            <v>2.6</v>
          </cell>
          <cell r="J1407">
            <v>46406</v>
          </cell>
          <cell r="K1407">
            <v>100</v>
          </cell>
          <cell r="L1407">
            <v>46386</v>
          </cell>
          <cell r="M1407">
            <v>-2507</v>
          </cell>
          <cell r="N1407">
            <v>97493</v>
          </cell>
        </row>
        <row r="1408">
          <cell r="A1408">
            <v>24361</v>
          </cell>
          <cell r="B1408">
            <v>1402</v>
          </cell>
          <cell r="C1408" t="str">
            <v>IASWD2405001081</v>
          </cell>
          <cell r="D1408">
            <v>45440</v>
          </cell>
          <cell r="E1408">
            <v>45911</v>
          </cell>
          <cell r="F1408" t="str">
            <v>24361</v>
          </cell>
          <cell r="G1408" t="str">
            <v>偉詮電一</v>
          </cell>
          <cell r="H1408">
            <v>100000</v>
          </cell>
          <cell r="I1408">
            <v>3.75</v>
          </cell>
          <cell r="J1408">
            <v>45911</v>
          </cell>
          <cell r="K1408">
            <v>100.50060000000001</v>
          </cell>
          <cell r="L1408">
            <v>45891</v>
          </cell>
          <cell r="M1408">
            <v>-3616</v>
          </cell>
          <cell r="N1408">
            <v>96384</v>
          </cell>
        </row>
        <row r="1409">
          <cell r="A1409">
            <v>35266</v>
          </cell>
          <cell r="B1409">
            <v>1403</v>
          </cell>
          <cell r="C1409" t="str">
            <v>IASWD2405001084</v>
          </cell>
          <cell r="D1409">
            <v>45440</v>
          </cell>
          <cell r="E1409">
            <v>46416</v>
          </cell>
          <cell r="F1409" t="str">
            <v>35266</v>
          </cell>
          <cell r="G1409" t="str">
            <v>凡甲六</v>
          </cell>
          <cell r="H1409">
            <v>100000</v>
          </cell>
          <cell r="I1409">
            <v>3.5</v>
          </cell>
          <cell r="J1409">
            <v>46416</v>
          </cell>
          <cell r="K1409">
            <v>100</v>
          </cell>
          <cell r="L1409">
            <v>46398</v>
          </cell>
          <cell r="M1409">
            <v>-3375</v>
          </cell>
          <cell r="N1409">
            <v>96625</v>
          </cell>
        </row>
        <row r="1410">
          <cell r="A1410">
            <v>23682</v>
          </cell>
          <cell r="B1410">
            <v>1404</v>
          </cell>
          <cell r="C1410" t="str">
            <v>IASWD2405001085</v>
          </cell>
          <cell r="D1410">
            <v>45440</v>
          </cell>
          <cell r="E1410">
            <v>46361</v>
          </cell>
          <cell r="F1410" t="str">
            <v>23682</v>
          </cell>
          <cell r="G1410" t="str">
            <v>金像電二</v>
          </cell>
          <cell r="H1410">
            <v>200000</v>
          </cell>
          <cell r="I1410">
            <v>2.6</v>
          </cell>
          <cell r="J1410">
            <v>46361</v>
          </cell>
          <cell r="K1410">
            <v>100</v>
          </cell>
          <cell r="L1410">
            <v>46343</v>
          </cell>
          <cell r="M1410">
            <v>-5015</v>
          </cell>
          <cell r="N1410">
            <v>194985</v>
          </cell>
        </row>
        <row r="1411">
          <cell r="A1411">
            <v>53887</v>
          </cell>
          <cell r="B1411">
            <v>1405</v>
          </cell>
          <cell r="C1411" t="str">
            <v>IASWD2405001087</v>
          </cell>
          <cell r="D1411">
            <v>45440</v>
          </cell>
          <cell r="E1411">
            <v>46362</v>
          </cell>
          <cell r="F1411" t="str">
            <v>53887</v>
          </cell>
          <cell r="G1411" t="str">
            <v>中磊七</v>
          </cell>
          <cell r="H1411">
            <v>1000000</v>
          </cell>
          <cell r="I1411">
            <v>2.7</v>
          </cell>
          <cell r="J1411">
            <v>46362</v>
          </cell>
          <cell r="K1411">
            <v>100</v>
          </cell>
          <cell r="L1411">
            <v>46343</v>
          </cell>
          <cell r="M1411">
            <v>-26038</v>
          </cell>
          <cell r="N1411">
            <v>973962</v>
          </cell>
        </row>
        <row r="1412">
          <cell r="A1412">
            <v>82992</v>
          </cell>
          <cell r="B1412">
            <v>1406</v>
          </cell>
          <cell r="C1412" t="str">
            <v>IASWD2405001089</v>
          </cell>
          <cell r="D1412">
            <v>45440</v>
          </cell>
          <cell r="E1412">
            <v>46410</v>
          </cell>
          <cell r="F1412" t="str">
            <v>82992</v>
          </cell>
          <cell r="G1412" t="str">
            <v>群聯二</v>
          </cell>
          <cell r="H1412">
            <v>100000</v>
          </cell>
          <cell r="I1412">
            <v>2.5</v>
          </cell>
          <cell r="J1412">
            <v>46410</v>
          </cell>
          <cell r="K1412">
            <v>100</v>
          </cell>
          <cell r="L1412">
            <v>46392</v>
          </cell>
          <cell r="M1412">
            <v>-2411</v>
          </cell>
          <cell r="N1412">
            <v>97589</v>
          </cell>
        </row>
        <row r="1413">
          <cell r="A1413">
            <v>53064</v>
          </cell>
          <cell r="B1413">
            <v>1407</v>
          </cell>
          <cell r="C1413" t="str">
            <v>IASWD2405001092</v>
          </cell>
          <cell r="D1413">
            <v>45440</v>
          </cell>
          <cell r="E1413">
            <v>46334</v>
          </cell>
          <cell r="F1413" t="str">
            <v>53064</v>
          </cell>
          <cell r="G1413" t="str">
            <v>桂盟四</v>
          </cell>
          <cell r="H1413">
            <v>100000</v>
          </cell>
          <cell r="I1413">
            <v>2.2000000000000002</v>
          </cell>
          <cell r="J1413">
            <v>46334</v>
          </cell>
          <cell r="K1413">
            <v>100</v>
          </cell>
          <cell r="L1413">
            <v>46315</v>
          </cell>
          <cell r="M1413">
            <v>-2122</v>
          </cell>
          <cell r="N1413">
            <v>97878</v>
          </cell>
        </row>
        <row r="1414">
          <cell r="A1414">
            <v>34163</v>
          </cell>
          <cell r="B1414">
            <v>1408</v>
          </cell>
          <cell r="C1414" t="str">
            <v>IASWD2405001094</v>
          </cell>
          <cell r="D1414">
            <v>45440</v>
          </cell>
          <cell r="E1414">
            <v>46047</v>
          </cell>
          <cell r="F1414" t="str">
            <v>34163</v>
          </cell>
          <cell r="G1414" t="str">
            <v>融程電三</v>
          </cell>
          <cell r="H1414">
            <v>300000</v>
          </cell>
          <cell r="I1414">
            <v>3</v>
          </cell>
          <cell r="J1414">
            <v>46047</v>
          </cell>
          <cell r="K1414">
            <v>100.5</v>
          </cell>
          <cell r="L1414">
            <v>46028</v>
          </cell>
          <cell r="M1414">
            <v>-8679</v>
          </cell>
          <cell r="N1414">
            <v>291321</v>
          </cell>
        </row>
        <row r="1415">
          <cell r="A1415">
            <v>24762</v>
          </cell>
          <cell r="B1415">
            <v>1409</v>
          </cell>
          <cell r="C1415" t="str">
            <v>IASWD2405001095</v>
          </cell>
          <cell r="D1415">
            <v>45440</v>
          </cell>
          <cell r="E1415">
            <v>46413</v>
          </cell>
          <cell r="F1415" t="str">
            <v>24762</v>
          </cell>
          <cell r="G1415" t="str">
            <v>鉅祥二</v>
          </cell>
          <cell r="H1415">
            <v>200000</v>
          </cell>
          <cell r="I1415">
            <v>2.6</v>
          </cell>
          <cell r="J1415">
            <v>46413</v>
          </cell>
          <cell r="K1415">
            <v>100</v>
          </cell>
          <cell r="L1415">
            <v>46393</v>
          </cell>
          <cell r="M1415">
            <v>-5015</v>
          </cell>
          <cell r="N1415">
            <v>194985</v>
          </cell>
        </row>
        <row r="1416">
          <cell r="A1416">
            <v>82101</v>
          </cell>
          <cell r="B1416">
            <v>1410</v>
          </cell>
          <cell r="C1416" t="str">
            <v>IASWD2405001099</v>
          </cell>
          <cell r="D1416">
            <v>45440</v>
          </cell>
          <cell r="E1416">
            <v>46406</v>
          </cell>
          <cell r="F1416" t="str">
            <v>82101</v>
          </cell>
          <cell r="G1416" t="str">
            <v>勤誠一</v>
          </cell>
          <cell r="H1416">
            <v>100000</v>
          </cell>
          <cell r="I1416">
            <v>2.6</v>
          </cell>
          <cell r="J1416">
            <v>46406</v>
          </cell>
          <cell r="K1416">
            <v>100</v>
          </cell>
          <cell r="L1416">
            <v>46386</v>
          </cell>
          <cell r="M1416">
            <v>-2507</v>
          </cell>
          <cell r="N1416">
            <v>97493</v>
          </cell>
        </row>
        <row r="1417">
          <cell r="A1417">
            <v>24361</v>
          </cell>
          <cell r="B1417">
            <v>1411</v>
          </cell>
          <cell r="C1417" t="str">
            <v>IASWD2405001100</v>
          </cell>
          <cell r="D1417">
            <v>45440</v>
          </cell>
          <cell r="E1417">
            <v>45911</v>
          </cell>
          <cell r="F1417" t="str">
            <v>24361</v>
          </cell>
          <cell r="G1417" t="str">
            <v>偉詮電一</v>
          </cell>
          <cell r="H1417">
            <v>100000</v>
          </cell>
          <cell r="I1417">
            <v>3.75</v>
          </cell>
          <cell r="J1417">
            <v>45911</v>
          </cell>
          <cell r="K1417">
            <v>100.50060000000001</v>
          </cell>
          <cell r="L1417">
            <v>45891</v>
          </cell>
          <cell r="M1417">
            <v>-3616</v>
          </cell>
          <cell r="N1417">
            <v>96384</v>
          </cell>
        </row>
        <row r="1418">
          <cell r="A1418">
            <v>62822</v>
          </cell>
          <cell r="B1418">
            <v>1412</v>
          </cell>
          <cell r="C1418" t="str">
            <v>IASWD2405001102</v>
          </cell>
          <cell r="D1418">
            <v>45440</v>
          </cell>
          <cell r="E1418">
            <v>46186</v>
          </cell>
          <cell r="F1418" t="str">
            <v>62822</v>
          </cell>
          <cell r="G1418" t="str">
            <v>康舒二</v>
          </cell>
          <cell r="H1418">
            <v>100000</v>
          </cell>
          <cell r="I1418">
            <v>3.2</v>
          </cell>
          <cell r="J1418">
            <v>46186</v>
          </cell>
          <cell r="K1418">
            <v>100</v>
          </cell>
          <cell r="L1418">
            <v>46168</v>
          </cell>
          <cell r="M1418">
            <v>-3086</v>
          </cell>
          <cell r="N1418">
            <v>96914</v>
          </cell>
        </row>
        <row r="1419">
          <cell r="A1419">
            <v>26107</v>
          </cell>
          <cell r="B1419">
            <v>1413</v>
          </cell>
          <cell r="C1419" t="str">
            <v>IASWD2405001103</v>
          </cell>
          <cell r="D1419">
            <v>45440</v>
          </cell>
          <cell r="E1419">
            <v>46140</v>
          </cell>
          <cell r="F1419" t="str">
            <v>26107</v>
          </cell>
          <cell r="G1419" t="str">
            <v>華航七</v>
          </cell>
          <cell r="H1419">
            <v>100000</v>
          </cell>
          <cell r="I1419">
            <v>2.6</v>
          </cell>
          <cell r="J1419">
            <v>46140</v>
          </cell>
          <cell r="K1419">
            <v>100</v>
          </cell>
          <cell r="L1419">
            <v>46120</v>
          </cell>
          <cell r="M1419">
            <v>-2507</v>
          </cell>
          <cell r="N1419">
            <v>97493</v>
          </cell>
        </row>
        <row r="1420">
          <cell r="A1420">
            <v>30061</v>
          </cell>
          <cell r="B1420">
            <v>1414</v>
          </cell>
          <cell r="C1420" t="str">
            <v>IASWD2405001113</v>
          </cell>
          <cell r="D1420">
            <v>45440</v>
          </cell>
          <cell r="E1420">
            <v>46322</v>
          </cell>
          <cell r="F1420" t="str">
            <v>30061</v>
          </cell>
          <cell r="G1420" t="str">
            <v>晶豪科一</v>
          </cell>
          <cell r="H1420">
            <v>100000</v>
          </cell>
          <cell r="I1420">
            <v>3.75</v>
          </cell>
          <cell r="J1420">
            <v>46322</v>
          </cell>
          <cell r="K1420">
            <v>100</v>
          </cell>
          <cell r="L1420">
            <v>46302</v>
          </cell>
          <cell r="M1420">
            <v>-3616</v>
          </cell>
          <cell r="N1420">
            <v>96384</v>
          </cell>
        </row>
        <row r="1421">
          <cell r="A1421">
            <v>23682</v>
          </cell>
          <cell r="B1421">
            <v>1415</v>
          </cell>
          <cell r="C1421" t="str">
            <v>IASWD2405001114</v>
          </cell>
          <cell r="D1421">
            <v>45440</v>
          </cell>
          <cell r="E1421">
            <v>46361</v>
          </cell>
          <cell r="F1421" t="str">
            <v>23682</v>
          </cell>
          <cell r="G1421" t="str">
            <v>金像電二</v>
          </cell>
          <cell r="H1421">
            <v>100000</v>
          </cell>
          <cell r="I1421">
            <v>2.6</v>
          </cell>
          <cell r="J1421">
            <v>46361</v>
          </cell>
          <cell r="K1421">
            <v>100</v>
          </cell>
          <cell r="L1421">
            <v>46343</v>
          </cell>
          <cell r="M1421">
            <v>-2507</v>
          </cell>
          <cell r="N1421">
            <v>97493</v>
          </cell>
        </row>
        <row r="1422">
          <cell r="A1422">
            <v>82992</v>
          </cell>
          <cell r="B1422">
            <v>1416</v>
          </cell>
          <cell r="C1422" t="str">
            <v>IASWD2405001115</v>
          </cell>
          <cell r="D1422">
            <v>45440</v>
          </cell>
          <cell r="E1422">
            <v>46410</v>
          </cell>
          <cell r="F1422" t="str">
            <v>82992</v>
          </cell>
          <cell r="G1422" t="str">
            <v>群聯二</v>
          </cell>
          <cell r="H1422">
            <v>100000</v>
          </cell>
          <cell r="I1422">
            <v>2.5</v>
          </cell>
          <cell r="J1422">
            <v>46410</v>
          </cell>
          <cell r="K1422">
            <v>100</v>
          </cell>
          <cell r="L1422">
            <v>46392</v>
          </cell>
          <cell r="M1422">
            <v>-2411</v>
          </cell>
          <cell r="N1422">
            <v>97589</v>
          </cell>
        </row>
        <row r="1423">
          <cell r="A1423">
            <v>22313</v>
          </cell>
          <cell r="B1423">
            <v>1417</v>
          </cell>
          <cell r="C1423" t="str">
            <v>IASWD2405001116</v>
          </cell>
          <cell r="D1423">
            <v>45440</v>
          </cell>
          <cell r="E1423">
            <v>45898</v>
          </cell>
          <cell r="F1423" t="str">
            <v>22313</v>
          </cell>
          <cell r="G1423" t="str">
            <v>為升三</v>
          </cell>
          <cell r="H1423">
            <v>200000</v>
          </cell>
          <cell r="I1423">
            <v>3.5</v>
          </cell>
          <cell r="J1423">
            <v>45898</v>
          </cell>
          <cell r="K1423">
            <v>101.50749999999999</v>
          </cell>
          <cell r="L1423">
            <v>45880</v>
          </cell>
          <cell r="M1423">
            <v>-6751</v>
          </cell>
          <cell r="N1423">
            <v>193249</v>
          </cell>
        </row>
        <row r="1424">
          <cell r="A1424">
            <v>24361</v>
          </cell>
          <cell r="B1424">
            <v>1418</v>
          </cell>
          <cell r="C1424" t="str">
            <v>IASWD2405001118</v>
          </cell>
          <cell r="D1424">
            <v>45441</v>
          </cell>
          <cell r="E1424">
            <v>45911</v>
          </cell>
          <cell r="F1424" t="str">
            <v>24361</v>
          </cell>
          <cell r="G1424" t="str">
            <v>偉詮電一</v>
          </cell>
          <cell r="H1424">
            <v>400000</v>
          </cell>
          <cell r="I1424">
            <v>3.75</v>
          </cell>
          <cell r="J1424">
            <v>45911</v>
          </cell>
          <cell r="K1424">
            <v>100.50060000000001</v>
          </cell>
          <cell r="L1424">
            <v>45891</v>
          </cell>
          <cell r="M1424">
            <v>-14425</v>
          </cell>
          <cell r="N1424">
            <v>385575</v>
          </cell>
        </row>
        <row r="1425">
          <cell r="A1425">
            <v>24361</v>
          </cell>
          <cell r="B1425">
            <v>1419</v>
          </cell>
          <cell r="C1425" t="str">
            <v>IASWD2405001121</v>
          </cell>
          <cell r="D1425">
            <v>45441</v>
          </cell>
          <cell r="E1425">
            <v>45911</v>
          </cell>
          <cell r="F1425" t="str">
            <v>24361</v>
          </cell>
          <cell r="G1425" t="str">
            <v>偉詮電一</v>
          </cell>
          <cell r="H1425">
            <v>100000</v>
          </cell>
          <cell r="I1425">
            <v>3.75</v>
          </cell>
          <cell r="J1425">
            <v>45911</v>
          </cell>
          <cell r="K1425">
            <v>100.50060000000001</v>
          </cell>
          <cell r="L1425">
            <v>45891</v>
          </cell>
          <cell r="M1425">
            <v>-3606</v>
          </cell>
          <cell r="N1425">
            <v>96394</v>
          </cell>
        </row>
        <row r="1426">
          <cell r="A1426">
            <v>24361</v>
          </cell>
          <cell r="B1426">
            <v>1420</v>
          </cell>
          <cell r="C1426" t="str">
            <v>IASWD2405001128</v>
          </cell>
          <cell r="D1426">
            <v>45441</v>
          </cell>
          <cell r="E1426">
            <v>45911</v>
          </cell>
          <cell r="F1426" t="str">
            <v>24361</v>
          </cell>
          <cell r="G1426" t="str">
            <v>偉詮電一</v>
          </cell>
          <cell r="H1426">
            <v>200000</v>
          </cell>
          <cell r="I1426">
            <v>3.75</v>
          </cell>
          <cell r="J1426">
            <v>45911</v>
          </cell>
          <cell r="K1426">
            <v>100.50060000000001</v>
          </cell>
          <cell r="L1426">
            <v>45891</v>
          </cell>
          <cell r="M1426">
            <v>-7212</v>
          </cell>
          <cell r="N1426">
            <v>192788</v>
          </cell>
        </row>
        <row r="1427">
          <cell r="A1427">
            <v>24361</v>
          </cell>
          <cell r="B1427">
            <v>1421</v>
          </cell>
          <cell r="C1427" t="str">
            <v>IASWD2405001133</v>
          </cell>
          <cell r="D1427">
            <v>45441</v>
          </cell>
          <cell r="E1427">
            <v>45911</v>
          </cell>
          <cell r="F1427" t="str">
            <v>24361</v>
          </cell>
          <cell r="G1427" t="str">
            <v>偉詮電一</v>
          </cell>
          <cell r="H1427">
            <v>200000</v>
          </cell>
          <cell r="I1427">
            <v>3.75</v>
          </cell>
          <cell r="J1427">
            <v>45911</v>
          </cell>
          <cell r="K1427">
            <v>100.50060000000001</v>
          </cell>
          <cell r="L1427">
            <v>45891</v>
          </cell>
          <cell r="M1427">
            <v>-7212</v>
          </cell>
          <cell r="N1427">
            <v>192788</v>
          </cell>
        </row>
        <row r="1428">
          <cell r="A1428">
            <v>82992</v>
          </cell>
          <cell r="B1428">
            <v>1422</v>
          </cell>
          <cell r="C1428" t="str">
            <v>IASWD2405001135</v>
          </cell>
          <cell r="D1428">
            <v>45441</v>
          </cell>
          <cell r="E1428">
            <v>46410</v>
          </cell>
          <cell r="F1428" t="str">
            <v>82992</v>
          </cell>
          <cell r="G1428" t="str">
            <v>群聯二</v>
          </cell>
          <cell r="H1428">
            <v>100000</v>
          </cell>
          <cell r="I1428">
            <v>2.5</v>
          </cell>
          <cell r="J1428">
            <v>46410</v>
          </cell>
          <cell r="K1428">
            <v>100</v>
          </cell>
          <cell r="L1428">
            <v>46392</v>
          </cell>
          <cell r="M1428">
            <v>-2404</v>
          </cell>
          <cell r="N1428">
            <v>97596</v>
          </cell>
        </row>
        <row r="1429">
          <cell r="A1429">
            <v>22013</v>
          </cell>
          <cell r="B1429">
            <v>1423</v>
          </cell>
          <cell r="C1429" t="str">
            <v>IASWD2405001136</v>
          </cell>
          <cell r="D1429">
            <v>45441</v>
          </cell>
          <cell r="E1429">
            <v>46167</v>
          </cell>
          <cell r="F1429" t="str">
            <v>22013</v>
          </cell>
          <cell r="G1429" t="str">
            <v>裕隆三</v>
          </cell>
          <cell r="H1429">
            <v>400000</v>
          </cell>
          <cell r="I1429">
            <v>3</v>
          </cell>
          <cell r="J1429">
            <v>46167</v>
          </cell>
          <cell r="K1429">
            <v>100.75190000000001</v>
          </cell>
          <cell r="L1429">
            <v>46147</v>
          </cell>
          <cell r="M1429">
            <v>-11540</v>
          </cell>
          <cell r="N1429">
            <v>388460</v>
          </cell>
        </row>
        <row r="1430">
          <cell r="A1430">
            <v>24361</v>
          </cell>
          <cell r="B1430">
            <v>1424</v>
          </cell>
          <cell r="C1430" t="str">
            <v>IASWD2405001139</v>
          </cell>
          <cell r="D1430">
            <v>45441</v>
          </cell>
          <cell r="E1430">
            <v>45911</v>
          </cell>
          <cell r="F1430" t="str">
            <v>24361</v>
          </cell>
          <cell r="G1430" t="str">
            <v>偉詮電一</v>
          </cell>
          <cell r="H1430">
            <v>200000</v>
          </cell>
          <cell r="I1430">
            <v>3.75</v>
          </cell>
          <cell r="J1430">
            <v>45911</v>
          </cell>
          <cell r="K1430">
            <v>100.50060000000001</v>
          </cell>
          <cell r="L1430">
            <v>45891</v>
          </cell>
          <cell r="M1430">
            <v>-7212</v>
          </cell>
          <cell r="N1430">
            <v>192788</v>
          </cell>
        </row>
        <row r="1431">
          <cell r="A1431">
            <v>34793</v>
          </cell>
          <cell r="B1431">
            <v>1425</v>
          </cell>
          <cell r="C1431" t="str">
            <v>IASWD2405001141</v>
          </cell>
          <cell r="D1431">
            <v>45441</v>
          </cell>
          <cell r="E1431">
            <v>46409</v>
          </cell>
          <cell r="F1431" t="str">
            <v>34793</v>
          </cell>
          <cell r="G1431" t="str">
            <v>安勤三</v>
          </cell>
          <cell r="H1431">
            <v>100000</v>
          </cell>
          <cell r="I1431">
            <v>3</v>
          </cell>
          <cell r="J1431">
            <v>46409</v>
          </cell>
          <cell r="K1431">
            <v>100</v>
          </cell>
          <cell r="L1431">
            <v>46391</v>
          </cell>
          <cell r="M1431">
            <v>-2885</v>
          </cell>
          <cell r="N1431">
            <v>97115</v>
          </cell>
        </row>
        <row r="1432">
          <cell r="A1432">
            <v>82992</v>
          </cell>
          <cell r="B1432">
            <v>1426</v>
          </cell>
          <cell r="C1432" t="str">
            <v>IASWD2405001142</v>
          </cell>
          <cell r="D1432">
            <v>45441</v>
          </cell>
          <cell r="E1432">
            <v>46410</v>
          </cell>
          <cell r="F1432" t="str">
            <v>82992</v>
          </cell>
          <cell r="G1432" t="str">
            <v>群聯二</v>
          </cell>
          <cell r="H1432">
            <v>100000</v>
          </cell>
          <cell r="I1432">
            <v>2.5</v>
          </cell>
          <cell r="J1432">
            <v>46410</v>
          </cell>
          <cell r="K1432">
            <v>100</v>
          </cell>
          <cell r="L1432">
            <v>46392</v>
          </cell>
          <cell r="M1432">
            <v>-2404</v>
          </cell>
          <cell r="N1432">
            <v>97596</v>
          </cell>
        </row>
        <row r="1433">
          <cell r="A1433">
            <v>24361</v>
          </cell>
          <cell r="B1433">
            <v>1427</v>
          </cell>
          <cell r="C1433" t="str">
            <v>IASWD2405001146</v>
          </cell>
          <cell r="D1433">
            <v>45441</v>
          </cell>
          <cell r="E1433">
            <v>45911</v>
          </cell>
          <cell r="F1433" t="str">
            <v>24361</v>
          </cell>
          <cell r="G1433" t="str">
            <v>偉詮電一</v>
          </cell>
          <cell r="H1433">
            <v>100000</v>
          </cell>
          <cell r="I1433">
            <v>3.75</v>
          </cell>
          <cell r="J1433">
            <v>45911</v>
          </cell>
          <cell r="K1433">
            <v>100.50060000000001</v>
          </cell>
          <cell r="L1433">
            <v>45891</v>
          </cell>
          <cell r="M1433">
            <v>-3606</v>
          </cell>
          <cell r="N1433">
            <v>96394</v>
          </cell>
        </row>
        <row r="1434">
          <cell r="A1434">
            <v>22013</v>
          </cell>
          <cell r="B1434">
            <v>1428</v>
          </cell>
          <cell r="C1434" t="str">
            <v>IASWD2405001149</v>
          </cell>
          <cell r="D1434">
            <v>45441</v>
          </cell>
          <cell r="E1434">
            <v>46167</v>
          </cell>
          <cell r="F1434" t="str">
            <v>22013</v>
          </cell>
          <cell r="G1434" t="str">
            <v>裕隆三</v>
          </cell>
          <cell r="H1434">
            <v>100000</v>
          </cell>
          <cell r="I1434">
            <v>3</v>
          </cell>
          <cell r="J1434">
            <v>46167</v>
          </cell>
          <cell r="K1434">
            <v>100.75190000000001</v>
          </cell>
          <cell r="L1434">
            <v>46147</v>
          </cell>
          <cell r="M1434">
            <v>-2885</v>
          </cell>
          <cell r="N1434">
            <v>97115</v>
          </cell>
        </row>
        <row r="1435">
          <cell r="A1435">
            <v>22313</v>
          </cell>
          <cell r="B1435">
            <v>1429</v>
          </cell>
          <cell r="C1435" t="str">
            <v>IASWD2405001153</v>
          </cell>
          <cell r="D1435">
            <v>45441</v>
          </cell>
          <cell r="E1435">
            <v>45898</v>
          </cell>
          <cell r="F1435" t="str">
            <v>22313</v>
          </cell>
          <cell r="G1435" t="str">
            <v>為升三</v>
          </cell>
          <cell r="H1435">
            <v>100000</v>
          </cell>
          <cell r="I1435">
            <v>3.5</v>
          </cell>
          <cell r="J1435">
            <v>45898</v>
          </cell>
          <cell r="K1435">
            <v>101.50749999999999</v>
          </cell>
          <cell r="L1435">
            <v>45880</v>
          </cell>
          <cell r="M1435">
            <v>-3366</v>
          </cell>
          <cell r="N1435">
            <v>96634</v>
          </cell>
        </row>
        <row r="1436">
          <cell r="A1436">
            <v>24361</v>
          </cell>
          <cell r="B1436">
            <v>1430</v>
          </cell>
          <cell r="C1436" t="str">
            <v>IASWD2405001156</v>
          </cell>
          <cell r="D1436">
            <v>45441</v>
          </cell>
          <cell r="E1436">
            <v>45911</v>
          </cell>
          <cell r="F1436" t="str">
            <v>24361</v>
          </cell>
          <cell r="G1436" t="str">
            <v>偉詮電一</v>
          </cell>
          <cell r="H1436">
            <v>100000</v>
          </cell>
          <cell r="I1436">
            <v>3.75</v>
          </cell>
          <cell r="J1436">
            <v>45911</v>
          </cell>
          <cell r="K1436">
            <v>100.50060000000001</v>
          </cell>
          <cell r="L1436">
            <v>45891</v>
          </cell>
          <cell r="M1436">
            <v>-3606</v>
          </cell>
          <cell r="N1436">
            <v>96394</v>
          </cell>
        </row>
        <row r="1437">
          <cell r="A1437">
            <v>24361</v>
          </cell>
          <cell r="B1437">
            <v>1431</v>
          </cell>
          <cell r="C1437" t="str">
            <v>IASWD2405001157</v>
          </cell>
          <cell r="D1437">
            <v>45441</v>
          </cell>
          <cell r="E1437">
            <v>45911</v>
          </cell>
          <cell r="F1437" t="str">
            <v>24361</v>
          </cell>
          <cell r="G1437" t="str">
            <v>偉詮電一</v>
          </cell>
          <cell r="H1437">
            <v>400000</v>
          </cell>
          <cell r="I1437">
            <v>3.75</v>
          </cell>
          <cell r="J1437">
            <v>45911</v>
          </cell>
          <cell r="K1437">
            <v>100.50060000000001</v>
          </cell>
          <cell r="L1437">
            <v>45891</v>
          </cell>
          <cell r="M1437">
            <v>-14425</v>
          </cell>
          <cell r="N1437">
            <v>385575</v>
          </cell>
        </row>
        <row r="1438">
          <cell r="A1438">
            <v>22013</v>
          </cell>
          <cell r="B1438">
            <v>1432</v>
          </cell>
          <cell r="C1438" t="str">
            <v>IASWD2405001160</v>
          </cell>
          <cell r="D1438">
            <v>45441</v>
          </cell>
          <cell r="E1438">
            <v>46167</v>
          </cell>
          <cell r="F1438" t="str">
            <v>22013</v>
          </cell>
          <cell r="G1438" t="str">
            <v>裕隆三</v>
          </cell>
          <cell r="H1438">
            <v>300000</v>
          </cell>
          <cell r="I1438">
            <v>3</v>
          </cell>
          <cell r="J1438">
            <v>46167</v>
          </cell>
          <cell r="K1438">
            <v>100.75190000000001</v>
          </cell>
          <cell r="L1438">
            <v>46147</v>
          </cell>
          <cell r="M1438">
            <v>-8655</v>
          </cell>
          <cell r="N1438">
            <v>291345</v>
          </cell>
        </row>
        <row r="1439">
          <cell r="A1439">
            <v>89964</v>
          </cell>
          <cell r="B1439">
            <v>1433</v>
          </cell>
          <cell r="C1439" t="str">
            <v>IASWD2405001161</v>
          </cell>
          <cell r="D1439">
            <v>45441</v>
          </cell>
          <cell r="E1439">
            <v>46362</v>
          </cell>
          <cell r="F1439" t="str">
            <v>89964</v>
          </cell>
          <cell r="G1439" t="str">
            <v>高力四</v>
          </cell>
          <cell r="H1439">
            <v>200000</v>
          </cell>
          <cell r="I1439">
            <v>3.5</v>
          </cell>
          <cell r="J1439">
            <v>46362</v>
          </cell>
          <cell r="K1439">
            <v>100.75190000000001</v>
          </cell>
          <cell r="L1439">
            <v>46343</v>
          </cell>
          <cell r="M1439">
            <v>-6732</v>
          </cell>
          <cell r="N1439">
            <v>193268</v>
          </cell>
        </row>
        <row r="1440">
          <cell r="A1440">
            <v>34163</v>
          </cell>
          <cell r="B1440">
            <v>1434</v>
          </cell>
          <cell r="C1440" t="str">
            <v>IASWD2405001165</v>
          </cell>
          <cell r="D1440">
            <v>45441</v>
          </cell>
          <cell r="E1440">
            <v>46047</v>
          </cell>
          <cell r="F1440" t="str">
            <v>34163</v>
          </cell>
          <cell r="G1440" t="str">
            <v>融程電三</v>
          </cell>
          <cell r="H1440">
            <v>100000</v>
          </cell>
          <cell r="I1440">
            <v>3</v>
          </cell>
          <cell r="J1440">
            <v>46047</v>
          </cell>
          <cell r="K1440">
            <v>100.5</v>
          </cell>
          <cell r="L1440">
            <v>46028</v>
          </cell>
          <cell r="M1440">
            <v>-2885</v>
          </cell>
          <cell r="N1440">
            <v>97115</v>
          </cell>
        </row>
        <row r="1441">
          <cell r="A1441">
            <v>82992</v>
          </cell>
          <cell r="B1441">
            <v>1435</v>
          </cell>
          <cell r="C1441" t="str">
            <v>IASWD2405001166</v>
          </cell>
          <cell r="D1441">
            <v>45441</v>
          </cell>
          <cell r="E1441">
            <v>46410</v>
          </cell>
          <cell r="F1441" t="str">
            <v>82992</v>
          </cell>
          <cell r="G1441" t="str">
            <v>群聯二</v>
          </cell>
          <cell r="H1441">
            <v>400000</v>
          </cell>
          <cell r="I1441">
            <v>2.5</v>
          </cell>
          <cell r="J1441">
            <v>46410</v>
          </cell>
          <cell r="K1441">
            <v>100</v>
          </cell>
          <cell r="L1441">
            <v>46392</v>
          </cell>
          <cell r="M1441">
            <v>-9616</v>
          </cell>
          <cell r="N1441">
            <v>390384</v>
          </cell>
        </row>
        <row r="1442">
          <cell r="A1442">
            <v>22313</v>
          </cell>
          <cell r="B1442">
            <v>1436</v>
          </cell>
          <cell r="C1442" t="str">
            <v>IASWD2405001168</v>
          </cell>
          <cell r="D1442">
            <v>45441</v>
          </cell>
          <cell r="E1442">
            <v>45898</v>
          </cell>
          <cell r="F1442" t="str">
            <v>22313</v>
          </cell>
          <cell r="G1442" t="str">
            <v>為升三</v>
          </cell>
          <cell r="H1442">
            <v>1500000</v>
          </cell>
          <cell r="I1442">
            <v>3.5</v>
          </cell>
          <cell r="J1442">
            <v>45898</v>
          </cell>
          <cell r="K1442">
            <v>101.50749999999999</v>
          </cell>
          <cell r="L1442">
            <v>45880</v>
          </cell>
          <cell r="M1442">
            <v>-50486</v>
          </cell>
          <cell r="N1442">
            <v>1449514</v>
          </cell>
        </row>
        <row r="1443">
          <cell r="A1443">
            <v>24361</v>
          </cell>
          <cell r="B1443">
            <v>1437</v>
          </cell>
          <cell r="C1443" t="str">
            <v>IASWD2405001185</v>
          </cell>
          <cell r="D1443">
            <v>45441</v>
          </cell>
          <cell r="E1443">
            <v>45911</v>
          </cell>
          <cell r="F1443" t="str">
            <v>24361</v>
          </cell>
          <cell r="G1443" t="str">
            <v>偉詮電一</v>
          </cell>
          <cell r="H1443">
            <v>100000</v>
          </cell>
          <cell r="I1443">
            <v>3.75</v>
          </cell>
          <cell r="J1443">
            <v>45911</v>
          </cell>
          <cell r="K1443">
            <v>100.50060000000001</v>
          </cell>
          <cell r="L1443">
            <v>45891</v>
          </cell>
          <cell r="M1443">
            <v>-3606</v>
          </cell>
          <cell r="N1443">
            <v>96394</v>
          </cell>
        </row>
        <row r="1444">
          <cell r="A1444">
            <v>29061</v>
          </cell>
          <cell r="B1444">
            <v>1438</v>
          </cell>
          <cell r="C1444" t="str">
            <v>IASWD2405001186</v>
          </cell>
          <cell r="D1444">
            <v>45441</v>
          </cell>
          <cell r="E1444">
            <v>45920</v>
          </cell>
          <cell r="F1444" t="str">
            <v>29061</v>
          </cell>
          <cell r="G1444" t="str">
            <v>高林一</v>
          </cell>
          <cell r="H1444">
            <v>100000</v>
          </cell>
          <cell r="I1444">
            <v>3.75</v>
          </cell>
          <cell r="J1444">
            <v>45920</v>
          </cell>
          <cell r="K1444">
            <v>102.01</v>
          </cell>
          <cell r="L1444">
            <v>45902</v>
          </cell>
          <cell r="M1444">
            <v>-3606</v>
          </cell>
          <cell r="N1444">
            <v>96394</v>
          </cell>
        </row>
        <row r="1445">
          <cell r="A1445">
            <v>82992</v>
          </cell>
          <cell r="B1445">
            <v>1439</v>
          </cell>
          <cell r="C1445" t="str">
            <v>IASWD2405001187</v>
          </cell>
          <cell r="D1445">
            <v>45441</v>
          </cell>
          <cell r="E1445">
            <v>46410</v>
          </cell>
          <cell r="F1445" t="str">
            <v>82992</v>
          </cell>
          <cell r="G1445" t="str">
            <v>群聯二</v>
          </cell>
          <cell r="H1445">
            <v>500000</v>
          </cell>
          <cell r="I1445">
            <v>2.5</v>
          </cell>
          <cell r="J1445">
            <v>46410</v>
          </cell>
          <cell r="K1445">
            <v>100</v>
          </cell>
          <cell r="L1445">
            <v>46392</v>
          </cell>
          <cell r="M1445">
            <v>-12021</v>
          </cell>
          <cell r="N1445">
            <v>487979</v>
          </cell>
        </row>
        <row r="1446">
          <cell r="A1446">
            <v>22013</v>
          </cell>
          <cell r="B1446">
            <v>1440</v>
          </cell>
          <cell r="C1446" t="str">
            <v>IASWD2405001190</v>
          </cell>
          <cell r="D1446">
            <v>45441</v>
          </cell>
          <cell r="E1446">
            <v>46167</v>
          </cell>
          <cell r="F1446" t="str">
            <v>22013</v>
          </cell>
          <cell r="G1446" t="str">
            <v>裕隆三</v>
          </cell>
          <cell r="H1446">
            <v>200000</v>
          </cell>
          <cell r="I1446">
            <v>3</v>
          </cell>
          <cell r="J1446">
            <v>46167</v>
          </cell>
          <cell r="K1446">
            <v>100.75190000000001</v>
          </cell>
          <cell r="L1446">
            <v>46147</v>
          </cell>
          <cell r="M1446">
            <v>-5770</v>
          </cell>
          <cell r="N1446">
            <v>194230</v>
          </cell>
        </row>
        <row r="1447">
          <cell r="A1447">
            <v>24361</v>
          </cell>
          <cell r="B1447">
            <v>1441</v>
          </cell>
          <cell r="C1447" t="str">
            <v>IASWD2405001193</v>
          </cell>
          <cell r="D1447">
            <v>45441</v>
          </cell>
          <cell r="E1447">
            <v>45911</v>
          </cell>
          <cell r="F1447" t="str">
            <v>24361</v>
          </cell>
          <cell r="G1447" t="str">
            <v>偉詮電一</v>
          </cell>
          <cell r="H1447">
            <v>100000</v>
          </cell>
          <cell r="I1447">
            <v>3.75</v>
          </cell>
          <cell r="J1447">
            <v>45911</v>
          </cell>
          <cell r="K1447">
            <v>100.50060000000001</v>
          </cell>
          <cell r="L1447">
            <v>45891</v>
          </cell>
          <cell r="M1447">
            <v>-3606</v>
          </cell>
          <cell r="N1447">
            <v>96394</v>
          </cell>
        </row>
        <row r="1448">
          <cell r="A1448">
            <v>22013</v>
          </cell>
          <cell r="B1448">
            <v>1442</v>
          </cell>
          <cell r="C1448" t="str">
            <v>IASWD2405001196</v>
          </cell>
          <cell r="D1448">
            <v>45441</v>
          </cell>
          <cell r="E1448">
            <v>46167</v>
          </cell>
          <cell r="F1448" t="str">
            <v>22013</v>
          </cell>
          <cell r="G1448" t="str">
            <v>裕隆三</v>
          </cell>
          <cell r="H1448">
            <v>100000</v>
          </cell>
          <cell r="I1448">
            <v>3</v>
          </cell>
          <cell r="J1448">
            <v>46167</v>
          </cell>
          <cell r="K1448">
            <v>100.75190000000001</v>
          </cell>
          <cell r="L1448">
            <v>46147</v>
          </cell>
          <cell r="M1448">
            <v>-2885</v>
          </cell>
          <cell r="N1448">
            <v>97115</v>
          </cell>
        </row>
        <row r="1449">
          <cell r="A1449">
            <v>82992</v>
          </cell>
          <cell r="B1449">
            <v>1443</v>
          </cell>
          <cell r="C1449" t="str">
            <v>IASWD2405001200</v>
          </cell>
          <cell r="D1449">
            <v>45441</v>
          </cell>
          <cell r="E1449">
            <v>46410</v>
          </cell>
          <cell r="F1449" t="str">
            <v>82992</v>
          </cell>
          <cell r="G1449" t="str">
            <v>群聯二</v>
          </cell>
          <cell r="H1449">
            <v>100000</v>
          </cell>
          <cell r="I1449">
            <v>2.5</v>
          </cell>
          <cell r="J1449">
            <v>46410</v>
          </cell>
          <cell r="K1449">
            <v>100</v>
          </cell>
          <cell r="L1449">
            <v>46392</v>
          </cell>
          <cell r="M1449">
            <v>-2404</v>
          </cell>
          <cell r="N1449">
            <v>97596</v>
          </cell>
        </row>
        <row r="1450">
          <cell r="A1450">
            <v>22313</v>
          </cell>
          <cell r="B1450">
            <v>1444</v>
          </cell>
          <cell r="C1450" t="str">
            <v>IASWD2405001205</v>
          </cell>
          <cell r="D1450">
            <v>45442</v>
          </cell>
          <cell r="E1450">
            <v>45898</v>
          </cell>
          <cell r="F1450" t="str">
            <v>22313</v>
          </cell>
          <cell r="G1450" t="str">
            <v>為升三</v>
          </cell>
          <cell r="H1450">
            <v>200000</v>
          </cell>
          <cell r="I1450">
            <v>3.5</v>
          </cell>
          <cell r="J1450">
            <v>45898</v>
          </cell>
          <cell r="K1450">
            <v>101.50749999999999</v>
          </cell>
          <cell r="L1450">
            <v>45880</v>
          </cell>
          <cell r="M1450">
            <v>-6712</v>
          </cell>
          <cell r="N1450">
            <v>193288</v>
          </cell>
        </row>
        <row r="1451">
          <cell r="A1451">
            <v>27323</v>
          </cell>
          <cell r="B1451">
            <v>1445</v>
          </cell>
          <cell r="C1451" t="str">
            <v>IASWD2405001207</v>
          </cell>
          <cell r="D1451">
            <v>45442</v>
          </cell>
          <cell r="E1451">
            <v>46048</v>
          </cell>
          <cell r="F1451" t="str">
            <v>27323</v>
          </cell>
          <cell r="G1451" t="str">
            <v>六角三</v>
          </cell>
          <cell r="H1451">
            <v>100000</v>
          </cell>
          <cell r="I1451">
            <v>3</v>
          </cell>
          <cell r="J1451">
            <v>46048</v>
          </cell>
          <cell r="K1451">
            <v>101</v>
          </cell>
          <cell r="L1451">
            <v>46028</v>
          </cell>
          <cell r="M1451">
            <v>-2877</v>
          </cell>
          <cell r="N1451">
            <v>97123</v>
          </cell>
        </row>
        <row r="1452">
          <cell r="A1452">
            <v>22013</v>
          </cell>
          <cell r="B1452">
            <v>1446</v>
          </cell>
          <cell r="C1452" t="str">
            <v>IASWD2405001208</v>
          </cell>
          <cell r="D1452">
            <v>45442</v>
          </cell>
          <cell r="E1452">
            <v>46167</v>
          </cell>
          <cell r="F1452" t="str">
            <v>22013</v>
          </cell>
          <cell r="G1452" t="str">
            <v>裕隆三</v>
          </cell>
          <cell r="H1452">
            <v>100000</v>
          </cell>
          <cell r="I1452">
            <v>3</v>
          </cell>
          <cell r="J1452">
            <v>46167</v>
          </cell>
          <cell r="K1452">
            <v>100.75190000000001</v>
          </cell>
          <cell r="L1452">
            <v>46147</v>
          </cell>
          <cell r="M1452">
            <v>-2877</v>
          </cell>
          <cell r="N1452">
            <v>97123</v>
          </cell>
        </row>
        <row r="1453">
          <cell r="A1453">
            <v>22313</v>
          </cell>
          <cell r="B1453">
            <v>1447</v>
          </cell>
          <cell r="C1453" t="str">
            <v>IASWD2405001215</v>
          </cell>
          <cell r="D1453">
            <v>45442</v>
          </cell>
          <cell r="E1453">
            <v>45898</v>
          </cell>
          <cell r="F1453" t="str">
            <v>22313</v>
          </cell>
          <cell r="G1453" t="str">
            <v>為升三</v>
          </cell>
          <cell r="H1453">
            <v>100000</v>
          </cell>
          <cell r="I1453">
            <v>3.5</v>
          </cell>
          <cell r="J1453">
            <v>45898</v>
          </cell>
          <cell r="K1453">
            <v>101.50749999999999</v>
          </cell>
          <cell r="L1453">
            <v>45880</v>
          </cell>
          <cell r="M1453">
            <v>-3356</v>
          </cell>
          <cell r="N1453">
            <v>96644</v>
          </cell>
        </row>
        <row r="1454">
          <cell r="A1454">
            <v>22313</v>
          </cell>
          <cell r="B1454">
            <v>1448</v>
          </cell>
          <cell r="C1454" t="str">
            <v>IASWD2405001216</v>
          </cell>
          <cell r="D1454">
            <v>45442</v>
          </cell>
          <cell r="E1454">
            <v>45898</v>
          </cell>
          <cell r="F1454" t="str">
            <v>22313</v>
          </cell>
          <cell r="G1454" t="str">
            <v>為升三</v>
          </cell>
          <cell r="H1454">
            <v>500000</v>
          </cell>
          <cell r="I1454">
            <v>3.5</v>
          </cell>
          <cell r="J1454">
            <v>45898</v>
          </cell>
          <cell r="K1454">
            <v>101.50749999999999</v>
          </cell>
          <cell r="L1454">
            <v>45880</v>
          </cell>
          <cell r="M1454">
            <v>-16781</v>
          </cell>
          <cell r="N1454">
            <v>483219</v>
          </cell>
        </row>
        <row r="1455">
          <cell r="A1455">
            <v>82992</v>
          </cell>
          <cell r="B1455">
            <v>1449</v>
          </cell>
          <cell r="C1455" t="str">
            <v>IASWD2405001217</v>
          </cell>
          <cell r="D1455">
            <v>45442</v>
          </cell>
          <cell r="E1455">
            <v>46410</v>
          </cell>
          <cell r="F1455" t="str">
            <v>82992</v>
          </cell>
          <cell r="G1455" t="str">
            <v>群聯二</v>
          </cell>
          <cell r="H1455">
            <v>200000</v>
          </cell>
          <cell r="I1455">
            <v>2.5</v>
          </cell>
          <cell r="J1455">
            <v>46410</v>
          </cell>
          <cell r="K1455">
            <v>100</v>
          </cell>
          <cell r="L1455">
            <v>46392</v>
          </cell>
          <cell r="M1455">
            <v>-4795</v>
          </cell>
          <cell r="N1455">
            <v>195205</v>
          </cell>
        </row>
        <row r="1456">
          <cell r="A1456">
            <v>20632</v>
          </cell>
          <cell r="B1456">
            <v>1450</v>
          </cell>
          <cell r="C1456" t="str">
            <v>IASWD2405001218</v>
          </cell>
          <cell r="D1456">
            <v>45442</v>
          </cell>
          <cell r="E1456">
            <v>45971</v>
          </cell>
          <cell r="F1456" t="str">
            <v>20632</v>
          </cell>
          <cell r="G1456" t="str">
            <v>世鎧二</v>
          </cell>
          <cell r="H1456">
            <v>100000</v>
          </cell>
          <cell r="I1456">
            <v>3.25</v>
          </cell>
          <cell r="J1456">
            <v>45971</v>
          </cell>
          <cell r="K1456">
            <v>100</v>
          </cell>
          <cell r="L1456">
            <v>45951</v>
          </cell>
          <cell r="M1456">
            <v>-3116</v>
          </cell>
          <cell r="N1456">
            <v>96884</v>
          </cell>
        </row>
        <row r="1457">
          <cell r="A1457">
            <v>22313</v>
          </cell>
          <cell r="B1457">
            <v>1451</v>
          </cell>
          <cell r="C1457" t="str">
            <v>IASWD2405001223</v>
          </cell>
          <cell r="D1457">
            <v>45442</v>
          </cell>
          <cell r="E1457">
            <v>45898</v>
          </cell>
          <cell r="F1457" t="str">
            <v>22313</v>
          </cell>
          <cell r="G1457" t="str">
            <v>為升三</v>
          </cell>
          <cell r="H1457">
            <v>100000</v>
          </cell>
          <cell r="I1457">
            <v>3.5</v>
          </cell>
          <cell r="J1457">
            <v>45898</v>
          </cell>
          <cell r="K1457">
            <v>101.50749999999999</v>
          </cell>
          <cell r="L1457">
            <v>45880</v>
          </cell>
          <cell r="M1457">
            <v>-3356</v>
          </cell>
          <cell r="N1457">
            <v>96644</v>
          </cell>
        </row>
        <row r="1458">
          <cell r="A1458">
            <v>82992</v>
          </cell>
          <cell r="B1458">
            <v>1452</v>
          </cell>
          <cell r="C1458" t="str">
            <v>IASWD2405001226</v>
          </cell>
          <cell r="D1458">
            <v>45442</v>
          </cell>
          <cell r="E1458">
            <v>46410</v>
          </cell>
          <cell r="F1458" t="str">
            <v>82992</v>
          </cell>
          <cell r="G1458" t="str">
            <v>群聯二</v>
          </cell>
          <cell r="H1458">
            <v>1300000</v>
          </cell>
          <cell r="I1458">
            <v>2.5</v>
          </cell>
          <cell r="J1458">
            <v>46410</v>
          </cell>
          <cell r="K1458">
            <v>100</v>
          </cell>
          <cell r="L1458">
            <v>46392</v>
          </cell>
          <cell r="M1458">
            <v>-31164</v>
          </cell>
          <cell r="N1458">
            <v>1268836</v>
          </cell>
        </row>
        <row r="1459">
          <cell r="A1459">
            <v>82992</v>
          </cell>
          <cell r="B1459">
            <v>1453</v>
          </cell>
          <cell r="C1459" t="str">
            <v>IASWD2405001227</v>
          </cell>
          <cell r="D1459">
            <v>45442</v>
          </cell>
          <cell r="E1459">
            <v>46410</v>
          </cell>
          <cell r="F1459" t="str">
            <v>82992</v>
          </cell>
          <cell r="G1459" t="str">
            <v>群聯二</v>
          </cell>
          <cell r="H1459">
            <v>200000</v>
          </cell>
          <cell r="I1459">
            <v>2.5</v>
          </cell>
          <cell r="J1459">
            <v>46410</v>
          </cell>
          <cell r="K1459">
            <v>100</v>
          </cell>
          <cell r="L1459">
            <v>46392</v>
          </cell>
          <cell r="M1459">
            <v>-4795</v>
          </cell>
          <cell r="N1459">
            <v>195205</v>
          </cell>
        </row>
        <row r="1460">
          <cell r="A1460">
            <v>22013</v>
          </cell>
          <cell r="B1460">
            <v>1454</v>
          </cell>
          <cell r="C1460" t="str">
            <v>IASWD2405001234</v>
          </cell>
          <cell r="D1460">
            <v>45442</v>
          </cell>
          <cell r="E1460">
            <v>46167</v>
          </cell>
          <cell r="F1460" t="str">
            <v>22013</v>
          </cell>
          <cell r="G1460" t="str">
            <v>裕隆三</v>
          </cell>
          <cell r="H1460">
            <v>1300000</v>
          </cell>
          <cell r="I1460">
            <v>3</v>
          </cell>
          <cell r="J1460">
            <v>46167</v>
          </cell>
          <cell r="K1460">
            <v>100.75190000000001</v>
          </cell>
          <cell r="L1460">
            <v>46147</v>
          </cell>
          <cell r="M1460">
            <v>-37397</v>
          </cell>
          <cell r="N1460">
            <v>1262603</v>
          </cell>
        </row>
        <row r="1461">
          <cell r="A1461">
            <v>22013</v>
          </cell>
          <cell r="B1461">
            <v>1455</v>
          </cell>
          <cell r="C1461" t="str">
            <v>IASWD2405001235</v>
          </cell>
          <cell r="D1461">
            <v>45442</v>
          </cell>
          <cell r="E1461">
            <v>46167</v>
          </cell>
          <cell r="F1461" t="str">
            <v>22013</v>
          </cell>
          <cell r="G1461" t="str">
            <v>裕隆三</v>
          </cell>
          <cell r="H1461">
            <v>100000</v>
          </cell>
          <cell r="I1461">
            <v>3</v>
          </cell>
          <cell r="J1461">
            <v>46167</v>
          </cell>
          <cell r="K1461">
            <v>100.75190000000001</v>
          </cell>
          <cell r="L1461">
            <v>46147</v>
          </cell>
          <cell r="M1461">
            <v>-2877</v>
          </cell>
          <cell r="N1461">
            <v>97123</v>
          </cell>
        </row>
        <row r="1462">
          <cell r="A1462">
            <v>22313</v>
          </cell>
          <cell r="B1462">
            <v>1456</v>
          </cell>
          <cell r="C1462" t="str">
            <v>IASWD2405001237</v>
          </cell>
          <cell r="D1462">
            <v>45442</v>
          </cell>
          <cell r="E1462">
            <v>45898</v>
          </cell>
          <cell r="F1462" t="str">
            <v>22313</v>
          </cell>
          <cell r="G1462" t="str">
            <v>為升三</v>
          </cell>
          <cell r="H1462">
            <v>200000</v>
          </cell>
          <cell r="I1462">
            <v>3.5</v>
          </cell>
          <cell r="J1462">
            <v>45898</v>
          </cell>
          <cell r="K1462">
            <v>101.50749999999999</v>
          </cell>
          <cell r="L1462">
            <v>45880</v>
          </cell>
          <cell r="M1462">
            <v>-6712</v>
          </cell>
          <cell r="N1462">
            <v>193288</v>
          </cell>
        </row>
        <row r="1463">
          <cell r="A1463">
            <v>29061</v>
          </cell>
          <cell r="B1463">
            <v>1457</v>
          </cell>
          <cell r="C1463" t="str">
            <v>IASWD2405001239</v>
          </cell>
          <cell r="D1463">
            <v>45442</v>
          </cell>
          <cell r="E1463">
            <v>45920</v>
          </cell>
          <cell r="F1463" t="str">
            <v>29061</v>
          </cell>
          <cell r="G1463" t="str">
            <v>高林一</v>
          </cell>
          <cell r="H1463">
            <v>100000</v>
          </cell>
          <cell r="I1463">
            <v>3.75</v>
          </cell>
          <cell r="J1463">
            <v>45920</v>
          </cell>
          <cell r="K1463">
            <v>102.01</v>
          </cell>
          <cell r="L1463">
            <v>45902</v>
          </cell>
          <cell r="M1463">
            <v>-3596</v>
          </cell>
          <cell r="N1463">
            <v>96404</v>
          </cell>
        </row>
        <row r="1464">
          <cell r="A1464">
            <v>24361</v>
          </cell>
          <cell r="B1464">
            <v>1458</v>
          </cell>
          <cell r="C1464" t="str">
            <v>IASWD2405001245</v>
          </cell>
          <cell r="D1464">
            <v>45442</v>
          </cell>
          <cell r="E1464">
            <v>45911</v>
          </cell>
          <cell r="F1464" t="str">
            <v>24361</v>
          </cell>
          <cell r="G1464" t="str">
            <v>偉詮電一</v>
          </cell>
          <cell r="H1464">
            <v>300000</v>
          </cell>
          <cell r="I1464">
            <v>3.75</v>
          </cell>
          <cell r="J1464">
            <v>45911</v>
          </cell>
          <cell r="K1464">
            <v>100.50060000000001</v>
          </cell>
          <cell r="L1464">
            <v>45891</v>
          </cell>
          <cell r="M1464">
            <v>-10788</v>
          </cell>
          <cell r="N1464">
            <v>289212</v>
          </cell>
        </row>
        <row r="1465">
          <cell r="A1465">
            <v>24361</v>
          </cell>
          <cell r="B1465">
            <v>1459</v>
          </cell>
          <cell r="C1465" t="str">
            <v>IASWD2405001248</v>
          </cell>
          <cell r="D1465">
            <v>45443</v>
          </cell>
          <cell r="E1465">
            <v>45911</v>
          </cell>
          <cell r="F1465" t="str">
            <v>24361</v>
          </cell>
          <cell r="G1465" t="str">
            <v>偉詮電一</v>
          </cell>
          <cell r="H1465">
            <v>100000</v>
          </cell>
          <cell r="I1465">
            <v>3.75</v>
          </cell>
          <cell r="J1465">
            <v>45911</v>
          </cell>
          <cell r="K1465">
            <v>100.50060000000001</v>
          </cell>
          <cell r="L1465">
            <v>45891</v>
          </cell>
          <cell r="M1465">
            <v>-3586</v>
          </cell>
          <cell r="N1465">
            <v>96414</v>
          </cell>
        </row>
        <row r="1466">
          <cell r="A1466">
            <v>82992</v>
          </cell>
          <cell r="B1466">
            <v>1460</v>
          </cell>
          <cell r="C1466" t="str">
            <v>IASWD2405001258</v>
          </cell>
          <cell r="D1466">
            <v>45443</v>
          </cell>
          <cell r="E1466">
            <v>46410</v>
          </cell>
          <cell r="F1466" t="str">
            <v>82992</v>
          </cell>
          <cell r="G1466" t="str">
            <v>群聯二</v>
          </cell>
          <cell r="H1466">
            <v>500000</v>
          </cell>
          <cell r="I1466">
            <v>2.5</v>
          </cell>
          <cell r="J1466">
            <v>46410</v>
          </cell>
          <cell r="K1466">
            <v>100</v>
          </cell>
          <cell r="L1466">
            <v>46392</v>
          </cell>
          <cell r="M1466">
            <v>-11952</v>
          </cell>
          <cell r="N1466">
            <v>488048</v>
          </cell>
        </row>
        <row r="1467">
          <cell r="A1467">
            <v>22313</v>
          </cell>
          <cell r="B1467">
            <v>1461</v>
          </cell>
          <cell r="C1467" t="str">
            <v>IASWD2405001262</v>
          </cell>
          <cell r="D1467">
            <v>45443</v>
          </cell>
          <cell r="E1467">
            <v>45898</v>
          </cell>
          <cell r="F1467" t="str">
            <v>22313</v>
          </cell>
          <cell r="G1467" t="str">
            <v>為升三</v>
          </cell>
          <cell r="H1467">
            <v>100000</v>
          </cell>
          <cell r="I1467">
            <v>3.5</v>
          </cell>
          <cell r="J1467">
            <v>45898</v>
          </cell>
          <cell r="K1467">
            <v>101.50749999999999</v>
          </cell>
          <cell r="L1467">
            <v>45880</v>
          </cell>
          <cell r="M1467">
            <v>-3347</v>
          </cell>
          <cell r="N1467">
            <v>96653</v>
          </cell>
        </row>
        <row r="1468">
          <cell r="A1468">
            <v>82992</v>
          </cell>
          <cell r="B1468">
            <v>1462</v>
          </cell>
          <cell r="C1468" t="str">
            <v>IASWD2405001268</v>
          </cell>
          <cell r="D1468">
            <v>45443</v>
          </cell>
          <cell r="E1468">
            <v>46410</v>
          </cell>
          <cell r="F1468" t="str">
            <v>82992</v>
          </cell>
          <cell r="G1468" t="str">
            <v>群聯二</v>
          </cell>
          <cell r="H1468">
            <v>100000</v>
          </cell>
          <cell r="I1468">
            <v>2.5</v>
          </cell>
          <cell r="J1468">
            <v>46410</v>
          </cell>
          <cell r="K1468">
            <v>100</v>
          </cell>
          <cell r="L1468">
            <v>46392</v>
          </cell>
          <cell r="M1468">
            <v>-2390</v>
          </cell>
          <cell r="N1468">
            <v>97610</v>
          </cell>
        </row>
        <row r="1469">
          <cell r="A1469">
            <v>24361</v>
          </cell>
          <cell r="B1469">
            <v>1463</v>
          </cell>
          <cell r="C1469" t="str">
            <v>IASWD2405001276</v>
          </cell>
          <cell r="D1469">
            <v>45443</v>
          </cell>
          <cell r="E1469">
            <v>45911</v>
          </cell>
          <cell r="F1469" t="str">
            <v>24361</v>
          </cell>
          <cell r="G1469" t="str">
            <v>偉詮電一</v>
          </cell>
          <cell r="H1469">
            <v>100000</v>
          </cell>
          <cell r="I1469">
            <v>3.75</v>
          </cell>
          <cell r="J1469">
            <v>45911</v>
          </cell>
          <cell r="K1469">
            <v>100.50060000000001</v>
          </cell>
          <cell r="L1469">
            <v>45891</v>
          </cell>
          <cell r="M1469">
            <v>-3586</v>
          </cell>
          <cell r="N1469">
            <v>96414</v>
          </cell>
        </row>
        <row r="1470">
          <cell r="A1470">
            <v>82992</v>
          </cell>
          <cell r="B1470">
            <v>1464</v>
          </cell>
          <cell r="C1470" t="str">
            <v>IASWD2405001277</v>
          </cell>
          <cell r="D1470">
            <v>45443</v>
          </cell>
          <cell r="E1470">
            <v>46410</v>
          </cell>
          <cell r="F1470" t="str">
            <v>82992</v>
          </cell>
          <cell r="G1470" t="str">
            <v>群聯二</v>
          </cell>
          <cell r="H1470">
            <v>100000</v>
          </cell>
          <cell r="I1470">
            <v>2.5</v>
          </cell>
          <cell r="J1470">
            <v>46410</v>
          </cell>
          <cell r="K1470">
            <v>100</v>
          </cell>
          <cell r="L1470">
            <v>46392</v>
          </cell>
          <cell r="M1470">
            <v>-2390</v>
          </cell>
          <cell r="N1470">
            <v>97610</v>
          </cell>
        </row>
        <row r="1471">
          <cell r="A1471">
            <v>22313</v>
          </cell>
          <cell r="B1471">
            <v>1465</v>
          </cell>
          <cell r="C1471" t="str">
            <v>IASWD2405001280</v>
          </cell>
          <cell r="D1471">
            <v>45443</v>
          </cell>
          <cell r="E1471">
            <v>45898</v>
          </cell>
          <cell r="F1471" t="str">
            <v>22313</v>
          </cell>
          <cell r="G1471" t="str">
            <v>為升三</v>
          </cell>
          <cell r="H1471">
            <v>200000</v>
          </cell>
          <cell r="I1471">
            <v>3.5</v>
          </cell>
          <cell r="J1471">
            <v>45898</v>
          </cell>
          <cell r="K1471">
            <v>101.50749999999999</v>
          </cell>
          <cell r="L1471">
            <v>45880</v>
          </cell>
          <cell r="M1471">
            <v>-6693</v>
          </cell>
          <cell r="N1471">
            <v>193307</v>
          </cell>
        </row>
        <row r="1472">
          <cell r="A1472">
            <v>24361</v>
          </cell>
          <cell r="B1472">
            <v>1466</v>
          </cell>
          <cell r="C1472" t="str">
            <v>IASWD2405001281</v>
          </cell>
          <cell r="D1472">
            <v>45443</v>
          </cell>
          <cell r="E1472">
            <v>45911</v>
          </cell>
          <cell r="F1472" t="str">
            <v>24361</v>
          </cell>
          <cell r="G1472" t="str">
            <v>偉詮電一</v>
          </cell>
          <cell r="H1472">
            <v>100000</v>
          </cell>
          <cell r="I1472">
            <v>3.75</v>
          </cell>
          <cell r="J1472">
            <v>45911</v>
          </cell>
          <cell r="K1472">
            <v>100.50060000000001</v>
          </cell>
          <cell r="L1472">
            <v>45891</v>
          </cell>
          <cell r="M1472">
            <v>-3586</v>
          </cell>
          <cell r="N1472">
            <v>96414</v>
          </cell>
        </row>
        <row r="1473">
          <cell r="A1473">
            <v>24361</v>
          </cell>
          <cell r="B1473">
            <v>1467</v>
          </cell>
          <cell r="C1473" t="str">
            <v>IASWD2405001283</v>
          </cell>
          <cell r="D1473">
            <v>45443</v>
          </cell>
          <cell r="E1473">
            <v>45911</v>
          </cell>
          <cell r="F1473" t="str">
            <v>24361</v>
          </cell>
          <cell r="G1473" t="str">
            <v>偉詮電一</v>
          </cell>
          <cell r="H1473">
            <v>100000</v>
          </cell>
          <cell r="I1473">
            <v>3.75</v>
          </cell>
          <cell r="J1473">
            <v>45911</v>
          </cell>
          <cell r="K1473">
            <v>100.50060000000001</v>
          </cell>
          <cell r="L1473">
            <v>45891</v>
          </cell>
          <cell r="M1473">
            <v>-3586</v>
          </cell>
          <cell r="N1473">
            <v>96414</v>
          </cell>
        </row>
        <row r="1474">
          <cell r="A1474">
            <v>22013</v>
          </cell>
          <cell r="B1474">
            <v>1468</v>
          </cell>
          <cell r="C1474" t="str">
            <v>IASWD2405001288</v>
          </cell>
          <cell r="D1474">
            <v>45443</v>
          </cell>
          <cell r="E1474">
            <v>46167</v>
          </cell>
          <cell r="F1474" t="str">
            <v>22013</v>
          </cell>
          <cell r="G1474" t="str">
            <v>裕隆三</v>
          </cell>
          <cell r="H1474">
            <v>100000</v>
          </cell>
          <cell r="I1474">
            <v>3</v>
          </cell>
          <cell r="J1474">
            <v>46167</v>
          </cell>
          <cell r="K1474">
            <v>100.75190000000001</v>
          </cell>
          <cell r="L1474">
            <v>46147</v>
          </cell>
          <cell r="M1474">
            <v>-2868</v>
          </cell>
          <cell r="N1474">
            <v>97132</v>
          </cell>
        </row>
        <row r="1475">
          <cell r="A1475">
            <v>82992</v>
          </cell>
          <cell r="B1475">
            <v>1469</v>
          </cell>
          <cell r="C1475" t="str">
            <v>IASWD2405001292</v>
          </cell>
          <cell r="D1475">
            <v>45443</v>
          </cell>
          <cell r="E1475">
            <v>46410</v>
          </cell>
          <cell r="F1475" t="str">
            <v>82992</v>
          </cell>
          <cell r="G1475" t="str">
            <v>群聯二</v>
          </cell>
          <cell r="H1475">
            <v>100000</v>
          </cell>
          <cell r="I1475">
            <v>2.5</v>
          </cell>
          <cell r="J1475">
            <v>46410</v>
          </cell>
          <cell r="K1475">
            <v>100</v>
          </cell>
          <cell r="L1475">
            <v>46392</v>
          </cell>
          <cell r="M1475">
            <v>-2390</v>
          </cell>
          <cell r="N1475">
            <v>97610</v>
          </cell>
        </row>
        <row r="1476">
          <cell r="A1476">
            <v>24361</v>
          </cell>
          <cell r="B1476">
            <v>1470</v>
          </cell>
          <cell r="C1476" t="str">
            <v>IASWD2405001293</v>
          </cell>
          <cell r="D1476">
            <v>45443</v>
          </cell>
          <cell r="E1476">
            <v>45911</v>
          </cell>
          <cell r="F1476" t="str">
            <v>24361</v>
          </cell>
          <cell r="G1476" t="str">
            <v>偉詮電一</v>
          </cell>
          <cell r="H1476">
            <v>200000</v>
          </cell>
          <cell r="I1476">
            <v>3.75</v>
          </cell>
          <cell r="J1476">
            <v>45911</v>
          </cell>
          <cell r="K1476">
            <v>100.50060000000001</v>
          </cell>
          <cell r="L1476">
            <v>45891</v>
          </cell>
          <cell r="M1476">
            <v>-7171</v>
          </cell>
          <cell r="N1476">
            <v>192829</v>
          </cell>
        </row>
        <row r="1477">
          <cell r="A1477">
            <v>22013</v>
          </cell>
          <cell r="B1477">
            <v>1471</v>
          </cell>
          <cell r="C1477" t="str">
            <v>IASWD2405001296</v>
          </cell>
          <cell r="D1477">
            <v>45443</v>
          </cell>
          <cell r="E1477">
            <v>46167</v>
          </cell>
          <cell r="F1477" t="str">
            <v>22013</v>
          </cell>
          <cell r="G1477" t="str">
            <v>裕隆三</v>
          </cell>
          <cell r="H1477">
            <v>700000</v>
          </cell>
          <cell r="I1477">
            <v>3</v>
          </cell>
          <cell r="J1477">
            <v>46167</v>
          </cell>
          <cell r="K1477">
            <v>100.75190000000001</v>
          </cell>
          <cell r="L1477">
            <v>46147</v>
          </cell>
          <cell r="M1477">
            <v>-20079</v>
          </cell>
          <cell r="N1477">
            <v>679921</v>
          </cell>
        </row>
        <row r="1478">
          <cell r="A1478">
            <v>811210</v>
          </cell>
          <cell r="B1478">
            <v>1472</v>
          </cell>
          <cell r="C1478" t="str">
            <v>IASWD2405001298</v>
          </cell>
          <cell r="D1478">
            <v>45443</v>
          </cell>
          <cell r="E1478">
            <v>46531</v>
          </cell>
          <cell r="F1478" t="str">
            <v>811210</v>
          </cell>
          <cell r="G1478" t="str">
            <v>至上十</v>
          </cell>
          <cell r="H1478">
            <v>400000</v>
          </cell>
          <cell r="I1478">
            <v>3.75</v>
          </cell>
          <cell r="J1478">
            <v>46531</v>
          </cell>
          <cell r="K1478">
            <v>100</v>
          </cell>
          <cell r="L1478">
            <v>46511</v>
          </cell>
          <cell r="M1478">
            <v>-14342</v>
          </cell>
          <cell r="N1478">
            <v>385658</v>
          </cell>
        </row>
        <row r="1479">
          <cell r="A1479">
            <v>811210</v>
          </cell>
          <cell r="B1479">
            <v>1473</v>
          </cell>
          <cell r="C1479" t="str">
            <v>IASWD2405001300</v>
          </cell>
          <cell r="D1479">
            <v>45443</v>
          </cell>
          <cell r="E1479">
            <v>46531</v>
          </cell>
          <cell r="F1479" t="str">
            <v>811210</v>
          </cell>
          <cell r="G1479" t="str">
            <v>至上十</v>
          </cell>
          <cell r="H1479">
            <v>1000000</v>
          </cell>
          <cell r="I1479">
            <v>3.75</v>
          </cell>
          <cell r="J1479">
            <v>46531</v>
          </cell>
          <cell r="K1479">
            <v>100</v>
          </cell>
          <cell r="L1479">
            <v>46511</v>
          </cell>
          <cell r="M1479">
            <v>-35856</v>
          </cell>
          <cell r="N1479">
            <v>964144</v>
          </cell>
        </row>
        <row r="1480">
          <cell r="A1480">
            <v>24361</v>
          </cell>
          <cell r="B1480">
            <v>1474</v>
          </cell>
          <cell r="C1480" t="str">
            <v>IASWD2405001302</v>
          </cell>
          <cell r="D1480">
            <v>45443</v>
          </cell>
          <cell r="E1480">
            <v>45911</v>
          </cell>
          <cell r="F1480" t="str">
            <v>24361</v>
          </cell>
          <cell r="G1480" t="str">
            <v>偉詮電一</v>
          </cell>
          <cell r="H1480">
            <v>100000</v>
          </cell>
          <cell r="I1480">
            <v>3.75</v>
          </cell>
          <cell r="J1480">
            <v>45911</v>
          </cell>
          <cell r="K1480">
            <v>100.50060000000001</v>
          </cell>
          <cell r="L1480">
            <v>45891</v>
          </cell>
          <cell r="M1480">
            <v>-3586</v>
          </cell>
          <cell r="N1480">
            <v>96414</v>
          </cell>
        </row>
        <row r="1481">
          <cell r="A1481">
            <v>811210</v>
          </cell>
          <cell r="B1481">
            <v>1475</v>
          </cell>
          <cell r="C1481" t="str">
            <v>IASWD2405001304</v>
          </cell>
          <cell r="D1481">
            <v>45443</v>
          </cell>
          <cell r="E1481">
            <v>46531</v>
          </cell>
          <cell r="F1481" t="str">
            <v>811210</v>
          </cell>
          <cell r="G1481" t="str">
            <v>至上十</v>
          </cell>
          <cell r="H1481">
            <v>300000</v>
          </cell>
          <cell r="I1481">
            <v>3.75</v>
          </cell>
          <cell r="J1481">
            <v>46531</v>
          </cell>
          <cell r="K1481">
            <v>100</v>
          </cell>
          <cell r="L1481">
            <v>46511</v>
          </cell>
          <cell r="M1481">
            <v>-10757</v>
          </cell>
          <cell r="N1481">
            <v>289243</v>
          </cell>
        </row>
        <row r="1482">
          <cell r="A1482">
            <v>24361</v>
          </cell>
          <cell r="B1482">
            <v>1476</v>
          </cell>
          <cell r="C1482" t="str">
            <v>IASWD2405001305</v>
          </cell>
          <cell r="D1482">
            <v>45443</v>
          </cell>
          <cell r="E1482">
            <v>45911</v>
          </cell>
          <cell r="F1482" t="str">
            <v>24361</v>
          </cell>
          <cell r="G1482" t="str">
            <v>偉詮電一</v>
          </cell>
          <cell r="H1482">
            <v>100000</v>
          </cell>
          <cell r="I1482">
            <v>3.75</v>
          </cell>
          <cell r="J1482">
            <v>45911</v>
          </cell>
          <cell r="K1482">
            <v>100.50060000000001</v>
          </cell>
          <cell r="L1482">
            <v>45891</v>
          </cell>
          <cell r="M1482">
            <v>-3586</v>
          </cell>
          <cell r="N1482">
            <v>96414</v>
          </cell>
        </row>
        <row r="1483">
          <cell r="A1483">
            <v>82992</v>
          </cell>
          <cell r="B1483">
            <v>1477</v>
          </cell>
          <cell r="C1483" t="str">
            <v>IASWD2405001308</v>
          </cell>
          <cell r="D1483">
            <v>45443</v>
          </cell>
          <cell r="E1483">
            <v>46410</v>
          </cell>
          <cell r="F1483" t="str">
            <v>82992</v>
          </cell>
          <cell r="G1483" t="str">
            <v>群聯二</v>
          </cell>
          <cell r="H1483">
            <v>500000</v>
          </cell>
          <cell r="I1483">
            <v>2.5</v>
          </cell>
          <cell r="J1483">
            <v>46410</v>
          </cell>
          <cell r="K1483">
            <v>100</v>
          </cell>
          <cell r="L1483">
            <v>46392</v>
          </cell>
          <cell r="M1483">
            <v>-11952</v>
          </cell>
          <cell r="N1483">
            <v>488048</v>
          </cell>
        </row>
        <row r="1484">
          <cell r="A1484">
            <v>24361</v>
          </cell>
          <cell r="B1484">
            <v>1478</v>
          </cell>
          <cell r="C1484" t="str">
            <v>IASWD2406000001</v>
          </cell>
          <cell r="D1484">
            <v>45446</v>
          </cell>
          <cell r="E1484">
            <v>45911</v>
          </cell>
          <cell r="F1484" t="str">
            <v>24361</v>
          </cell>
          <cell r="G1484" t="str">
            <v>偉詮電一</v>
          </cell>
          <cell r="H1484">
            <v>300000</v>
          </cell>
          <cell r="I1484">
            <v>3.75</v>
          </cell>
          <cell r="J1484">
            <v>45911</v>
          </cell>
          <cell r="K1484">
            <v>100.50060000000001</v>
          </cell>
          <cell r="L1484">
            <v>45891</v>
          </cell>
          <cell r="M1484">
            <v>-10664</v>
          </cell>
          <cell r="N1484">
            <v>289336</v>
          </cell>
        </row>
        <row r="1485">
          <cell r="A1485">
            <v>24361</v>
          </cell>
          <cell r="B1485">
            <v>1479</v>
          </cell>
          <cell r="C1485" t="str">
            <v>IASWD2406000005</v>
          </cell>
          <cell r="D1485">
            <v>45446</v>
          </cell>
          <cell r="E1485">
            <v>45911</v>
          </cell>
          <cell r="F1485" t="str">
            <v>24361</v>
          </cell>
          <cell r="G1485" t="str">
            <v>偉詮電一</v>
          </cell>
          <cell r="H1485">
            <v>100000</v>
          </cell>
          <cell r="I1485">
            <v>3.75</v>
          </cell>
          <cell r="J1485">
            <v>45911</v>
          </cell>
          <cell r="K1485">
            <v>100.50060000000001</v>
          </cell>
          <cell r="L1485">
            <v>45891</v>
          </cell>
          <cell r="M1485">
            <v>-3555</v>
          </cell>
          <cell r="N1485">
            <v>96445</v>
          </cell>
        </row>
        <row r="1486">
          <cell r="A1486">
            <v>82992</v>
          </cell>
          <cell r="B1486">
            <v>1480</v>
          </cell>
          <cell r="C1486" t="str">
            <v>IASWD2406000011</v>
          </cell>
          <cell r="D1486">
            <v>45446</v>
          </cell>
          <cell r="E1486">
            <v>46410</v>
          </cell>
          <cell r="F1486" t="str">
            <v>82992</v>
          </cell>
          <cell r="G1486" t="str">
            <v>群聯二</v>
          </cell>
          <cell r="H1486">
            <v>200000</v>
          </cell>
          <cell r="I1486">
            <v>2.5</v>
          </cell>
          <cell r="J1486">
            <v>46410</v>
          </cell>
          <cell r="K1486">
            <v>100</v>
          </cell>
          <cell r="L1486">
            <v>46392</v>
          </cell>
          <cell r="M1486">
            <v>-4740</v>
          </cell>
          <cell r="N1486">
            <v>195260</v>
          </cell>
        </row>
        <row r="1487">
          <cell r="A1487">
            <v>82992</v>
          </cell>
          <cell r="B1487">
            <v>1481</v>
          </cell>
          <cell r="C1487" t="str">
            <v>IASWD2406000013</v>
          </cell>
          <cell r="D1487">
            <v>45446</v>
          </cell>
          <cell r="E1487">
            <v>46410</v>
          </cell>
          <cell r="F1487" t="str">
            <v>82992</v>
          </cell>
          <cell r="G1487" t="str">
            <v>群聯二</v>
          </cell>
          <cell r="H1487">
            <v>100000</v>
          </cell>
          <cell r="I1487">
            <v>2.5</v>
          </cell>
          <cell r="J1487">
            <v>46410</v>
          </cell>
          <cell r="K1487">
            <v>100</v>
          </cell>
          <cell r="L1487">
            <v>46392</v>
          </cell>
          <cell r="M1487">
            <v>-2370</v>
          </cell>
          <cell r="N1487">
            <v>97630</v>
          </cell>
        </row>
        <row r="1488">
          <cell r="A1488">
            <v>82992</v>
          </cell>
          <cell r="B1488">
            <v>1482</v>
          </cell>
          <cell r="C1488" t="str">
            <v>IASWD2406000015</v>
          </cell>
          <cell r="D1488">
            <v>45446</v>
          </cell>
          <cell r="E1488">
            <v>46410</v>
          </cell>
          <cell r="F1488" t="str">
            <v>82992</v>
          </cell>
          <cell r="G1488" t="str">
            <v>群聯二</v>
          </cell>
          <cell r="H1488">
            <v>1000000</v>
          </cell>
          <cell r="I1488">
            <v>2.5</v>
          </cell>
          <cell r="J1488">
            <v>46410</v>
          </cell>
          <cell r="K1488">
            <v>100</v>
          </cell>
          <cell r="L1488">
            <v>46392</v>
          </cell>
          <cell r="M1488">
            <v>-23699</v>
          </cell>
          <cell r="N1488">
            <v>976301</v>
          </cell>
        </row>
        <row r="1489">
          <cell r="A1489">
            <v>22013</v>
          </cell>
          <cell r="B1489">
            <v>1483</v>
          </cell>
          <cell r="C1489" t="str">
            <v>IASWD2406000019</v>
          </cell>
          <cell r="D1489">
            <v>45446</v>
          </cell>
          <cell r="E1489">
            <v>46167</v>
          </cell>
          <cell r="F1489" t="str">
            <v>22013</v>
          </cell>
          <cell r="G1489" t="str">
            <v>裕隆三</v>
          </cell>
          <cell r="H1489">
            <v>100000</v>
          </cell>
          <cell r="I1489">
            <v>3</v>
          </cell>
          <cell r="J1489">
            <v>46167</v>
          </cell>
          <cell r="K1489">
            <v>100.75190000000001</v>
          </cell>
          <cell r="L1489">
            <v>46147</v>
          </cell>
          <cell r="M1489">
            <v>-2844</v>
          </cell>
          <cell r="N1489">
            <v>97156</v>
          </cell>
        </row>
        <row r="1490">
          <cell r="A1490">
            <v>22013</v>
          </cell>
          <cell r="B1490">
            <v>1484</v>
          </cell>
          <cell r="C1490" t="str">
            <v>IASWD2406000022</v>
          </cell>
          <cell r="D1490">
            <v>45446</v>
          </cell>
          <cell r="E1490">
            <v>46167</v>
          </cell>
          <cell r="F1490" t="str">
            <v>22013</v>
          </cell>
          <cell r="G1490" t="str">
            <v>裕隆三</v>
          </cell>
          <cell r="H1490">
            <v>200000</v>
          </cell>
          <cell r="I1490">
            <v>3</v>
          </cell>
          <cell r="J1490">
            <v>46167</v>
          </cell>
          <cell r="K1490">
            <v>100.75190000000001</v>
          </cell>
          <cell r="L1490">
            <v>46147</v>
          </cell>
          <cell r="M1490">
            <v>-5688</v>
          </cell>
          <cell r="N1490">
            <v>194312</v>
          </cell>
        </row>
        <row r="1491">
          <cell r="A1491">
            <v>22013</v>
          </cell>
          <cell r="B1491">
            <v>1485</v>
          </cell>
          <cell r="C1491" t="str">
            <v>IASWD2406000023</v>
          </cell>
          <cell r="D1491">
            <v>45446</v>
          </cell>
          <cell r="E1491">
            <v>46167</v>
          </cell>
          <cell r="F1491" t="str">
            <v>22013</v>
          </cell>
          <cell r="G1491" t="str">
            <v>裕隆三</v>
          </cell>
          <cell r="H1491">
            <v>2300000</v>
          </cell>
          <cell r="I1491">
            <v>3</v>
          </cell>
          <cell r="J1491">
            <v>46167</v>
          </cell>
          <cell r="K1491">
            <v>100.75190000000001</v>
          </cell>
          <cell r="L1491">
            <v>46147</v>
          </cell>
          <cell r="M1491">
            <v>-65408</v>
          </cell>
          <cell r="N1491">
            <v>2234592</v>
          </cell>
        </row>
        <row r="1492">
          <cell r="A1492">
            <v>82992</v>
          </cell>
          <cell r="B1492">
            <v>1486</v>
          </cell>
          <cell r="C1492" t="str">
            <v>IASWD2406000026</v>
          </cell>
          <cell r="D1492">
            <v>45446</v>
          </cell>
          <cell r="E1492">
            <v>46410</v>
          </cell>
          <cell r="F1492" t="str">
            <v>82992</v>
          </cell>
          <cell r="G1492" t="str">
            <v>群聯二</v>
          </cell>
          <cell r="H1492">
            <v>100000</v>
          </cell>
          <cell r="I1492">
            <v>2.5</v>
          </cell>
          <cell r="J1492">
            <v>46410</v>
          </cell>
          <cell r="K1492">
            <v>100</v>
          </cell>
          <cell r="L1492">
            <v>46392</v>
          </cell>
          <cell r="M1492">
            <v>-2370</v>
          </cell>
          <cell r="N1492">
            <v>97630</v>
          </cell>
        </row>
        <row r="1493">
          <cell r="A1493">
            <v>82992</v>
          </cell>
          <cell r="B1493">
            <v>1487</v>
          </cell>
          <cell r="C1493" t="str">
            <v>IASWD2406000028</v>
          </cell>
          <cell r="D1493">
            <v>45446</v>
          </cell>
          <cell r="E1493">
            <v>46410</v>
          </cell>
          <cell r="F1493" t="str">
            <v>82992</v>
          </cell>
          <cell r="G1493" t="str">
            <v>群聯二</v>
          </cell>
          <cell r="H1493">
            <v>400000</v>
          </cell>
          <cell r="I1493">
            <v>2.5</v>
          </cell>
          <cell r="J1493">
            <v>46410</v>
          </cell>
          <cell r="K1493">
            <v>100</v>
          </cell>
          <cell r="L1493">
            <v>46392</v>
          </cell>
          <cell r="M1493">
            <v>-9479</v>
          </cell>
          <cell r="N1493">
            <v>390521</v>
          </cell>
        </row>
        <row r="1494">
          <cell r="A1494">
            <v>22013</v>
          </cell>
          <cell r="B1494">
            <v>1488</v>
          </cell>
          <cell r="C1494" t="str">
            <v>IASWD2406000031</v>
          </cell>
          <cell r="D1494">
            <v>45446</v>
          </cell>
          <cell r="E1494">
            <v>46167</v>
          </cell>
          <cell r="F1494" t="str">
            <v>22013</v>
          </cell>
          <cell r="G1494" t="str">
            <v>裕隆三</v>
          </cell>
          <cell r="H1494">
            <v>100000</v>
          </cell>
          <cell r="I1494">
            <v>3</v>
          </cell>
          <cell r="J1494">
            <v>46167</v>
          </cell>
          <cell r="K1494">
            <v>100.75190000000001</v>
          </cell>
          <cell r="L1494">
            <v>46147</v>
          </cell>
          <cell r="M1494">
            <v>-2844</v>
          </cell>
          <cell r="N1494">
            <v>97156</v>
          </cell>
        </row>
        <row r="1495">
          <cell r="A1495">
            <v>82992</v>
          </cell>
          <cell r="B1495">
            <v>1489</v>
          </cell>
          <cell r="C1495" t="str">
            <v>IASWD2406000032</v>
          </cell>
          <cell r="D1495">
            <v>45446</v>
          </cell>
          <cell r="E1495">
            <v>46410</v>
          </cell>
          <cell r="F1495" t="str">
            <v>82992</v>
          </cell>
          <cell r="G1495" t="str">
            <v>群聯二</v>
          </cell>
          <cell r="H1495">
            <v>400000</v>
          </cell>
          <cell r="I1495">
            <v>2.5</v>
          </cell>
          <cell r="J1495">
            <v>46410</v>
          </cell>
          <cell r="K1495">
            <v>100</v>
          </cell>
          <cell r="L1495">
            <v>46392</v>
          </cell>
          <cell r="M1495">
            <v>-9479</v>
          </cell>
          <cell r="N1495">
            <v>390521</v>
          </cell>
        </row>
        <row r="1496">
          <cell r="A1496">
            <v>24361</v>
          </cell>
          <cell r="B1496">
            <v>1490</v>
          </cell>
          <cell r="C1496" t="str">
            <v>IASWD2406000033</v>
          </cell>
          <cell r="D1496">
            <v>45446</v>
          </cell>
          <cell r="E1496">
            <v>45911</v>
          </cell>
          <cell r="F1496" t="str">
            <v>24361</v>
          </cell>
          <cell r="G1496" t="str">
            <v>偉詮電一</v>
          </cell>
          <cell r="H1496">
            <v>300000</v>
          </cell>
          <cell r="I1496">
            <v>3.75</v>
          </cell>
          <cell r="J1496">
            <v>45911</v>
          </cell>
          <cell r="K1496">
            <v>100.50060000000001</v>
          </cell>
          <cell r="L1496">
            <v>45891</v>
          </cell>
          <cell r="M1496">
            <v>-10664</v>
          </cell>
          <cell r="N1496">
            <v>289336</v>
          </cell>
        </row>
        <row r="1497">
          <cell r="A1497">
            <v>82992</v>
          </cell>
          <cell r="B1497">
            <v>1491</v>
          </cell>
          <cell r="C1497" t="str">
            <v>IASWD2406000034</v>
          </cell>
          <cell r="D1497">
            <v>45446</v>
          </cell>
          <cell r="E1497">
            <v>46410</v>
          </cell>
          <cell r="F1497" t="str">
            <v>82992</v>
          </cell>
          <cell r="G1497" t="str">
            <v>群聯二</v>
          </cell>
          <cell r="H1497">
            <v>200000</v>
          </cell>
          <cell r="I1497">
            <v>2.5</v>
          </cell>
          <cell r="J1497">
            <v>46410</v>
          </cell>
          <cell r="K1497">
            <v>100</v>
          </cell>
          <cell r="L1497">
            <v>46392</v>
          </cell>
          <cell r="M1497">
            <v>-4740</v>
          </cell>
          <cell r="N1497">
            <v>195260</v>
          </cell>
        </row>
        <row r="1498">
          <cell r="A1498">
            <v>22013</v>
          </cell>
          <cell r="B1498">
            <v>1492</v>
          </cell>
          <cell r="C1498" t="str">
            <v>IASWD2406000044</v>
          </cell>
          <cell r="D1498">
            <v>45446</v>
          </cell>
          <cell r="E1498">
            <v>46167</v>
          </cell>
          <cell r="F1498" t="str">
            <v>22013</v>
          </cell>
          <cell r="G1498" t="str">
            <v>裕隆三</v>
          </cell>
          <cell r="H1498">
            <v>500000</v>
          </cell>
          <cell r="I1498">
            <v>3</v>
          </cell>
          <cell r="J1498">
            <v>46167</v>
          </cell>
          <cell r="K1498">
            <v>100.75190000000001</v>
          </cell>
          <cell r="L1498">
            <v>46147</v>
          </cell>
          <cell r="M1498">
            <v>-14219</v>
          </cell>
          <cell r="N1498">
            <v>485781</v>
          </cell>
        </row>
        <row r="1499">
          <cell r="A1499">
            <v>24361</v>
          </cell>
          <cell r="B1499">
            <v>1493</v>
          </cell>
          <cell r="C1499" t="str">
            <v>IASWD2406000048</v>
          </cell>
          <cell r="D1499">
            <v>45446</v>
          </cell>
          <cell r="E1499">
            <v>45911</v>
          </cell>
          <cell r="F1499" t="str">
            <v>24361</v>
          </cell>
          <cell r="G1499" t="str">
            <v>偉詮電一</v>
          </cell>
          <cell r="H1499">
            <v>100000</v>
          </cell>
          <cell r="I1499">
            <v>3.75</v>
          </cell>
          <cell r="J1499">
            <v>45911</v>
          </cell>
          <cell r="K1499">
            <v>100.50060000000001</v>
          </cell>
          <cell r="L1499">
            <v>45891</v>
          </cell>
          <cell r="M1499">
            <v>-3555</v>
          </cell>
          <cell r="N1499">
            <v>96445</v>
          </cell>
        </row>
        <row r="1500">
          <cell r="A1500">
            <v>82992</v>
          </cell>
          <cell r="B1500">
            <v>1494</v>
          </cell>
          <cell r="C1500" t="str">
            <v>IASWD2406000049</v>
          </cell>
          <cell r="D1500">
            <v>45446</v>
          </cell>
          <cell r="E1500">
            <v>46410</v>
          </cell>
          <cell r="F1500" t="str">
            <v>82992</v>
          </cell>
          <cell r="G1500" t="str">
            <v>群聯二</v>
          </cell>
          <cell r="H1500">
            <v>400000</v>
          </cell>
          <cell r="I1500">
            <v>2.5</v>
          </cell>
          <cell r="J1500">
            <v>46410</v>
          </cell>
          <cell r="K1500">
            <v>100</v>
          </cell>
          <cell r="L1500">
            <v>46392</v>
          </cell>
          <cell r="M1500">
            <v>-9479</v>
          </cell>
          <cell r="N1500">
            <v>390521</v>
          </cell>
        </row>
        <row r="1501">
          <cell r="A1501">
            <v>82992</v>
          </cell>
          <cell r="B1501">
            <v>1495</v>
          </cell>
          <cell r="C1501" t="str">
            <v>IASWD2406000052</v>
          </cell>
          <cell r="D1501">
            <v>45447</v>
          </cell>
          <cell r="E1501">
            <v>46410</v>
          </cell>
          <cell r="F1501" t="str">
            <v>82992</v>
          </cell>
          <cell r="G1501" t="str">
            <v>群聯二</v>
          </cell>
          <cell r="H1501">
            <v>100000</v>
          </cell>
          <cell r="I1501">
            <v>2.5</v>
          </cell>
          <cell r="J1501">
            <v>46410</v>
          </cell>
          <cell r="K1501">
            <v>100</v>
          </cell>
          <cell r="L1501">
            <v>46392</v>
          </cell>
          <cell r="M1501">
            <v>-2363</v>
          </cell>
          <cell r="N1501">
            <v>97637</v>
          </cell>
        </row>
        <row r="1502">
          <cell r="A1502">
            <v>34163</v>
          </cell>
          <cell r="B1502">
            <v>1496</v>
          </cell>
          <cell r="C1502" t="str">
            <v>IASWD2406000053</v>
          </cell>
          <cell r="D1502">
            <v>45447</v>
          </cell>
          <cell r="E1502">
            <v>46047</v>
          </cell>
          <cell r="F1502" t="str">
            <v>34163</v>
          </cell>
          <cell r="G1502" t="str">
            <v>融程電三</v>
          </cell>
          <cell r="H1502">
            <v>100000</v>
          </cell>
          <cell r="I1502">
            <v>3</v>
          </cell>
          <cell r="J1502">
            <v>46047</v>
          </cell>
          <cell r="K1502">
            <v>100.5</v>
          </cell>
          <cell r="L1502">
            <v>46028</v>
          </cell>
          <cell r="M1502">
            <v>-2836</v>
          </cell>
          <cell r="N1502">
            <v>97164</v>
          </cell>
        </row>
        <row r="1503">
          <cell r="A1503">
            <v>82992</v>
          </cell>
          <cell r="B1503">
            <v>1497</v>
          </cell>
          <cell r="C1503" t="str">
            <v>IASWD2406000055</v>
          </cell>
          <cell r="D1503">
            <v>45447</v>
          </cell>
          <cell r="E1503">
            <v>46410</v>
          </cell>
          <cell r="F1503" t="str">
            <v>82992</v>
          </cell>
          <cell r="G1503" t="str">
            <v>群聯二</v>
          </cell>
          <cell r="H1503">
            <v>100000</v>
          </cell>
          <cell r="I1503">
            <v>2.5</v>
          </cell>
          <cell r="J1503">
            <v>46410</v>
          </cell>
          <cell r="K1503">
            <v>100</v>
          </cell>
          <cell r="L1503">
            <v>46392</v>
          </cell>
          <cell r="M1503">
            <v>-2363</v>
          </cell>
          <cell r="N1503">
            <v>97637</v>
          </cell>
        </row>
        <row r="1504">
          <cell r="A1504">
            <v>29061</v>
          </cell>
          <cell r="B1504">
            <v>1498</v>
          </cell>
          <cell r="C1504" t="str">
            <v>IASWD2406000059</v>
          </cell>
          <cell r="D1504">
            <v>45447</v>
          </cell>
          <cell r="E1504">
            <v>45920</v>
          </cell>
          <cell r="F1504" t="str">
            <v>29061</v>
          </cell>
          <cell r="G1504" t="str">
            <v>高林一</v>
          </cell>
          <cell r="H1504">
            <v>100000</v>
          </cell>
          <cell r="I1504">
            <v>3.75</v>
          </cell>
          <cell r="J1504">
            <v>45920</v>
          </cell>
          <cell r="K1504">
            <v>102.01</v>
          </cell>
          <cell r="L1504">
            <v>45902</v>
          </cell>
          <cell r="M1504">
            <v>-3545</v>
          </cell>
          <cell r="N1504">
            <v>96455</v>
          </cell>
        </row>
        <row r="1505">
          <cell r="A1505">
            <v>82992</v>
          </cell>
          <cell r="B1505">
            <v>1499</v>
          </cell>
          <cell r="C1505" t="str">
            <v>IASWD2406000065</v>
          </cell>
          <cell r="D1505">
            <v>45447</v>
          </cell>
          <cell r="E1505">
            <v>46410</v>
          </cell>
          <cell r="F1505" t="str">
            <v>82992</v>
          </cell>
          <cell r="G1505" t="str">
            <v>群聯二</v>
          </cell>
          <cell r="H1505">
            <v>200000</v>
          </cell>
          <cell r="I1505">
            <v>2.5</v>
          </cell>
          <cell r="J1505">
            <v>46410</v>
          </cell>
          <cell r="K1505">
            <v>100</v>
          </cell>
          <cell r="L1505">
            <v>46392</v>
          </cell>
          <cell r="M1505">
            <v>-4726</v>
          </cell>
          <cell r="N1505">
            <v>195274</v>
          </cell>
        </row>
        <row r="1506">
          <cell r="A1506">
            <v>82992</v>
          </cell>
          <cell r="B1506">
            <v>1500</v>
          </cell>
          <cell r="C1506" t="str">
            <v>IASWD2406000070</v>
          </cell>
          <cell r="D1506">
            <v>45447</v>
          </cell>
          <cell r="E1506">
            <v>46410</v>
          </cell>
          <cell r="F1506" t="str">
            <v>82992</v>
          </cell>
          <cell r="G1506" t="str">
            <v>群聯二</v>
          </cell>
          <cell r="H1506">
            <v>100000</v>
          </cell>
          <cell r="I1506">
            <v>2.5</v>
          </cell>
          <cell r="J1506">
            <v>46410</v>
          </cell>
          <cell r="K1506">
            <v>100</v>
          </cell>
          <cell r="L1506">
            <v>46392</v>
          </cell>
          <cell r="M1506">
            <v>-2363</v>
          </cell>
          <cell r="N1506">
            <v>97637</v>
          </cell>
        </row>
        <row r="1507">
          <cell r="A1507">
            <v>82992</v>
          </cell>
          <cell r="B1507">
            <v>1501</v>
          </cell>
          <cell r="C1507" t="str">
            <v>IASWD2406000071</v>
          </cell>
          <cell r="D1507">
            <v>45447</v>
          </cell>
          <cell r="E1507">
            <v>46410</v>
          </cell>
          <cell r="F1507" t="str">
            <v>82992</v>
          </cell>
          <cell r="G1507" t="str">
            <v>群聯二</v>
          </cell>
          <cell r="H1507">
            <v>100000</v>
          </cell>
          <cell r="I1507">
            <v>2.5</v>
          </cell>
          <cell r="J1507">
            <v>46410</v>
          </cell>
          <cell r="K1507">
            <v>100</v>
          </cell>
          <cell r="L1507">
            <v>46392</v>
          </cell>
          <cell r="M1507">
            <v>-2363</v>
          </cell>
          <cell r="N1507">
            <v>97637</v>
          </cell>
        </row>
        <row r="1508">
          <cell r="A1508">
            <v>22013</v>
          </cell>
          <cell r="B1508">
            <v>1502</v>
          </cell>
          <cell r="C1508" t="str">
            <v>IASWD2406000084</v>
          </cell>
          <cell r="D1508">
            <v>45447</v>
          </cell>
          <cell r="E1508">
            <v>46167</v>
          </cell>
          <cell r="F1508" t="str">
            <v>22013</v>
          </cell>
          <cell r="G1508" t="str">
            <v>裕隆三</v>
          </cell>
          <cell r="H1508">
            <v>500000</v>
          </cell>
          <cell r="I1508">
            <v>3</v>
          </cell>
          <cell r="J1508">
            <v>46167</v>
          </cell>
          <cell r="K1508">
            <v>100.75190000000001</v>
          </cell>
          <cell r="L1508">
            <v>46147</v>
          </cell>
          <cell r="M1508">
            <v>-14178</v>
          </cell>
          <cell r="N1508">
            <v>485822</v>
          </cell>
        </row>
        <row r="1509">
          <cell r="A1509">
            <v>22013</v>
          </cell>
          <cell r="B1509">
            <v>1503</v>
          </cell>
          <cell r="C1509" t="str">
            <v>IASWD2406000085</v>
          </cell>
          <cell r="D1509">
            <v>45447</v>
          </cell>
          <cell r="E1509">
            <v>46167</v>
          </cell>
          <cell r="F1509" t="str">
            <v>22013</v>
          </cell>
          <cell r="G1509" t="str">
            <v>裕隆三</v>
          </cell>
          <cell r="H1509">
            <v>100000</v>
          </cell>
          <cell r="I1509">
            <v>3</v>
          </cell>
          <cell r="J1509">
            <v>46167</v>
          </cell>
          <cell r="K1509">
            <v>100.75190000000001</v>
          </cell>
          <cell r="L1509">
            <v>46147</v>
          </cell>
          <cell r="M1509">
            <v>-2836</v>
          </cell>
          <cell r="N1509">
            <v>97164</v>
          </cell>
        </row>
        <row r="1510">
          <cell r="A1510">
            <v>22013</v>
          </cell>
          <cell r="B1510">
            <v>1504</v>
          </cell>
          <cell r="C1510" t="str">
            <v>IASWD2406000093</v>
          </cell>
          <cell r="D1510">
            <v>45447</v>
          </cell>
          <cell r="E1510">
            <v>46167</v>
          </cell>
          <cell r="F1510" t="str">
            <v>22013</v>
          </cell>
          <cell r="G1510" t="str">
            <v>裕隆三</v>
          </cell>
          <cell r="H1510">
            <v>200000</v>
          </cell>
          <cell r="I1510">
            <v>3</v>
          </cell>
          <cell r="J1510">
            <v>46167</v>
          </cell>
          <cell r="K1510">
            <v>100.75190000000001</v>
          </cell>
          <cell r="L1510">
            <v>46147</v>
          </cell>
          <cell r="M1510">
            <v>-5671</v>
          </cell>
          <cell r="N1510">
            <v>194329</v>
          </cell>
        </row>
        <row r="1511">
          <cell r="A1511">
            <v>82992</v>
          </cell>
          <cell r="B1511">
            <v>1505</v>
          </cell>
          <cell r="C1511" t="str">
            <v>IASWD2406000096</v>
          </cell>
          <cell r="D1511">
            <v>45447</v>
          </cell>
          <cell r="E1511">
            <v>46410</v>
          </cell>
          <cell r="F1511" t="str">
            <v>82992</v>
          </cell>
          <cell r="G1511" t="str">
            <v>群聯二</v>
          </cell>
          <cell r="H1511">
            <v>200000</v>
          </cell>
          <cell r="I1511">
            <v>2.5</v>
          </cell>
          <cell r="J1511">
            <v>46410</v>
          </cell>
          <cell r="K1511">
            <v>100</v>
          </cell>
          <cell r="L1511">
            <v>46392</v>
          </cell>
          <cell r="M1511">
            <v>-4726</v>
          </cell>
          <cell r="N1511">
            <v>195274</v>
          </cell>
        </row>
        <row r="1512">
          <cell r="A1512">
            <v>82992</v>
          </cell>
          <cell r="B1512">
            <v>1506</v>
          </cell>
          <cell r="C1512" t="str">
            <v>IASWD2406000100</v>
          </cell>
          <cell r="D1512">
            <v>45447</v>
          </cell>
          <cell r="E1512">
            <v>46410</v>
          </cell>
          <cell r="F1512" t="str">
            <v>82992</v>
          </cell>
          <cell r="G1512" t="str">
            <v>群聯二</v>
          </cell>
          <cell r="H1512">
            <v>100000</v>
          </cell>
          <cell r="I1512">
            <v>2.5</v>
          </cell>
          <cell r="J1512">
            <v>46410</v>
          </cell>
          <cell r="K1512">
            <v>100</v>
          </cell>
          <cell r="L1512">
            <v>46392</v>
          </cell>
          <cell r="M1512">
            <v>-2363</v>
          </cell>
          <cell r="N1512">
            <v>97637</v>
          </cell>
        </row>
        <row r="1513">
          <cell r="A1513">
            <v>82992</v>
          </cell>
          <cell r="B1513">
            <v>1507</v>
          </cell>
          <cell r="C1513" t="str">
            <v>IASWD2406000103</v>
          </cell>
          <cell r="D1513">
            <v>45447</v>
          </cell>
          <cell r="E1513">
            <v>46410</v>
          </cell>
          <cell r="F1513" t="str">
            <v>82992</v>
          </cell>
          <cell r="G1513" t="str">
            <v>群聯二</v>
          </cell>
          <cell r="H1513">
            <v>200000</v>
          </cell>
          <cell r="I1513">
            <v>2.5</v>
          </cell>
          <cell r="J1513">
            <v>46410</v>
          </cell>
          <cell r="K1513">
            <v>100</v>
          </cell>
          <cell r="L1513">
            <v>46392</v>
          </cell>
          <cell r="M1513">
            <v>-4726</v>
          </cell>
          <cell r="N1513">
            <v>195274</v>
          </cell>
        </row>
        <row r="1514">
          <cell r="A1514">
            <v>82992</v>
          </cell>
          <cell r="B1514">
            <v>1508</v>
          </cell>
          <cell r="C1514" t="str">
            <v>IASWD2406000108</v>
          </cell>
          <cell r="D1514">
            <v>45447</v>
          </cell>
          <cell r="E1514">
            <v>46410</v>
          </cell>
          <cell r="F1514" t="str">
            <v>82992</v>
          </cell>
          <cell r="G1514" t="str">
            <v>群聯二</v>
          </cell>
          <cell r="H1514">
            <v>100000</v>
          </cell>
          <cell r="I1514">
            <v>2.5</v>
          </cell>
          <cell r="J1514">
            <v>46410</v>
          </cell>
          <cell r="K1514">
            <v>100</v>
          </cell>
          <cell r="L1514">
            <v>46392</v>
          </cell>
          <cell r="M1514">
            <v>-2363</v>
          </cell>
          <cell r="N1514">
            <v>97637</v>
          </cell>
        </row>
        <row r="1515">
          <cell r="A1515">
            <v>82992</v>
          </cell>
          <cell r="B1515">
            <v>1509</v>
          </cell>
          <cell r="C1515" t="str">
            <v>IASWD2406000110</v>
          </cell>
          <cell r="D1515">
            <v>45448</v>
          </cell>
          <cell r="E1515">
            <v>46410</v>
          </cell>
          <cell r="F1515" t="str">
            <v>82992</v>
          </cell>
          <cell r="G1515" t="str">
            <v>群聯二</v>
          </cell>
          <cell r="H1515">
            <v>100000</v>
          </cell>
          <cell r="I1515">
            <v>2.5</v>
          </cell>
          <cell r="J1515">
            <v>46410</v>
          </cell>
          <cell r="K1515">
            <v>100</v>
          </cell>
          <cell r="L1515">
            <v>46392</v>
          </cell>
          <cell r="M1515">
            <v>-2356</v>
          </cell>
          <cell r="N1515">
            <v>97644</v>
          </cell>
        </row>
        <row r="1516">
          <cell r="A1516">
            <v>89964</v>
          </cell>
          <cell r="B1516">
            <v>1510</v>
          </cell>
          <cell r="C1516" t="str">
            <v>IASWD2406000113</v>
          </cell>
          <cell r="D1516">
            <v>45448</v>
          </cell>
          <cell r="E1516">
            <v>46362</v>
          </cell>
          <cell r="F1516" t="str">
            <v>89964</v>
          </cell>
          <cell r="G1516" t="str">
            <v>高力四</v>
          </cell>
          <cell r="H1516">
            <v>100000</v>
          </cell>
          <cell r="I1516">
            <v>3.5</v>
          </cell>
          <cell r="J1516">
            <v>46362</v>
          </cell>
          <cell r="K1516">
            <v>100.75190000000001</v>
          </cell>
          <cell r="L1516">
            <v>46343</v>
          </cell>
          <cell r="M1516">
            <v>-3299</v>
          </cell>
          <cell r="N1516">
            <v>96701</v>
          </cell>
        </row>
        <row r="1517">
          <cell r="A1517">
            <v>82992</v>
          </cell>
          <cell r="B1517">
            <v>1511</v>
          </cell>
          <cell r="C1517" t="str">
            <v>IASWD2406000114</v>
          </cell>
          <cell r="D1517">
            <v>45448</v>
          </cell>
          <cell r="E1517">
            <v>46410</v>
          </cell>
          <cell r="F1517" t="str">
            <v>82992</v>
          </cell>
          <cell r="G1517" t="str">
            <v>群聯二</v>
          </cell>
          <cell r="H1517">
            <v>100000</v>
          </cell>
          <cell r="I1517">
            <v>2.5</v>
          </cell>
          <cell r="J1517">
            <v>46410</v>
          </cell>
          <cell r="K1517">
            <v>100</v>
          </cell>
          <cell r="L1517">
            <v>46392</v>
          </cell>
          <cell r="M1517">
            <v>-2356</v>
          </cell>
          <cell r="N1517">
            <v>97644</v>
          </cell>
        </row>
        <row r="1518">
          <cell r="A1518">
            <v>82992</v>
          </cell>
          <cell r="B1518">
            <v>1512</v>
          </cell>
          <cell r="C1518" t="str">
            <v>IASWD2406000123</v>
          </cell>
          <cell r="D1518">
            <v>45448</v>
          </cell>
          <cell r="E1518">
            <v>46410</v>
          </cell>
          <cell r="F1518" t="str">
            <v>82992</v>
          </cell>
          <cell r="G1518" t="str">
            <v>群聯二</v>
          </cell>
          <cell r="H1518">
            <v>500000</v>
          </cell>
          <cell r="I1518">
            <v>2.5</v>
          </cell>
          <cell r="J1518">
            <v>46410</v>
          </cell>
          <cell r="K1518">
            <v>100</v>
          </cell>
          <cell r="L1518">
            <v>46392</v>
          </cell>
          <cell r="M1518">
            <v>-11781</v>
          </cell>
          <cell r="N1518">
            <v>488219</v>
          </cell>
        </row>
        <row r="1519">
          <cell r="A1519">
            <v>82992</v>
          </cell>
          <cell r="B1519">
            <v>1513</v>
          </cell>
          <cell r="C1519" t="str">
            <v>IASWD2406000138</v>
          </cell>
          <cell r="D1519">
            <v>45448</v>
          </cell>
          <cell r="E1519">
            <v>46410</v>
          </cell>
          <cell r="F1519" t="str">
            <v>82992</v>
          </cell>
          <cell r="G1519" t="str">
            <v>群聯二</v>
          </cell>
          <cell r="H1519">
            <v>100000</v>
          </cell>
          <cell r="I1519">
            <v>2.5</v>
          </cell>
          <cell r="J1519">
            <v>46410</v>
          </cell>
          <cell r="K1519">
            <v>100</v>
          </cell>
          <cell r="L1519">
            <v>46392</v>
          </cell>
          <cell r="M1519">
            <v>-2356</v>
          </cell>
          <cell r="N1519">
            <v>97644</v>
          </cell>
        </row>
        <row r="1520">
          <cell r="A1520">
            <v>34793</v>
          </cell>
          <cell r="B1520">
            <v>1514</v>
          </cell>
          <cell r="C1520" t="str">
            <v>IASWD2406000139</v>
          </cell>
          <cell r="D1520">
            <v>45448</v>
          </cell>
          <cell r="E1520">
            <v>46409</v>
          </cell>
          <cell r="F1520" t="str">
            <v>34793</v>
          </cell>
          <cell r="G1520" t="str">
            <v>安勤三</v>
          </cell>
          <cell r="H1520">
            <v>100000</v>
          </cell>
          <cell r="I1520">
            <v>3</v>
          </cell>
          <cell r="J1520">
            <v>46409</v>
          </cell>
          <cell r="K1520">
            <v>100</v>
          </cell>
          <cell r="L1520">
            <v>46391</v>
          </cell>
          <cell r="M1520">
            <v>-2827</v>
          </cell>
          <cell r="N1520">
            <v>97173</v>
          </cell>
        </row>
        <row r="1521">
          <cell r="A1521">
            <v>82992</v>
          </cell>
          <cell r="B1521">
            <v>1515</v>
          </cell>
          <cell r="C1521" t="str">
            <v>IASWD2406000146</v>
          </cell>
          <cell r="D1521">
            <v>45448</v>
          </cell>
          <cell r="E1521">
            <v>46410</v>
          </cell>
          <cell r="F1521" t="str">
            <v>82992</v>
          </cell>
          <cell r="G1521" t="str">
            <v>群聯二</v>
          </cell>
          <cell r="H1521">
            <v>200000</v>
          </cell>
          <cell r="I1521">
            <v>2.5</v>
          </cell>
          <cell r="J1521">
            <v>46410</v>
          </cell>
          <cell r="K1521">
            <v>100</v>
          </cell>
          <cell r="L1521">
            <v>46392</v>
          </cell>
          <cell r="M1521">
            <v>-4712</v>
          </cell>
          <cell r="N1521">
            <v>195288</v>
          </cell>
        </row>
        <row r="1522">
          <cell r="A1522">
            <v>27323</v>
          </cell>
          <cell r="B1522">
            <v>1516</v>
          </cell>
          <cell r="C1522" t="str">
            <v>IASWD2406000154</v>
          </cell>
          <cell r="D1522">
            <v>45448</v>
          </cell>
          <cell r="E1522">
            <v>46048</v>
          </cell>
          <cell r="F1522" t="str">
            <v>27323</v>
          </cell>
          <cell r="G1522" t="str">
            <v>六角三</v>
          </cell>
          <cell r="H1522">
            <v>100000</v>
          </cell>
          <cell r="I1522">
            <v>3</v>
          </cell>
          <cell r="J1522">
            <v>46048</v>
          </cell>
          <cell r="K1522">
            <v>101</v>
          </cell>
          <cell r="L1522">
            <v>46028</v>
          </cell>
          <cell r="M1522">
            <v>-2827</v>
          </cell>
          <cell r="N1522">
            <v>97173</v>
          </cell>
        </row>
        <row r="1523">
          <cell r="A1523">
            <v>34163</v>
          </cell>
          <cell r="B1523">
            <v>1517</v>
          </cell>
          <cell r="C1523" t="str">
            <v>IASWD2406000166</v>
          </cell>
          <cell r="D1523">
            <v>45449</v>
          </cell>
          <cell r="E1523">
            <v>46047</v>
          </cell>
          <cell r="F1523" t="str">
            <v>34163</v>
          </cell>
          <cell r="G1523" t="str">
            <v>融程電三</v>
          </cell>
          <cell r="H1523">
            <v>100000</v>
          </cell>
          <cell r="I1523">
            <v>3</v>
          </cell>
          <cell r="J1523">
            <v>46047</v>
          </cell>
          <cell r="K1523">
            <v>100.5</v>
          </cell>
          <cell r="L1523">
            <v>46028</v>
          </cell>
          <cell r="M1523">
            <v>-2819</v>
          </cell>
          <cell r="N1523">
            <v>97181</v>
          </cell>
        </row>
        <row r="1524">
          <cell r="A1524">
            <v>22013</v>
          </cell>
          <cell r="B1524">
            <v>1518</v>
          </cell>
          <cell r="C1524" t="str">
            <v>IASWD2406000170</v>
          </cell>
          <cell r="D1524">
            <v>45449</v>
          </cell>
          <cell r="E1524">
            <v>46167</v>
          </cell>
          <cell r="F1524" t="str">
            <v>22013</v>
          </cell>
          <cell r="G1524" t="str">
            <v>裕隆三</v>
          </cell>
          <cell r="H1524">
            <v>100000</v>
          </cell>
          <cell r="I1524">
            <v>3</v>
          </cell>
          <cell r="J1524">
            <v>46167</v>
          </cell>
          <cell r="K1524">
            <v>100.75190000000001</v>
          </cell>
          <cell r="L1524">
            <v>46147</v>
          </cell>
          <cell r="M1524">
            <v>-2819</v>
          </cell>
          <cell r="N1524">
            <v>97181</v>
          </cell>
        </row>
        <row r="1525">
          <cell r="A1525">
            <v>22313</v>
          </cell>
          <cell r="B1525">
            <v>1519</v>
          </cell>
          <cell r="C1525" t="str">
            <v>IASWD2406000175</v>
          </cell>
          <cell r="D1525">
            <v>45449</v>
          </cell>
          <cell r="E1525">
            <v>45898</v>
          </cell>
          <cell r="F1525" t="str">
            <v>22313</v>
          </cell>
          <cell r="G1525" t="str">
            <v>為升三</v>
          </cell>
          <cell r="H1525">
            <v>200000</v>
          </cell>
          <cell r="I1525">
            <v>3.5</v>
          </cell>
          <cell r="J1525">
            <v>45898</v>
          </cell>
          <cell r="K1525">
            <v>101.50749999999999</v>
          </cell>
          <cell r="L1525">
            <v>45880</v>
          </cell>
          <cell r="M1525">
            <v>-6578</v>
          </cell>
          <cell r="N1525">
            <v>193422</v>
          </cell>
        </row>
        <row r="1526">
          <cell r="A1526">
            <v>82992</v>
          </cell>
          <cell r="B1526">
            <v>1520</v>
          </cell>
          <cell r="C1526" t="str">
            <v>IASWD2406000179</v>
          </cell>
          <cell r="D1526">
            <v>45449</v>
          </cell>
          <cell r="E1526">
            <v>46410</v>
          </cell>
          <cell r="F1526" t="str">
            <v>82992</v>
          </cell>
          <cell r="G1526" t="str">
            <v>群聯二</v>
          </cell>
          <cell r="H1526">
            <v>100000</v>
          </cell>
          <cell r="I1526">
            <v>2.5</v>
          </cell>
          <cell r="J1526">
            <v>46410</v>
          </cell>
          <cell r="K1526">
            <v>100</v>
          </cell>
          <cell r="L1526">
            <v>46392</v>
          </cell>
          <cell r="M1526">
            <v>-2349</v>
          </cell>
          <cell r="N1526">
            <v>97651</v>
          </cell>
        </row>
        <row r="1527">
          <cell r="A1527">
            <v>22013</v>
          </cell>
          <cell r="B1527">
            <v>1521</v>
          </cell>
          <cell r="C1527" t="str">
            <v>IASWD2406000180</v>
          </cell>
          <cell r="D1527">
            <v>45449</v>
          </cell>
          <cell r="E1527">
            <v>46167</v>
          </cell>
          <cell r="F1527" t="str">
            <v>22013</v>
          </cell>
          <cell r="G1527" t="str">
            <v>裕隆三</v>
          </cell>
          <cell r="H1527">
            <v>100000</v>
          </cell>
          <cell r="I1527">
            <v>3</v>
          </cell>
          <cell r="J1527">
            <v>46167</v>
          </cell>
          <cell r="K1527">
            <v>100.75190000000001</v>
          </cell>
          <cell r="L1527">
            <v>46147</v>
          </cell>
          <cell r="M1527">
            <v>-2819</v>
          </cell>
          <cell r="N1527">
            <v>97181</v>
          </cell>
        </row>
        <row r="1528">
          <cell r="A1528">
            <v>22013</v>
          </cell>
          <cell r="B1528">
            <v>1522</v>
          </cell>
          <cell r="C1528" t="str">
            <v>IASWD2406000181</v>
          </cell>
          <cell r="D1528">
            <v>45449</v>
          </cell>
          <cell r="E1528">
            <v>46167</v>
          </cell>
          <cell r="F1528" t="str">
            <v>22013</v>
          </cell>
          <cell r="G1528" t="str">
            <v>裕隆三</v>
          </cell>
          <cell r="H1528">
            <v>300000</v>
          </cell>
          <cell r="I1528">
            <v>3</v>
          </cell>
          <cell r="J1528">
            <v>46167</v>
          </cell>
          <cell r="K1528">
            <v>100.75190000000001</v>
          </cell>
          <cell r="L1528">
            <v>46147</v>
          </cell>
          <cell r="M1528">
            <v>-8458</v>
          </cell>
          <cell r="N1528">
            <v>291542</v>
          </cell>
        </row>
        <row r="1529">
          <cell r="A1529">
            <v>20632</v>
          </cell>
          <cell r="B1529">
            <v>1523</v>
          </cell>
          <cell r="C1529" t="str">
            <v>IASWD2406000185</v>
          </cell>
          <cell r="D1529">
            <v>45449</v>
          </cell>
          <cell r="E1529">
            <v>45971</v>
          </cell>
          <cell r="F1529" t="str">
            <v>20632</v>
          </cell>
          <cell r="G1529" t="str">
            <v>世鎧二</v>
          </cell>
          <cell r="H1529">
            <v>100000</v>
          </cell>
          <cell r="I1529">
            <v>3.25</v>
          </cell>
          <cell r="J1529">
            <v>45971</v>
          </cell>
          <cell r="K1529">
            <v>100</v>
          </cell>
          <cell r="L1529">
            <v>45951</v>
          </cell>
          <cell r="M1529">
            <v>-3054</v>
          </cell>
          <cell r="N1529">
            <v>96946</v>
          </cell>
        </row>
        <row r="1530">
          <cell r="A1530">
            <v>82992</v>
          </cell>
          <cell r="B1530">
            <v>1524</v>
          </cell>
          <cell r="C1530" t="str">
            <v>IASWD2406000186</v>
          </cell>
          <cell r="D1530">
            <v>45449</v>
          </cell>
          <cell r="E1530">
            <v>46410</v>
          </cell>
          <cell r="F1530" t="str">
            <v>82992</v>
          </cell>
          <cell r="G1530" t="str">
            <v>群聯二</v>
          </cell>
          <cell r="H1530">
            <v>100000</v>
          </cell>
          <cell r="I1530">
            <v>2.5</v>
          </cell>
          <cell r="J1530">
            <v>46410</v>
          </cell>
          <cell r="K1530">
            <v>100</v>
          </cell>
          <cell r="L1530">
            <v>46392</v>
          </cell>
          <cell r="M1530">
            <v>-2349</v>
          </cell>
          <cell r="N1530">
            <v>97651</v>
          </cell>
        </row>
        <row r="1531">
          <cell r="A1531">
            <v>82992</v>
          </cell>
          <cell r="B1531">
            <v>1525</v>
          </cell>
          <cell r="C1531" t="str">
            <v>IASWD2406000187</v>
          </cell>
          <cell r="D1531">
            <v>45449</v>
          </cell>
          <cell r="E1531">
            <v>46410</v>
          </cell>
          <cell r="F1531" t="str">
            <v>82992</v>
          </cell>
          <cell r="G1531" t="str">
            <v>群聯二</v>
          </cell>
          <cell r="H1531">
            <v>100000</v>
          </cell>
          <cell r="I1531">
            <v>2.5</v>
          </cell>
          <cell r="J1531">
            <v>46410</v>
          </cell>
          <cell r="K1531">
            <v>100</v>
          </cell>
          <cell r="L1531">
            <v>46392</v>
          </cell>
          <cell r="M1531">
            <v>-2349</v>
          </cell>
          <cell r="N1531">
            <v>97651</v>
          </cell>
        </row>
        <row r="1532">
          <cell r="A1532">
            <v>82992</v>
          </cell>
          <cell r="B1532">
            <v>1526</v>
          </cell>
          <cell r="C1532" t="str">
            <v>IASWD2406000192</v>
          </cell>
          <cell r="D1532">
            <v>45449</v>
          </cell>
          <cell r="E1532">
            <v>46410</v>
          </cell>
          <cell r="F1532" t="str">
            <v>82992</v>
          </cell>
          <cell r="G1532" t="str">
            <v>群聯二</v>
          </cell>
          <cell r="H1532">
            <v>100000</v>
          </cell>
          <cell r="I1532">
            <v>2.5</v>
          </cell>
          <cell r="J1532">
            <v>46410</v>
          </cell>
          <cell r="K1532">
            <v>100</v>
          </cell>
          <cell r="L1532">
            <v>46392</v>
          </cell>
          <cell r="M1532">
            <v>-2349</v>
          </cell>
          <cell r="N1532">
            <v>97651</v>
          </cell>
        </row>
        <row r="1533">
          <cell r="A1533">
            <v>35482</v>
          </cell>
          <cell r="B1533">
            <v>1527</v>
          </cell>
          <cell r="C1533" t="str">
            <v>IASWD2406000194</v>
          </cell>
          <cell r="D1533">
            <v>45449</v>
          </cell>
          <cell r="E1533">
            <v>46395</v>
          </cell>
          <cell r="F1533" t="str">
            <v>35482</v>
          </cell>
          <cell r="G1533" t="str">
            <v>兆利二</v>
          </cell>
          <cell r="H1533">
            <v>100000</v>
          </cell>
          <cell r="I1533">
            <v>3</v>
          </cell>
          <cell r="J1533">
            <v>46395</v>
          </cell>
          <cell r="K1533">
            <v>100</v>
          </cell>
          <cell r="L1533">
            <v>46377</v>
          </cell>
          <cell r="M1533">
            <v>-2819</v>
          </cell>
          <cell r="N1533">
            <v>97181</v>
          </cell>
        </row>
        <row r="1534">
          <cell r="A1534">
            <v>35482</v>
          </cell>
          <cell r="B1534">
            <v>1528</v>
          </cell>
          <cell r="C1534" t="str">
            <v>IASWD2406000195</v>
          </cell>
          <cell r="D1534">
            <v>45449</v>
          </cell>
          <cell r="E1534">
            <v>46395</v>
          </cell>
          <cell r="F1534" t="str">
            <v>35482</v>
          </cell>
          <cell r="G1534" t="str">
            <v>兆利二</v>
          </cell>
          <cell r="H1534">
            <v>100000</v>
          </cell>
          <cell r="I1534">
            <v>3</v>
          </cell>
          <cell r="J1534">
            <v>46395</v>
          </cell>
          <cell r="K1534">
            <v>100</v>
          </cell>
          <cell r="L1534">
            <v>46377</v>
          </cell>
          <cell r="M1534">
            <v>-2819</v>
          </cell>
          <cell r="N1534">
            <v>97181</v>
          </cell>
        </row>
        <row r="1535">
          <cell r="A1535">
            <v>22013</v>
          </cell>
          <cell r="B1535">
            <v>1529</v>
          </cell>
          <cell r="C1535" t="str">
            <v>IASWD2406000197</v>
          </cell>
          <cell r="D1535">
            <v>45449</v>
          </cell>
          <cell r="E1535">
            <v>46167</v>
          </cell>
          <cell r="F1535" t="str">
            <v>22013</v>
          </cell>
          <cell r="G1535" t="str">
            <v>裕隆三</v>
          </cell>
          <cell r="H1535">
            <v>100000</v>
          </cell>
          <cell r="I1535">
            <v>3</v>
          </cell>
          <cell r="J1535">
            <v>46167</v>
          </cell>
          <cell r="K1535">
            <v>100.75190000000001</v>
          </cell>
          <cell r="L1535">
            <v>46147</v>
          </cell>
          <cell r="M1535">
            <v>-2819</v>
          </cell>
          <cell r="N1535">
            <v>97181</v>
          </cell>
        </row>
        <row r="1536">
          <cell r="A1536">
            <v>22013</v>
          </cell>
          <cell r="B1536">
            <v>1530</v>
          </cell>
          <cell r="C1536" t="str">
            <v>IASWD2406000198</v>
          </cell>
          <cell r="D1536">
            <v>45449</v>
          </cell>
          <cell r="E1536">
            <v>46167</v>
          </cell>
          <cell r="F1536" t="str">
            <v>22013</v>
          </cell>
          <cell r="G1536" t="str">
            <v>裕隆三</v>
          </cell>
          <cell r="H1536">
            <v>100000</v>
          </cell>
          <cell r="I1536">
            <v>3</v>
          </cell>
          <cell r="J1536">
            <v>46167</v>
          </cell>
          <cell r="K1536">
            <v>100.75190000000001</v>
          </cell>
          <cell r="L1536">
            <v>46147</v>
          </cell>
          <cell r="M1536">
            <v>-2819</v>
          </cell>
          <cell r="N1536">
            <v>97181</v>
          </cell>
        </row>
        <row r="1537">
          <cell r="A1537">
            <v>22013</v>
          </cell>
          <cell r="B1537">
            <v>1531</v>
          </cell>
          <cell r="C1537" t="str">
            <v>IASWD2406000202</v>
          </cell>
          <cell r="D1537">
            <v>45449</v>
          </cell>
          <cell r="E1537">
            <v>46167</v>
          </cell>
          <cell r="F1537" t="str">
            <v>22013</v>
          </cell>
          <cell r="G1537" t="str">
            <v>裕隆三</v>
          </cell>
          <cell r="H1537">
            <v>100000</v>
          </cell>
          <cell r="I1537">
            <v>3</v>
          </cell>
          <cell r="J1537">
            <v>46167</v>
          </cell>
          <cell r="K1537">
            <v>100.75190000000001</v>
          </cell>
          <cell r="L1537">
            <v>46147</v>
          </cell>
          <cell r="M1537">
            <v>-2819</v>
          </cell>
          <cell r="N1537">
            <v>97181</v>
          </cell>
        </row>
        <row r="1538">
          <cell r="A1538">
            <v>82992</v>
          </cell>
          <cell r="B1538">
            <v>1532</v>
          </cell>
          <cell r="C1538" t="str">
            <v>IASWD2406000203</v>
          </cell>
          <cell r="D1538">
            <v>45449</v>
          </cell>
          <cell r="E1538">
            <v>46410</v>
          </cell>
          <cell r="F1538" t="str">
            <v>82992</v>
          </cell>
          <cell r="G1538" t="str">
            <v>群聯二</v>
          </cell>
          <cell r="H1538">
            <v>100000</v>
          </cell>
          <cell r="I1538">
            <v>2.5</v>
          </cell>
          <cell r="J1538">
            <v>46410</v>
          </cell>
          <cell r="K1538">
            <v>100</v>
          </cell>
          <cell r="L1538">
            <v>46392</v>
          </cell>
          <cell r="M1538">
            <v>-2349</v>
          </cell>
          <cell r="N1538">
            <v>97651</v>
          </cell>
        </row>
        <row r="1539">
          <cell r="A1539">
            <v>84672</v>
          </cell>
          <cell r="B1539">
            <v>1533</v>
          </cell>
          <cell r="C1539" t="str">
            <v>IASWD2406000205</v>
          </cell>
          <cell r="D1539">
            <v>45449</v>
          </cell>
          <cell r="E1539">
            <v>46537</v>
          </cell>
          <cell r="F1539" t="str">
            <v>84672</v>
          </cell>
          <cell r="G1539" t="str">
            <v>波力二KY</v>
          </cell>
          <cell r="H1539">
            <v>900000</v>
          </cell>
          <cell r="I1539">
            <v>2.25</v>
          </cell>
          <cell r="J1539">
            <v>46537</v>
          </cell>
          <cell r="K1539">
            <v>100</v>
          </cell>
          <cell r="L1539">
            <v>46518</v>
          </cell>
          <cell r="M1539">
            <v>-19029</v>
          </cell>
          <cell r="N1539">
            <v>880971</v>
          </cell>
        </row>
        <row r="1540">
          <cell r="A1540">
            <v>35482</v>
          </cell>
          <cell r="B1540">
            <v>1534</v>
          </cell>
          <cell r="C1540" t="str">
            <v>IASWD2406000207</v>
          </cell>
          <cell r="D1540">
            <v>45449</v>
          </cell>
          <cell r="E1540">
            <v>46395</v>
          </cell>
          <cell r="F1540" t="str">
            <v>35482</v>
          </cell>
          <cell r="G1540" t="str">
            <v>兆利二</v>
          </cell>
          <cell r="H1540">
            <v>100000</v>
          </cell>
          <cell r="I1540">
            <v>3</v>
          </cell>
          <cell r="J1540">
            <v>46395</v>
          </cell>
          <cell r="K1540">
            <v>100</v>
          </cell>
          <cell r="L1540">
            <v>46377</v>
          </cell>
          <cell r="M1540">
            <v>-2819</v>
          </cell>
          <cell r="N1540">
            <v>97181</v>
          </cell>
        </row>
        <row r="1541">
          <cell r="A1541">
            <v>34793</v>
          </cell>
          <cell r="B1541">
            <v>1535</v>
          </cell>
          <cell r="C1541" t="str">
            <v>IASWD2406000219</v>
          </cell>
          <cell r="D1541">
            <v>45450</v>
          </cell>
          <cell r="E1541">
            <v>46409</v>
          </cell>
          <cell r="F1541" t="str">
            <v>34793</v>
          </cell>
          <cell r="G1541" t="str">
            <v>安勤三</v>
          </cell>
          <cell r="H1541">
            <v>600000</v>
          </cell>
          <cell r="I1541">
            <v>3</v>
          </cell>
          <cell r="J1541">
            <v>46409</v>
          </cell>
          <cell r="K1541">
            <v>100</v>
          </cell>
          <cell r="L1541">
            <v>46391</v>
          </cell>
          <cell r="M1541">
            <v>-16866</v>
          </cell>
          <cell r="N1541">
            <v>583134</v>
          </cell>
        </row>
        <row r="1542">
          <cell r="A1542">
            <v>22313</v>
          </cell>
          <cell r="B1542">
            <v>1536</v>
          </cell>
          <cell r="C1542" t="str">
            <v>IASWD2406000231</v>
          </cell>
          <cell r="D1542">
            <v>45450</v>
          </cell>
          <cell r="E1542">
            <v>45898</v>
          </cell>
          <cell r="F1542" t="str">
            <v>22313</v>
          </cell>
          <cell r="G1542" t="str">
            <v>為升三</v>
          </cell>
          <cell r="H1542">
            <v>100000</v>
          </cell>
          <cell r="I1542">
            <v>3.5</v>
          </cell>
          <cell r="J1542">
            <v>45898</v>
          </cell>
          <cell r="K1542">
            <v>101.50749999999999</v>
          </cell>
          <cell r="L1542">
            <v>45880</v>
          </cell>
          <cell r="M1542">
            <v>-3279</v>
          </cell>
          <cell r="N1542">
            <v>96721</v>
          </cell>
        </row>
        <row r="1543">
          <cell r="A1543">
            <v>34793</v>
          </cell>
          <cell r="B1543">
            <v>1537</v>
          </cell>
          <cell r="C1543" t="str">
            <v>IASWD2406000232</v>
          </cell>
          <cell r="D1543">
            <v>45450</v>
          </cell>
          <cell r="E1543">
            <v>46409</v>
          </cell>
          <cell r="F1543" t="str">
            <v>34793</v>
          </cell>
          <cell r="G1543" t="str">
            <v>安勤三</v>
          </cell>
          <cell r="H1543">
            <v>300000</v>
          </cell>
          <cell r="I1543">
            <v>3</v>
          </cell>
          <cell r="J1543">
            <v>46409</v>
          </cell>
          <cell r="K1543">
            <v>100</v>
          </cell>
          <cell r="L1543">
            <v>46391</v>
          </cell>
          <cell r="M1543">
            <v>-8433</v>
          </cell>
          <cell r="N1543">
            <v>291567</v>
          </cell>
        </row>
        <row r="1544">
          <cell r="A1544">
            <v>89964</v>
          </cell>
          <cell r="B1544">
            <v>1538</v>
          </cell>
          <cell r="C1544" t="str">
            <v>IASWD2406000250</v>
          </cell>
          <cell r="D1544">
            <v>45450</v>
          </cell>
          <cell r="E1544">
            <v>46362</v>
          </cell>
          <cell r="F1544" t="str">
            <v>89964</v>
          </cell>
          <cell r="G1544" t="str">
            <v>高力四</v>
          </cell>
          <cell r="H1544">
            <v>100000</v>
          </cell>
          <cell r="I1544">
            <v>3.5</v>
          </cell>
          <cell r="J1544">
            <v>46362</v>
          </cell>
          <cell r="K1544">
            <v>100.75190000000001</v>
          </cell>
          <cell r="L1544">
            <v>46343</v>
          </cell>
          <cell r="M1544">
            <v>-3279</v>
          </cell>
          <cell r="N1544">
            <v>96721</v>
          </cell>
        </row>
        <row r="1545">
          <cell r="A1545">
            <v>34793</v>
          </cell>
          <cell r="B1545">
            <v>1539</v>
          </cell>
          <cell r="C1545" t="str">
            <v>IASWD2406000252</v>
          </cell>
          <cell r="D1545">
            <v>45450</v>
          </cell>
          <cell r="E1545">
            <v>46409</v>
          </cell>
          <cell r="F1545" t="str">
            <v>34793</v>
          </cell>
          <cell r="G1545" t="str">
            <v>安勤三</v>
          </cell>
          <cell r="H1545">
            <v>200000</v>
          </cell>
          <cell r="I1545">
            <v>3</v>
          </cell>
          <cell r="J1545">
            <v>46409</v>
          </cell>
          <cell r="K1545">
            <v>100</v>
          </cell>
          <cell r="L1545">
            <v>46391</v>
          </cell>
          <cell r="M1545">
            <v>-5622</v>
          </cell>
          <cell r="N1545">
            <v>194378</v>
          </cell>
        </row>
        <row r="1546">
          <cell r="A1546">
            <v>35482</v>
          </cell>
          <cell r="B1546">
            <v>1540</v>
          </cell>
          <cell r="C1546" t="str">
            <v>IASWD2406000254</v>
          </cell>
          <cell r="D1546">
            <v>45450</v>
          </cell>
          <cell r="E1546">
            <v>46395</v>
          </cell>
          <cell r="F1546" t="str">
            <v>35482</v>
          </cell>
          <cell r="G1546" t="str">
            <v>兆利二</v>
          </cell>
          <cell r="H1546">
            <v>100000</v>
          </cell>
          <cell r="I1546">
            <v>3</v>
          </cell>
          <cell r="J1546">
            <v>46395</v>
          </cell>
          <cell r="K1546">
            <v>100</v>
          </cell>
          <cell r="L1546">
            <v>46377</v>
          </cell>
          <cell r="M1546">
            <v>-2811</v>
          </cell>
          <cell r="N1546">
            <v>97189</v>
          </cell>
        </row>
        <row r="1547">
          <cell r="A1547">
            <v>34163</v>
          </cell>
          <cell r="B1547">
            <v>1541</v>
          </cell>
          <cell r="C1547" t="str">
            <v>IASWD2406000258</v>
          </cell>
          <cell r="D1547">
            <v>45450</v>
          </cell>
          <cell r="E1547">
            <v>46047</v>
          </cell>
          <cell r="F1547" t="str">
            <v>34163</v>
          </cell>
          <cell r="G1547" t="str">
            <v>融程電三</v>
          </cell>
          <cell r="H1547">
            <v>200000</v>
          </cell>
          <cell r="I1547">
            <v>3</v>
          </cell>
          <cell r="J1547">
            <v>46047</v>
          </cell>
          <cell r="K1547">
            <v>100.5</v>
          </cell>
          <cell r="L1547">
            <v>46028</v>
          </cell>
          <cell r="M1547">
            <v>-5622</v>
          </cell>
          <cell r="N1547">
            <v>194378</v>
          </cell>
        </row>
        <row r="1548">
          <cell r="A1548">
            <v>34163</v>
          </cell>
          <cell r="B1548">
            <v>1542</v>
          </cell>
          <cell r="C1548" t="str">
            <v>IASWD2406000264</v>
          </cell>
          <cell r="D1548">
            <v>45450</v>
          </cell>
          <cell r="E1548">
            <v>46047</v>
          </cell>
          <cell r="F1548" t="str">
            <v>34163</v>
          </cell>
          <cell r="G1548" t="str">
            <v>融程電三</v>
          </cell>
          <cell r="H1548">
            <v>200000</v>
          </cell>
          <cell r="I1548">
            <v>3</v>
          </cell>
          <cell r="J1548">
            <v>46047</v>
          </cell>
          <cell r="K1548">
            <v>100.5</v>
          </cell>
          <cell r="L1548">
            <v>46028</v>
          </cell>
          <cell r="M1548">
            <v>-5622</v>
          </cell>
          <cell r="N1548">
            <v>194378</v>
          </cell>
        </row>
        <row r="1549">
          <cell r="A1549">
            <v>20632</v>
          </cell>
          <cell r="B1549">
            <v>1543</v>
          </cell>
          <cell r="C1549" t="str">
            <v>IASWD2406000266</v>
          </cell>
          <cell r="D1549">
            <v>45450</v>
          </cell>
          <cell r="E1549">
            <v>45971</v>
          </cell>
          <cell r="F1549" t="str">
            <v>20632</v>
          </cell>
          <cell r="G1549" t="str">
            <v>世鎧二</v>
          </cell>
          <cell r="H1549">
            <v>100000</v>
          </cell>
          <cell r="I1549">
            <v>3.25</v>
          </cell>
          <cell r="J1549">
            <v>45971</v>
          </cell>
          <cell r="K1549">
            <v>100</v>
          </cell>
          <cell r="L1549">
            <v>45951</v>
          </cell>
          <cell r="M1549">
            <v>-3045</v>
          </cell>
          <cell r="N1549">
            <v>96955</v>
          </cell>
        </row>
        <row r="1550">
          <cell r="A1550">
            <v>22313</v>
          </cell>
          <cell r="B1550">
            <v>1544</v>
          </cell>
          <cell r="C1550" t="str">
            <v>IASWD2406000268</v>
          </cell>
          <cell r="D1550">
            <v>45450</v>
          </cell>
          <cell r="E1550">
            <v>45898</v>
          </cell>
          <cell r="F1550" t="str">
            <v>22313</v>
          </cell>
          <cell r="G1550" t="str">
            <v>為升三</v>
          </cell>
          <cell r="H1550">
            <v>200000</v>
          </cell>
          <cell r="I1550">
            <v>3.5</v>
          </cell>
          <cell r="J1550">
            <v>45898</v>
          </cell>
          <cell r="K1550">
            <v>101.50749999999999</v>
          </cell>
          <cell r="L1550">
            <v>45880</v>
          </cell>
          <cell r="M1550">
            <v>-6559</v>
          </cell>
          <cell r="N1550">
            <v>193441</v>
          </cell>
        </row>
        <row r="1551">
          <cell r="A1551">
            <v>22313</v>
          </cell>
          <cell r="B1551">
            <v>1545</v>
          </cell>
          <cell r="C1551" t="str">
            <v>IASWD2406000269</v>
          </cell>
          <cell r="D1551">
            <v>45450</v>
          </cell>
          <cell r="E1551">
            <v>45898</v>
          </cell>
          <cell r="F1551" t="str">
            <v>22313</v>
          </cell>
          <cell r="G1551" t="str">
            <v>為升三</v>
          </cell>
          <cell r="H1551">
            <v>100000</v>
          </cell>
          <cell r="I1551">
            <v>3.5</v>
          </cell>
          <cell r="J1551">
            <v>45898</v>
          </cell>
          <cell r="K1551">
            <v>101.50749999999999</v>
          </cell>
          <cell r="L1551">
            <v>45880</v>
          </cell>
          <cell r="M1551">
            <v>-3279</v>
          </cell>
          <cell r="N1551">
            <v>96721</v>
          </cell>
        </row>
        <row r="1552">
          <cell r="A1552">
            <v>34793</v>
          </cell>
          <cell r="B1552">
            <v>1546</v>
          </cell>
          <cell r="C1552" t="str">
            <v>IASWD2406000276</v>
          </cell>
          <cell r="D1552">
            <v>45450</v>
          </cell>
          <cell r="E1552">
            <v>46409</v>
          </cell>
          <cell r="F1552" t="str">
            <v>34793</v>
          </cell>
          <cell r="G1552" t="str">
            <v>安勤三</v>
          </cell>
          <cell r="H1552">
            <v>100000</v>
          </cell>
          <cell r="I1552">
            <v>3</v>
          </cell>
          <cell r="J1552">
            <v>46409</v>
          </cell>
          <cell r="K1552">
            <v>100</v>
          </cell>
          <cell r="L1552">
            <v>46391</v>
          </cell>
          <cell r="M1552">
            <v>-2811</v>
          </cell>
          <cell r="N1552">
            <v>97189</v>
          </cell>
        </row>
        <row r="1553">
          <cell r="A1553">
            <v>34163</v>
          </cell>
          <cell r="B1553">
            <v>1547</v>
          </cell>
          <cell r="C1553" t="str">
            <v>IASWD2406000279</v>
          </cell>
          <cell r="D1553">
            <v>45450</v>
          </cell>
          <cell r="E1553">
            <v>46047</v>
          </cell>
          <cell r="F1553" t="str">
            <v>34163</v>
          </cell>
          <cell r="G1553" t="str">
            <v>融程電三</v>
          </cell>
          <cell r="H1553">
            <v>100000</v>
          </cell>
          <cell r="I1553">
            <v>3</v>
          </cell>
          <cell r="J1553">
            <v>46047</v>
          </cell>
          <cell r="K1553">
            <v>100.5</v>
          </cell>
          <cell r="L1553">
            <v>46028</v>
          </cell>
          <cell r="M1553">
            <v>-2811</v>
          </cell>
          <cell r="N1553">
            <v>97189</v>
          </cell>
        </row>
        <row r="1554">
          <cell r="A1554">
            <v>35482</v>
          </cell>
          <cell r="B1554">
            <v>1548</v>
          </cell>
          <cell r="C1554" t="str">
            <v>IASWD2406000284</v>
          </cell>
          <cell r="D1554">
            <v>45454</v>
          </cell>
          <cell r="E1554">
            <v>46395</v>
          </cell>
          <cell r="F1554" t="str">
            <v>35482</v>
          </cell>
          <cell r="G1554" t="str">
            <v>兆利二</v>
          </cell>
          <cell r="H1554">
            <v>200000</v>
          </cell>
          <cell r="I1554">
            <v>3</v>
          </cell>
          <cell r="J1554">
            <v>46395</v>
          </cell>
          <cell r="K1554">
            <v>100</v>
          </cell>
          <cell r="L1554">
            <v>46377</v>
          </cell>
          <cell r="M1554">
            <v>-5556</v>
          </cell>
          <cell r="N1554">
            <v>194444</v>
          </cell>
        </row>
        <row r="1555">
          <cell r="A1555">
            <v>35482</v>
          </cell>
          <cell r="B1555">
            <v>1549</v>
          </cell>
          <cell r="C1555" t="str">
            <v>IASWD2406000285</v>
          </cell>
          <cell r="D1555">
            <v>45454</v>
          </cell>
          <cell r="E1555">
            <v>46395</v>
          </cell>
          <cell r="F1555" t="str">
            <v>35482</v>
          </cell>
          <cell r="G1555" t="str">
            <v>兆利二</v>
          </cell>
          <cell r="H1555">
            <v>200000</v>
          </cell>
          <cell r="I1555">
            <v>3</v>
          </cell>
          <cell r="J1555">
            <v>46395</v>
          </cell>
          <cell r="K1555">
            <v>100</v>
          </cell>
          <cell r="L1555">
            <v>46377</v>
          </cell>
          <cell r="M1555">
            <v>-5556</v>
          </cell>
          <cell r="N1555">
            <v>194444</v>
          </cell>
        </row>
        <row r="1556">
          <cell r="A1556">
            <v>35482</v>
          </cell>
          <cell r="B1556">
            <v>1550</v>
          </cell>
          <cell r="C1556" t="str">
            <v>IASWD2406000289</v>
          </cell>
          <cell r="D1556">
            <v>45454</v>
          </cell>
          <cell r="E1556">
            <v>46395</v>
          </cell>
          <cell r="F1556" t="str">
            <v>35482</v>
          </cell>
          <cell r="G1556" t="str">
            <v>兆利二</v>
          </cell>
          <cell r="H1556">
            <v>100000</v>
          </cell>
          <cell r="I1556">
            <v>3</v>
          </cell>
          <cell r="J1556">
            <v>46395</v>
          </cell>
          <cell r="K1556">
            <v>100</v>
          </cell>
          <cell r="L1556">
            <v>46377</v>
          </cell>
          <cell r="M1556">
            <v>-2778</v>
          </cell>
          <cell r="N1556">
            <v>97222</v>
          </cell>
        </row>
        <row r="1557">
          <cell r="A1557">
            <v>35482</v>
          </cell>
          <cell r="B1557">
            <v>1551</v>
          </cell>
          <cell r="C1557" t="str">
            <v>IASWD2406000294</v>
          </cell>
          <cell r="D1557">
            <v>45454</v>
          </cell>
          <cell r="E1557">
            <v>46395</v>
          </cell>
          <cell r="F1557" t="str">
            <v>35482</v>
          </cell>
          <cell r="G1557" t="str">
            <v>兆利二</v>
          </cell>
          <cell r="H1557">
            <v>100000</v>
          </cell>
          <cell r="I1557">
            <v>3</v>
          </cell>
          <cell r="J1557">
            <v>46395</v>
          </cell>
          <cell r="K1557">
            <v>100</v>
          </cell>
          <cell r="L1557">
            <v>46377</v>
          </cell>
          <cell r="M1557">
            <v>-2778</v>
          </cell>
          <cell r="N1557">
            <v>97222</v>
          </cell>
        </row>
        <row r="1558">
          <cell r="A1558">
            <v>35482</v>
          </cell>
          <cell r="B1558">
            <v>1552</v>
          </cell>
          <cell r="C1558" t="str">
            <v>IASWD2406000298</v>
          </cell>
          <cell r="D1558">
            <v>45454</v>
          </cell>
          <cell r="E1558">
            <v>46395</v>
          </cell>
          <cell r="F1558" t="str">
            <v>35482</v>
          </cell>
          <cell r="G1558" t="str">
            <v>兆利二</v>
          </cell>
          <cell r="H1558">
            <v>100000</v>
          </cell>
          <cell r="I1558">
            <v>3</v>
          </cell>
          <cell r="J1558">
            <v>46395</v>
          </cell>
          <cell r="K1558">
            <v>100</v>
          </cell>
          <cell r="L1558">
            <v>46377</v>
          </cell>
          <cell r="M1558">
            <v>-2778</v>
          </cell>
          <cell r="N1558">
            <v>97222</v>
          </cell>
        </row>
        <row r="1559">
          <cell r="A1559">
            <v>35482</v>
          </cell>
          <cell r="B1559">
            <v>1553</v>
          </cell>
          <cell r="C1559" t="str">
            <v>IASWD2406000300</v>
          </cell>
          <cell r="D1559">
            <v>45454</v>
          </cell>
          <cell r="E1559">
            <v>46395</v>
          </cell>
          <cell r="F1559" t="str">
            <v>35482</v>
          </cell>
          <cell r="G1559" t="str">
            <v>兆利二</v>
          </cell>
          <cell r="H1559">
            <v>200000</v>
          </cell>
          <cell r="I1559">
            <v>3</v>
          </cell>
          <cell r="J1559">
            <v>46395</v>
          </cell>
          <cell r="K1559">
            <v>100</v>
          </cell>
          <cell r="L1559">
            <v>46377</v>
          </cell>
          <cell r="M1559">
            <v>-5556</v>
          </cell>
          <cell r="N1559">
            <v>194444</v>
          </cell>
        </row>
        <row r="1560">
          <cell r="A1560">
            <v>35482</v>
          </cell>
          <cell r="B1560">
            <v>1554</v>
          </cell>
          <cell r="C1560" t="str">
            <v>IASWD2406000301</v>
          </cell>
          <cell r="D1560">
            <v>45454</v>
          </cell>
          <cell r="E1560">
            <v>46395</v>
          </cell>
          <cell r="F1560" t="str">
            <v>35482</v>
          </cell>
          <cell r="G1560" t="str">
            <v>兆利二</v>
          </cell>
          <cell r="H1560">
            <v>100000</v>
          </cell>
          <cell r="I1560">
            <v>3</v>
          </cell>
          <cell r="J1560">
            <v>46395</v>
          </cell>
          <cell r="K1560">
            <v>100</v>
          </cell>
          <cell r="L1560">
            <v>46377</v>
          </cell>
          <cell r="M1560">
            <v>-2778</v>
          </cell>
          <cell r="N1560">
            <v>97222</v>
          </cell>
        </row>
        <row r="1561">
          <cell r="A1561">
            <v>34163</v>
          </cell>
          <cell r="B1561">
            <v>1555</v>
          </cell>
          <cell r="C1561" t="str">
            <v>IASWD2406000303</v>
          </cell>
          <cell r="D1561">
            <v>45454</v>
          </cell>
          <cell r="E1561">
            <v>46047</v>
          </cell>
          <cell r="F1561" t="str">
            <v>34163</v>
          </cell>
          <cell r="G1561" t="str">
            <v>融程電三</v>
          </cell>
          <cell r="H1561">
            <v>100000</v>
          </cell>
          <cell r="I1561">
            <v>3</v>
          </cell>
          <cell r="J1561">
            <v>46047</v>
          </cell>
          <cell r="K1561">
            <v>100.5</v>
          </cell>
          <cell r="L1561">
            <v>46028</v>
          </cell>
          <cell r="M1561">
            <v>-2778</v>
          </cell>
          <cell r="N1561">
            <v>97222</v>
          </cell>
        </row>
        <row r="1562">
          <cell r="A1562">
            <v>22313</v>
          </cell>
          <cell r="B1562">
            <v>1556</v>
          </cell>
          <cell r="C1562" t="str">
            <v>IASWD2406000307</v>
          </cell>
          <cell r="D1562">
            <v>45454</v>
          </cell>
          <cell r="E1562">
            <v>45898</v>
          </cell>
          <cell r="F1562" t="str">
            <v>22313</v>
          </cell>
          <cell r="G1562" t="str">
            <v>為升三</v>
          </cell>
          <cell r="H1562">
            <v>300000</v>
          </cell>
          <cell r="I1562">
            <v>3.5</v>
          </cell>
          <cell r="J1562">
            <v>45898</v>
          </cell>
          <cell r="K1562">
            <v>101.50749999999999</v>
          </cell>
          <cell r="L1562">
            <v>45880</v>
          </cell>
          <cell r="M1562">
            <v>-9723</v>
          </cell>
          <cell r="N1562">
            <v>290277</v>
          </cell>
        </row>
        <row r="1563">
          <cell r="A1563">
            <v>22313</v>
          </cell>
          <cell r="B1563">
            <v>1557</v>
          </cell>
          <cell r="C1563" t="str">
            <v>IASWD2406000309</v>
          </cell>
          <cell r="D1563">
            <v>45454</v>
          </cell>
          <cell r="E1563">
            <v>45898</v>
          </cell>
          <cell r="F1563" t="str">
            <v>22313</v>
          </cell>
          <cell r="G1563" t="str">
            <v>為升三</v>
          </cell>
          <cell r="H1563">
            <v>100000</v>
          </cell>
          <cell r="I1563">
            <v>3.5</v>
          </cell>
          <cell r="J1563">
            <v>45898</v>
          </cell>
          <cell r="K1563">
            <v>101.50749999999999</v>
          </cell>
          <cell r="L1563">
            <v>45880</v>
          </cell>
          <cell r="M1563">
            <v>-3241</v>
          </cell>
          <cell r="N1563">
            <v>96759</v>
          </cell>
        </row>
        <row r="1564">
          <cell r="A1564">
            <v>22313</v>
          </cell>
          <cell r="B1564">
            <v>1558</v>
          </cell>
          <cell r="C1564" t="str">
            <v>IASWD2406000312</v>
          </cell>
          <cell r="D1564">
            <v>45454</v>
          </cell>
          <cell r="E1564">
            <v>45898</v>
          </cell>
          <cell r="F1564" t="str">
            <v>22313</v>
          </cell>
          <cell r="G1564" t="str">
            <v>為升三</v>
          </cell>
          <cell r="H1564">
            <v>300000</v>
          </cell>
          <cell r="I1564">
            <v>3.5</v>
          </cell>
          <cell r="J1564">
            <v>45898</v>
          </cell>
          <cell r="K1564">
            <v>101.50749999999999</v>
          </cell>
          <cell r="L1564">
            <v>45880</v>
          </cell>
          <cell r="M1564">
            <v>-9723</v>
          </cell>
          <cell r="N1564">
            <v>290277</v>
          </cell>
        </row>
        <row r="1565">
          <cell r="A1565">
            <v>35482</v>
          </cell>
          <cell r="B1565">
            <v>1559</v>
          </cell>
          <cell r="C1565" t="str">
            <v>IASWD2406000313</v>
          </cell>
          <cell r="D1565">
            <v>45454</v>
          </cell>
          <cell r="E1565">
            <v>46395</v>
          </cell>
          <cell r="F1565" t="str">
            <v>35482</v>
          </cell>
          <cell r="G1565" t="str">
            <v>兆利二</v>
          </cell>
          <cell r="H1565">
            <v>100000</v>
          </cell>
          <cell r="I1565">
            <v>3</v>
          </cell>
          <cell r="J1565">
            <v>46395</v>
          </cell>
          <cell r="K1565">
            <v>100</v>
          </cell>
          <cell r="L1565">
            <v>46377</v>
          </cell>
          <cell r="M1565">
            <v>-2778</v>
          </cell>
          <cell r="N1565">
            <v>97222</v>
          </cell>
        </row>
        <row r="1566">
          <cell r="A1566">
            <v>35482</v>
          </cell>
          <cell r="B1566">
            <v>1560</v>
          </cell>
          <cell r="C1566" t="str">
            <v>IASWD2406000314</v>
          </cell>
          <cell r="D1566">
            <v>45454</v>
          </cell>
          <cell r="E1566">
            <v>46395</v>
          </cell>
          <cell r="F1566" t="str">
            <v>35482</v>
          </cell>
          <cell r="G1566" t="str">
            <v>兆利二</v>
          </cell>
          <cell r="H1566">
            <v>100000</v>
          </cell>
          <cell r="I1566">
            <v>3</v>
          </cell>
          <cell r="J1566">
            <v>46395</v>
          </cell>
          <cell r="K1566">
            <v>100</v>
          </cell>
          <cell r="L1566">
            <v>46377</v>
          </cell>
          <cell r="M1566">
            <v>-2778</v>
          </cell>
          <cell r="N1566">
            <v>97222</v>
          </cell>
        </row>
        <row r="1567">
          <cell r="A1567">
            <v>34793</v>
          </cell>
          <cell r="B1567">
            <v>1561</v>
          </cell>
          <cell r="C1567" t="str">
            <v>IASWD2406000315</v>
          </cell>
          <cell r="D1567">
            <v>45454</v>
          </cell>
          <cell r="E1567">
            <v>46409</v>
          </cell>
          <cell r="F1567" t="str">
            <v>34793</v>
          </cell>
          <cell r="G1567" t="str">
            <v>安勤三</v>
          </cell>
          <cell r="H1567">
            <v>100000</v>
          </cell>
          <cell r="I1567">
            <v>3</v>
          </cell>
          <cell r="J1567">
            <v>46409</v>
          </cell>
          <cell r="K1567">
            <v>100</v>
          </cell>
          <cell r="L1567">
            <v>46391</v>
          </cell>
          <cell r="M1567">
            <v>-2778</v>
          </cell>
          <cell r="N1567">
            <v>97222</v>
          </cell>
        </row>
        <row r="1568">
          <cell r="A1568">
            <v>35482</v>
          </cell>
          <cell r="B1568">
            <v>1562</v>
          </cell>
          <cell r="C1568" t="str">
            <v>IASWD2406000316</v>
          </cell>
          <cell r="D1568">
            <v>45454</v>
          </cell>
          <cell r="E1568">
            <v>46395</v>
          </cell>
          <cell r="F1568" t="str">
            <v>35482</v>
          </cell>
          <cell r="G1568" t="str">
            <v>兆利二</v>
          </cell>
          <cell r="H1568">
            <v>100000</v>
          </cell>
          <cell r="I1568">
            <v>3</v>
          </cell>
          <cell r="J1568">
            <v>46395</v>
          </cell>
          <cell r="K1568">
            <v>100</v>
          </cell>
          <cell r="L1568">
            <v>46377</v>
          </cell>
          <cell r="M1568">
            <v>-2778</v>
          </cell>
          <cell r="N1568">
            <v>97222</v>
          </cell>
        </row>
        <row r="1569">
          <cell r="A1569">
            <v>22313</v>
          </cell>
          <cell r="B1569">
            <v>1563</v>
          </cell>
          <cell r="C1569" t="str">
            <v>IASWD2406000319</v>
          </cell>
          <cell r="D1569">
            <v>45454</v>
          </cell>
          <cell r="E1569">
            <v>45898</v>
          </cell>
          <cell r="F1569" t="str">
            <v>22313</v>
          </cell>
          <cell r="G1569" t="str">
            <v>為升三</v>
          </cell>
          <cell r="H1569">
            <v>2500000</v>
          </cell>
          <cell r="I1569">
            <v>3.5</v>
          </cell>
          <cell r="J1569">
            <v>45898</v>
          </cell>
          <cell r="K1569">
            <v>101.50749999999999</v>
          </cell>
          <cell r="L1569">
            <v>45880</v>
          </cell>
          <cell r="M1569">
            <v>-81027</v>
          </cell>
          <cell r="N1569">
            <v>2418973</v>
          </cell>
        </row>
        <row r="1570">
          <cell r="A1570">
            <v>22013</v>
          </cell>
          <cell r="B1570">
            <v>1564</v>
          </cell>
          <cell r="C1570" t="str">
            <v>IASWD2406000326</v>
          </cell>
          <cell r="D1570">
            <v>45454</v>
          </cell>
          <cell r="E1570">
            <v>46167</v>
          </cell>
          <cell r="F1570" t="str">
            <v>22013</v>
          </cell>
          <cell r="G1570" t="str">
            <v>裕隆三</v>
          </cell>
          <cell r="H1570">
            <v>200000</v>
          </cell>
          <cell r="I1570">
            <v>3</v>
          </cell>
          <cell r="J1570">
            <v>46167</v>
          </cell>
          <cell r="K1570">
            <v>100.75190000000001</v>
          </cell>
          <cell r="L1570">
            <v>46147</v>
          </cell>
          <cell r="M1570">
            <v>-5556</v>
          </cell>
          <cell r="N1570">
            <v>194444</v>
          </cell>
        </row>
        <row r="1571">
          <cell r="A1571">
            <v>35482</v>
          </cell>
          <cell r="B1571">
            <v>1565</v>
          </cell>
          <cell r="C1571" t="str">
            <v>IASWD2406000329</v>
          </cell>
          <cell r="D1571">
            <v>45454</v>
          </cell>
          <cell r="E1571">
            <v>46395</v>
          </cell>
          <cell r="F1571" t="str">
            <v>35482</v>
          </cell>
          <cell r="G1571" t="str">
            <v>兆利二</v>
          </cell>
          <cell r="H1571">
            <v>100000</v>
          </cell>
          <cell r="I1571">
            <v>3</v>
          </cell>
          <cell r="J1571">
            <v>46395</v>
          </cell>
          <cell r="K1571">
            <v>100</v>
          </cell>
          <cell r="L1571">
            <v>46377</v>
          </cell>
          <cell r="M1571">
            <v>-2778</v>
          </cell>
          <cell r="N1571">
            <v>97222</v>
          </cell>
        </row>
        <row r="1572">
          <cell r="A1572">
            <v>22013</v>
          </cell>
          <cell r="B1572">
            <v>1566</v>
          </cell>
          <cell r="C1572" t="str">
            <v>IASWD2406000330</v>
          </cell>
          <cell r="D1572">
            <v>45454</v>
          </cell>
          <cell r="E1572">
            <v>46167</v>
          </cell>
          <cell r="F1572" t="str">
            <v>22013</v>
          </cell>
          <cell r="G1572" t="str">
            <v>裕隆三</v>
          </cell>
          <cell r="H1572">
            <v>100000</v>
          </cell>
          <cell r="I1572">
            <v>3</v>
          </cell>
          <cell r="J1572">
            <v>46167</v>
          </cell>
          <cell r="K1572">
            <v>100.75190000000001</v>
          </cell>
          <cell r="L1572">
            <v>46147</v>
          </cell>
          <cell r="M1572">
            <v>-2778</v>
          </cell>
          <cell r="N1572">
            <v>97222</v>
          </cell>
        </row>
        <row r="1573">
          <cell r="A1573">
            <v>35482</v>
          </cell>
          <cell r="B1573">
            <v>1567</v>
          </cell>
          <cell r="C1573" t="str">
            <v>IASWD2406000345</v>
          </cell>
          <cell r="D1573">
            <v>45454</v>
          </cell>
          <cell r="E1573">
            <v>46395</v>
          </cell>
          <cell r="F1573" t="str">
            <v>35482</v>
          </cell>
          <cell r="G1573" t="str">
            <v>兆利二</v>
          </cell>
          <cell r="H1573">
            <v>300000</v>
          </cell>
          <cell r="I1573">
            <v>3</v>
          </cell>
          <cell r="J1573">
            <v>46395</v>
          </cell>
          <cell r="K1573">
            <v>100</v>
          </cell>
          <cell r="L1573">
            <v>46377</v>
          </cell>
          <cell r="M1573">
            <v>-8334</v>
          </cell>
          <cell r="N1573">
            <v>291666</v>
          </cell>
        </row>
        <row r="1574">
          <cell r="A1574">
            <v>35482</v>
          </cell>
          <cell r="B1574">
            <v>1568</v>
          </cell>
          <cell r="C1574" t="str">
            <v>IASWD2406000414</v>
          </cell>
          <cell r="D1574">
            <v>45455</v>
          </cell>
          <cell r="E1574">
            <v>46395</v>
          </cell>
          <cell r="F1574" t="str">
            <v>35482</v>
          </cell>
          <cell r="G1574" t="str">
            <v>兆利二</v>
          </cell>
          <cell r="H1574">
            <v>300000</v>
          </cell>
          <cell r="I1574">
            <v>3</v>
          </cell>
          <cell r="J1574">
            <v>46395</v>
          </cell>
          <cell r="K1574">
            <v>100</v>
          </cell>
          <cell r="L1574">
            <v>46377</v>
          </cell>
          <cell r="M1574">
            <v>-8310</v>
          </cell>
          <cell r="N1574">
            <v>291690</v>
          </cell>
        </row>
        <row r="1575">
          <cell r="A1575">
            <v>35482</v>
          </cell>
          <cell r="B1575">
            <v>1569</v>
          </cell>
          <cell r="C1575" t="str">
            <v>IASWD2406000415</v>
          </cell>
          <cell r="D1575">
            <v>45455</v>
          </cell>
          <cell r="E1575">
            <v>46395</v>
          </cell>
          <cell r="F1575" t="str">
            <v>35482</v>
          </cell>
          <cell r="G1575" t="str">
            <v>兆利二</v>
          </cell>
          <cell r="H1575">
            <v>200000</v>
          </cell>
          <cell r="I1575">
            <v>3</v>
          </cell>
          <cell r="J1575">
            <v>46395</v>
          </cell>
          <cell r="K1575">
            <v>100</v>
          </cell>
          <cell r="L1575">
            <v>46377</v>
          </cell>
          <cell r="M1575">
            <v>-5540</v>
          </cell>
          <cell r="N1575">
            <v>194460</v>
          </cell>
        </row>
        <row r="1576">
          <cell r="A1576">
            <v>89964</v>
          </cell>
          <cell r="B1576">
            <v>1570</v>
          </cell>
          <cell r="C1576" t="str">
            <v>IASWD2406000427</v>
          </cell>
          <cell r="D1576">
            <v>45455</v>
          </cell>
          <cell r="E1576">
            <v>46362</v>
          </cell>
          <cell r="F1576" t="str">
            <v>89964</v>
          </cell>
          <cell r="G1576" t="str">
            <v>高力四</v>
          </cell>
          <cell r="H1576">
            <v>100000</v>
          </cell>
          <cell r="I1576">
            <v>3.5</v>
          </cell>
          <cell r="J1576">
            <v>46362</v>
          </cell>
          <cell r="K1576">
            <v>100.75190000000001</v>
          </cell>
          <cell r="L1576">
            <v>46343</v>
          </cell>
          <cell r="M1576">
            <v>-3232</v>
          </cell>
          <cell r="N1576">
            <v>96768</v>
          </cell>
        </row>
        <row r="1577">
          <cell r="A1577">
            <v>29061</v>
          </cell>
          <cell r="B1577">
            <v>1571</v>
          </cell>
          <cell r="C1577" t="str">
            <v>IASWD2406000428</v>
          </cell>
          <cell r="D1577">
            <v>45455</v>
          </cell>
          <cell r="E1577">
            <v>45920</v>
          </cell>
          <cell r="F1577" t="str">
            <v>29061</v>
          </cell>
          <cell r="G1577" t="str">
            <v>高林一</v>
          </cell>
          <cell r="H1577">
            <v>100000</v>
          </cell>
          <cell r="I1577">
            <v>3.75</v>
          </cell>
          <cell r="J1577">
            <v>45920</v>
          </cell>
          <cell r="K1577">
            <v>102.01</v>
          </cell>
          <cell r="L1577">
            <v>45902</v>
          </cell>
          <cell r="M1577">
            <v>-3462</v>
          </cell>
          <cell r="N1577">
            <v>96538</v>
          </cell>
        </row>
        <row r="1578">
          <cell r="A1578">
            <v>22313</v>
          </cell>
          <cell r="B1578">
            <v>1572</v>
          </cell>
          <cell r="C1578" t="str">
            <v>IASWD2406000431</v>
          </cell>
          <cell r="D1578">
            <v>45455</v>
          </cell>
          <cell r="E1578">
            <v>45898</v>
          </cell>
          <cell r="F1578" t="str">
            <v>22313</v>
          </cell>
          <cell r="G1578" t="str">
            <v>為升三</v>
          </cell>
          <cell r="H1578">
            <v>1100000</v>
          </cell>
          <cell r="I1578">
            <v>3.5</v>
          </cell>
          <cell r="J1578">
            <v>45898</v>
          </cell>
          <cell r="K1578">
            <v>101.50749999999999</v>
          </cell>
          <cell r="L1578">
            <v>45880</v>
          </cell>
          <cell r="M1578">
            <v>-35547</v>
          </cell>
          <cell r="N1578">
            <v>1064453</v>
          </cell>
        </row>
        <row r="1579">
          <cell r="A1579">
            <v>35482</v>
          </cell>
          <cell r="B1579">
            <v>1573</v>
          </cell>
          <cell r="C1579" t="str">
            <v>IASWD2406000433</v>
          </cell>
          <cell r="D1579">
            <v>45455</v>
          </cell>
          <cell r="E1579">
            <v>46395</v>
          </cell>
          <cell r="F1579" t="str">
            <v>35482</v>
          </cell>
          <cell r="G1579" t="str">
            <v>兆利二</v>
          </cell>
          <cell r="H1579">
            <v>100000</v>
          </cell>
          <cell r="I1579">
            <v>3</v>
          </cell>
          <cell r="J1579">
            <v>46395</v>
          </cell>
          <cell r="K1579">
            <v>100</v>
          </cell>
          <cell r="L1579">
            <v>46377</v>
          </cell>
          <cell r="M1579">
            <v>-2770</v>
          </cell>
          <cell r="N1579">
            <v>97230</v>
          </cell>
        </row>
        <row r="1580">
          <cell r="A1580">
            <v>22313</v>
          </cell>
          <cell r="B1580">
            <v>1574</v>
          </cell>
          <cell r="C1580" t="str">
            <v>IASWD2406000434</v>
          </cell>
          <cell r="D1580">
            <v>45455</v>
          </cell>
          <cell r="E1580">
            <v>45898</v>
          </cell>
          <cell r="F1580" t="str">
            <v>22313</v>
          </cell>
          <cell r="G1580" t="str">
            <v>為升三</v>
          </cell>
          <cell r="H1580">
            <v>300000</v>
          </cell>
          <cell r="I1580">
            <v>3.5</v>
          </cell>
          <cell r="J1580">
            <v>45898</v>
          </cell>
          <cell r="K1580">
            <v>101.50749999999999</v>
          </cell>
          <cell r="L1580">
            <v>45880</v>
          </cell>
          <cell r="M1580">
            <v>-9695</v>
          </cell>
          <cell r="N1580">
            <v>290305</v>
          </cell>
        </row>
        <row r="1581">
          <cell r="A1581">
            <v>35482</v>
          </cell>
          <cell r="B1581">
            <v>1575</v>
          </cell>
          <cell r="C1581" t="str">
            <v>IASWD2406000438</v>
          </cell>
          <cell r="D1581">
            <v>45455</v>
          </cell>
          <cell r="E1581">
            <v>46395</v>
          </cell>
          <cell r="F1581" t="str">
            <v>35482</v>
          </cell>
          <cell r="G1581" t="str">
            <v>兆利二</v>
          </cell>
          <cell r="H1581">
            <v>100000</v>
          </cell>
          <cell r="I1581">
            <v>3</v>
          </cell>
          <cell r="J1581">
            <v>46395</v>
          </cell>
          <cell r="K1581">
            <v>100</v>
          </cell>
          <cell r="L1581">
            <v>46377</v>
          </cell>
          <cell r="M1581">
            <v>-2770</v>
          </cell>
          <cell r="N1581">
            <v>97230</v>
          </cell>
        </row>
        <row r="1582">
          <cell r="A1582">
            <v>35482</v>
          </cell>
          <cell r="B1582">
            <v>1576</v>
          </cell>
          <cell r="C1582" t="str">
            <v>IASWD2406000441</v>
          </cell>
          <cell r="D1582">
            <v>45455</v>
          </cell>
          <cell r="E1582">
            <v>46395</v>
          </cell>
          <cell r="F1582" t="str">
            <v>35482</v>
          </cell>
          <cell r="G1582" t="str">
            <v>兆利二</v>
          </cell>
          <cell r="H1582">
            <v>100000</v>
          </cell>
          <cell r="I1582">
            <v>3</v>
          </cell>
          <cell r="J1582">
            <v>46395</v>
          </cell>
          <cell r="K1582">
            <v>100</v>
          </cell>
          <cell r="L1582">
            <v>46377</v>
          </cell>
          <cell r="M1582">
            <v>-2770</v>
          </cell>
          <cell r="N1582">
            <v>97230</v>
          </cell>
        </row>
        <row r="1583">
          <cell r="A1583">
            <v>29061</v>
          </cell>
          <cell r="B1583">
            <v>1577</v>
          </cell>
          <cell r="C1583" t="str">
            <v>IASWD2406000453</v>
          </cell>
          <cell r="D1583">
            <v>45455</v>
          </cell>
          <cell r="E1583">
            <v>45920</v>
          </cell>
          <cell r="F1583" t="str">
            <v>29061</v>
          </cell>
          <cell r="G1583" t="str">
            <v>高林一</v>
          </cell>
          <cell r="H1583">
            <v>500000</v>
          </cell>
          <cell r="I1583">
            <v>3.75</v>
          </cell>
          <cell r="J1583">
            <v>45920</v>
          </cell>
          <cell r="K1583">
            <v>102.01</v>
          </cell>
          <cell r="L1583">
            <v>45902</v>
          </cell>
          <cell r="M1583">
            <v>-17312</v>
          </cell>
          <cell r="N1583">
            <v>482688</v>
          </cell>
        </row>
        <row r="1584">
          <cell r="A1584">
            <v>22313</v>
          </cell>
          <cell r="B1584">
            <v>1578</v>
          </cell>
          <cell r="C1584" t="str">
            <v>IASWD2406000466</v>
          </cell>
          <cell r="D1584">
            <v>45455</v>
          </cell>
          <cell r="E1584">
            <v>45898</v>
          </cell>
          <cell r="F1584" t="str">
            <v>22313</v>
          </cell>
          <cell r="G1584" t="str">
            <v>為升三</v>
          </cell>
          <cell r="H1584">
            <v>200000</v>
          </cell>
          <cell r="I1584">
            <v>3.5</v>
          </cell>
          <cell r="J1584">
            <v>45898</v>
          </cell>
          <cell r="K1584">
            <v>101.50749999999999</v>
          </cell>
          <cell r="L1584">
            <v>45880</v>
          </cell>
          <cell r="M1584">
            <v>-6463</v>
          </cell>
          <cell r="N1584">
            <v>193537</v>
          </cell>
        </row>
        <row r="1585">
          <cell r="A1585">
            <v>41683</v>
          </cell>
          <cell r="B1585">
            <v>1579</v>
          </cell>
          <cell r="C1585" t="str">
            <v>IASWD2406000468</v>
          </cell>
          <cell r="D1585">
            <v>45455</v>
          </cell>
          <cell r="E1585">
            <v>45835</v>
          </cell>
          <cell r="F1585" t="str">
            <v>41683</v>
          </cell>
          <cell r="G1585" t="str">
            <v>醣聯三</v>
          </cell>
          <cell r="H1585">
            <v>100000</v>
          </cell>
          <cell r="I1585">
            <v>2.2000000000000002</v>
          </cell>
          <cell r="J1585">
            <v>45835</v>
          </cell>
          <cell r="K1585">
            <v>100</v>
          </cell>
          <cell r="L1585">
            <v>45817</v>
          </cell>
          <cell r="M1585">
            <v>-2031</v>
          </cell>
          <cell r="N1585">
            <v>97969</v>
          </cell>
        </row>
        <row r="1586">
          <cell r="A1586">
            <v>22013</v>
          </cell>
          <cell r="B1586">
            <v>1580</v>
          </cell>
          <cell r="C1586" t="str">
            <v>IASWD2406000477</v>
          </cell>
          <cell r="D1586">
            <v>45456</v>
          </cell>
          <cell r="E1586">
            <v>46167</v>
          </cell>
          <cell r="F1586" t="str">
            <v>22013</v>
          </cell>
          <cell r="G1586" t="str">
            <v>裕隆三</v>
          </cell>
          <cell r="H1586">
            <v>200000</v>
          </cell>
          <cell r="I1586">
            <v>3</v>
          </cell>
          <cell r="J1586">
            <v>46167</v>
          </cell>
          <cell r="K1586">
            <v>100.75190000000001</v>
          </cell>
          <cell r="L1586">
            <v>46147</v>
          </cell>
          <cell r="M1586">
            <v>-5523</v>
          </cell>
          <cell r="N1586">
            <v>194477</v>
          </cell>
        </row>
        <row r="1587">
          <cell r="A1587">
            <v>34793</v>
          </cell>
          <cell r="B1587">
            <v>1581</v>
          </cell>
          <cell r="C1587" t="str">
            <v>IASWD2406000478</v>
          </cell>
          <cell r="D1587">
            <v>45456</v>
          </cell>
          <cell r="E1587">
            <v>46409</v>
          </cell>
          <cell r="F1587" t="str">
            <v>34793</v>
          </cell>
          <cell r="G1587" t="str">
            <v>安勤三</v>
          </cell>
          <cell r="H1587">
            <v>100000</v>
          </cell>
          <cell r="I1587">
            <v>3</v>
          </cell>
          <cell r="J1587">
            <v>46409</v>
          </cell>
          <cell r="K1587">
            <v>100</v>
          </cell>
          <cell r="L1587">
            <v>46391</v>
          </cell>
          <cell r="M1587">
            <v>-2762</v>
          </cell>
          <cell r="N1587">
            <v>97238</v>
          </cell>
        </row>
        <row r="1588">
          <cell r="A1588">
            <v>20632</v>
          </cell>
          <cell r="B1588">
            <v>1582</v>
          </cell>
          <cell r="C1588" t="str">
            <v>IASWD2406000481</v>
          </cell>
          <cell r="D1588">
            <v>45456</v>
          </cell>
          <cell r="E1588">
            <v>45971</v>
          </cell>
          <cell r="F1588" t="str">
            <v>20632</v>
          </cell>
          <cell r="G1588" t="str">
            <v>世鎧二</v>
          </cell>
          <cell r="H1588">
            <v>500000</v>
          </cell>
          <cell r="I1588">
            <v>3.25</v>
          </cell>
          <cell r="J1588">
            <v>45971</v>
          </cell>
          <cell r="K1588">
            <v>100</v>
          </cell>
          <cell r="L1588">
            <v>45951</v>
          </cell>
          <cell r="M1588">
            <v>-14959</v>
          </cell>
          <cell r="N1588">
            <v>485041</v>
          </cell>
        </row>
        <row r="1589">
          <cell r="A1589">
            <v>89964</v>
          </cell>
          <cell r="B1589">
            <v>1583</v>
          </cell>
          <cell r="C1589" t="str">
            <v>IASWD2406000482</v>
          </cell>
          <cell r="D1589">
            <v>45456</v>
          </cell>
          <cell r="E1589">
            <v>46362</v>
          </cell>
          <cell r="F1589" t="str">
            <v>89964</v>
          </cell>
          <cell r="G1589" t="str">
            <v>高力四</v>
          </cell>
          <cell r="H1589">
            <v>100000</v>
          </cell>
          <cell r="I1589">
            <v>3.5</v>
          </cell>
          <cell r="J1589">
            <v>46362</v>
          </cell>
          <cell r="K1589">
            <v>100.75190000000001</v>
          </cell>
          <cell r="L1589">
            <v>46343</v>
          </cell>
          <cell r="M1589">
            <v>-3222</v>
          </cell>
          <cell r="N1589">
            <v>96778</v>
          </cell>
        </row>
        <row r="1590">
          <cell r="A1590">
            <v>35482</v>
          </cell>
          <cell r="B1590">
            <v>1584</v>
          </cell>
          <cell r="C1590" t="str">
            <v>IASWD2406000486</v>
          </cell>
          <cell r="D1590">
            <v>45456</v>
          </cell>
          <cell r="E1590">
            <v>46395</v>
          </cell>
          <cell r="F1590" t="str">
            <v>35482</v>
          </cell>
          <cell r="G1590" t="str">
            <v>兆利二</v>
          </cell>
          <cell r="H1590">
            <v>500000</v>
          </cell>
          <cell r="I1590">
            <v>3</v>
          </cell>
          <cell r="J1590">
            <v>46395</v>
          </cell>
          <cell r="K1590">
            <v>100</v>
          </cell>
          <cell r="L1590">
            <v>46377</v>
          </cell>
          <cell r="M1590">
            <v>-13808</v>
          </cell>
          <cell r="N1590">
            <v>486192</v>
          </cell>
        </row>
        <row r="1591">
          <cell r="A1591">
            <v>20632</v>
          </cell>
          <cell r="B1591">
            <v>1585</v>
          </cell>
          <cell r="C1591" t="str">
            <v>IASWD2406000494</v>
          </cell>
          <cell r="D1591">
            <v>45456</v>
          </cell>
          <cell r="E1591">
            <v>45971</v>
          </cell>
          <cell r="F1591" t="str">
            <v>20632</v>
          </cell>
          <cell r="G1591" t="str">
            <v>世鎧二</v>
          </cell>
          <cell r="H1591">
            <v>100000</v>
          </cell>
          <cell r="I1591">
            <v>3.25</v>
          </cell>
          <cell r="J1591">
            <v>45971</v>
          </cell>
          <cell r="K1591">
            <v>100</v>
          </cell>
          <cell r="L1591">
            <v>45951</v>
          </cell>
          <cell r="M1591">
            <v>-2992</v>
          </cell>
          <cell r="N1591">
            <v>97008</v>
          </cell>
        </row>
        <row r="1592">
          <cell r="A1592">
            <v>35482</v>
          </cell>
          <cell r="B1592">
            <v>1586</v>
          </cell>
          <cell r="C1592" t="str">
            <v>IASWD2406000504</v>
          </cell>
          <cell r="D1592">
            <v>45456</v>
          </cell>
          <cell r="E1592">
            <v>46395</v>
          </cell>
          <cell r="F1592" t="str">
            <v>35482</v>
          </cell>
          <cell r="G1592" t="str">
            <v>兆利二</v>
          </cell>
          <cell r="H1592">
            <v>300000</v>
          </cell>
          <cell r="I1592">
            <v>3</v>
          </cell>
          <cell r="J1592">
            <v>46395</v>
          </cell>
          <cell r="K1592">
            <v>100</v>
          </cell>
          <cell r="L1592">
            <v>46377</v>
          </cell>
          <cell r="M1592">
            <v>-8285</v>
          </cell>
          <cell r="N1592">
            <v>291715</v>
          </cell>
        </row>
        <row r="1593">
          <cell r="A1593">
            <v>35482</v>
          </cell>
          <cell r="B1593">
            <v>1587</v>
          </cell>
          <cell r="C1593" t="str">
            <v>IASWD2406000509</v>
          </cell>
          <cell r="D1593">
            <v>45456</v>
          </cell>
          <cell r="E1593">
            <v>46395</v>
          </cell>
          <cell r="F1593" t="str">
            <v>35482</v>
          </cell>
          <cell r="G1593" t="str">
            <v>兆利二</v>
          </cell>
          <cell r="H1593">
            <v>100000</v>
          </cell>
          <cell r="I1593">
            <v>3</v>
          </cell>
          <cell r="J1593">
            <v>46395</v>
          </cell>
          <cell r="K1593">
            <v>100</v>
          </cell>
          <cell r="L1593">
            <v>46377</v>
          </cell>
          <cell r="M1593">
            <v>-2762</v>
          </cell>
          <cell r="N1593">
            <v>97238</v>
          </cell>
        </row>
        <row r="1594">
          <cell r="A1594">
            <v>35482</v>
          </cell>
          <cell r="B1594">
            <v>1588</v>
          </cell>
          <cell r="C1594" t="str">
            <v>IASWD2406000514</v>
          </cell>
          <cell r="D1594">
            <v>45456</v>
          </cell>
          <cell r="E1594">
            <v>46395</v>
          </cell>
          <cell r="F1594" t="str">
            <v>35482</v>
          </cell>
          <cell r="G1594" t="str">
            <v>兆利二</v>
          </cell>
          <cell r="H1594">
            <v>100000</v>
          </cell>
          <cell r="I1594">
            <v>3</v>
          </cell>
          <cell r="J1594">
            <v>46395</v>
          </cell>
          <cell r="K1594">
            <v>100</v>
          </cell>
          <cell r="L1594">
            <v>46377</v>
          </cell>
          <cell r="M1594">
            <v>-2762</v>
          </cell>
          <cell r="N1594">
            <v>97238</v>
          </cell>
        </row>
        <row r="1595">
          <cell r="A1595">
            <v>35482</v>
          </cell>
          <cell r="B1595">
            <v>1589</v>
          </cell>
          <cell r="C1595" t="str">
            <v>IASWD2406000515</v>
          </cell>
          <cell r="D1595">
            <v>45456</v>
          </cell>
          <cell r="E1595">
            <v>46395</v>
          </cell>
          <cell r="F1595" t="str">
            <v>35482</v>
          </cell>
          <cell r="G1595" t="str">
            <v>兆利二</v>
          </cell>
          <cell r="H1595">
            <v>100000</v>
          </cell>
          <cell r="I1595">
            <v>3</v>
          </cell>
          <cell r="J1595">
            <v>46395</v>
          </cell>
          <cell r="K1595">
            <v>100</v>
          </cell>
          <cell r="L1595">
            <v>46377</v>
          </cell>
          <cell r="M1595">
            <v>-2762</v>
          </cell>
          <cell r="N1595">
            <v>97238</v>
          </cell>
        </row>
        <row r="1596">
          <cell r="A1596">
            <v>20632</v>
          </cell>
          <cell r="B1596">
            <v>1590</v>
          </cell>
          <cell r="C1596" t="str">
            <v>IASWD2406000519</v>
          </cell>
          <cell r="D1596">
            <v>45456</v>
          </cell>
          <cell r="E1596">
            <v>45971</v>
          </cell>
          <cell r="F1596" t="str">
            <v>20632</v>
          </cell>
          <cell r="G1596" t="str">
            <v>世鎧二</v>
          </cell>
          <cell r="H1596">
            <v>100000</v>
          </cell>
          <cell r="I1596">
            <v>3.25</v>
          </cell>
          <cell r="J1596">
            <v>45971</v>
          </cell>
          <cell r="K1596">
            <v>100</v>
          </cell>
          <cell r="L1596">
            <v>45951</v>
          </cell>
          <cell r="M1596">
            <v>-2992</v>
          </cell>
          <cell r="N1596">
            <v>97008</v>
          </cell>
        </row>
        <row r="1597">
          <cell r="A1597">
            <v>35482</v>
          </cell>
          <cell r="B1597">
            <v>1591</v>
          </cell>
          <cell r="C1597" t="str">
            <v>IASWD2406000522</v>
          </cell>
          <cell r="D1597">
            <v>45456</v>
          </cell>
          <cell r="E1597">
            <v>46395</v>
          </cell>
          <cell r="F1597" t="str">
            <v>35482</v>
          </cell>
          <cell r="G1597" t="str">
            <v>兆利二</v>
          </cell>
          <cell r="H1597">
            <v>100000</v>
          </cell>
          <cell r="I1597">
            <v>3</v>
          </cell>
          <cell r="J1597">
            <v>46395</v>
          </cell>
          <cell r="K1597">
            <v>100</v>
          </cell>
          <cell r="L1597">
            <v>46377</v>
          </cell>
          <cell r="M1597">
            <v>-2762</v>
          </cell>
          <cell r="N1597">
            <v>97238</v>
          </cell>
        </row>
        <row r="1598">
          <cell r="A1598">
            <v>56086</v>
          </cell>
          <cell r="B1598">
            <v>1592</v>
          </cell>
          <cell r="C1598" t="str">
            <v>IASWD2406000531</v>
          </cell>
          <cell r="D1598">
            <v>45456</v>
          </cell>
          <cell r="E1598">
            <v>46194</v>
          </cell>
          <cell r="F1598" t="str">
            <v>56086</v>
          </cell>
          <cell r="G1598" t="str">
            <v>四維航六</v>
          </cell>
          <cell r="H1598">
            <v>100000</v>
          </cell>
          <cell r="I1598">
            <v>2.35</v>
          </cell>
          <cell r="J1598">
            <v>46194</v>
          </cell>
          <cell r="K1598">
            <v>100</v>
          </cell>
          <cell r="L1598">
            <v>46175</v>
          </cell>
          <cell r="M1598">
            <v>-2163</v>
          </cell>
          <cell r="N1598">
            <v>97837</v>
          </cell>
        </row>
        <row r="1599">
          <cell r="A1599">
            <v>35482</v>
          </cell>
          <cell r="B1599">
            <v>1593</v>
          </cell>
          <cell r="C1599" t="str">
            <v>IASWD2406000534</v>
          </cell>
          <cell r="D1599">
            <v>45456</v>
          </cell>
          <cell r="E1599">
            <v>46395</v>
          </cell>
          <cell r="F1599" t="str">
            <v>35482</v>
          </cell>
          <cell r="G1599" t="str">
            <v>兆利二</v>
          </cell>
          <cell r="H1599">
            <v>100000</v>
          </cell>
          <cell r="I1599">
            <v>3</v>
          </cell>
          <cell r="J1599">
            <v>46395</v>
          </cell>
          <cell r="K1599">
            <v>100</v>
          </cell>
          <cell r="L1599">
            <v>46377</v>
          </cell>
          <cell r="M1599">
            <v>-2762</v>
          </cell>
          <cell r="N1599">
            <v>97238</v>
          </cell>
        </row>
        <row r="1600">
          <cell r="A1600">
            <v>34163</v>
          </cell>
          <cell r="B1600">
            <v>1594</v>
          </cell>
          <cell r="C1600" t="str">
            <v>IASWD2406000536</v>
          </cell>
          <cell r="D1600">
            <v>45456</v>
          </cell>
          <cell r="E1600">
            <v>46047</v>
          </cell>
          <cell r="F1600" t="str">
            <v>34163</v>
          </cell>
          <cell r="G1600" t="str">
            <v>融程電三</v>
          </cell>
          <cell r="H1600">
            <v>100000</v>
          </cell>
          <cell r="I1600">
            <v>3</v>
          </cell>
          <cell r="J1600">
            <v>46047</v>
          </cell>
          <cell r="K1600">
            <v>100.5</v>
          </cell>
          <cell r="L1600">
            <v>46028</v>
          </cell>
          <cell r="M1600">
            <v>-2762</v>
          </cell>
          <cell r="N1600">
            <v>97238</v>
          </cell>
        </row>
        <row r="1601">
          <cell r="A1601">
            <v>35482</v>
          </cell>
          <cell r="B1601">
            <v>1595</v>
          </cell>
          <cell r="C1601" t="str">
            <v>IASWD2406000541</v>
          </cell>
          <cell r="D1601">
            <v>45456</v>
          </cell>
          <cell r="E1601">
            <v>46395</v>
          </cell>
          <cell r="F1601" t="str">
            <v>35482</v>
          </cell>
          <cell r="G1601" t="str">
            <v>兆利二</v>
          </cell>
          <cell r="H1601">
            <v>200000</v>
          </cell>
          <cell r="I1601">
            <v>3</v>
          </cell>
          <cell r="J1601">
            <v>46395</v>
          </cell>
          <cell r="K1601">
            <v>100</v>
          </cell>
          <cell r="L1601">
            <v>46377</v>
          </cell>
          <cell r="M1601">
            <v>-5523</v>
          </cell>
          <cell r="N1601">
            <v>194477</v>
          </cell>
        </row>
        <row r="1602">
          <cell r="A1602">
            <v>35482</v>
          </cell>
          <cell r="B1602">
            <v>1596</v>
          </cell>
          <cell r="C1602" t="str">
            <v>IASWD2406000546</v>
          </cell>
          <cell r="D1602">
            <v>45456</v>
          </cell>
          <cell r="E1602">
            <v>46395</v>
          </cell>
          <cell r="F1602" t="str">
            <v>35482</v>
          </cell>
          <cell r="G1602" t="str">
            <v>兆利二</v>
          </cell>
          <cell r="H1602">
            <v>100000</v>
          </cell>
          <cell r="I1602">
            <v>3</v>
          </cell>
          <cell r="J1602">
            <v>46395</v>
          </cell>
          <cell r="K1602">
            <v>100</v>
          </cell>
          <cell r="L1602">
            <v>46377</v>
          </cell>
          <cell r="M1602">
            <v>-2762</v>
          </cell>
          <cell r="N1602">
            <v>97238</v>
          </cell>
        </row>
        <row r="1603">
          <cell r="A1603">
            <v>34163</v>
          </cell>
          <cell r="B1603">
            <v>1597</v>
          </cell>
          <cell r="C1603" t="str">
            <v>IASWD2406000553</v>
          </cell>
          <cell r="D1603">
            <v>45457</v>
          </cell>
          <cell r="E1603">
            <v>46047</v>
          </cell>
          <cell r="F1603" t="str">
            <v>34163</v>
          </cell>
          <cell r="G1603" t="str">
            <v>融程電三</v>
          </cell>
          <cell r="H1603">
            <v>300000</v>
          </cell>
          <cell r="I1603">
            <v>3</v>
          </cell>
          <cell r="J1603">
            <v>46047</v>
          </cell>
          <cell r="K1603">
            <v>100.5</v>
          </cell>
          <cell r="L1603">
            <v>46028</v>
          </cell>
          <cell r="M1603">
            <v>-8260</v>
          </cell>
          <cell r="N1603">
            <v>291740</v>
          </cell>
        </row>
        <row r="1604">
          <cell r="A1604">
            <v>35482</v>
          </cell>
          <cell r="B1604">
            <v>1598</v>
          </cell>
          <cell r="C1604" t="str">
            <v>IASWD2406000555</v>
          </cell>
          <cell r="D1604">
            <v>45457</v>
          </cell>
          <cell r="E1604">
            <v>46395</v>
          </cell>
          <cell r="F1604" t="str">
            <v>35482</v>
          </cell>
          <cell r="G1604" t="str">
            <v>兆利二</v>
          </cell>
          <cell r="H1604">
            <v>100000</v>
          </cell>
          <cell r="I1604">
            <v>3</v>
          </cell>
          <cell r="J1604">
            <v>46395</v>
          </cell>
          <cell r="K1604">
            <v>100</v>
          </cell>
          <cell r="L1604">
            <v>46377</v>
          </cell>
          <cell r="M1604">
            <v>-2753</v>
          </cell>
          <cell r="N1604">
            <v>97247</v>
          </cell>
        </row>
        <row r="1605">
          <cell r="A1605">
            <v>56086</v>
          </cell>
          <cell r="B1605">
            <v>1599</v>
          </cell>
          <cell r="C1605" t="str">
            <v>IASWD2406000570</v>
          </cell>
          <cell r="D1605">
            <v>45457</v>
          </cell>
          <cell r="E1605">
            <v>46194</v>
          </cell>
          <cell r="F1605" t="str">
            <v>56086</v>
          </cell>
          <cell r="G1605" t="str">
            <v>四維航六</v>
          </cell>
          <cell r="H1605">
            <v>100000</v>
          </cell>
          <cell r="I1605">
            <v>2.35</v>
          </cell>
          <cell r="J1605">
            <v>46194</v>
          </cell>
          <cell r="K1605">
            <v>100</v>
          </cell>
          <cell r="L1605">
            <v>46175</v>
          </cell>
          <cell r="M1605">
            <v>-2157</v>
          </cell>
          <cell r="N1605">
            <v>97843</v>
          </cell>
        </row>
        <row r="1606">
          <cell r="A1606">
            <v>27323</v>
          </cell>
          <cell r="B1606">
            <v>1600</v>
          </cell>
          <cell r="C1606" t="str">
            <v>IASWD2406000572</v>
          </cell>
          <cell r="D1606">
            <v>45457</v>
          </cell>
          <cell r="E1606">
            <v>46048</v>
          </cell>
          <cell r="F1606" t="str">
            <v>27323</v>
          </cell>
          <cell r="G1606" t="str">
            <v>六角三</v>
          </cell>
          <cell r="H1606">
            <v>300000</v>
          </cell>
          <cell r="I1606">
            <v>3</v>
          </cell>
          <cell r="J1606">
            <v>46048</v>
          </cell>
          <cell r="K1606">
            <v>101</v>
          </cell>
          <cell r="L1606">
            <v>46028</v>
          </cell>
          <cell r="M1606">
            <v>-8260</v>
          </cell>
          <cell r="N1606">
            <v>291740</v>
          </cell>
        </row>
        <row r="1607">
          <cell r="A1607">
            <v>89964</v>
          </cell>
          <cell r="B1607">
            <v>1601</v>
          </cell>
          <cell r="C1607" t="str">
            <v>IASWD2406000573</v>
          </cell>
          <cell r="D1607">
            <v>45457</v>
          </cell>
          <cell r="E1607">
            <v>46362</v>
          </cell>
          <cell r="F1607" t="str">
            <v>89964</v>
          </cell>
          <cell r="G1607" t="str">
            <v>高力四</v>
          </cell>
          <cell r="H1607">
            <v>100000</v>
          </cell>
          <cell r="I1607">
            <v>3.5</v>
          </cell>
          <cell r="J1607">
            <v>46362</v>
          </cell>
          <cell r="K1607">
            <v>100.75190000000001</v>
          </cell>
          <cell r="L1607">
            <v>46343</v>
          </cell>
          <cell r="M1607">
            <v>-3212</v>
          </cell>
          <cell r="N1607">
            <v>96788</v>
          </cell>
        </row>
        <row r="1608">
          <cell r="A1608">
            <v>56086</v>
          </cell>
          <cell r="B1608">
            <v>1602</v>
          </cell>
          <cell r="C1608" t="str">
            <v>IASWD2406000576</v>
          </cell>
          <cell r="D1608">
            <v>45457</v>
          </cell>
          <cell r="E1608">
            <v>46194</v>
          </cell>
          <cell r="F1608" t="str">
            <v>56086</v>
          </cell>
          <cell r="G1608" t="str">
            <v>四維航六</v>
          </cell>
          <cell r="H1608">
            <v>100000</v>
          </cell>
          <cell r="I1608">
            <v>2.35</v>
          </cell>
          <cell r="J1608">
            <v>46194</v>
          </cell>
          <cell r="K1608">
            <v>100</v>
          </cell>
          <cell r="L1608">
            <v>46175</v>
          </cell>
          <cell r="M1608">
            <v>-2157</v>
          </cell>
          <cell r="N1608">
            <v>97843</v>
          </cell>
        </row>
        <row r="1609">
          <cell r="A1609">
            <v>35482</v>
          </cell>
          <cell r="B1609">
            <v>1603</v>
          </cell>
          <cell r="C1609" t="str">
            <v>IASWD2406000578</v>
          </cell>
          <cell r="D1609">
            <v>45457</v>
          </cell>
          <cell r="E1609">
            <v>46395</v>
          </cell>
          <cell r="F1609" t="str">
            <v>35482</v>
          </cell>
          <cell r="G1609" t="str">
            <v>兆利二</v>
          </cell>
          <cell r="H1609">
            <v>100000</v>
          </cell>
          <cell r="I1609">
            <v>3</v>
          </cell>
          <cell r="J1609">
            <v>46395</v>
          </cell>
          <cell r="K1609">
            <v>100</v>
          </cell>
          <cell r="L1609">
            <v>46377</v>
          </cell>
          <cell r="M1609">
            <v>-2753</v>
          </cell>
          <cell r="N1609">
            <v>97247</v>
          </cell>
        </row>
        <row r="1610">
          <cell r="A1610">
            <v>22013</v>
          </cell>
          <cell r="B1610">
            <v>1604</v>
          </cell>
          <cell r="C1610" t="str">
            <v>IASWD2406000580</v>
          </cell>
          <cell r="D1610">
            <v>45457</v>
          </cell>
          <cell r="E1610">
            <v>46167</v>
          </cell>
          <cell r="F1610" t="str">
            <v>22013</v>
          </cell>
          <cell r="G1610" t="str">
            <v>裕隆三</v>
          </cell>
          <cell r="H1610">
            <v>300000</v>
          </cell>
          <cell r="I1610">
            <v>3</v>
          </cell>
          <cell r="J1610">
            <v>46167</v>
          </cell>
          <cell r="K1610">
            <v>100.75190000000001</v>
          </cell>
          <cell r="L1610">
            <v>46147</v>
          </cell>
          <cell r="M1610">
            <v>-8260</v>
          </cell>
          <cell r="N1610">
            <v>291740</v>
          </cell>
        </row>
        <row r="1611">
          <cell r="A1611">
            <v>22013</v>
          </cell>
          <cell r="B1611">
            <v>1605</v>
          </cell>
          <cell r="C1611" t="str">
            <v>IASWD2406000581</v>
          </cell>
          <cell r="D1611">
            <v>45457</v>
          </cell>
          <cell r="E1611">
            <v>46167</v>
          </cell>
          <cell r="F1611" t="str">
            <v>22013</v>
          </cell>
          <cell r="G1611" t="str">
            <v>裕隆三</v>
          </cell>
          <cell r="H1611">
            <v>300000</v>
          </cell>
          <cell r="I1611">
            <v>3</v>
          </cell>
          <cell r="J1611">
            <v>46167</v>
          </cell>
          <cell r="K1611">
            <v>100.75190000000001</v>
          </cell>
          <cell r="L1611">
            <v>46147</v>
          </cell>
          <cell r="M1611">
            <v>-8260</v>
          </cell>
          <cell r="N1611">
            <v>291740</v>
          </cell>
        </row>
        <row r="1612">
          <cell r="A1612">
            <v>22013</v>
          </cell>
          <cell r="B1612">
            <v>1606</v>
          </cell>
          <cell r="C1612" t="str">
            <v>IASWD2406000582</v>
          </cell>
          <cell r="D1612">
            <v>45457</v>
          </cell>
          <cell r="E1612">
            <v>46167</v>
          </cell>
          <cell r="F1612" t="str">
            <v>22013</v>
          </cell>
          <cell r="G1612" t="str">
            <v>裕隆三</v>
          </cell>
          <cell r="H1612">
            <v>100000</v>
          </cell>
          <cell r="I1612">
            <v>3</v>
          </cell>
          <cell r="J1612">
            <v>46167</v>
          </cell>
          <cell r="K1612">
            <v>100.75190000000001</v>
          </cell>
          <cell r="L1612">
            <v>46147</v>
          </cell>
          <cell r="M1612">
            <v>-2753</v>
          </cell>
          <cell r="N1612">
            <v>97247</v>
          </cell>
        </row>
        <row r="1613">
          <cell r="A1613">
            <v>22013</v>
          </cell>
          <cell r="B1613">
            <v>1607</v>
          </cell>
          <cell r="C1613" t="str">
            <v>IASWD2406000585</v>
          </cell>
          <cell r="D1613">
            <v>45457</v>
          </cell>
          <cell r="E1613">
            <v>46167</v>
          </cell>
          <cell r="F1613" t="str">
            <v>22013</v>
          </cell>
          <cell r="G1613" t="str">
            <v>裕隆三</v>
          </cell>
          <cell r="H1613">
            <v>100000</v>
          </cell>
          <cell r="I1613">
            <v>3</v>
          </cell>
          <cell r="J1613">
            <v>46167</v>
          </cell>
          <cell r="K1613">
            <v>100.75190000000001</v>
          </cell>
          <cell r="L1613">
            <v>46147</v>
          </cell>
          <cell r="M1613">
            <v>-2753</v>
          </cell>
          <cell r="N1613">
            <v>97247</v>
          </cell>
        </row>
        <row r="1614">
          <cell r="A1614">
            <v>34163</v>
          </cell>
          <cell r="B1614">
            <v>1608</v>
          </cell>
          <cell r="C1614" t="str">
            <v>IASWD2406000591</v>
          </cell>
          <cell r="D1614">
            <v>45457</v>
          </cell>
          <cell r="E1614">
            <v>46047</v>
          </cell>
          <cell r="F1614" t="str">
            <v>34163</v>
          </cell>
          <cell r="G1614" t="str">
            <v>融程電三</v>
          </cell>
          <cell r="H1614">
            <v>100000</v>
          </cell>
          <cell r="I1614">
            <v>3</v>
          </cell>
          <cell r="J1614">
            <v>46047</v>
          </cell>
          <cell r="K1614">
            <v>100.5</v>
          </cell>
          <cell r="L1614">
            <v>46028</v>
          </cell>
          <cell r="M1614">
            <v>-2753</v>
          </cell>
          <cell r="N1614">
            <v>97247</v>
          </cell>
        </row>
        <row r="1615">
          <cell r="A1615">
            <v>22013</v>
          </cell>
          <cell r="B1615">
            <v>1609</v>
          </cell>
          <cell r="C1615" t="str">
            <v>IASWD2406000593</v>
          </cell>
          <cell r="D1615">
            <v>45457</v>
          </cell>
          <cell r="E1615">
            <v>46167</v>
          </cell>
          <cell r="F1615" t="str">
            <v>22013</v>
          </cell>
          <cell r="G1615" t="str">
            <v>裕隆三</v>
          </cell>
          <cell r="H1615">
            <v>100000</v>
          </cell>
          <cell r="I1615">
            <v>3</v>
          </cell>
          <cell r="J1615">
            <v>46167</v>
          </cell>
          <cell r="K1615">
            <v>100.75190000000001</v>
          </cell>
          <cell r="L1615">
            <v>46147</v>
          </cell>
          <cell r="M1615">
            <v>-2753</v>
          </cell>
          <cell r="N1615">
            <v>97247</v>
          </cell>
        </row>
        <row r="1616">
          <cell r="A1616">
            <v>22013</v>
          </cell>
          <cell r="B1616">
            <v>1610</v>
          </cell>
          <cell r="C1616" t="str">
            <v>IASWD2406000596</v>
          </cell>
          <cell r="D1616">
            <v>45457</v>
          </cell>
          <cell r="E1616">
            <v>46167</v>
          </cell>
          <cell r="F1616" t="str">
            <v>22013</v>
          </cell>
          <cell r="G1616" t="str">
            <v>裕隆三</v>
          </cell>
          <cell r="H1616">
            <v>800000</v>
          </cell>
          <cell r="I1616">
            <v>3</v>
          </cell>
          <cell r="J1616">
            <v>46167</v>
          </cell>
          <cell r="K1616">
            <v>100.75190000000001</v>
          </cell>
          <cell r="L1616">
            <v>46147</v>
          </cell>
          <cell r="M1616">
            <v>-22027</v>
          </cell>
          <cell r="N1616">
            <v>777973</v>
          </cell>
        </row>
        <row r="1617">
          <cell r="A1617">
            <v>27323</v>
          </cell>
          <cell r="B1617">
            <v>1611</v>
          </cell>
          <cell r="C1617" t="str">
            <v>IASWD2406000597</v>
          </cell>
          <cell r="D1617">
            <v>45457</v>
          </cell>
          <cell r="E1617">
            <v>46048</v>
          </cell>
          <cell r="F1617" t="str">
            <v>27323</v>
          </cell>
          <cell r="G1617" t="str">
            <v>六角三</v>
          </cell>
          <cell r="H1617">
            <v>400000</v>
          </cell>
          <cell r="I1617">
            <v>3</v>
          </cell>
          <cell r="J1617">
            <v>46048</v>
          </cell>
          <cell r="K1617">
            <v>101</v>
          </cell>
          <cell r="L1617">
            <v>46028</v>
          </cell>
          <cell r="M1617">
            <v>-11014</v>
          </cell>
          <cell r="N1617">
            <v>388986</v>
          </cell>
        </row>
        <row r="1618">
          <cell r="A1618">
            <v>20632</v>
          </cell>
          <cell r="B1618">
            <v>1612</v>
          </cell>
          <cell r="C1618" t="str">
            <v>IASWD2406000599</v>
          </cell>
          <cell r="D1618">
            <v>45457</v>
          </cell>
          <cell r="E1618">
            <v>45971</v>
          </cell>
          <cell r="F1618" t="str">
            <v>20632</v>
          </cell>
          <cell r="G1618" t="str">
            <v>世鎧二</v>
          </cell>
          <cell r="H1618">
            <v>100000</v>
          </cell>
          <cell r="I1618">
            <v>3.25</v>
          </cell>
          <cell r="J1618">
            <v>45971</v>
          </cell>
          <cell r="K1618">
            <v>100</v>
          </cell>
          <cell r="L1618">
            <v>45951</v>
          </cell>
          <cell r="M1618">
            <v>-2983</v>
          </cell>
          <cell r="N1618">
            <v>97017</v>
          </cell>
        </row>
        <row r="1619">
          <cell r="A1619">
            <v>35482</v>
          </cell>
          <cell r="B1619">
            <v>1613</v>
          </cell>
          <cell r="C1619" t="str">
            <v>IASWD2406000601</v>
          </cell>
          <cell r="D1619">
            <v>45457</v>
          </cell>
          <cell r="E1619">
            <v>46395</v>
          </cell>
          <cell r="F1619" t="str">
            <v>35482</v>
          </cell>
          <cell r="G1619" t="str">
            <v>兆利二</v>
          </cell>
          <cell r="H1619">
            <v>100000</v>
          </cell>
          <cell r="I1619">
            <v>3</v>
          </cell>
          <cell r="J1619">
            <v>46395</v>
          </cell>
          <cell r="K1619">
            <v>100</v>
          </cell>
          <cell r="L1619">
            <v>46377</v>
          </cell>
          <cell r="M1619">
            <v>-2753</v>
          </cell>
          <cell r="N1619">
            <v>97247</v>
          </cell>
        </row>
        <row r="1620">
          <cell r="A1620">
            <v>29061</v>
          </cell>
          <cell r="B1620">
            <v>1614</v>
          </cell>
          <cell r="C1620" t="str">
            <v>IASWD2406000605</v>
          </cell>
          <cell r="D1620">
            <v>45457</v>
          </cell>
          <cell r="E1620">
            <v>45920</v>
          </cell>
          <cell r="F1620" t="str">
            <v>29061</v>
          </cell>
          <cell r="G1620" t="str">
            <v>高林一</v>
          </cell>
          <cell r="H1620">
            <v>100000</v>
          </cell>
          <cell r="I1620">
            <v>3.75</v>
          </cell>
          <cell r="J1620">
            <v>45920</v>
          </cell>
          <cell r="K1620">
            <v>102.01</v>
          </cell>
          <cell r="L1620">
            <v>45902</v>
          </cell>
          <cell r="M1620">
            <v>-3442</v>
          </cell>
          <cell r="N1620">
            <v>96558</v>
          </cell>
        </row>
        <row r="1621">
          <cell r="A1621">
            <v>35482</v>
          </cell>
          <cell r="B1621">
            <v>1615</v>
          </cell>
          <cell r="C1621" t="str">
            <v>IASWD2406000607</v>
          </cell>
          <cell r="D1621">
            <v>45457</v>
          </cell>
          <cell r="E1621">
            <v>46395</v>
          </cell>
          <cell r="F1621" t="str">
            <v>35482</v>
          </cell>
          <cell r="G1621" t="str">
            <v>兆利二</v>
          </cell>
          <cell r="H1621">
            <v>200000</v>
          </cell>
          <cell r="I1621">
            <v>3</v>
          </cell>
          <cell r="J1621">
            <v>46395</v>
          </cell>
          <cell r="K1621">
            <v>100</v>
          </cell>
          <cell r="L1621">
            <v>46377</v>
          </cell>
          <cell r="M1621">
            <v>-5507</v>
          </cell>
          <cell r="N1621">
            <v>194493</v>
          </cell>
        </row>
        <row r="1622">
          <cell r="A1622">
            <v>56086</v>
          </cell>
          <cell r="B1622">
            <v>1616</v>
          </cell>
          <cell r="C1622" t="str">
            <v>IASWD2406000610</v>
          </cell>
          <cell r="D1622">
            <v>45457</v>
          </cell>
          <cell r="E1622">
            <v>46194</v>
          </cell>
          <cell r="F1622" t="str">
            <v>56086</v>
          </cell>
          <cell r="G1622" t="str">
            <v>四維航六</v>
          </cell>
          <cell r="H1622">
            <v>500000</v>
          </cell>
          <cell r="I1622">
            <v>2.35</v>
          </cell>
          <cell r="J1622">
            <v>46194</v>
          </cell>
          <cell r="K1622">
            <v>100</v>
          </cell>
          <cell r="L1622">
            <v>46175</v>
          </cell>
          <cell r="M1622">
            <v>-10784</v>
          </cell>
          <cell r="N1622">
            <v>489216</v>
          </cell>
        </row>
        <row r="1623">
          <cell r="A1623">
            <v>34793</v>
          </cell>
          <cell r="B1623">
            <v>1617</v>
          </cell>
          <cell r="C1623" t="str">
            <v>IASWD2406000611</v>
          </cell>
          <cell r="D1623">
            <v>45457</v>
          </cell>
          <cell r="E1623">
            <v>46409</v>
          </cell>
          <cell r="F1623" t="str">
            <v>34793</v>
          </cell>
          <cell r="G1623" t="str">
            <v>安勤三</v>
          </cell>
          <cell r="H1623">
            <v>900000</v>
          </cell>
          <cell r="I1623">
            <v>3</v>
          </cell>
          <cell r="J1623">
            <v>46409</v>
          </cell>
          <cell r="K1623">
            <v>100</v>
          </cell>
          <cell r="L1623">
            <v>46391</v>
          </cell>
          <cell r="M1623">
            <v>-24781</v>
          </cell>
          <cell r="N1623">
            <v>875219</v>
          </cell>
        </row>
        <row r="1624">
          <cell r="A1624">
            <v>22013</v>
          </cell>
          <cell r="B1624">
            <v>1618</v>
          </cell>
          <cell r="C1624" t="str">
            <v>IASWD2406000619</v>
          </cell>
          <cell r="D1624">
            <v>45457</v>
          </cell>
          <cell r="E1624">
            <v>46167</v>
          </cell>
          <cell r="F1624" t="str">
            <v>22013</v>
          </cell>
          <cell r="G1624" t="str">
            <v>裕隆三</v>
          </cell>
          <cell r="H1624">
            <v>100000</v>
          </cell>
          <cell r="I1624">
            <v>3</v>
          </cell>
          <cell r="J1624">
            <v>46167</v>
          </cell>
          <cell r="K1624">
            <v>100.75190000000001</v>
          </cell>
          <cell r="L1624">
            <v>46147</v>
          </cell>
          <cell r="M1624">
            <v>-2753</v>
          </cell>
          <cell r="N1624">
            <v>97247</v>
          </cell>
        </row>
        <row r="1625">
          <cell r="A1625">
            <v>22013</v>
          </cell>
          <cell r="B1625">
            <v>1619</v>
          </cell>
          <cell r="C1625" t="str">
            <v>IASWD2406000624</v>
          </cell>
          <cell r="D1625">
            <v>45460</v>
          </cell>
          <cell r="E1625">
            <v>46167</v>
          </cell>
          <cell r="F1625" t="str">
            <v>22013</v>
          </cell>
          <cell r="G1625" t="str">
            <v>裕隆三</v>
          </cell>
          <cell r="H1625">
            <v>300000</v>
          </cell>
          <cell r="I1625">
            <v>3</v>
          </cell>
          <cell r="J1625">
            <v>46167</v>
          </cell>
          <cell r="K1625">
            <v>100.75190000000001</v>
          </cell>
          <cell r="L1625">
            <v>46147</v>
          </cell>
          <cell r="M1625">
            <v>-8186</v>
          </cell>
          <cell r="N1625">
            <v>291814</v>
          </cell>
        </row>
        <row r="1626">
          <cell r="A1626">
            <v>22013</v>
          </cell>
          <cell r="B1626">
            <v>1620</v>
          </cell>
          <cell r="C1626" t="str">
            <v>IASWD2406000627</v>
          </cell>
          <cell r="D1626">
            <v>45460</v>
          </cell>
          <cell r="E1626">
            <v>46167</v>
          </cell>
          <cell r="F1626" t="str">
            <v>22013</v>
          </cell>
          <cell r="G1626" t="str">
            <v>裕隆三</v>
          </cell>
          <cell r="H1626">
            <v>200000</v>
          </cell>
          <cell r="I1626">
            <v>3</v>
          </cell>
          <cell r="J1626">
            <v>46167</v>
          </cell>
          <cell r="K1626">
            <v>100.75190000000001</v>
          </cell>
          <cell r="L1626">
            <v>46147</v>
          </cell>
          <cell r="M1626">
            <v>-5458</v>
          </cell>
          <cell r="N1626">
            <v>194542</v>
          </cell>
        </row>
        <row r="1627">
          <cell r="A1627">
            <v>22013</v>
          </cell>
          <cell r="B1627">
            <v>1621</v>
          </cell>
          <cell r="C1627" t="str">
            <v>IASWD2406000641</v>
          </cell>
          <cell r="D1627">
            <v>45460</v>
          </cell>
          <cell r="E1627">
            <v>46167</v>
          </cell>
          <cell r="F1627" t="str">
            <v>22013</v>
          </cell>
          <cell r="G1627" t="str">
            <v>裕隆三</v>
          </cell>
          <cell r="H1627">
            <v>300000</v>
          </cell>
          <cell r="I1627">
            <v>3</v>
          </cell>
          <cell r="J1627">
            <v>46167</v>
          </cell>
          <cell r="K1627">
            <v>100.75190000000001</v>
          </cell>
          <cell r="L1627">
            <v>46147</v>
          </cell>
          <cell r="M1627">
            <v>-8186</v>
          </cell>
          <cell r="N1627">
            <v>291814</v>
          </cell>
        </row>
        <row r="1628">
          <cell r="A1628">
            <v>22013</v>
          </cell>
          <cell r="B1628">
            <v>1622</v>
          </cell>
          <cell r="C1628" t="str">
            <v>IASWD2406000642</v>
          </cell>
          <cell r="D1628">
            <v>45460</v>
          </cell>
          <cell r="E1628">
            <v>46167</v>
          </cell>
          <cell r="F1628" t="str">
            <v>22013</v>
          </cell>
          <cell r="G1628" t="str">
            <v>裕隆三</v>
          </cell>
          <cell r="H1628">
            <v>200000</v>
          </cell>
          <cell r="I1628">
            <v>3</v>
          </cell>
          <cell r="J1628">
            <v>46167</v>
          </cell>
          <cell r="K1628">
            <v>100.75190000000001</v>
          </cell>
          <cell r="L1628">
            <v>46147</v>
          </cell>
          <cell r="M1628">
            <v>-5458</v>
          </cell>
          <cell r="N1628">
            <v>194542</v>
          </cell>
        </row>
        <row r="1629">
          <cell r="A1629">
            <v>22313</v>
          </cell>
          <cell r="B1629">
            <v>1623</v>
          </cell>
          <cell r="C1629" t="str">
            <v>IASWD2406000643</v>
          </cell>
          <cell r="D1629">
            <v>45460</v>
          </cell>
          <cell r="E1629">
            <v>45898</v>
          </cell>
          <cell r="F1629" t="str">
            <v>22313</v>
          </cell>
          <cell r="G1629" t="str">
            <v>為升三</v>
          </cell>
          <cell r="H1629">
            <v>100000</v>
          </cell>
          <cell r="I1629">
            <v>3.5</v>
          </cell>
          <cell r="J1629">
            <v>45898</v>
          </cell>
          <cell r="K1629">
            <v>101.50749999999999</v>
          </cell>
          <cell r="L1629">
            <v>45880</v>
          </cell>
          <cell r="M1629">
            <v>-3184</v>
          </cell>
          <cell r="N1629">
            <v>96816</v>
          </cell>
        </row>
        <row r="1630">
          <cell r="A1630">
            <v>22013</v>
          </cell>
          <cell r="B1630">
            <v>1624</v>
          </cell>
          <cell r="C1630" t="str">
            <v>IASWD2406000659</v>
          </cell>
          <cell r="D1630">
            <v>45460</v>
          </cell>
          <cell r="E1630">
            <v>46167</v>
          </cell>
          <cell r="F1630" t="str">
            <v>22013</v>
          </cell>
          <cell r="G1630" t="str">
            <v>裕隆三</v>
          </cell>
          <cell r="H1630">
            <v>100000</v>
          </cell>
          <cell r="I1630">
            <v>3</v>
          </cell>
          <cell r="J1630">
            <v>46167</v>
          </cell>
          <cell r="K1630">
            <v>100.75190000000001</v>
          </cell>
          <cell r="L1630">
            <v>46147</v>
          </cell>
          <cell r="M1630">
            <v>-2729</v>
          </cell>
          <cell r="N1630">
            <v>97271</v>
          </cell>
        </row>
        <row r="1631">
          <cell r="A1631">
            <v>82992</v>
          </cell>
          <cell r="B1631">
            <v>1625</v>
          </cell>
          <cell r="C1631" t="str">
            <v>IASWD2406000666</v>
          </cell>
          <cell r="D1631">
            <v>45460</v>
          </cell>
          <cell r="E1631">
            <v>46410</v>
          </cell>
          <cell r="F1631" t="str">
            <v>82992</v>
          </cell>
          <cell r="G1631" t="str">
            <v>群聯二</v>
          </cell>
          <cell r="H1631">
            <v>1200000</v>
          </cell>
          <cell r="I1631">
            <v>2.6</v>
          </cell>
          <cell r="J1631">
            <v>46410</v>
          </cell>
          <cell r="K1631">
            <v>100</v>
          </cell>
          <cell r="L1631">
            <v>46392</v>
          </cell>
          <cell r="M1631">
            <v>-28379</v>
          </cell>
          <cell r="N1631">
            <v>1171621</v>
          </cell>
        </row>
        <row r="1632">
          <cell r="A1632">
            <v>82992</v>
          </cell>
          <cell r="B1632">
            <v>1626</v>
          </cell>
          <cell r="C1632" t="str">
            <v>IASWD2406000667</v>
          </cell>
          <cell r="D1632">
            <v>45460</v>
          </cell>
          <cell r="E1632">
            <v>46410</v>
          </cell>
          <cell r="F1632" t="str">
            <v>82992</v>
          </cell>
          <cell r="G1632" t="str">
            <v>群聯二</v>
          </cell>
          <cell r="H1632">
            <v>200000</v>
          </cell>
          <cell r="I1632">
            <v>2.6</v>
          </cell>
          <cell r="J1632">
            <v>46410</v>
          </cell>
          <cell r="K1632">
            <v>100</v>
          </cell>
          <cell r="L1632">
            <v>46392</v>
          </cell>
          <cell r="M1632">
            <v>-4730</v>
          </cell>
          <cell r="N1632">
            <v>195270</v>
          </cell>
        </row>
        <row r="1633">
          <cell r="A1633">
            <v>22313</v>
          </cell>
          <cell r="B1633">
            <v>1627</v>
          </cell>
          <cell r="C1633" t="str">
            <v>IASWD2406000673</v>
          </cell>
          <cell r="D1633">
            <v>45460</v>
          </cell>
          <cell r="E1633">
            <v>45898</v>
          </cell>
          <cell r="F1633" t="str">
            <v>22313</v>
          </cell>
          <cell r="G1633" t="str">
            <v>為升三</v>
          </cell>
          <cell r="H1633">
            <v>100000</v>
          </cell>
          <cell r="I1633">
            <v>3.5</v>
          </cell>
          <cell r="J1633">
            <v>45898</v>
          </cell>
          <cell r="K1633">
            <v>101.50749999999999</v>
          </cell>
          <cell r="L1633">
            <v>45880</v>
          </cell>
          <cell r="M1633">
            <v>-3184</v>
          </cell>
          <cell r="N1633">
            <v>96816</v>
          </cell>
        </row>
        <row r="1634">
          <cell r="A1634">
            <v>22013</v>
          </cell>
          <cell r="B1634">
            <v>1628</v>
          </cell>
          <cell r="C1634" t="str">
            <v>IASWD2406000674</v>
          </cell>
          <cell r="D1634">
            <v>45460</v>
          </cell>
          <cell r="E1634">
            <v>46167</v>
          </cell>
          <cell r="F1634" t="str">
            <v>22013</v>
          </cell>
          <cell r="G1634" t="str">
            <v>裕隆三</v>
          </cell>
          <cell r="H1634">
            <v>100000</v>
          </cell>
          <cell r="I1634">
            <v>3</v>
          </cell>
          <cell r="J1634">
            <v>46167</v>
          </cell>
          <cell r="K1634">
            <v>100.75190000000001</v>
          </cell>
          <cell r="L1634">
            <v>46147</v>
          </cell>
          <cell r="M1634">
            <v>-2729</v>
          </cell>
          <cell r="N1634">
            <v>97271</v>
          </cell>
        </row>
        <row r="1635">
          <cell r="A1635">
            <v>22013</v>
          </cell>
          <cell r="B1635">
            <v>1629</v>
          </cell>
          <cell r="C1635" t="str">
            <v>IASWD2406000680</v>
          </cell>
          <cell r="D1635">
            <v>45460</v>
          </cell>
          <cell r="E1635">
            <v>46167</v>
          </cell>
          <cell r="F1635" t="str">
            <v>22013</v>
          </cell>
          <cell r="G1635" t="str">
            <v>裕隆三</v>
          </cell>
          <cell r="H1635">
            <v>300000</v>
          </cell>
          <cell r="I1635">
            <v>3</v>
          </cell>
          <cell r="J1635">
            <v>46167</v>
          </cell>
          <cell r="K1635">
            <v>100.75190000000001</v>
          </cell>
          <cell r="L1635">
            <v>46147</v>
          </cell>
          <cell r="M1635">
            <v>-8186</v>
          </cell>
          <cell r="N1635">
            <v>291814</v>
          </cell>
        </row>
        <row r="1636">
          <cell r="A1636">
            <v>82992</v>
          </cell>
          <cell r="B1636">
            <v>1630</v>
          </cell>
          <cell r="C1636" t="str">
            <v>IASWD2406000688</v>
          </cell>
          <cell r="D1636">
            <v>45460</v>
          </cell>
          <cell r="E1636">
            <v>46410</v>
          </cell>
          <cell r="F1636" t="str">
            <v>82992</v>
          </cell>
          <cell r="G1636" t="str">
            <v>群聯二</v>
          </cell>
          <cell r="H1636">
            <v>400000</v>
          </cell>
          <cell r="I1636">
            <v>2.6</v>
          </cell>
          <cell r="J1636">
            <v>46410</v>
          </cell>
          <cell r="K1636">
            <v>100</v>
          </cell>
          <cell r="L1636">
            <v>46392</v>
          </cell>
          <cell r="M1636">
            <v>-9460</v>
          </cell>
          <cell r="N1636">
            <v>390540</v>
          </cell>
        </row>
        <row r="1637">
          <cell r="A1637">
            <v>20632</v>
          </cell>
          <cell r="B1637">
            <v>1631</v>
          </cell>
          <cell r="C1637" t="str">
            <v>IASWD2406000693</v>
          </cell>
          <cell r="D1637">
            <v>45460</v>
          </cell>
          <cell r="E1637">
            <v>45971</v>
          </cell>
          <cell r="F1637" t="str">
            <v>20632</v>
          </cell>
          <cell r="G1637" t="str">
            <v>世鎧二</v>
          </cell>
          <cell r="H1637">
            <v>100000</v>
          </cell>
          <cell r="I1637">
            <v>3.25</v>
          </cell>
          <cell r="J1637">
            <v>45971</v>
          </cell>
          <cell r="K1637">
            <v>100</v>
          </cell>
          <cell r="L1637">
            <v>45951</v>
          </cell>
          <cell r="M1637">
            <v>-2956</v>
          </cell>
          <cell r="N1637">
            <v>97044</v>
          </cell>
        </row>
        <row r="1638">
          <cell r="A1638">
            <v>82992</v>
          </cell>
          <cell r="B1638">
            <v>1632</v>
          </cell>
          <cell r="C1638" t="str">
            <v>IASWD2406000698</v>
          </cell>
          <cell r="D1638">
            <v>45460</v>
          </cell>
          <cell r="E1638">
            <v>46410</v>
          </cell>
          <cell r="F1638" t="str">
            <v>82992</v>
          </cell>
          <cell r="G1638" t="str">
            <v>群聯二</v>
          </cell>
          <cell r="H1638">
            <v>100000</v>
          </cell>
          <cell r="I1638">
            <v>2.6</v>
          </cell>
          <cell r="J1638">
            <v>46410</v>
          </cell>
          <cell r="K1638">
            <v>100</v>
          </cell>
          <cell r="L1638">
            <v>46392</v>
          </cell>
          <cell r="M1638">
            <v>-2365</v>
          </cell>
          <cell r="N1638">
            <v>97635</v>
          </cell>
        </row>
        <row r="1639">
          <cell r="A1639">
            <v>34163</v>
          </cell>
          <cell r="B1639">
            <v>1633</v>
          </cell>
          <cell r="C1639" t="str">
            <v>IASWD2406000702</v>
          </cell>
          <cell r="D1639">
            <v>45460</v>
          </cell>
          <cell r="E1639">
            <v>46047</v>
          </cell>
          <cell r="F1639" t="str">
            <v>34163</v>
          </cell>
          <cell r="G1639" t="str">
            <v>融程電三</v>
          </cell>
          <cell r="H1639">
            <v>100000</v>
          </cell>
          <cell r="I1639">
            <v>3</v>
          </cell>
          <cell r="J1639">
            <v>46047</v>
          </cell>
          <cell r="K1639">
            <v>100.5</v>
          </cell>
          <cell r="L1639">
            <v>46028</v>
          </cell>
          <cell r="M1639">
            <v>-2729</v>
          </cell>
          <cell r="N1639">
            <v>97271</v>
          </cell>
        </row>
        <row r="1640">
          <cell r="A1640">
            <v>82992</v>
          </cell>
          <cell r="B1640">
            <v>1634</v>
          </cell>
          <cell r="C1640" t="str">
            <v>IASWD2406000704</v>
          </cell>
          <cell r="D1640">
            <v>45460</v>
          </cell>
          <cell r="E1640">
            <v>46410</v>
          </cell>
          <cell r="F1640" t="str">
            <v>82992</v>
          </cell>
          <cell r="G1640" t="str">
            <v>群聯二</v>
          </cell>
          <cell r="H1640">
            <v>100000</v>
          </cell>
          <cell r="I1640">
            <v>2.6</v>
          </cell>
          <cell r="J1640">
            <v>46410</v>
          </cell>
          <cell r="K1640">
            <v>100</v>
          </cell>
          <cell r="L1640">
            <v>46392</v>
          </cell>
          <cell r="M1640">
            <v>-2365</v>
          </cell>
          <cell r="N1640">
            <v>97635</v>
          </cell>
        </row>
        <row r="1641">
          <cell r="A1641">
            <v>35482</v>
          </cell>
          <cell r="B1641">
            <v>1635</v>
          </cell>
          <cell r="C1641" t="str">
            <v>IASWD2406000708</v>
          </cell>
          <cell r="D1641">
            <v>45460</v>
          </cell>
          <cell r="E1641">
            <v>46395</v>
          </cell>
          <cell r="F1641" t="str">
            <v>35482</v>
          </cell>
          <cell r="G1641" t="str">
            <v>兆利二</v>
          </cell>
          <cell r="H1641">
            <v>100000</v>
          </cell>
          <cell r="I1641">
            <v>3</v>
          </cell>
          <cell r="J1641">
            <v>46395</v>
          </cell>
          <cell r="K1641">
            <v>100</v>
          </cell>
          <cell r="L1641">
            <v>46377</v>
          </cell>
          <cell r="M1641">
            <v>-2729</v>
          </cell>
          <cell r="N1641">
            <v>97271</v>
          </cell>
        </row>
        <row r="1642">
          <cell r="A1642">
            <v>22313</v>
          </cell>
          <cell r="B1642">
            <v>1636</v>
          </cell>
          <cell r="C1642" t="str">
            <v>IASWD2406000712</v>
          </cell>
          <cell r="D1642">
            <v>45460</v>
          </cell>
          <cell r="E1642">
            <v>45898</v>
          </cell>
          <cell r="F1642" t="str">
            <v>22313</v>
          </cell>
          <cell r="G1642" t="str">
            <v>為升三</v>
          </cell>
          <cell r="H1642">
            <v>200000</v>
          </cell>
          <cell r="I1642">
            <v>3.5</v>
          </cell>
          <cell r="J1642">
            <v>45898</v>
          </cell>
          <cell r="K1642">
            <v>101.50749999999999</v>
          </cell>
          <cell r="L1642">
            <v>45880</v>
          </cell>
          <cell r="M1642">
            <v>-6367</v>
          </cell>
          <cell r="N1642">
            <v>193633</v>
          </cell>
        </row>
        <row r="1643">
          <cell r="A1643">
            <v>29061</v>
          </cell>
          <cell r="B1643">
            <v>1637</v>
          </cell>
          <cell r="C1643" t="str">
            <v>IASWD2406000721</v>
          </cell>
          <cell r="D1643">
            <v>45461</v>
          </cell>
          <cell r="E1643">
            <v>45920</v>
          </cell>
          <cell r="F1643" t="str">
            <v>29061</v>
          </cell>
          <cell r="G1643" t="str">
            <v>高林一</v>
          </cell>
          <cell r="H1643">
            <v>100000</v>
          </cell>
          <cell r="I1643">
            <v>3.75</v>
          </cell>
          <cell r="J1643">
            <v>45920</v>
          </cell>
          <cell r="K1643">
            <v>102.01</v>
          </cell>
          <cell r="L1643">
            <v>45902</v>
          </cell>
          <cell r="M1643">
            <v>-3401</v>
          </cell>
          <cell r="N1643">
            <v>96599</v>
          </cell>
        </row>
        <row r="1644">
          <cell r="A1644">
            <v>22013</v>
          </cell>
          <cell r="B1644">
            <v>1638</v>
          </cell>
          <cell r="C1644" t="str">
            <v>IASWD2406000722</v>
          </cell>
          <cell r="D1644">
            <v>45461</v>
          </cell>
          <cell r="E1644">
            <v>46167</v>
          </cell>
          <cell r="F1644" t="str">
            <v>22013</v>
          </cell>
          <cell r="G1644" t="str">
            <v>裕隆三</v>
          </cell>
          <cell r="H1644">
            <v>100000</v>
          </cell>
          <cell r="I1644">
            <v>3</v>
          </cell>
          <cell r="J1644">
            <v>46167</v>
          </cell>
          <cell r="K1644">
            <v>100.75190000000001</v>
          </cell>
          <cell r="L1644">
            <v>46147</v>
          </cell>
          <cell r="M1644">
            <v>-2721</v>
          </cell>
          <cell r="N1644">
            <v>97279</v>
          </cell>
        </row>
        <row r="1645">
          <cell r="A1645">
            <v>34163</v>
          </cell>
          <cell r="B1645">
            <v>1639</v>
          </cell>
          <cell r="C1645" t="str">
            <v>IASWD2406000724</v>
          </cell>
          <cell r="D1645">
            <v>45461</v>
          </cell>
          <cell r="E1645">
            <v>46047</v>
          </cell>
          <cell r="F1645" t="str">
            <v>34163</v>
          </cell>
          <cell r="G1645" t="str">
            <v>融程電三</v>
          </cell>
          <cell r="H1645">
            <v>200000</v>
          </cell>
          <cell r="I1645">
            <v>3</v>
          </cell>
          <cell r="J1645">
            <v>46047</v>
          </cell>
          <cell r="K1645">
            <v>100.5</v>
          </cell>
          <cell r="L1645">
            <v>46028</v>
          </cell>
          <cell r="M1645">
            <v>-5441</v>
          </cell>
          <cell r="N1645">
            <v>194559</v>
          </cell>
        </row>
        <row r="1646">
          <cell r="A1646">
            <v>82992</v>
          </cell>
          <cell r="B1646">
            <v>1640</v>
          </cell>
          <cell r="C1646" t="str">
            <v>IASWD2406000725</v>
          </cell>
          <cell r="D1646">
            <v>45461</v>
          </cell>
          <cell r="E1646">
            <v>46410</v>
          </cell>
          <cell r="F1646" t="str">
            <v>82992</v>
          </cell>
          <cell r="G1646" t="str">
            <v>群聯二</v>
          </cell>
          <cell r="H1646">
            <v>200000</v>
          </cell>
          <cell r="I1646">
            <v>2.6</v>
          </cell>
          <cell r="J1646">
            <v>46410</v>
          </cell>
          <cell r="K1646">
            <v>100</v>
          </cell>
          <cell r="L1646">
            <v>46392</v>
          </cell>
          <cell r="M1646">
            <v>-4716</v>
          </cell>
          <cell r="N1646">
            <v>195284</v>
          </cell>
        </row>
        <row r="1647">
          <cell r="A1647">
            <v>82992</v>
          </cell>
          <cell r="B1647">
            <v>1641</v>
          </cell>
          <cell r="C1647" t="str">
            <v>IASWD2406000726</v>
          </cell>
          <cell r="D1647">
            <v>45461</v>
          </cell>
          <cell r="E1647">
            <v>46410</v>
          </cell>
          <cell r="F1647" t="str">
            <v>82992</v>
          </cell>
          <cell r="G1647" t="str">
            <v>群聯二</v>
          </cell>
          <cell r="H1647">
            <v>100000</v>
          </cell>
          <cell r="I1647">
            <v>2.6</v>
          </cell>
          <cell r="J1647">
            <v>46410</v>
          </cell>
          <cell r="K1647">
            <v>100</v>
          </cell>
          <cell r="L1647">
            <v>46392</v>
          </cell>
          <cell r="M1647">
            <v>-2358</v>
          </cell>
          <cell r="N1647">
            <v>97642</v>
          </cell>
        </row>
        <row r="1648">
          <cell r="A1648">
            <v>20632</v>
          </cell>
          <cell r="B1648">
            <v>1642</v>
          </cell>
          <cell r="C1648" t="str">
            <v>IASWD2406000729</v>
          </cell>
          <cell r="D1648">
            <v>45461</v>
          </cell>
          <cell r="E1648">
            <v>45971</v>
          </cell>
          <cell r="F1648" t="str">
            <v>20632</v>
          </cell>
          <cell r="G1648" t="str">
            <v>世鎧二</v>
          </cell>
          <cell r="H1648">
            <v>100000</v>
          </cell>
          <cell r="I1648">
            <v>3.25</v>
          </cell>
          <cell r="J1648">
            <v>45971</v>
          </cell>
          <cell r="K1648">
            <v>100</v>
          </cell>
          <cell r="L1648">
            <v>45951</v>
          </cell>
          <cell r="M1648">
            <v>-2947</v>
          </cell>
          <cell r="N1648">
            <v>97053</v>
          </cell>
        </row>
        <row r="1649">
          <cell r="A1649">
            <v>22013</v>
          </cell>
          <cell r="B1649">
            <v>1643</v>
          </cell>
          <cell r="C1649" t="str">
            <v>IASWD2406000730</v>
          </cell>
          <cell r="D1649">
            <v>45461</v>
          </cell>
          <cell r="E1649">
            <v>46167</v>
          </cell>
          <cell r="F1649" t="str">
            <v>22013</v>
          </cell>
          <cell r="G1649" t="str">
            <v>裕隆三</v>
          </cell>
          <cell r="H1649">
            <v>100000</v>
          </cell>
          <cell r="I1649">
            <v>3</v>
          </cell>
          <cell r="J1649">
            <v>46167</v>
          </cell>
          <cell r="K1649">
            <v>100.75190000000001</v>
          </cell>
          <cell r="L1649">
            <v>46147</v>
          </cell>
          <cell r="M1649">
            <v>-2721</v>
          </cell>
          <cell r="N1649">
            <v>97279</v>
          </cell>
        </row>
        <row r="1650">
          <cell r="A1650">
            <v>27323</v>
          </cell>
          <cell r="B1650">
            <v>1644</v>
          </cell>
          <cell r="C1650" t="str">
            <v>IASWD2406000733</v>
          </cell>
          <cell r="D1650">
            <v>45461</v>
          </cell>
          <cell r="E1650">
            <v>46048</v>
          </cell>
          <cell r="F1650" t="str">
            <v>27323</v>
          </cell>
          <cell r="G1650" t="str">
            <v>六角三</v>
          </cell>
          <cell r="H1650">
            <v>200000</v>
          </cell>
          <cell r="I1650">
            <v>3</v>
          </cell>
          <cell r="J1650">
            <v>46048</v>
          </cell>
          <cell r="K1650">
            <v>101</v>
          </cell>
          <cell r="L1650">
            <v>46028</v>
          </cell>
          <cell r="M1650">
            <v>-5441</v>
          </cell>
          <cell r="N1650">
            <v>194559</v>
          </cell>
        </row>
        <row r="1651">
          <cell r="A1651">
            <v>35482</v>
          </cell>
          <cell r="B1651">
            <v>1645</v>
          </cell>
          <cell r="C1651" t="str">
            <v>IASWD2406000735</v>
          </cell>
          <cell r="D1651">
            <v>45461</v>
          </cell>
          <cell r="E1651">
            <v>46395</v>
          </cell>
          <cell r="F1651" t="str">
            <v>35482</v>
          </cell>
          <cell r="G1651" t="str">
            <v>兆利二</v>
          </cell>
          <cell r="H1651">
            <v>100000</v>
          </cell>
          <cell r="I1651">
            <v>3</v>
          </cell>
          <cell r="J1651">
            <v>46395</v>
          </cell>
          <cell r="K1651">
            <v>100</v>
          </cell>
          <cell r="L1651">
            <v>46377</v>
          </cell>
          <cell r="M1651">
            <v>-2721</v>
          </cell>
          <cell r="N1651">
            <v>97279</v>
          </cell>
        </row>
        <row r="1652">
          <cell r="A1652">
            <v>22013</v>
          </cell>
          <cell r="B1652">
            <v>1646</v>
          </cell>
          <cell r="C1652" t="str">
            <v>IASWD2406000736</v>
          </cell>
          <cell r="D1652">
            <v>45461</v>
          </cell>
          <cell r="E1652">
            <v>46167</v>
          </cell>
          <cell r="F1652" t="str">
            <v>22013</v>
          </cell>
          <cell r="G1652" t="str">
            <v>裕隆三</v>
          </cell>
          <cell r="H1652">
            <v>500000</v>
          </cell>
          <cell r="I1652">
            <v>3</v>
          </cell>
          <cell r="J1652">
            <v>46167</v>
          </cell>
          <cell r="K1652">
            <v>100.75190000000001</v>
          </cell>
          <cell r="L1652">
            <v>46147</v>
          </cell>
          <cell r="M1652">
            <v>-13603</v>
          </cell>
          <cell r="N1652">
            <v>486397</v>
          </cell>
        </row>
        <row r="1653">
          <cell r="A1653">
            <v>29061</v>
          </cell>
          <cell r="B1653">
            <v>1647</v>
          </cell>
          <cell r="C1653" t="str">
            <v>IASWD2406000737</v>
          </cell>
          <cell r="D1653">
            <v>45461</v>
          </cell>
          <cell r="E1653">
            <v>45920</v>
          </cell>
          <cell r="F1653" t="str">
            <v>29061</v>
          </cell>
          <cell r="G1653" t="str">
            <v>高林一</v>
          </cell>
          <cell r="H1653">
            <v>400000</v>
          </cell>
          <cell r="I1653">
            <v>3.75</v>
          </cell>
          <cell r="J1653">
            <v>45920</v>
          </cell>
          <cell r="K1653">
            <v>102.01</v>
          </cell>
          <cell r="L1653">
            <v>45902</v>
          </cell>
          <cell r="M1653">
            <v>-13603</v>
          </cell>
          <cell r="N1653">
            <v>386397</v>
          </cell>
        </row>
        <row r="1654">
          <cell r="A1654">
            <v>34163</v>
          </cell>
          <cell r="B1654">
            <v>1648</v>
          </cell>
          <cell r="C1654" t="str">
            <v>IASWD2406000742</v>
          </cell>
          <cell r="D1654">
            <v>45461</v>
          </cell>
          <cell r="E1654">
            <v>46047</v>
          </cell>
          <cell r="F1654" t="str">
            <v>34163</v>
          </cell>
          <cell r="G1654" t="str">
            <v>融程電三</v>
          </cell>
          <cell r="H1654">
            <v>100000</v>
          </cell>
          <cell r="I1654">
            <v>3</v>
          </cell>
          <cell r="J1654">
            <v>46047</v>
          </cell>
          <cell r="K1654">
            <v>100.5</v>
          </cell>
          <cell r="L1654">
            <v>46028</v>
          </cell>
          <cell r="M1654">
            <v>-2721</v>
          </cell>
          <cell r="N1654">
            <v>97279</v>
          </cell>
        </row>
        <row r="1655">
          <cell r="A1655">
            <v>82992</v>
          </cell>
          <cell r="B1655">
            <v>1649</v>
          </cell>
          <cell r="C1655" t="str">
            <v>IASWD2406000744</v>
          </cell>
          <cell r="D1655">
            <v>45461</v>
          </cell>
          <cell r="E1655">
            <v>46410</v>
          </cell>
          <cell r="F1655" t="str">
            <v>82992</v>
          </cell>
          <cell r="G1655" t="str">
            <v>群聯二</v>
          </cell>
          <cell r="H1655">
            <v>400000</v>
          </cell>
          <cell r="I1655">
            <v>2.6</v>
          </cell>
          <cell r="J1655">
            <v>46410</v>
          </cell>
          <cell r="K1655">
            <v>100</v>
          </cell>
          <cell r="L1655">
            <v>46392</v>
          </cell>
          <cell r="M1655">
            <v>-9431</v>
          </cell>
          <cell r="N1655">
            <v>390569</v>
          </cell>
        </row>
        <row r="1656">
          <cell r="A1656">
            <v>82992</v>
          </cell>
          <cell r="B1656">
            <v>1650</v>
          </cell>
          <cell r="C1656" t="str">
            <v>IASWD2406000750</v>
          </cell>
          <cell r="D1656">
            <v>45461</v>
          </cell>
          <cell r="E1656">
            <v>46410</v>
          </cell>
          <cell r="F1656" t="str">
            <v>82992</v>
          </cell>
          <cell r="G1656" t="str">
            <v>群聯二</v>
          </cell>
          <cell r="H1656">
            <v>200000</v>
          </cell>
          <cell r="I1656">
            <v>2.6</v>
          </cell>
          <cell r="J1656">
            <v>46410</v>
          </cell>
          <cell r="K1656">
            <v>100</v>
          </cell>
          <cell r="L1656">
            <v>46392</v>
          </cell>
          <cell r="M1656">
            <v>-4716</v>
          </cell>
          <cell r="N1656">
            <v>195284</v>
          </cell>
        </row>
        <row r="1657">
          <cell r="A1657">
            <v>82992</v>
          </cell>
          <cell r="B1657">
            <v>1651</v>
          </cell>
          <cell r="C1657" t="str">
            <v>IASWD2406000752</v>
          </cell>
          <cell r="D1657">
            <v>45461</v>
          </cell>
          <cell r="E1657">
            <v>46410</v>
          </cell>
          <cell r="F1657" t="str">
            <v>82992</v>
          </cell>
          <cell r="G1657" t="str">
            <v>群聯二</v>
          </cell>
          <cell r="H1657">
            <v>200000</v>
          </cell>
          <cell r="I1657">
            <v>2.6</v>
          </cell>
          <cell r="J1657">
            <v>46410</v>
          </cell>
          <cell r="K1657">
            <v>100</v>
          </cell>
          <cell r="L1657">
            <v>46392</v>
          </cell>
          <cell r="M1657">
            <v>-4716</v>
          </cell>
          <cell r="N1657">
            <v>195284</v>
          </cell>
        </row>
        <row r="1658">
          <cell r="A1658">
            <v>35482</v>
          </cell>
          <cell r="B1658">
            <v>1652</v>
          </cell>
          <cell r="C1658" t="str">
            <v>IASWD2406000754</v>
          </cell>
          <cell r="D1658">
            <v>45461</v>
          </cell>
          <cell r="E1658">
            <v>46395</v>
          </cell>
          <cell r="F1658" t="str">
            <v>35482</v>
          </cell>
          <cell r="G1658" t="str">
            <v>兆利二</v>
          </cell>
          <cell r="H1658">
            <v>100000</v>
          </cell>
          <cell r="I1658">
            <v>3</v>
          </cell>
          <cell r="J1658">
            <v>46395</v>
          </cell>
          <cell r="K1658">
            <v>100</v>
          </cell>
          <cell r="L1658">
            <v>46377</v>
          </cell>
          <cell r="M1658">
            <v>-2721</v>
          </cell>
          <cell r="N1658">
            <v>97279</v>
          </cell>
        </row>
        <row r="1659">
          <cell r="A1659">
            <v>35482</v>
          </cell>
          <cell r="B1659">
            <v>1653</v>
          </cell>
          <cell r="C1659" t="str">
            <v>IASWD2406000764</v>
          </cell>
          <cell r="D1659">
            <v>45461</v>
          </cell>
          <cell r="E1659">
            <v>46395</v>
          </cell>
          <cell r="F1659" t="str">
            <v>35482</v>
          </cell>
          <cell r="G1659" t="str">
            <v>兆利二</v>
          </cell>
          <cell r="H1659">
            <v>100000</v>
          </cell>
          <cell r="I1659">
            <v>3</v>
          </cell>
          <cell r="J1659">
            <v>46395</v>
          </cell>
          <cell r="K1659">
            <v>100</v>
          </cell>
          <cell r="L1659">
            <v>46377</v>
          </cell>
          <cell r="M1659">
            <v>-2721</v>
          </cell>
          <cell r="N1659">
            <v>97279</v>
          </cell>
        </row>
        <row r="1660">
          <cell r="A1660">
            <v>22013</v>
          </cell>
          <cell r="B1660">
            <v>1654</v>
          </cell>
          <cell r="C1660" t="str">
            <v>IASWD2406000773</v>
          </cell>
          <cell r="D1660">
            <v>45461</v>
          </cell>
          <cell r="E1660">
            <v>46167</v>
          </cell>
          <cell r="F1660" t="str">
            <v>22013</v>
          </cell>
          <cell r="G1660" t="str">
            <v>裕隆三</v>
          </cell>
          <cell r="H1660">
            <v>100000</v>
          </cell>
          <cell r="I1660">
            <v>3</v>
          </cell>
          <cell r="J1660">
            <v>46167</v>
          </cell>
          <cell r="K1660">
            <v>100.75190000000001</v>
          </cell>
          <cell r="L1660">
            <v>46147</v>
          </cell>
          <cell r="M1660">
            <v>-2721</v>
          </cell>
          <cell r="N1660">
            <v>97279</v>
          </cell>
        </row>
        <row r="1661">
          <cell r="A1661">
            <v>56086</v>
          </cell>
          <cell r="B1661">
            <v>1655</v>
          </cell>
          <cell r="C1661" t="str">
            <v>IASWD2406000782</v>
          </cell>
          <cell r="D1661">
            <v>45462</v>
          </cell>
          <cell r="E1661">
            <v>46194</v>
          </cell>
          <cell r="F1661" t="str">
            <v>56086</v>
          </cell>
          <cell r="G1661" t="str">
            <v>四維航六</v>
          </cell>
          <cell r="H1661">
            <v>100000</v>
          </cell>
          <cell r="I1661">
            <v>2.35</v>
          </cell>
          <cell r="J1661">
            <v>46194</v>
          </cell>
          <cell r="K1661">
            <v>100</v>
          </cell>
          <cell r="L1661">
            <v>46175</v>
          </cell>
          <cell r="M1661">
            <v>-2125</v>
          </cell>
          <cell r="N1661">
            <v>97875</v>
          </cell>
        </row>
        <row r="1662">
          <cell r="A1662">
            <v>22313</v>
          </cell>
          <cell r="B1662">
            <v>1656</v>
          </cell>
          <cell r="C1662" t="str">
            <v>IASWD2406000786</v>
          </cell>
          <cell r="D1662">
            <v>45462</v>
          </cell>
          <cell r="E1662">
            <v>45898</v>
          </cell>
          <cell r="F1662" t="str">
            <v>22313</v>
          </cell>
          <cell r="G1662" t="str">
            <v>為升三</v>
          </cell>
          <cell r="H1662">
            <v>500000</v>
          </cell>
          <cell r="I1662">
            <v>3.5</v>
          </cell>
          <cell r="J1662">
            <v>45898</v>
          </cell>
          <cell r="K1662">
            <v>101.50749999999999</v>
          </cell>
          <cell r="L1662">
            <v>45880</v>
          </cell>
          <cell r="M1662">
            <v>-15822</v>
          </cell>
          <cell r="N1662">
            <v>484178</v>
          </cell>
        </row>
        <row r="1663">
          <cell r="A1663">
            <v>22013</v>
          </cell>
          <cell r="B1663">
            <v>1657</v>
          </cell>
          <cell r="C1663" t="str">
            <v>IASWD2406000804</v>
          </cell>
          <cell r="D1663">
            <v>45462</v>
          </cell>
          <cell r="E1663">
            <v>46167</v>
          </cell>
          <cell r="F1663" t="str">
            <v>22013</v>
          </cell>
          <cell r="G1663" t="str">
            <v>裕隆三</v>
          </cell>
          <cell r="H1663">
            <v>200000</v>
          </cell>
          <cell r="I1663">
            <v>3</v>
          </cell>
          <cell r="J1663">
            <v>46167</v>
          </cell>
          <cell r="K1663">
            <v>100.75190000000001</v>
          </cell>
          <cell r="L1663">
            <v>46147</v>
          </cell>
          <cell r="M1663">
            <v>-5425</v>
          </cell>
          <cell r="N1663">
            <v>194575</v>
          </cell>
        </row>
        <row r="1664">
          <cell r="A1664">
            <v>45663</v>
          </cell>
          <cell r="B1664">
            <v>1658</v>
          </cell>
          <cell r="C1664" t="str">
            <v>IASWD2406000816</v>
          </cell>
          <cell r="D1664">
            <v>45462</v>
          </cell>
          <cell r="E1664">
            <v>46353</v>
          </cell>
          <cell r="F1664" t="str">
            <v>45663</v>
          </cell>
          <cell r="G1664" t="str">
            <v>時碩工業三</v>
          </cell>
          <cell r="H1664">
            <v>100000</v>
          </cell>
          <cell r="I1664">
            <v>3.5</v>
          </cell>
          <cell r="J1664">
            <v>46353</v>
          </cell>
          <cell r="K1664">
            <v>100</v>
          </cell>
          <cell r="L1664">
            <v>46335</v>
          </cell>
          <cell r="M1664">
            <v>-3164</v>
          </cell>
          <cell r="N1664">
            <v>96836</v>
          </cell>
        </row>
        <row r="1665">
          <cell r="A1665">
            <v>34163</v>
          </cell>
          <cell r="B1665">
            <v>1659</v>
          </cell>
          <cell r="C1665" t="str">
            <v>IASWD2406000817</v>
          </cell>
          <cell r="D1665">
            <v>45462</v>
          </cell>
          <cell r="E1665">
            <v>46047</v>
          </cell>
          <cell r="F1665" t="str">
            <v>34163</v>
          </cell>
          <cell r="G1665" t="str">
            <v>融程電三</v>
          </cell>
          <cell r="H1665">
            <v>200000</v>
          </cell>
          <cell r="I1665">
            <v>3</v>
          </cell>
          <cell r="J1665">
            <v>46047</v>
          </cell>
          <cell r="K1665">
            <v>100.5</v>
          </cell>
          <cell r="L1665">
            <v>46028</v>
          </cell>
          <cell r="M1665">
            <v>-5425</v>
          </cell>
          <cell r="N1665">
            <v>194575</v>
          </cell>
        </row>
        <row r="1666">
          <cell r="A1666">
            <v>29061</v>
          </cell>
          <cell r="B1666">
            <v>1660</v>
          </cell>
          <cell r="C1666" t="str">
            <v>IASWD2406000821</v>
          </cell>
          <cell r="D1666">
            <v>45462</v>
          </cell>
          <cell r="E1666">
            <v>45920</v>
          </cell>
          <cell r="F1666" t="str">
            <v>29061</v>
          </cell>
          <cell r="G1666" t="str">
            <v>高林一</v>
          </cell>
          <cell r="H1666">
            <v>100000</v>
          </cell>
          <cell r="I1666">
            <v>3.75</v>
          </cell>
          <cell r="J1666">
            <v>45920</v>
          </cell>
          <cell r="K1666">
            <v>102.01</v>
          </cell>
          <cell r="L1666">
            <v>45902</v>
          </cell>
          <cell r="M1666">
            <v>-3390</v>
          </cell>
          <cell r="N1666">
            <v>96610</v>
          </cell>
        </row>
        <row r="1667">
          <cell r="A1667">
            <v>22013</v>
          </cell>
          <cell r="B1667">
            <v>1661</v>
          </cell>
          <cell r="C1667" t="str">
            <v>IASWD2406000835</v>
          </cell>
          <cell r="D1667">
            <v>45462</v>
          </cell>
          <cell r="E1667">
            <v>46167</v>
          </cell>
          <cell r="F1667" t="str">
            <v>22013</v>
          </cell>
          <cell r="G1667" t="str">
            <v>裕隆三</v>
          </cell>
          <cell r="H1667">
            <v>300000</v>
          </cell>
          <cell r="I1667">
            <v>3</v>
          </cell>
          <cell r="J1667">
            <v>46167</v>
          </cell>
          <cell r="K1667">
            <v>100.75190000000001</v>
          </cell>
          <cell r="L1667">
            <v>46147</v>
          </cell>
          <cell r="M1667">
            <v>-8137</v>
          </cell>
          <cell r="N1667">
            <v>291863</v>
          </cell>
        </row>
        <row r="1668">
          <cell r="A1668">
            <v>22013</v>
          </cell>
          <cell r="B1668">
            <v>1662</v>
          </cell>
          <cell r="C1668" t="str">
            <v>IASWD2406000839</v>
          </cell>
          <cell r="D1668">
            <v>45462</v>
          </cell>
          <cell r="E1668">
            <v>46167</v>
          </cell>
          <cell r="F1668" t="str">
            <v>22013</v>
          </cell>
          <cell r="G1668" t="str">
            <v>裕隆三</v>
          </cell>
          <cell r="H1668">
            <v>100000</v>
          </cell>
          <cell r="I1668">
            <v>3</v>
          </cell>
          <cell r="J1668">
            <v>46167</v>
          </cell>
          <cell r="K1668">
            <v>100.75190000000001</v>
          </cell>
          <cell r="L1668">
            <v>46147</v>
          </cell>
          <cell r="M1668">
            <v>-2712</v>
          </cell>
          <cell r="N1668">
            <v>97288</v>
          </cell>
        </row>
        <row r="1669">
          <cell r="A1669">
            <v>34163</v>
          </cell>
          <cell r="B1669">
            <v>1663</v>
          </cell>
          <cell r="C1669" t="str">
            <v>IASWD2406000848</v>
          </cell>
          <cell r="D1669">
            <v>45463</v>
          </cell>
          <cell r="E1669">
            <v>46047</v>
          </cell>
          <cell r="F1669" t="str">
            <v>34163</v>
          </cell>
          <cell r="G1669" t="str">
            <v>融程電三</v>
          </cell>
          <cell r="H1669">
            <v>100000</v>
          </cell>
          <cell r="I1669">
            <v>3</v>
          </cell>
          <cell r="J1669">
            <v>46047</v>
          </cell>
          <cell r="K1669">
            <v>100.5</v>
          </cell>
          <cell r="L1669">
            <v>46028</v>
          </cell>
          <cell r="M1669">
            <v>-2704</v>
          </cell>
          <cell r="N1669">
            <v>97296</v>
          </cell>
        </row>
        <row r="1670">
          <cell r="A1670">
            <v>22313</v>
          </cell>
          <cell r="B1670">
            <v>1664</v>
          </cell>
          <cell r="C1670" t="str">
            <v>IASWD2406000862</v>
          </cell>
          <cell r="D1670">
            <v>45463</v>
          </cell>
          <cell r="E1670">
            <v>45898</v>
          </cell>
          <cell r="F1670" t="str">
            <v>22313</v>
          </cell>
          <cell r="G1670" t="str">
            <v>為升三</v>
          </cell>
          <cell r="H1670">
            <v>400000</v>
          </cell>
          <cell r="I1670">
            <v>3.5</v>
          </cell>
          <cell r="J1670">
            <v>45898</v>
          </cell>
          <cell r="K1670">
            <v>101.50749999999999</v>
          </cell>
          <cell r="L1670">
            <v>45880</v>
          </cell>
          <cell r="M1670">
            <v>-12619</v>
          </cell>
          <cell r="N1670">
            <v>387381</v>
          </cell>
        </row>
        <row r="1671">
          <cell r="A1671">
            <v>33055</v>
          </cell>
          <cell r="B1671">
            <v>1665</v>
          </cell>
          <cell r="C1671" t="str">
            <v>IASWD2406000876</v>
          </cell>
          <cell r="D1671">
            <v>45463</v>
          </cell>
          <cell r="E1671">
            <v>46016</v>
          </cell>
          <cell r="F1671" t="str">
            <v>33055</v>
          </cell>
          <cell r="G1671" t="str">
            <v>昇貿五</v>
          </cell>
          <cell r="H1671">
            <v>200000</v>
          </cell>
          <cell r="I1671">
            <v>4</v>
          </cell>
          <cell r="J1671">
            <v>46016</v>
          </cell>
          <cell r="K1671">
            <v>101.0025</v>
          </cell>
          <cell r="L1671">
            <v>45996</v>
          </cell>
          <cell r="M1671">
            <v>-7211</v>
          </cell>
          <cell r="N1671">
            <v>192789</v>
          </cell>
        </row>
        <row r="1672">
          <cell r="A1672">
            <v>22313</v>
          </cell>
          <cell r="B1672">
            <v>1666</v>
          </cell>
          <cell r="C1672" t="str">
            <v>IASWD2406000879</v>
          </cell>
          <cell r="D1672">
            <v>45463</v>
          </cell>
          <cell r="E1672">
            <v>45898</v>
          </cell>
          <cell r="F1672" t="str">
            <v>22313</v>
          </cell>
          <cell r="G1672" t="str">
            <v>為升三</v>
          </cell>
          <cell r="H1672">
            <v>100000</v>
          </cell>
          <cell r="I1672">
            <v>3.5</v>
          </cell>
          <cell r="J1672">
            <v>45898</v>
          </cell>
          <cell r="K1672">
            <v>101.50749999999999</v>
          </cell>
          <cell r="L1672">
            <v>45880</v>
          </cell>
          <cell r="M1672">
            <v>-3155</v>
          </cell>
          <cell r="N1672">
            <v>96845</v>
          </cell>
        </row>
        <row r="1673">
          <cell r="A1673">
            <v>33055</v>
          </cell>
          <cell r="B1673">
            <v>1667</v>
          </cell>
          <cell r="C1673" t="str">
            <v>IASWD2406000883</v>
          </cell>
          <cell r="D1673">
            <v>45463</v>
          </cell>
          <cell r="E1673">
            <v>46016</v>
          </cell>
          <cell r="F1673" t="str">
            <v>33055</v>
          </cell>
          <cell r="G1673" t="str">
            <v>昇貿五</v>
          </cell>
          <cell r="H1673">
            <v>100000</v>
          </cell>
          <cell r="I1673">
            <v>4</v>
          </cell>
          <cell r="J1673">
            <v>46016</v>
          </cell>
          <cell r="K1673">
            <v>101.0025</v>
          </cell>
          <cell r="L1673">
            <v>45996</v>
          </cell>
          <cell r="M1673">
            <v>-3605</v>
          </cell>
          <cell r="N1673">
            <v>96395</v>
          </cell>
        </row>
        <row r="1674">
          <cell r="A1674">
            <v>34163</v>
          </cell>
          <cell r="B1674">
            <v>1668</v>
          </cell>
          <cell r="C1674" t="str">
            <v>IASWD2406000889</v>
          </cell>
          <cell r="D1674">
            <v>45463</v>
          </cell>
          <cell r="E1674">
            <v>46047</v>
          </cell>
          <cell r="F1674" t="str">
            <v>34163</v>
          </cell>
          <cell r="G1674" t="str">
            <v>融程電三</v>
          </cell>
          <cell r="H1674">
            <v>200000</v>
          </cell>
          <cell r="I1674">
            <v>3</v>
          </cell>
          <cell r="J1674">
            <v>46047</v>
          </cell>
          <cell r="K1674">
            <v>100.5</v>
          </cell>
          <cell r="L1674">
            <v>46028</v>
          </cell>
          <cell r="M1674">
            <v>-5408</v>
          </cell>
          <cell r="N1674">
            <v>194592</v>
          </cell>
        </row>
        <row r="1675">
          <cell r="A1675">
            <v>22013</v>
          </cell>
          <cell r="B1675">
            <v>1669</v>
          </cell>
          <cell r="C1675" t="str">
            <v>IASWD2406000893</v>
          </cell>
          <cell r="D1675">
            <v>45463</v>
          </cell>
          <cell r="E1675">
            <v>46167</v>
          </cell>
          <cell r="F1675" t="str">
            <v>22013</v>
          </cell>
          <cell r="G1675" t="str">
            <v>裕隆三</v>
          </cell>
          <cell r="H1675">
            <v>100000</v>
          </cell>
          <cell r="I1675">
            <v>3</v>
          </cell>
          <cell r="J1675">
            <v>46167</v>
          </cell>
          <cell r="K1675">
            <v>100.75190000000001</v>
          </cell>
          <cell r="L1675">
            <v>46147</v>
          </cell>
          <cell r="M1675">
            <v>-2704</v>
          </cell>
          <cell r="N1675">
            <v>97296</v>
          </cell>
        </row>
        <row r="1676">
          <cell r="A1676">
            <v>33055</v>
          </cell>
          <cell r="B1676">
            <v>1670</v>
          </cell>
          <cell r="C1676" t="str">
            <v>IASWD2406000900</v>
          </cell>
          <cell r="D1676">
            <v>45463</v>
          </cell>
          <cell r="E1676">
            <v>46016</v>
          </cell>
          <cell r="F1676" t="str">
            <v>33055</v>
          </cell>
          <cell r="G1676" t="str">
            <v>昇貿五</v>
          </cell>
          <cell r="H1676">
            <v>100000</v>
          </cell>
          <cell r="I1676">
            <v>4</v>
          </cell>
          <cell r="J1676">
            <v>46016</v>
          </cell>
          <cell r="K1676">
            <v>101.0025</v>
          </cell>
          <cell r="L1676">
            <v>45996</v>
          </cell>
          <cell r="M1676">
            <v>-3605</v>
          </cell>
          <cell r="N1676">
            <v>96395</v>
          </cell>
        </row>
        <row r="1677">
          <cell r="A1677">
            <v>33055</v>
          </cell>
          <cell r="B1677">
            <v>1671</v>
          </cell>
          <cell r="C1677" t="str">
            <v>IASWD2406000908</v>
          </cell>
          <cell r="D1677">
            <v>45463</v>
          </cell>
          <cell r="E1677">
            <v>46016</v>
          </cell>
          <cell r="F1677" t="str">
            <v>33055</v>
          </cell>
          <cell r="G1677" t="str">
            <v>昇貿五</v>
          </cell>
          <cell r="H1677">
            <v>100000</v>
          </cell>
          <cell r="I1677">
            <v>4</v>
          </cell>
          <cell r="J1677">
            <v>46016</v>
          </cell>
          <cell r="K1677">
            <v>101.0025</v>
          </cell>
          <cell r="L1677">
            <v>45996</v>
          </cell>
          <cell r="M1677">
            <v>-3605</v>
          </cell>
          <cell r="N1677">
            <v>96395</v>
          </cell>
        </row>
        <row r="1678">
          <cell r="A1678">
            <v>33055</v>
          </cell>
          <cell r="B1678">
            <v>1672</v>
          </cell>
          <cell r="C1678" t="str">
            <v>IASWD2406000909</v>
          </cell>
          <cell r="D1678">
            <v>45463</v>
          </cell>
          <cell r="E1678">
            <v>46016</v>
          </cell>
          <cell r="F1678" t="str">
            <v>33055</v>
          </cell>
          <cell r="G1678" t="str">
            <v>昇貿五</v>
          </cell>
          <cell r="H1678">
            <v>100000</v>
          </cell>
          <cell r="I1678">
            <v>4</v>
          </cell>
          <cell r="J1678">
            <v>46016</v>
          </cell>
          <cell r="K1678">
            <v>101.0025</v>
          </cell>
          <cell r="L1678">
            <v>45996</v>
          </cell>
          <cell r="M1678">
            <v>-3605</v>
          </cell>
          <cell r="N1678">
            <v>96395</v>
          </cell>
        </row>
        <row r="1679">
          <cell r="A1679">
            <v>56086</v>
          </cell>
          <cell r="B1679">
            <v>1673</v>
          </cell>
          <cell r="C1679" t="str">
            <v>IASWD2406000910</v>
          </cell>
          <cell r="D1679">
            <v>45463</v>
          </cell>
          <cell r="E1679">
            <v>46194</v>
          </cell>
          <cell r="F1679" t="str">
            <v>56086</v>
          </cell>
          <cell r="G1679" t="str">
            <v>四維航六</v>
          </cell>
          <cell r="H1679">
            <v>100000</v>
          </cell>
          <cell r="I1679">
            <v>2.35</v>
          </cell>
          <cell r="J1679">
            <v>46194</v>
          </cell>
          <cell r="K1679">
            <v>100</v>
          </cell>
          <cell r="L1679">
            <v>46175</v>
          </cell>
          <cell r="M1679">
            <v>-2118</v>
          </cell>
          <cell r="N1679">
            <v>97882</v>
          </cell>
        </row>
        <row r="1680">
          <cell r="A1680">
            <v>29061</v>
          </cell>
          <cell r="B1680">
            <v>1674</v>
          </cell>
          <cell r="C1680" t="str">
            <v>IASWD2406000911</v>
          </cell>
          <cell r="D1680">
            <v>45463</v>
          </cell>
          <cell r="E1680">
            <v>45920</v>
          </cell>
          <cell r="F1680" t="str">
            <v>29061</v>
          </cell>
          <cell r="G1680" t="str">
            <v>高林一</v>
          </cell>
          <cell r="H1680">
            <v>100000</v>
          </cell>
          <cell r="I1680">
            <v>3.75</v>
          </cell>
          <cell r="J1680">
            <v>45920</v>
          </cell>
          <cell r="K1680">
            <v>102.01</v>
          </cell>
          <cell r="L1680">
            <v>45902</v>
          </cell>
          <cell r="M1680">
            <v>-3380</v>
          </cell>
          <cell r="N1680">
            <v>96620</v>
          </cell>
        </row>
        <row r="1681">
          <cell r="A1681">
            <v>35482</v>
          </cell>
          <cell r="B1681">
            <v>1675</v>
          </cell>
          <cell r="C1681" t="str">
            <v>IASWD2406000921</v>
          </cell>
          <cell r="D1681">
            <v>45464</v>
          </cell>
          <cell r="E1681">
            <v>46395</v>
          </cell>
          <cell r="F1681" t="str">
            <v>35482</v>
          </cell>
          <cell r="G1681" t="str">
            <v>兆利二</v>
          </cell>
          <cell r="H1681">
            <v>100000</v>
          </cell>
          <cell r="I1681">
            <v>3</v>
          </cell>
          <cell r="J1681">
            <v>46395</v>
          </cell>
          <cell r="K1681">
            <v>100</v>
          </cell>
          <cell r="L1681">
            <v>46377</v>
          </cell>
          <cell r="M1681">
            <v>-2696</v>
          </cell>
          <cell r="N1681">
            <v>97304</v>
          </cell>
        </row>
        <row r="1682">
          <cell r="A1682">
            <v>33055</v>
          </cell>
          <cell r="B1682">
            <v>1676</v>
          </cell>
          <cell r="C1682" t="str">
            <v>IASWD2406000923</v>
          </cell>
          <cell r="D1682">
            <v>45464</v>
          </cell>
          <cell r="E1682">
            <v>46016</v>
          </cell>
          <cell r="F1682" t="str">
            <v>33055</v>
          </cell>
          <cell r="G1682" t="str">
            <v>昇貿五</v>
          </cell>
          <cell r="H1682">
            <v>100000</v>
          </cell>
          <cell r="I1682">
            <v>4</v>
          </cell>
          <cell r="J1682">
            <v>46016</v>
          </cell>
          <cell r="K1682">
            <v>101.0025</v>
          </cell>
          <cell r="L1682">
            <v>45996</v>
          </cell>
          <cell r="M1682">
            <v>-3595</v>
          </cell>
          <cell r="N1682">
            <v>96405</v>
          </cell>
        </row>
        <row r="1683">
          <cell r="A1683">
            <v>33055</v>
          </cell>
          <cell r="B1683">
            <v>1677</v>
          </cell>
          <cell r="C1683" t="str">
            <v>IASWD2406000926</v>
          </cell>
          <cell r="D1683">
            <v>45464</v>
          </cell>
          <cell r="E1683">
            <v>46016</v>
          </cell>
          <cell r="F1683" t="str">
            <v>33055</v>
          </cell>
          <cell r="G1683" t="str">
            <v>昇貿五</v>
          </cell>
          <cell r="H1683">
            <v>100000</v>
          </cell>
          <cell r="I1683">
            <v>4</v>
          </cell>
          <cell r="J1683">
            <v>46016</v>
          </cell>
          <cell r="K1683">
            <v>101.0025</v>
          </cell>
          <cell r="L1683">
            <v>45996</v>
          </cell>
          <cell r="M1683">
            <v>-3595</v>
          </cell>
          <cell r="N1683">
            <v>96405</v>
          </cell>
        </row>
        <row r="1684">
          <cell r="A1684">
            <v>35482</v>
          </cell>
          <cell r="B1684">
            <v>1678</v>
          </cell>
          <cell r="C1684" t="str">
            <v>IASWD2406000933</v>
          </cell>
          <cell r="D1684">
            <v>45464</v>
          </cell>
          <cell r="E1684">
            <v>46395</v>
          </cell>
          <cell r="F1684" t="str">
            <v>35482</v>
          </cell>
          <cell r="G1684" t="str">
            <v>兆利二</v>
          </cell>
          <cell r="H1684">
            <v>100000</v>
          </cell>
          <cell r="I1684">
            <v>3</v>
          </cell>
          <cell r="J1684">
            <v>46395</v>
          </cell>
          <cell r="K1684">
            <v>100</v>
          </cell>
          <cell r="L1684">
            <v>46377</v>
          </cell>
          <cell r="M1684">
            <v>-2696</v>
          </cell>
          <cell r="N1684">
            <v>97304</v>
          </cell>
        </row>
        <row r="1685">
          <cell r="A1685">
            <v>22313</v>
          </cell>
          <cell r="B1685">
            <v>1679</v>
          </cell>
          <cell r="C1685" t="str">
            <v>IASWD2406000934</v>
          </cell>
          <cell r="D1685">
            <v>45464</v>
          </cell>
          <cell r="E1685">
            <v>45898</v>
          </cell>
          <cell r="F1685" t="str">
            <v>22313</v>
          </cell>
          <cell r="G1685" t="str">
            <v>為升三</v>
          </cell>
          <cell r="H1685">
            <v>100000</v>
          </cell>
          <cell r="I1685">
            <v>3.5</v>
          </cell>
          <cell r="J1685">
            <v>45898</v>
          </cell>
          <cell r="K1685">
            <v>101.50749999999999</v>
          </cell>
          <cell r="L1685">
            <v>45880</v>
          </cell>
          <cell r="M1685">
            <v>-3145</v>
          </cell>
          <cell r="N1685">
            <v>96855</v>
          </cell>
        </row>
        <row r="1686">
          <cell r="A1686">
            <v>35482</v>
          </cell>
          <cell r="B1686">
            <v>1680</v>
          </cell>
          <cell r="C1686" t="str">
            <v>IASWD2406000935</v>
          </cell>
          <cell r="D1686">
            <v>45464</v>
          </cell>
          <cell r="E1686">
            <v>46395</v>
          </cell>
          <cell r="F1686" t="str">
            <v>35482</v>
          </cell>
          <cell r="G1686" t="str">
            <v>兆利二</v>
          </cell>
          <cell r="H1686">
            <v>100000</v>
          </cell>
          <cell r="I1686">
            <v>3</v>
          </cell>
          <cell r="J1686">
            <v>46395</v>
          </cell>
          <cell r="K1686">
            <v>100</v>
          </cell>
          <cell r="L1686">
            <v>46377</v>
          </cell>
          <cell r="M1686">
            <v>-2696</v>
          </cell>
          <cell r="N1686">
            <v>97304</v>
          </cell>
        </row>
        <row r="1687">
          <cell r="A1687">
            <v>22013</v>
          </cell>
          <cell r="B1687">
            <v>1681</v>
          </cell>
          <cell r="C1687" t="str">
            <v>IASWD2406000937</v>
          </cell>
          <cell r="D1687">
            <v>45464</v>
          </cell>
          <cell r="E1687">
            <v>46167</v>
          </cell>
          <cell r="F1687" t="str">
            <v>22013</v>
          </cell>
          <cell r="G1687" t="str">
            <v>裕隆三</v>
          </cell>
          <cell r="H1687">
            <v>1700000</v>
          </cell>
          <cell r="I1687">
            <v>3</v>
          </cell>
          <cell r="J1687">
            <v>46167</v>
          </cell>
          <cell r="K1687">
            <v>100.75190000000001</v>
          </cell>
          <cell r="L1687">
            <v>46147</v>
          </cell>
          <cell r="M1687">
            <v>-45830</v>
          </cell>
          <cell r="N1687">
            <v>1654170</v>
          </cell>
        </row>
        <row r="1688">
          <cell r="A1688">
            <v>56086</v>
          </cell>
          <cell r="B1688">
            <v>1682</v>
          </cell>
          <cell r="C1688" t="str">
            <v>IASWD2406000939</v>
          </cell>
          <cell r="D1688">
            <v>45464</v>
          </cell>
          <cell r="E1688">
            <v>46194</v>
          </cell>
          <cell r="F1688" t="str">
            <v>56086</v>
          </cell>
          <cell r="G1688" t="str">
            <v>四維航六</v>
          </cell>
          <cell r="H1688">
            <v>100000</v>
          </cell>
          <cell r="I1688">
            <v>2.35</v>
          </cell>
          <cell r="J1688">
            <v>46194</v>
          </cell>
          <cell r="K1688">
            <v>100</v>
          </cell>
          <cell r="L1688">
            <v>46175</v>
          </cell>
          <cell r="M1688">
            <v>-2112</v>
          </cell>
          <cell r="N1688">
            <v>97888</v>
          </cell>
        </row>
        <row r="1689">
          <cell r="A1689">
            <v>35482</v>
          </cell>
          <cell r="B1689">
            <v>1683</v>
          </cell>
          <cell r="C1689" t="str">
            <v>IASWD2406000941</v>
          </cell>
          <cell r="D1689">
            <v>45464</v>
          </cell>
          <cell r="E1689">
            <v>46395</v>
          </cell>
          <cell r="F1689" t="str">
            <v>35482</v>
          </cell>
          <cell r="G1689" t="str">
            <v>兆利二</v>
          </cell>
          <cell r="H1689">
            <v>100000</v>
          </cell>
          <cell r="I1689">
            <v>3</v>
          </cell>
          <cell r="J1689">
            <v>46395</v>
          </cell>
          <cell r="K1689">
            <v>100</v>
          </cell>
          <cell r="L1689">
            <v>46377</v>
          </cell>
          <cell r="M1689">
            <v>-2696</v>
          </cell>
          <cell r="N1689">
            <v>97304</v>
          </cell>
        </row>
        <row r="1690">
          <cell r="A1690">
            <v>35482</v>
          </cell>
          <cell r="B1690">
            <v>1684</v>
          </cell>
          <cell r="C1690" t="str">
            <v>IASWD2406000946</v>
          </cell>
          <cell r="D1690">
            <v>45464</v>
          </cell>
          <cell r="E1690">
            <v>46395</v>
          </cell>
          <cell r="F1690" t="str">
            <v>35482</v>
          </cell>
          <cell r="G1690" t="str">
            <v>兆利二</v>
          </cell>
          <cell r="H1690">
            <v>100000</v>
          </cell>
          <cell r="I1690">
            <v>3</v>
          </cell>
          <cell r="J1690">
            <v>46395</v>
          </cell>
          <cell r="K1690">
            <v>100</v>
          </cell>
          <cell r="L1690">
            <v>46377</v>
          </cell>
          <cell r="M1690">
            <v>-2696</v>
          </cell>
          <cell r="N1690">
            <v>97304</v>
          </cell>
        </row>
        <row r="1691">
          <cell r="A1691">
            <v>35482</v>
          </cell>
          <cell r="B1691">
            <v>1685</v>
          </cell>
          <cell r="C1691" t="str">
            <v>IASWD2406000947</v>
          </cell>
          <cell r="D1691">
            <v>45464</v>
          </cell>
          <cell r="E1691">
            <v>46395</v>
          </cell>
          <cell r="F1691" t="str">
            <v>35482</v>
          </cell>
          <cell r="G1691" t="str">
            <v>兆利二</v>
          </cell>
          <cell r="H1691">
            <v>1200000</v>
          </cell>
          <cell r="I1691">
            <v>3</v>
          </cell>
          <cell r="J1691">
            <v>46395</v>
          </cell>
          <cell r="K1691">
            <v>100</v>
          </cell>
          <cell r="L1691">
            <v>46377</v>
          </cell>
          <cell r="M1691">
            <v>-32351</v>
          </cell>
          <cell r="N1691">
            <v>1167649</v>
          </cell>
        </row>
        <row r="1692">
          <cell r="A1692">
            <v>35482</v>
          </cell>
          <cell r="B1692">
            <v>1686</v>
          </cell>
          <cell r="C1692" t="str">
            <v>IASWD2406000962</v>
          </cell>
          <cell r="D1692">
            <v>45464</v>
          </cell>
          <cell r="E1692">
            <v>46395</v>
          </cell>
          <cell r="F1692" t="str">
            <v>35482</v>
          </cell>
          <cell r="G1692" t="str">
            <v>兆利二</v>
          </cell>
          <cell r="H1692">
            <v>100000</v>
          </cell>
          <cell r="I1692">
            <v>3</v>
          </cell>
          <cell r="J1692">
            <v>46395</v>
          </cell>
          <cell r="K1692">
            <v>100</v>
          </cell>
          <cell r="L1692">
            <v>46377</v>
          </cell>
          <cell r="M1692">
            <v>-2696</v>
          </cell>
          <cell r="N1692">
            <v>97304</v>
          </cell>
        </row>
        <row r="1693">
          <cell r="A1693">
            <v>33055</v>
          </cell>
          <cell r="B1693">
            <v>1687</v>
          </cell>
          <cell r="C1693" t="str">
            <v>IASWD2406000968</v>
          </cell>
          <cell r="D1693">
            <v>45464</v>
          </cell>
          <cell r="E1693">
            <v>46016</v>
          </cell>
          <cell r="F1693" t="str">
            <v>33055</v>
          </cell>
          <cell r="G1693" t="str">
            <v>昇貿五</v>
          </cell>
          <cell r="H1693">
            <v>200000</v>
          </cell>
          <cell r="I1693">
            <v>4</v>
          </cell>
          <cell r="J1693">
            <v>46016</v>
          </cell>
          <cell r="K1693">
            <v>101.0025</v>
          </cell>
          <cell r="L1693">
            <v>45996</v>
          </cell>
          <cell r="M1693">
            <v>-7189</v>
          </cell>
          <cell r="N1693">
            <v>192811</v>
          </cell>
        </row>
        <row r="1694">
          <cell r="A1694">
            <v>22013</v>
          </cell>
          <cell r="B1694">
            <v>1688</v>
          </cell>
          <cell r="C1694" t="str">
            <v>IASWD2406000971</v>
          </cell>
          <cell r="D1694">
            <v>45464</v>
          </cell>
          <cell r="E1694">
            <v>46167</v>
          </cell>
          <cell r="F1694" t="str">
            <v>22013</v>
          </cell>
          <cell r="G1694" t="str">
            <v>裕隆三</v>
          </cell>
          <cell r="H1694">
            <v>100000</v>
          </cell>
          <cell r="I1694">
            <v>3</v>
          </cell>
          <cell r="J1694">
            <v>46167</v>
          </cell>
          <cell r="K1694">
            <v>100.75190000000001</v>
          </cell>
          <cell r="L1694">
            <v>46147</v>
          </cell>
          <cell r="M1694">
            <v>-2696</v>
          </cell>
          <cell r="N1694">
            <v>97304</v>
          </cell>
        </row>
        <row r="1695">
          <cell r="A1695">
            <v>33055</v>
          </cell>
          <cell r="B1695">
            <v>1689</v>
          </cell>
          <cell r="C1695" t="str">
            <v>IASWD2406000974</v>
          </cell>
          <cell r="D1695">
            <v>45464</v>
          </cell>
          <cell r="E1695">
            <v>46016</v>
          </cell>
          <cell r="F1695" t="str">
            <v>33055</v>
          </cell>
          <cell r="G1695" t="str">
            <v>昇貿五</v>
          </cell>
          <cell r="H1695">
            <v>100000</v>
          </cell>
          <cell r="I1695">
            <v>4</v>
          </cell>
          <cell r="J1695">
            <v>46016</v>
          </cell>
          <cell r="K1695">
            <v>101.0025</v>
          </cell>
          <cell r="L1695">
            <v>45996</v>
          </cell>
          <cell r="M1695">
            <v>-3595</v>
          </cell>
          <cell r="N1695">
            <v>96405</v>
          </cell>
        </row>
        <row r="1696">
          <cell r="A1696">
            <v>35482</v>
          </cell>
          <cell r="B1696">
            <v>1690</v>
          </cell>
          <cell r="C1696" t="str">
            <v>IASWD2406000983</v>
          </cell>
          <cell r="D1696">
            <v>45467</v>
          </cell>
          <cell r="E1696">
            <v>46395</v>
          </cell>
          <cell r="F1696" t="str">
            <v>35482</v>
          </cell>
          <cell r="G1696" t="str">
            <v>兆利二</v>
          </cell>
          <cell r="H1696">
            <v>200000</v>
          </cell>
          <cell r="I1696">
            <v>3</v>
          </cell>
          <cell r="J1696">
            <v>46395</v>
          </cell>
          <cell r="K1696">
            <v>100</v>
          </cell>
          <cell r="L1696">
            <v>46377</v>
          </cell>
          <cell r="M1696">
            <v>-5342</v>
          </cell>
          <cell r="N1696">
            <v>194658</v>
          </cell>
        </row>
        <row r="1697">
          <cell r="A1697">
            <v>56086</v>
          </cell>
          <cell r="B1697">
            <v>1691</v>
          </cell>
          <cell r="C1697" t="str">
            <v>IASWD2406000984</v>
          </cell>
          <cell r="D1697">
            <v>45467</v>
          </cell>
          <cell r="E1697">
            <v>46194</v>
          </cell>
          <cell r="F1697" t="str">
            <v>56086</v>
          </cell>
          <cell r="G1697" t="str">
            <v>四維航六</v>
          </cell>
          <cell r="H1697">
            <v>500000</v>
          </cell>
          <cell r="I1697">
            <v>2.35</v>
          </cell>
          <cell r="J1697">
            <v>46194</v>
          </cell>
          <cell r="K1697">
            <v>100</v>
          </cell>
          <cell r="L1697">
            <v>46175</v>
          </cell>
          <cell r="M1697">
            <v>-10462</v>
          </cell>
          <cell r="N1697">
            <v>489538</v>
          </cell>
        </row>
        <row r="1698">
          <cell r="A1698">
            <v>33055</v>
          </cell>
          <cell r="B1698">
            <v>1692</v>
          </cell>
          <cell r="C1698" t="str">
            <v>IASWD2406000991</v>
          </cell>
          <cell r="D1698">
            <v>45467</v>
          </cell>
          <cell r="E1698">
            <v>46016</v>
          </cell>
          <cell r="F1698" t="str">
            <v>33055</v>
          </cell>
          <cell r="G1698" t="str">
            <v>昇貿五</v>
          </cell>
          <cell r="H1698">
            <v>100000</v>
          </cell>
          <cell r="I1698">
            <v>4</v>
          </cell>
          <cell r="J1698">
            <v>46016</v>
          </cell>
          <cell r="K1698">
            <v>101.0025</v>
          </cell>
          <cell r="L1698">
            <v>45996</v>
          </cell>
          <cell r="M1698">
            <v>-3562</v>
          </cell>
          <cell r="N1698">
            <v>96438</v>
          </cell>
        </row>
        <row r="1699">
          <cell r="A1699">
            <v>41683</v>
          </cell>
          <cell r="B1699">
            <v>1693</v>
          </cell>
          <cell r="C1699" t="str">
            <v>IASWD2406000993</v>
          </cell>
          <cell r="D1699">
            <v>45467</v>
          </cell>
          <cell r="E1699">
            <v>45835</v>
          </cell>
          <cell r="F1699" t="str">
            <v>41683</v>
          </cell>
          <cell r="G1699" t="str">
            <v>醣聯三</v>
          </cell>
          <cell r="H1699">
            <v>100000</v>
          </cell>
          <cell r="I1699">
            <v>2.2000000000000002</v>
          </cell>
          <cell r="J1699">
            <v>45835</v>
          </cell>
          <cell r="K1699">
            <v>100</v>
          </cell>
          <cell r="L1699">
            <v>45817</v>
          </cell>
          <cell r="M1699">
            <v>-1959</v>
          </cell>
          <cell r="N1699">
            <v>98041</v>
          </cell>
        </row>
        <row r="1700">
          <cell r="A1700">
            <v>35482</v>
          </cell>
          <cell r="B1700">
            <v>1694</v>
          </cell>
          <cell r="C1700" t="str">
            <v>IASWD2406000996</v>
          </cell>
          <cell r="D1700">
            <v>45467</v>
          </cell>
          <cell r="E1700">
            <v>46395</v>
          </cell>
          <cell r="F1700" t="str">
            <v>35482</v>
          </cell>
          <cell r="G1700" t="str">
            <v>兆利二</v>
          </cell>
          <cell r="H1700">
            <v>100000</v>
          </cell>
          <cell r="I1700">
            <v>3</v>
          </cell>
          <cell r="J1700">
            <v>46395</v>
          </cell>
          <cell r="K1700">
            <v>100</v>
          </cell>
          <cell r="L1700">
            <v>46377</v>
          </cell>
          <cell r="M1700">
            <v>-2671</v>
          </cell>
          <cell r="N1700">
            <v>97329</v>
          </cell>
        </row>
        <row r="1701">
          <cell r="A1701">
            <v>34163</v>
          </cell>
          <cell r="B1701">
            <v>1695</v>
          </cell>
          <cell r="C1701" t="str">
            <v>IASWD2406000997</v>
          </cell>
          <cell r="D1701">
            <v>45467</v>
          </cell>
          <cell r="E1701">
            <v>46047</v>
          </cell>
          <cell r="F1701" t="str">
            <v>34163</v>
          </cell>
          <cell r="G1701" t="str">
            <v>融程電三</v>
          </cell>
          <cell r="H1701">
            <v>200000</v>
          </cell>
          <cell r="I1701">
            <v>3</v>
          </cell>
          <cell r="J1701">
            <v>46047</v>
          </cell>
          <cell r="K1701">
            <v>100.5</v>
          </cell>
          <cell r="L1701">
            <v>46028</v>
          </cell>
          <cell r="M1701">
            <v>-5342</v>
          </cell>
          <cell r="N1701">
            <v>194658</v>
          </cell>
        </row>
        <row r="1702">
          <cell r="A1702">
            <v>22313</v>
          </cell>
          <cell r="B1702">
            <v>1696</v>
          </cell>
          <cell r="C1702" t="str">
            <v>IASWD2406000999</v>
          </cell>
          <cell r="D1702">
            <v>45467</v>
          </cell>
          <cell r="E1702">
            <v>45898</v>
          </cell>
          <cell r="F1702" t="str">
            <v>22313</v>
          </cell>
          <cell r="G1702" t="str">
            <v>為升三</v>
          </cell>
          <cell r="H1702">
            <v>200000</v>
          </cell>
          <cell r="I1702">
            <v>3.5</v>
          </cell>
          <cell r="J1702">
            <v>45898</v>
          </cell>
          <cell r="K1702">
            <v>101.50749999999999</v>
          </cell>
          <cell r="L1702">
            <v>45880</v>
          </cell>
          <cell r="M1702">
            <v>-6233</v>
          </cell>
          <cell r="N1702">
            <v>193767</v>
          </cell>
        </row>
        <row r="1703">
          <cell r="A1703">
            <v>41683</v>
          </cell>
          <cell r="B1703">
            <v>1697</v>
          </cell>
          <cell r="C1703" t="str">
            <v>IASWD2406001008</v>
          </cell>
          <cell r="D1703">
            <v>45467</v>
          </cell>
          <cell r="E1703">
            <v>45835</v>
          </cell>
          <cell r="F1703" t="str">
            <v>41683</v>
          </cell>
          <cell r="G1703" t="str">
            <v>醣聯三</v>
          </cell>
          <cell r="H1703">
            <v>100000</v>
          </cell>
          <cell r="I1703">
            <v>2.2000000000000002</v>
          </cell>
          <cell r="J1703">
            <v>45835</v>
          </cell>
          <cell r="K1703">
            <v>100</v>
          </cell>
          <cell r="L1703">
            <v>45817</v>
          </cell>
          <cell r="M1703">
            <v>-1959</v>
          </cell>
          <cell r="N1703">
            <v>98041</v>
          </cell>
        </row>
        <row r="1704">
          <cell r="A1704">
            <v>33055</v>
          </cell>
          <cell r="B1704">
            <v>1698</v>
          </cell>
          <cell r="C1704" t="str">
            <v>IASWD2406001011</v>
          </cell>
          <cell r="D1704">
            <v>45467</v>
          </cell>
          <cell r="E1704">
            <v>46016</v>
          </cell>
          <cell r="F1704" t="str">
            <v>33055</v>
          </cell>
          <cell r="G1704" t="str">
            <v>昇貿五</v>
          </cell>
          <cell r="H1704">
            <v>100000</v>
          </cell>
          <cell r="I1704">
            <v>4</v>
          </cell>
          <cell r="J1704">
            <v>46016</v>
          </cell>
          <cell r="K1704">
            <v>101.0025</v>
          </cell>
          <cell r="L1704">
            <v>45996</v>
          </cell>
          <cell r="M1704">
            <v>-3562</v>
          </cell>
          <cell r="N1704">
            <v>96438</v>
          </cell>
        </row>
        <row r="1705">
          <cell r="A1705">
            <v>33055</v>
          </cell>
          <cell r="B1705">
            <v>1699</v>
          </cell>
          <cell r="C1705" t="str">
            <v>IASWD2406001015</v>
          </cell>
          <cell r="D1705">
            <v>45467</v>
          </cell>
          <cell r="E1705">
            <v>46016</v>
          </cell>
          <cell r="F1705" t="str">
            <v>33055</v>
          </cell>
          <cell r="G1705" t="str">
            <v>昇貿五</v>
          </cell>
          <cell r="H1705">
            <v>100000</v>
          </cell>
          <cell r="I1705">
            <v>4</v>
          </cell>
          <cell r="J1705">
            <v>46016</v>
          </cell>
          <cell r="K1705">
            <v>101.0025</v>
          </cell>
          <cell r="L1705">
            <v>45996</v>
          </cell>
          <cell r="M1705">
            <v>-3562</v>
          </cell>
          <cell r="N1705">
            <v>96438</v>
          </cell>
        </row>
        <row r="1706">
          <cell r="A1706">
            <v>22313</v>
          </cell>
          <cell r="B1706">
            <v>1700</v>
          </cell>
          <cell r="C1706" t="str">
            <v>IASWD2406001017</v>
          </cell>
          <cell r="D1706">
            <v>45467</v>
          </cell>
          <cell r="E1706">
            <v>45898</v>
          </cell>
          <cell r="F1706" t="str">
            <v>22313</v>
          </cell>
          <cell r="G1706" t="str">
            <v>為升三</v>
          </cell>
          <cell r="H1706">
            <v>100000</v>
          </cell>
          <cell r="I1706">
            <v>3.5</v>
          </cell>
          <cell r="J1706">
            <v>45898</v>
          </cell>
          <cell r="K1706">
            <v>101.50749999999999</v>
          </cell>
          <cell r="L1706">
            <v>45880</v>
          </cell>
          <cell r="M1706">
            <v>-3116</v>
          </cell>
          <cell r="N1706">
            <v>96884</v>
          </cell>
        </row>
        <row r="1707">
          <cell r="A1707">
            <v>33055</v>
          </cell>
          <cell r="B1707">
            <v>1701</v>
          </cell>
          <cell r="C1707" t="str">
            <v>IASWD2406001018</v>
          </cell>
          <cell r="D1707">
            <v>45467</v>
          </cell>
          <cell r="E1707">
            <v>46016</v>
          </cell>
          <cell r="F1707" t="str">
            <v>33055</v>
          </cell>
          <cell r="G1707" t="str">
            <v>昇貿五</v>
          </cell>
          <cell r="H1707">
            <v>100000</v>
          </cell>
          <cell r="I1707">
            <v>4</v>
          </cell>
          <cell r="J1707">
            <v>46016</v>
          </cell>
          <cell r="K1707">
            <v>101.0025</v>
          </cell>
          <cell r="L1707">
            <v>45996</v>
          </cell>
          <cell r="M1707">
            <v>-3562</v>
          </cell>
          <cell r="N1707">
            <v>96438</v>
          </cell>
        </row>
        <row r="1708">
          <cell r="A1708">
            <v>22013</v>
          </cell>
          <cell r="B1708">
            <v>1702</v>
          </cell>
          <cell r="C1708" t="str">
            <v>IASWD2406001026</v>
          </cell>
          <cell r="D1708">
            <v>45467</v>
          </cell>
          <cell r="E1708">
            <v>46167</v>
          </cell>
          <cell r="F1708" t="str">
            <v>22013</v>
          </cell>
          <cell r="G1708" t="str">
            <v>裕隆三</v>
          </cell>
          <cell r="H1708">
            <v>100000</v>
          </cell>
          <cell r="I1708">
            <v>3</v>
          </cell>
          <cell r="J1708">
            <v>46167</v>
          </cell>
          <cell r="K1708">
            <v>100.75190000000001</v>
          </cell>
          <cell r="L1708">
            <v>46147</v>
          </cell>
          <cell r="M1708">
            <v>-2671</v>
          </cell>
          <cell r="N1708">
            <v>97329</v>
          </cell>
        </row>
        <row r="1709">
          <cell r="A1709">
            <v>22013</v>
          </cell>
          <cell r="B1709">
            <v>1703</v>
          </cell>
          <cell r="C1709" t="str">
            <v>IASWD2406001027</v>
          </cell>
          <cell r="D1709">
            <v>45467</v>
          </cell>
          <cell r="E1709">
            <v>46167</v>
          </cell>
          <cell r="F1709" t="str">
            <v>22013</v>
          </cell>
          <cell r="G1709" t="str">
            <v>裕隆三</v>
          </cell>
          <cell r="H1709">
            <v>200000</v>
          </cell>
          <cell r="I1709">
            <v>3</v>
          </cell>
          <cell r="J1709">
            <v>46167</v>
          </cell>
          <cell r="K1709">
            <v>100.75190000000001</v>
          </cell>
          <cell r="L1709">
            <v>46147</v>
          </cell>
          <cell r="M1709">
            <v>-5342</v>
          </cell>
          <cell r="N1709">
            <v>194658</v>
          </cell>
        </row>
        <row r="1710">
          <cell r="A1710">
            <v>33055</v>
          </cell>
          <cell r="B1710">
            <v>1704</v>
          </cell>
          <cell r="C1710" t="str">
            <v>IASWD2406001029</v>
          </cell>
          <cell r="D1710">
            <v>45467</v>
          </cell>
          <cell r="E1710">
            <v>46016</v>
          </cell>
          <cell r="F1710" t="str">
            <v>33055</v>
          </cell>
          <cell r="G1710" t="str">
            <v>昇貿五</v>
          </cell>
          <cell r="H1710">
            <v>200000</v>
          </cell>
          <cell r="I1710">
            <v>4</v>
          </cell>
          <cell r="J1710">
            <v>46016</v>
          </cell>
          <cell r="K1710">
            <v>101.0025</v>
          </cell>
          <cell r="L1710">
            <v>45996</v>
          </cell>
          <cell r="M1710">
            <v>-7123</v>
          </cell>
          <cell r="N1710">
            <v>192877</v>
          </cell>
        </row>
        <row r="1711">
          <cell r="A1711">
            <v>33055</v>
          </cell>
          <cell r="B1711">
            <v>1705</v>
          </cell>
          <cell r="C1711" t="str">
            <v>IASWD2406001031</v>
          </cell>
          <cell r="D1711">
            <v>45467</v>
          </cell>
          <cell r="E1711">
            <v>46016</v>
          </cell>
          <cell r="F1711" t="str">
            <v>33055</v>
          </cell>
          <cell r="G1711" t="str">
            <v>昇貿五</v>
          </cell>
          <cell r="H1711">
            <v>100000</v>
          </cell>
          <cell r="I1711">
            <v>4</v>
          </cell>
          <cell r="J1711">
            <v>46016</v>
          </cell>
          <cell r="K1711">
            <v>101.0025</v>
          </cell>
          <cell r="L1711">
            <v>45996</v>
          </cell>
          <cell r="M1711">
            <v>-3562</v>
          </cell>
          <cell r="N1711">
            <v>96438</v>
          </cell>
        </row>
        <row r="1712">
          <cell r="A1712">
            <v>34163</v>
          </cell>
          <cell r="B1712">
            <v>1706</v>
          </cell>
          <cell r="C1712" t="str">
            <v>IASWD2406001038</v>
          </cell>
          <cell r="D1712">
            <v>45468</v>
          </cell>
          <cell r="E1712">
            <v>46047</v>
          </cell>
          <cell r="F1712" t="str">
            <v>34163</v>
          </cell>
          <cell r="G1712" t="str">
            <v>融程電三</v>
          </cell>
          <cell r="H1712">
            <v>100000</v>
          </cell>
          <cell r="I1712">
            <v>3</v>
          </cell>
          <cell r="J1712">
            <v>46047</v>
          </cell>
          <cell r="K1712">
            <v>100.5</v>
          </cell>
          <cell r="L1712">
            <v>46028</v>
          </cell>
          <cell r="M1712">
            <v>-2663</v>
          </cell>
          <cell r="N1712">
            <v>97337</v>
          </cell>
        </row>
        <row r="1713">
          <cell r="A1713">
            <v>34834</v>
          </cell>
          <cell r="B1713">
            <v>1707</v>
          </cell>
          <cell r="C1713" t="str">
            <v>IASWD2406001050</v>
          </cell>
          <cell r="D1713">
            <v>45468</v>
          </cell>
          <cell r="E1713">
            <v>46529</v>
          </cell>
          <cell r="F1713" t="str">
            <v>34834</v>
          </cell>
          <cell r="G1713" t="str">
            <v>力致四</v>
          </cell>
          <cell r="H1713">
            <v>100000</v>
          </cell>
          <cell r="I1713">
            <v>3.75</v>
          </cell>
          <cell r="J1713">
            <v>46529</v>
          </cell>
          <cell r="K1713">
            <v>100</v>
          </cell>
          <cell r="L1713">
            <v>46511</v>
          </cell>
          <cell r="M1713">
            <v>-3329</v>
          </cell>
          <cell r="N1713">
            <v>96671</v>
          </cell>
        </row>
        <row r="1714">
          <cell r="A1714">
            <v>22013</v>
          </cell>
          <cell r="B1714">
            <v>1708</v>
          </cell>
          <cell r="C1714" t="str">
            <v>IASWD2406001053</v>
          </cell>
          <cell r="D1714">
            <v>45468</v>
          </cell>
          <cell r="E1714">
            <v>46167</v>
          </cell>
          <cell r="F1714" t="str">
            <v>22013</v>
          </cell>
          <cell r="G1714" t="str">
            <v>裕隆三</v>
          </cell>
          <cell r="H1714">
            <v>100000</v>
          </cell>
          <cell r="I1714">
            <v>3</v>
          </cell>
          <cell r="J1714">
            <v>46167</v>
          </cell>
          <cell r="K1714">
            <v>100.75190000000001</v>
          </cell>
          <cell r="L1714">
            <v>46147</v>
          </cell>
          <cell r="M1714">
            <v>-2663</v>
          </cell>
          <cell r="N1714">
            <v>97337</v>
          </cell>
        </row>
        <row r="1715">
          <cell r="A1715">
            <v>45663</v>
          </cell>
          <cell r="B1715">
            <v>1709</v>
          </cell>
          <cell r="C1715" t="str">
            <v>IASWD2406001054</v>
          </cell>
          <cell r="D1715">
            <v>45468</v>
          </cell>
          <cell r="E1715">
            <v>46353</v>
          </cell>
          <cell r="F1715" t="str">
            <v>45663</v>
          </cell>
          <cell r="G1715" t="str">
            <v>時碩工業三</v>
          </cell>
          <cell r="H1715">
            <v>200000</v>
          </cell>
          <cell r="I1715">
            <v>3.5</v>
          </cell>
          <cell r="J1715">
            <v>46353</v>
          </cell>
          <cell r="K1715">
            <v>100</v>
          </cell>
          <cell r="L1715">
            <v>46335</v>
          </cell>
          <cell r="M1715">
            <v>-6214</v>
          </cell>
          <cell r="N1715">
            <v>193786</v>
          </cell>
        </row>
        <row r="1716">
          <cell r="A1716">
            <v>22013</v>
          </cell>
          <cell r="B1716">
            <v>1710</v>
          </cell>
          <cell r="C1716" t="str">
            <v>IASWD2406001077</v>
          </cell>
          <cell r="D1716">
            <v>45469</v>
          </cell>
          <cell r="E1716">
            <v>46167</v>
          </cell>
          <cell r="F1716" t="str">
            <v>22013</v>
          </cell>
          <cell r="G1716" t="str">
            <v>裕隆三</v>
          </cell>
          <cell r="H1716">
            <v>200000</v>
          </cell>
          <cell r="I1716">
            <v>3</v>
          </cell>
          <cell r="J1716">
            <v>46167</v>
          </cell>
          <cell r="K1716">
            <v>100.75190000000001</v>
          </cell>
          <cell r="L1716">
            <v>46147</v>
          </cell>
          <cell r="M1716">
            <v>-5310</v>
          </cell>
          <cell r="N1716">
            <v>194690</v>
          </cell>
        </row>
        <row r="1717">
          <cell r="A1717">
            <v>22013</v>
          </cell>
          <cell r="B1717">
            <v>1711</v>
          </cell>
          <cell r="C1717" t="str">
            <v>IASWD2406001085</v>
          </cell>
          <cell r="D1717">
            <v>45469</v>
          </cell>
          <cell r="E1717">
            <v>46167</v>
          </cell>
          <cell r="F1717" t="str">
            <v>22013</v>
          </cell>
          <cell r="G1717" t="str">
            <v>裕隆三</v>
          </cell>
          <cell r="H1717">
            <v>100000</v>
          </cell>
          <cell r="I1717">
            <v>3</v>
          </cell>
          <cell r="J1717">
            <v>46167</v>
          </cell>
          <cell r="K1717">
            <v>100.75190000000001</v>
          </cell>
          <cell r="L1717">
            <v>46147</v>
          </cell>
          <cell r="M1717">
            <v>-2655</v>
          </cell>
          <cell r="N1717">
            <v>97345</v>
          </cell>
        </row>
        <row r="1718">
          <cell r="A1718">
            <v>22313</v>
          </cell>
          <cell r="B1718">
            <v>1712</v>
          </cell>
          <cell r="C1718" t="str">
            <v>IASWD2406001089</v>
          </cell>
          <cell r="D1718">
            <v>45469</v>
          </cell>
          <cell r="E1718">
            <v>45898</v>
          </cell>
          <cell r="F1718" t="str">
            <v>22313</v>
          </cell>
          <cell r="G1718" t="str">
            <v>為升三</v>
          </cell>
          <cell r="H1718">
            <v>100000</v>
          </cell>
          <cell r="I1718">
            <v>3.5</v>
          </cell>
          <cell r="J1718">
            <v>45898</v>
          </cell>
          <cell r="K1718">
            <v>101.50749999999999</v>
          </cell>
          <cell r="L1718">
            <v>45880</v>
          </cell>
          <cell r="M1718">
            <v>-3097</v>
          </cell>
          <cell r="N1718">
            <v>96903</v>
          </cell>
        </row>
        <row r="1719">
          <cell r="A1719">
            <v>56086</v>
          </cell>
          <cell r="B1719">
            <v>1713</v>
          </cell>
          <cell r="C1719" t="str">
            <v>IASWD2406001090</v>
          </cell>
          <cell r="D1719">
            <v>45469</v>
          </cell>
          <cell r="E1719">
            <v>46194</v>
          </cell>
          <cell r="F1719" t="str">
            <v>56086</v>
          </cell>
          <cell r="G1719" t="str">
            <v>四維航六</v>
          </cell>
          <cell r="H1719">
            <v>100000</v>
          </cell>
          <cell r="I1719">
            <v>2.35</v>
          </cell>
          <cell r="J1719">
            <v>46194</v>
          </cell>
          <cell r="K1719">
            <v>100</v>
          </cell>
          <cell r="L1719">
            <v>46175</v>
          </cell>
          <cell r="M1719">
            <v>-2080</v>
          </cell>
          <cell r="N1719">
            <v>97920</v>
          </cell>
        </row>
        <row r="1720">
          <cell r="A1720">
            <v>35482</v>
          </cell>
          <cell r="B1720">
            <v>1714</v>
          </cell>
          <cell r="C1720" t="str">
            <v>IASWD2406001094</v>
          </cell>
          <cell r="D1720">
            <v>45469</v>
          </cell>
          <cell r="E1720">
            <v>46395</v>
          </cell>
          <cell r="F1720" t="str">
            <v>35482</v>
          </cell>
          <cell r="G1720" t="str">
            <v>兆利二</v>
          </cell>
          <cell r="H1720">
            <v>100000</v>
          </cell>
          <cell r="I1720">
            <v>3</v>
          </cell>
          <cell r="J1720">
            <v>46395</v>
          </cell>
          <cell r="K1720">
            <v>100</v>
          </cell>
          <cell r="L1720">
            <v>46377</v>
          </cell>
          <cell r="M1720">
            <v>-2655</v>
          </cell>
          <cell r="N1720">
            <v>97345</v>
          </cell>
        </row>
        <row r="1721">
          <cell r="A1721">
            <v>35482</v>
          </cell>
          <cell r="B1721">
            <v>1715</v>
          </cell>
          <cell r="C1721" t="str">
            <v>IASWD2406001116</v>
          </cell>
          <cell r="D1721">
            <v>45469</v>
          </cell>
          <cell r="E1721">
            <v>46395</v>
          </cell>
          <cell r="F1721" t="str">
            <v>35482</v>
          </cell>
          <cell r="G1721" t="str">
            <v>兆利二</v>
          </cell>
          <cell r="H1721">
            <v>100000</v>
          </cell>
          <cell r="I1721">
            <v>3</v>
          </cell>
          <cell r="J1721">
            <v>46395</v>
          </cell>
          <cell r="K1721">
            <v>100</v>
          </cell>
          <cell r="L1721">
            <v>46377</v>
          </cell>
          <cell r="M1721">
            <v>-2655</v>
          </cell>
          <cell r="N1721">
            <v>97345</v>
          </cell>
        </row>
        <row r="1722">
          <cell r="A1722">
            <v>22013</v>
          </cell>
          <cell r="B1722">
            <v>1716</v>
          </cell>
          <cell r="C1722" t="str">
            <v>IASWD2406001120</v>
          </cell>
          <cell r="D1722">
            <v>45469</v>
          </cell>
          <cell r="E1722">
            <v>46167</v>
          </cell>
          <cell r="F1722" t="str">
            <v>22013</v>
          </cell>
          <cell r="G1722" t="str">
            <v>裕隆三</v>
          </cell>
          <cell r="H1722">
            <v>300000</v>
          </cell>
          <cell r="I1722">
            <v>3</v>
          </cell>
          <cell r="J1722">
            <v>46167</v>
          </cell>
          <cell r="K1722">
            <v>100.75190000000001</v>
          </cell>
          <cell r="L1722">
            <v>46147</v>
          </cell>
          <cell r="M1722">
            <v>-7964</v>
          </cell>
          <cell r="N1722">
            <v>292036</v>
          </cell>
        </row>
        <row r="1723">
          <cell r="A1723">
            <v>22013</v>
          </cell>
          <cell r="B1723">
            <v>1717</v>
          </cell>
          <cell r="C1723" t="str">
            <v>IASWD2406001122</v>
          </cell>
          <cell r="D1723">
            <v>45469</v>
          </cell>
          <cell r="E1723">
            <v>46167</v>
          </cell>
          <cell r="F1723" t="str">
            <v>22013</v>
          </cell>
          <cell r="G1723" t="str">
            <v>裕隆三</v>
          </cell>
          <cell r="H1723">
            <v>600000</v>
          </cell>
          <cell r="I1723">
            <v>3</v>
          </cell>
          <cell r="J1723">
            <v>46167</v>
          </cell>
          <cell r="K1723">
            <v>100.75190000000001</v>
          </cell>
          <cell r="L1723">
            <v>46147</v>
          </cell>
          <cell r="M1723">
            <v>-15929</v>
          </cell>
          <cell r="N1723">
            <v>584071</v>
          </cell>
        </row>
        <row r="1724">
          <cell r="A1724">
            <v>35482</v>
          </cell>
          <cell r="B1724">
            <v>1718</v>
          </cell>
          <cell r="C1724" t="str">
            <v>IASWD2406001124</v>
          </cell>
          <cell r="D1724">
            <v>45469</v>
          </cell>
          <cell r="E1724">
            <v>46395</v>
          </cell>
          <cell r="F1724" t="str">
            <v>35482</v>
          </cell>
          <cell r="G1724" t="str">
            <v>兆利二</v>
          </cell>
          <cell r="H1724">
            <v>100000</v>
          </cell>
          <cell r="I1724">
            <v>3</v>
          </cell>
          <cell r="J1724">
            <v>46395</v>
          </cell>
          <cell r="K1724">
            <v>100</v>
          </cell>
          <cell r="L1724">
            <v>46377</v>
          </cell>
          <cell r="M1724">
            <v>-2655</v>
          </cell>
          <cell r="N1724">
            <v>97345</v>
          </cell>
        </row>
        <row r="1725">
          <cell r="A1725">
            <v>89964</v>
          </cell>
          <cell r="B1725">
            <v>1719</v>
          </cell>
          <cell r="C1725" t="str">
            <v>IASWD2406001130</v>
          </cell>
          <cell r="D1725">
            <v>45469</v>
          </cell>
          <cell r="E1725">
            <v>46362</v>
          </cell>
          <cell r="F1725" t="str">
            <v>89964</v>
          </cell>
          <cell r="G1725" t="str">
            <v>高力四</v>
          </cell>
          <cell r="H1725">
            <v>200000</v>
          </cell>
          <cell r="I1725">
            <v>3.5</v>
          </cell>
          <cell r="J1725">
            <v>46362</v>
          </cell>
          <cell r="K1725">
            <v>100.75190000000001</v>
          </cell>
          <cell r="L1725">
            <v>46343</v>
          </cell>
          <cell r="M1725">
            <v>-6195</v>
          </cell>
          <cell r="N1725">
            <v>193805</v>
          </cell>
        </row>
        <row r="1726">
          <cell r="A1726">
            <v>22013</v>
          </cell>
          <cell r="B1726">
            <v>1720</v>
          </cell>
          <cell r="C1726" t="str">
            <v>IASWD2406001138</v>
          </cell>
          <cell r="D1726">
            <v>45469</v>
          </cell>
          <cell r="E1726">
            <v>46167</v>
          </cell>
          <cell r="F1726" t="str">
            <v>22013</v>
          </cell>
          <cell r="G1726" t="str">
            <v>裕隆三</v>
          </cell>
          <cell r="H1726">
            <v>200000</v>
          </cell>
          <cell r="I1726">
            <v>3</v>
          </cell>
          <cell r="J1726">
            <v>46167</v>
          </cell>
          <cell r="K1726">
            <v>100.75190000000001</v>
          </cell>
          <cell r="L1726">
            <v>46147</v>
          </cell>
          <cell r="M1726">
            <v>-5310</v>
          </cell>
          <cell r="N1726">
            <v>194690</v>
          </cell>
        </row>
        <row r="1727">
          <cell r="A1727">
            <v>22013</v>
          </cell>
          <cell r="B1727">
            <v>1721</v>
          </cell>
          <cell r="C1727" t="str">
            <v>IASWD2406001139</v>
          </cell>
          <cell r="D1727">
            <v>45469</v>
          </cell>
          <cell r="E1727">
            <v>46167</v>
          </cell>
          <cell r="F1727" t="str">
            <v>22013</v>
          </cell>
          <cell r="G1727" t="str">
            <v>裕隆三</v>
          </cell>
          <cell r="H1727">
            <v>100000</v>
          </cell>
          <cell r="I1727">
            <v>3</v>
          </cell>
          <cell r="J1727">
            <v>46167</v>
          </cell>
          <cell r="K1727">
            <v>100.75190000000001</v>
          </cell>
          <cell r="L1727">
            <v>46147</v>
          </cell>
          <cell r="M1727">
            <v>-2655</v>
          </cell>
          <cell r="N1727">
            <v>97345</v>
          </cell>
        </row>
        <row r="1728">
          <cell r="A1728">
            <v>35482</v>
          </cell>
          <cell r="B1728">
            <v>1722</v>
          </cell>
          <cell r="C1728" t="str">
            <v>IASWD2406001156</v>
          </cell>
          <cell r="D1728">
            <v>45469</v>
          </cell>
          <cell r="E1728">
            <v>46395</v>
          </cell>
          <cell r="F1728" t="str">
            <v>35482</v>
          </cell>
          <cell r="G1728" t="str">
            <v>兆利二</v>
          </cell>
          <cell r="H1728">
            <v>300000</v>
          </cell>
          <cell r="I1728">
            <v>3</v>
          </cell>
          <cell r="J1728">
            <v>46395</v>
          </cell>
          <cell r="K1728">
            <v>100</v>
          </cell>
          <cell r="L1728">
            <v>46377</v>
          </cell>
          <cell r="M1728">
            <v>-7964</v>
          </cell>
          <cell r="N1728">
            <v>292036</v>
          </cell>
        </row>
        <row r="1729">
          <cell r="A1729">
            <v>34834</v>
          </cell>
          <cell r="B1729">
            <v>1723</v>
          </cell>
          <cell r="C1729" t="str">
            <v>IASWD2406001159</v>
          </cell>
          <cell r="D1729">
            <v>45470</v>
          </cell>
          <cell r="E1729">
            <v>46529</v>
          </cell>
          <cell r="F1729" t="str">
            <v>34834</v>
          </cell>
          <cell r="G1729" t="str">
            <v>力致四</v>
          </cell>
          <cell r="H1729">
            <v>100000</v>
          </cell>
          <cell r="I1729">
            <v>3.75</v>
          </cell>
          <cell r="J1729">
            <v>46529</v>
          </cell>
          <cell r="K1729">
            <v>100</v>
          </cell>
          <cell r="L1729">
            <v>46511</v>
          </cell>
          <cell r="M1729">
            <v>-3308</v>
          </cell>
          <cell r="N1729">
            <v>96692</v>
          </cell>
        </row>
        <row r="1730">
          <cell r="A1730">
            <v>22013</v>
          </cell>
          <cell r="B1730">
            <v>1724</v>
          </cell>
          <cell r="C1730" t="str">
            <v>IASWD2406001162</v>
          </cell>
          <cell r="D1730">
            <v>45470</v>
          </cell>
          <cell r="E1730">
            <v>46167</v>
          </cell>
          <cell r="F1730" t="str">
            <v>22013</v>
          </cell>
          <cell r="G1730" t="str">
            <v>裕隆三</v>
          </cell>
          <cell r="H1730">
            <v>300000</v>
          </cell>
          <cell r="I1730">
            <v>3</v>
          </cell>
          <cell r="J1730">
            <v>46167</v>
          </cell>
          <cell r="K1730">
            <v>100.75190000000001</v>
          </cell>
          <cell r="L1730">
            <v>46147</v>
          </cell>
          <cell r="M1730">
            <v>-7940</v>
          </cell>
          <cell r="N1730">
            <v>292060</v>
          </cell>
        </row>
        <row r="1731">
          <cell r="A1731">
            <v>22013</v>
          </cell>
          <cell r="B1731">
            <v>1725</v>
          </cell>
          <cell r="C1731" t="str">
            <v>IASWD2406001164</v>
          </cell>
          <cell r="D1731">
            <v>45470</v>
          </cell>
          <cell r="E1731">
            <v>46167</v>
          </cell>
          <cell r="F1731" t="str">
            <v>22013</v>
          </cell>
          <cell r="G1731" t="str">
            <v>裕隆三</v>
          </cell>
          <cell r="H1731">
            <v>200000</v>
          </cell>
          <cell r="I1731">
            <v>3</v>
          </cell>
          <cell r="J1731">
            <v>46167</v>
          </cell>
          <cell r="K1731">
            <v>100.75190000000001</v>
          </cell>
          <cell r="L1731">
            <v>46147</v>
          </cell>
          <cell r="M1731">
            <v>-5293</v>
          </cell>
          <cell r="N1731">
            <v>194707</v>
          </cell>
        </row>
        <row r="1732">
          <cell r="A1732">
            <v>34834</v>
          </cell>
          <cell r="B1732">
            <v>1726</v>
          </cell>
          <cell r="C1732" t="str">
            <v>IASWD2406001169</v>
          </cell>
          <cell r="D1732">
            <v>45470</v>
          </cell>
          <cell r="E1732">
            <v>46529</v>
          </cell>
          <cell r="F1732" t="str">
            <v>34834</v>
          </cell>
          <cell r="G1732" t="str">
            <v>力致四</v>
          </cell>
          <cell r="H1732">
            <v>100000</v>
          </cell>
          <cell r="I1732">
            <v>3.75</v>
          </cell>
          <cell r="J1732">
            <v>46529</v>
          </cell>
          <cell r="K1732">
            <v>100</v>
          </cell>
          <cell r="L1732">
            <v>46511</v>
          </cell>
          <cell r="M1732">
            <v>-3308</v>
          </cell>
          <cell r="N1732">
            <v>96692</v>
          </cell>
        </row>
        <row r="1733">
          <cell r="A1733">
            <v>22013</v>
          </cell>
          <cell r="B1733">
            <v>1727</v>
          </cell>
          <cell r="C1733" t="str">
            <v>IASWD2406001171</v>
          </cell>
          <cell r="D1733">
            <v>45470</v>
          </cell>
          <cell r="E1733">
            <v>46167</v>
          </cell>
          <cell r="F1733" t="str">
            <v>22013</v>
          </cell>
          <cell r="G1733" t="str">
            <v>裕隆三</v>
          </cell>
          <cell r="H1733">
            <v>100000</v>
          </cell>
          <cell r="I1733">
            <v>3</v>
          </cell>
          <cell r="J1733">
            <v>46167</v>
          </cell>
          <cell r="K1733">
            <v>100.75190000000001</v>
          </cell>
          <cell r="L1733">
            <v>46147</v>
          </cell>
          <cell r="M1733">
            <v>-2647</v>
          </cell>
          <cell r="N1733">
            <v>97353</v>
          </cell>
        </row>
        <row r="1734">
          <cell r="A1734">
            <v>34834</v>
          </cell>
          <cell r="B1734">
            <v>1728</v>
          </cell>
          <cell r="C1734" t="str">
            <v>IASWD2406001172</v>
          </cell>
          <cell r="D1734">
            <v>45470</v>
          </cell>
          <cell r="E1734">
            <v>46529</v>
          </cell>
          <cell r="F1734" t="str">
            <v>34834</v>
          </cell>
          <cell r="G1734" t="str">
            <v>力致四</v>
          </cell>
          <cell r="H1734">
            <v>100000</v>
          </cell>
          <cell r="I1734">
            <v>3.75</v>
          </cell>
          <cell r="J1734">
            <v>46529</v>
          </cell>
          <cell r="K1734">
            <v>100</v>
          </cell>
          <cell r="L1734">
            <v>46511</v>
          </cell>
          <cell r="M1734">
            <v>-3308</v>
          </cell>
          <cell r="N1734">
            <v>96692</v>
          </cell>
        </row>
        <row r="1735">
          <cell r="A1735">
            <v>22013</v>
          </cell>
          <cell r="B1735">
            <v>1729</v>
          </cell>
          <cell r="C1735" t="str">
            <v>IASWD2406001173</v>
          </cell>
          <cell r="D1735">
            <v>45470</v>
          </cell>
          <cell r="E1735">
            <v>46167</v>
          </cell>
          <cell r="F1735" t="str">
            <v>22013</v>
          </cell>
          <cell r="G1735" t="str">
            <v>裕隆三</v>
          </cell>
          <cell r="H1735">
            <v>200000</v>
          </cell>
          <cell r="I1735">
            <v>3</v>
          </cell>
          <cell r="J1735">
            <v>46167</v>
          </cell>
          <cell r="K1735">
            <v>100.75190000000001</v>
          </cell>
          <cell r="L1735">
            <v>46147</v>
          </cell>
          <cell r="M1735">
            <v>-5293</v>
          </cell>
          <cell r="N1735">
            <v>194707</v>
          </cell>
        </row>
        <row r="1736">
          <cell r="A1736">
            <v>22013</v>
          </cell>
          <cell r="B1736">
            <v>1730</v>
          </cell>
          <cell r="C1736" t="str">
            <v>IASWD2406001175</v>
          </cell>
          <cell r="D1736">
            <v>45470</v>
          </cell>
          <cell r="E1736">
            <v>46167</v>
          </cell>
          <cell r="F1736" t="str">
            <v>22013</v>
          </cell>
          <cell r="G1736" t="str">
            <v>裕隆三</v>
          </cell>
          <cell r="H1736">
            <v>100000</v>
          </cell>
          <cell r="I1736">
            <v>3</v>
          </cell>
          <cell r="J1736">
            <v>46167</v>
          </cell>
          <cell r="K1736">
            <v>100.75190000000001</v>
          </cell>
          <cell r="L1736">
            <v>46147</v>
          </cell>
          <cell r="M1736">
            <v>-2647</v>
          </cell>
          <cell r="N1736">
            <v>97353</v>
          </cell>
        </row>
        <row r="1737">
          <cell r="A1737">
            <v>22013</v>
          </cell>
          <cell r="B1737">
            <v>1731</v>
          </cell>
          <cell r="C1737" t="str">
            <v>IASWD2406001179</v>
          </cell>
          <cell r="D1737">
            <v>45470</v>
          </cell>
          <cell r="E1737">
            <v>46167</v>
          </cell>
          <cell r="F1737" t="str">
            <v>22013</v>
          </cell>
          <cell r="G1737" t="str">
            <v>裕隆三</v>
          </cell>
          <cell r="H1737">
            <v>300000</v>
          </cell>
          <cell r="I1737">
            <v>3</v>
          </cell>
          <cell r="J1737">
            <v>46167</v>
          </cell>
          <cell r="K1737">
            <v>100.75190000000001</v>
          </cell>
          <cell r="L1737">
            <v>46147</v>
          </cell>
          <cell r="M1737">
            <v>-7940</v>
          </cell>
          <cell r="N1737">
            <v>292060</v>
          </cell>
        </row>
        <row r="1738">
          <cell r="A1738">
            <v>34793</v>
          </cell>
          <cell r="B1738">
            <v>1732</v>
          </cell>
          <cell r="C1738" t="str">
            <v>IASWD2406001185</v>
          </cell>
          <cell r="D1738">
            <v>45470</v>
          </cell>
          <cell r="E1738">
            <v>46409</v>
          </cell>
          <cell r="F1738" t="str">
            <v>34793</v>
          </cell>
          <cell r="G1738" t="str">
            <v>安勤三</v>
          </cell>
          <cell r="H1738">
            <v>100000</v>
          </cell>
          <cell r="I1738">
            <v>3</v>
          </cell>
          <cell r="J1738">
            <v>46409</v>
          </cell>
          <cell r="K1738">
            <v>100</v>
          </cell>
          <cell r="L1738">
            <v>46391</v>
          </cell>
          <cell r="M1738">
            <v>-2647</v>
          </cell>
          <cell r="N1738">
            <v>97353</v>
          </cell>
        </row>
        <row r="1739">
          <cell r="A1739">
            <v>22013</v>
          </cell>
          <cell r="B1739">
            <v>1733</v>
          </cell>
          <cell r="C1739" t="str">
            <v>IASWD2406001187</v>
          </cell>
          <cell r="D1739">
            <v>45470</v>
          </cell>
          <cell r="E1739">
            <v>46167</v>
          </cell>
          <cell r="F1739" t="str">
            <v>22013</v>
          </cell>
          <cell r="G1739" t="str">
            <v>裕隆三</v>
          </cell>
          <cell r="H1739">
            <v>500000</v>
          </cell>
          <cell r="I1739">
            <v>3</v>
          </cell>
          <cell r="J1739">
            <v>46167</v>
          </cell>
          <cell r="K1739">
            <v>100.75190000000001</v>
          </cell>
          <cell r="L1739">
            <v>46147</v>
          </cell>
          <cell r="M1739">
            <v>-13233</v>
          </cell>
          <cell r="N1739">
            <v>486767</v>
          </cell>
        </row>
        <row r="1740">
          <cell r="A1740">
            <v>35482</v>
          </cell>
          <cell r="B1740">
            <v>1734</v>
          </cell>
          <cell r="C1740" t="str">
            <v>IASWD2406001188</v>
          </cell>
          <cell r="D1740">
            <v>45470</v>
          </cell>
          <cell r="E1740">
            <v>46395</v>
          </cell>
          <cell r="F1740" t="str">
            <v>35482</v>
          </cell>
          <cell r="G1740" t="str">
            <v>兆利二</v>
          </cell>
          <cell r="H1740">
            <v>200000</v>
          </cell>
          <cell r="I1740">
            <v>3</v>
          </cell>
          <cell r="J1740">
            <v>46395</v>
          </cell>
          <cell r="K1740">
            <v>100</v>
          </cell>
          <cell r="L1740">
            <v>46377</v>
          </cell>
          <cell r="M1740">
            <v>-5293</v>
          </cell>
          <cell r="N1740">
            <v>194707</v>
          </cell>
        </row>
        <row r="1741">
          <cell r="A1741">
            <v>22013</v>
          </cell>
          <cell r="B1741">
            <v>1735</v>
          </cell>
          <cell r="C1741" t="str">
            <v>IASWD2406001191</v>
          </cell>
          <cell r="D1741">
            <v>45470</v>
          </cell>
          <cell r="E1741">
            <v>46167</v>
          </cell>
          <cell r="F1741" t="str">
            <v>22013</v>
          </cell>
          <cell r="G1741" t="str">
            <v>裕隆三</v>
          </cell>
          <cell r="H1741">
            <v>600000</v>
          </cell>
          <cell r="I1741">
            <v>3</v>
          </cell>
          <cell r="J1741">
            <v>46167</v>
          </cell>
          <cell r="K1741">
            <v>100.75190000000001</v>
          </cell>
          <cell r="L1741">
            <v>46147</v>
          </cell>
          <cell r="M1741">
            <v>-15879</v>
          </cell>
          <cell r="N1741">
            <v>584121</v>
          </cell>
        </row>
        <row r="1742">
          <cell r="A1742">
            <v>22313</v>
          </cell>
          <cell r="B1742">
            <v>1736</v>
          </cell>
          <cell r="C1742" t="str">
            <v>IASWD2406001192</v>
          </cell>
          <cell r="D1742">
            <v>45470</v>
          </cell>
          <cell r="E1742">
            <v>45898</v>
          </cell>
          <cell r="F1742" t="str">
            <v>22313</v>
          </cell>
          <cell r="G1742" t="str">
            <v>為升三</v>
          </cell>
          <cell r="H1742">
            <v>2000000</v>
          </cell>
          <cell r="I1742">
            <v>3.5</v>
          </cell>
          <cell r="J1742">
            <v>45898</v>
          </cell>
          <cell r="K1742">
            <v>101.50749999999999</v>
          </cell>
          <cell r="L1742">
            <v>45880</v>
          </cell>
          <cell r="M1742">
            <v>-61753</v>
          </cell>
          <cell r="N1742">
            <v>1938247</v>
          </cell>
        </row>
        <row r="1743">
          <cell r="A1743">
            <v>35482</v>
          </cell>
          <cell r="B1743">
            <v>1737</v>
          </cell>
          <cell r="C1743" t="str">
            <v>IASWD2406001194</v>
          </cell>
          <cell r="D1743">
            <v>45470</v>
          </cell>
          <cell r="E1743">
            <v>46395</v>
          </cell>
          <cell r="F1743" t="str">
            <v>35482</v>
          </cell>
          <cell r="G1743" t="str">
            <v>兆利二</v>
          </cell>
          <cell r="H1743">
            <v>100000</v>
          </cell>
          <cell r="I1743">
            <v>3</v>
          </cell>
          <cell r="J1743">
            <v>46395</v>
          </cell>
          <cell r="K1743">
            <v>100</v>
          </cell>
          <cell r="L1743">
            <v>46377</v>
          </cell>
          <cell r="M1743">
            <v>-2647</v>
          </cell>
          <cell r="N1743">
            <v>97353</v>
          </cell>
        </row>
        <row r="1744">
          <cell r="A1744">
            <v>61965</v>
          </cell>
          <cell r="B1744">
            <v>1738</v>
          </cell>
          <cell r="C1744" t="str">
            <v>IASWD2406001195</v>
          </cell>
          <cell r="D1744">
            <v>45470</v>
          </cell>
          <cell r="E1744">
            <v>46200</v>
          </cell>
          <cell r="F1744" t="str">
            <v>61965</v>
          </cell>
          <cell r="G1744" t="str">
            <v>帆宣五</v>
          </cell>
          <cell r="H1744">
            <v>100000</v>
          </cell>
          <cell r="I1744">
            <v>3</v>
          </cell>
          <cell r="J1744">
            <v>46200</v>
          </cell>
          <cell r="K1744">
            <v>100</v>
          </cell>
          <cell r="L1744">
            <v>46182</v>
          </cell>
          <cell r="M1744">
            <v>-2647</v>
          </cell>
          <cell r="N1744">
            <v>97353</v>
          </cell>
        </row>
        <row r="1745">
          <cell r="A1745">
            <v>22013</v>
          </cell>
          <cell r="B1745">
            <v>1739</v>
          </cell>
          <cell r="C1745" t="str">
            <v>IASWD2406001201</v>
          </cell>
          <cell r="D1745">
            <v>45470</v>
          </cell>
          <cell r="E1745">
            <v>46167</v>
          </cell>
          <cell r="F1745" t="str">
            <v>22013</v>
          </cell>
          <cell r="G1745" t="str">
            <v>裕隆三</v>
          </cell>
          <cell r="H1745">
            <v>100000</v>
          </cell>
          <cell r="I1745">
            <v>3</v>
          </cell>
          <cell r="J1745">
            <v>46167</v>
          </cell>
          <cell r="K1745">
            <v>100.75190000000001</v>
          </cell>
          <cell r="L1745">
            <v>46147</v>
          </cell>
          <cell r="M1745">
            <v>-2647</v>
          </cell>
          <cell r="N1745">
            <v>97353</v>
          </cell>
        </row>
        <row r="1746">
          <cell r="A1746">
            <v>35482</v>
          </cell>
          <cell r="B1746">
            <v>1740</v>
          </cell>
          <cell r="C1746" t="str">
            <v>IASWD2406001202</v>
          </cell>
          <cell r="D1746">
            <v>45470</v>
          </cell>
          <cell r="E1746">
            <v>46395</v>
          </cell>
          <cell r="F1746" t="str">
            <v>35482</v>
          </cell>
          <cell r="G1746" t="str">
            <v>兆利二</v>
          </cell>
          <cell r="H1746">
            <v>100000</v>
          </cell>
          <cell r="I1746">
            <v>3</v>
          </cell>
          <cell r="J1746">
            <v>46395</v>
          </cell>
          <cell r="K1746">
            <v>100</v>
          </cell>
          <cell r="L1746">
            <v>46377</v>
          </cell>
          <cell r="M1746">
            <v>-2647</v>
          </cell>
          <cell r="N1746">
            <v>97353</v>
          </cell>
        </row>
        <row r="1747">
          <cell r="A1747">
            <v>61965</v>
          </cell>
          <cell r="B1747">
            <v>1741</v>
          </cell>
          <cell r="C1747" t="str">
            <v>IASWD2406001209</v>
          </cell>
          <cell r="D1747">
            <v>45470</v>
          </cell>
          <cell r="E1747">
            <v>46200</v>
          </cell>
          <cell r="F1747" t="str">
            <v>61965</v>
          </cell>
          <cell r="G1747" t="str">
            <v>帆宣五</v>
          </cell>
          <cell r="H1747">
            <v>100000</v>
          </cell>
          <cell r="I1747">
            <v>3</v>
          </cell>
          <cell r="J1747">
            <v>46200</v>
          </cell>
          <cell r="K1747">
            <v>100</v>
          </cell>
          <cell r="L1747">
            <v>46182</v>
          </cell>
          <cell r="M1747">
            <v>-2647</v>
          </cell>
          <cell r="N1747">
            <v>97353</v>
          </cell>
        </row>
        <row r="1748">
          <cell r="A1748">
            <v>22013</v>
          </cell>
          <cell r="B1748">
            <v>1742</v>
          </cell>
          <cell r="C1748" t="str">
            <v>IASWD2406001210</v>
          </cell>
          <cell r="D1748">
            <v>45470</v>
          </cell>
          <cell r="E1748">
            <v>46167</v>
          </cell>
          <cell r="F1748" t="str">
            <v>22013</v>
          </cell>
          <cell r="G1748" t="str">
            <v>裕隆三</v>
          </cell>
          <cell r="H1748">
            <v>500000</v>
          </cell>
          <cell r="I1748">
            <v>3</v>
          </cell>
          <cell r="J1748">
            <v>46167</v>
          </cell>
          <cell r="K1748">
            <v>100.75190000000001</v>
          </cell>
          <cell r="L1748">
            <v>46147</v>
          </cell>
          <cell r="M1748">
            <v>-13233</v>
          </cell>
          <cell r="N1748">
            <v>486767</v>
          </cell>
        </row>
        <row r="1749">
          <cell r="A1749">
            <v>22013</v>
          </cell>
          <cell r="B1749">
            <v>1743</v>
          </cell>
          <cell r="C1749" t="str">
            <v>IASWD2406001211</v>
          </cell>
          <cell r="D1749">
            <v>45470</v>
          </cell>
          <cell r="E1749">
            <v>46167</v>
          </cell>
          <cell r="F1749" t="str">
            <v>22013</v>
          </cell>
          <cell r="G1749" t="str">
            <v>裕隆三</v>
          </cell>
          <cell r="H1749">
            <v>100000</v>
          </cell>
          <cell r="I1749">
            <v>3</v>
          </cell>
          <cell r="J1749">
            <v>46167</v>
          </cell>
          <cell r="K1749">
            <v>100.75190000000001</v>
          </cell>
          <cell r="L1749">
            <v>46147</v>
          </cell>
          <cell r="M1749">
            <v>-2647</v>
          </cell>
          <cell r="N1749">
            <v>97353</v>
          </cell>
        </row>
        <row r="1750">
          <cell r="A1750">
            <v>22013</v>
          </cell>
          <cell r="B1750">
            <v>1744</v>
          </cell>
          <cell r="C1750" t="str">
            <v>IASWD2406001212</v>
          </cell>
          <cell r="D1750">
            <v>45470</v>
          </cell>
          <cell r="E1750">
            <v>46167</v>
          </cell>
          <cell r="F1750" t="str">
            <v>22013</v>
          </cell>
          <cell r="G1750" t="str">
            <v>裕隆三</v>
          </cell>
          <cell r="H1750">
            <v>100000</v>
          </cell>
          <cell r="I1750">
            <v>3</v>
          </cell>
          <cell r="J1750">
            <v>46167</v>
          </cell>
          <cell r="K1750">
            <v>100.75190000000001</v>
          </cell>
          <cell r="L1750">
            <v>46147</v>
          </cell>
          <cell r="M1750">
            <v>-2647</v>
          </cell>
          <cell r="N1750">
            <v>97353</v>
          </cell>
        </row>
        <row r="1751">
          <cell r="A1751">
            <v>36804</v>
          </cell>
          <cell r="B1751">
            <v>1745</v>
          </cell>
          <cell r="C1751" t="str">
            <v>IASWD2406001217</v>
          </cell>
          <cell r="D1751">
            <v>45471</v>
          </cell>
          <cell r="E1751">
            <v>45948</v>
          </cell>
          <cell r="F1751" t="str">
            <v>36804</v>
          </cell>
          <cell r="G1751" t="str">
            <v>家登四</v>
          </cell>
          <cell r="H1751">
            <v>300000</v>
          </cell>
          <cell r="I1751">
            <v>3.2</v>
          </cell>
          <cell r="J1751">
            <v>45948</v>
          </cell>
          <cell r="K1751">
            <v>100</v>
          </cell>
          <cell r="L1751">
            <v>45926</v>
          </cell>
          <cell r="M1751">
            <v>-8443</v>
          </cell>
          <cell r="N1751">
            <v>291557</v>
          </cell>
        </row>
        <row r="1752">
          <cell r="A1752">
            <v>35482</v>
          </cell>
          <cell r="B1752">
            <v>1746</v>
          </cell>
          <cell r="C1752" t="str">
            <v>IASWD2406001219</v>
          </cell>
          <cell r="D1752">
            <v>45471</v>
          </cell>
          <cell r="E1752">
            <v>46395</v>
          </cell>
          <cell r="F1752" t="str">
            <v>35482</v>
          </cell>
          <cell r="G1752" t="str">
            <v>兆利二</v>
          </cell>
          <cell r="H1752">
            <v>100000</v>
          </cell>
          <cell r="I1752">
            <v>3</v>
          </cell>
          <cell r="J1752">
            <v>46395</v>
          </cell>
          <cell r="K1752">
            <v>100</v>
          </cell>
          <cell r="L1752">
            <v>46377</v>
          </cell>
          <cell r="M1752">
            <v>-2638</v>
          </cell>
          <cell r="N1752">
            <v>97362</v>
          </cell>
        </row>
        <row r="1753">
          <cell r="A1753">
            <v>34834</v>
          </cell>
          <cell r="B1753">
            <v>1747</v>
          </cell>
          <cell r="C1753" t="str">
            <v>IASWD2406001224</v>
          </cell>
          <cell r="D1753">
            <v>45471</v>
          </cell>
          <cell r="E1753">
            <v>46529</v>
          </cell>
          <cell r="F1753" t="str">
            <v>34834</v>
          </cell>
          <cell r="G1753" t="str">
            <v>力致四</v>
          </cell>
          <cell r="H1753">
            <v>100000</v>
          </cell>
          <cell r="I1753">
            <v>3.75</v>
          </cell>
          <cell r="J1753">
            <v>46529</v>
          </cell>
          <cell r="K1753">
            <v>100</v>
          </cell>
          <cell r="L1753">
            <v>46511</v>
          </cell>
          <cell r="M1753">
            <v>-3298</v>
          </cell>
          <cell r="N1753">
            <v>96702</v>
          </cell>
        </row>
        <row r="1754">
          <cell r="A1754">
            <v>35482</v>
          </cell>
          <cell r="B1754">
            <v>1748</v>
          </cell>
          <cell r="C1754" t="str">
            <v>IASWD2406001228</v>
          </cell>
          <cell r="D1754">
            <v>45471</v>
          </cell>
          <cell r="E1754">
            <v>46395</v>
          </cell>
          <cell r="F1754" t="str">
            <v>35482</v>
          </cell>
          <cell r="G1754" t="str">
            <v>兆利二</v>
          </cell>
          <cell r="H1754">
            <v>200000</v>
          </cell>
          <cell r="I1754">
            <v>3</v>
          </cell>
          <cell r="J1754">
            <v>46395</v>
          </cell>
          <cell r="K1754">
            <v>100</v>
          </cell>
          <cell r="L1754">
            <v>46377</v>
          </cell>
          <cell r="M1754">
            <v>-5277</v>
          </cell>
          <cell r="N1754">
            <v>194723</v>
          </cell>
        </row>
        <row r="1755">
          <cell r="A1755">
            <v>61965</v>
          </cell>
          <cell r="B1755">
            <v>1749</v>
          </cell>
          <cell r="C1755" t="str">
            <v>IASWD2406001229</v>
          </cell>
          <cell r="D1755">
            <v>45471</v>
          </cell>
          <cell r="E1755">
            <v>46200</v>
          </cell>
          <cell r="F1755" t="str">
            <v>61965</v>
          </cell>
          <cell r="G1755" t="str">
            <v>帆宣五</v>
          </cell>
          <cell r="H1755">
            <v>100000</v>
          </cell>
          <cell r="I1755">
            <v>3</v>
          </cell>
          <cell r="J1755">
            <v>46200</v>
          </cell>
          <cell r="K1755">
            <v>100</v>
          </cell>
          <cell r="L1755">
            <v>46182</v>
          </cell>
          <cell r="M1755">
            <v>-2638</v>
          </cell>
          <cell r="N1755">
            <v>97362</v>
          </cell>
        </row>
        <row r="1756">
          <cell r="A1756">
            <v>35482</v>
          </cell>
          <cell r="B1756">
            <v>1750</v>
          </cell>
          <cell r="C1756" t="str">
            <v>IASWD2406001234</v>
          </cell>
          <cell r="D1756">
            <v>45471</v>
          </cell>
          <cell r="E1756">
            <v>46395</v>
          </cell>
          <cell r="F1756" t="str">
            <v>35482</v>
          </cell>
          <cell r="G1756" t="str">
            <v>兆利二</v>
          </cell>
          <cell r="H1756">
            <v>100000</v>
          </cell>
          <cell r="I1756">
            <v>3</v>
          </cell>
          <cell r="J1756">
            <v>46395</v>
          </cell>
          <cell r="K1756">
            <v>100</v>
          </cell>
          <cell r="L1756">
            <v>46377</v>
          </cell>
          <cell r="M1756">
            <v>-2638</v>
          </cell>
          <cell r="N1756">
            <v>97362</v>
          </cell>
        </row>
        <row r="1757">
          <cell r="A1757">
            <v>20632</v>
          </cell>
          <cell r="B1757">
            <v>1751</v>
          </cell>
          <cell r="C1757" t="str">
            <v>IASWD2406001243</v>
          </cell>
          <cell r="D1757">
            <v>45471</v>
          </cell>
          <cell r="E1757">
            <v>45971</v>
          </cell>
          <cell r="F1757" t="str">
            <v>20632</v>
          </cell>
          <cell r="G1757" t="str">
            <v>世鎧二</v>
          </cell>
          <cell r="H1757">
            <v>100000</v>
          </cell>
          <cell r="I1757">
            <v>3.25</v>
          </cell>
          <cell r="J1757">
            <v>45971</v>
          </cell>
          <cell r="K1757">
            <v>100</v>
          </cell>
          <cell r="L1757">
            <v>45951</v>
          </cell>
          <cell r="M1757">
            <v>-2858</v>
          </cell>
          <cell r="N1757">
            <v>97142</v>
          </cell>
        </row>
        <row r="1758">
          <cell r="A1758">
            <v>35482</v>
          </cell>
          <cell r="B1758">
            <v>1752</v>
          </cell>
          <cell r="C1758" t="str">
            <v>IASWD2406001246</v>
          </cell>
          <cell r="D1758">
            <v>45471</v>
          </cell>
          <cell r="E1758">
            <v>46395</v>
          </cell>
          <cell r="F1758" t="str">
            <v>35482</v>
          </cell>
          <cell r="G1758" t="str">
            <v>兆利二</v>
          </cell>
          <cell r="H1758">
            <v>100000</v>
          </cell>
          <cell r="I1758">
            <v>3</v>
          </cell>
          <cell r="J1758">
            <v>46395</v>
          </cell>
          <cell r="K1758">
            <v>100</v>
          </cell>
          <cell r="L1758">
            <v>46377</v>
          </cell>
          <cell r="M1758">
            <v>-2638</v>
          </cell>
          <cell r="N1758">
            <v>97362</v>
          </cell>
        </row>
        <row r="1759">
          <cell r="A1759">
            <v>34793</v>
          </cell>
          <cell r="B1759">
            <v>1753</v>
          </cell>
          <cell r="C1759" t="str">
            <v>IASWD2406001247</v>
          </cell>
          <cell r="D1759">
            <v>45471</v>
          </cell>
          <cell r="E1759">
            <v>46409</v>
          </cell>
          <cell r="F1759" t="str">
            <v>34793</v>
          </cell>
          <cell r="G1759" t="str">
            <v>安勤三</v>
          </cell>
          <cell r="H1759">
            <v>100000</v>
          </cell>
          <cell r="I1759">
            <v>3</v>
          </cell>
          <cell r="J1759">
            <v>46409</v>
          </cell>
          <cell r="K1759">
            <v>100</v>
          </cell>
          <cell r="L1759">
            <v>46391</v>
          </cell>
          <cell r="M1759">
            <v>-2638</v>
          </cell>
          <cell r="N1759">
            <v>97362</v>
          </cell>
        </row>
        <row r="1760">
          <cell r="A1760">
            <v>36804</v>
          </cell>
          <cell r="B1760">
            <v>1754</v>
          </cell>
          <cell r="C1760" t="str">
            <v>IASWD2406001249</v>
          </cell>
          <cell r="D1760">
            <v>45471</v>
          </cell>
          <cell r="E1760">
            <v>45948</v>
          </cell>
          <cell r="F1760" t="str">
            <v>36804</v>
          </cell>
          <cell r="G1760" t="str">
            <v>家登四</v>
          </cell>
          <cell r="H1760">
            <v>300000</v>
          </cell>
          <cell r="I1760">
            <v>3.2</v>
          </cell>
          <cell r="J1760">
            <v>45948</v>
          </cell>
          <cell r="K1760">
            <v>100</v>
          </cell>
          <cell r="L1760">
            <v>45926</v>
          </cell>
          <cell r="M1760">
            <v>-8443</v>
          </cell>
          <cell r="N1760">
            <v>291557</v>
          </cell>
        </row>
        <row r="1761">
          <cell r="A1761">
            <v>36804</v>
          </cell>
          <cell r="B1761">
            <v>1755</v>
          </cell>
          <cell r="C1761" t="str">
            <v>IASWD2406001254</v>
          </cell>
          <cell r="D1761">
            <v>45471</v>
          </cell>
          <cell r="E1761">
            <v>45948</v>
          </cell>
          <cell r="F1761" t="str">
            <v>36804</v>
          </cell>
          <cell r="G1761" t="str">
            <v>家登四</v>
          </cell>
          <cell r="H1761">
            <v>100000</v>
          </cell>
          <cell r="I1761">
            <v>3.2</v>
          </cell>
          <cell r="J1761">
            <v>45948</v>
          </cell>
          <cell r="K1761">
            <v>100</v>
          </cell>
          <cell r="L1761">
            <v>45926</v>
          </cell>
          <cell r="M1761">
            <v>-2814</v>
          </cell>
          <cell r="N1761">
            <v>97186</v>
          </cell>
        </row>
        <row r="1762">
          <cell r="A1762">
            <v>36804</v>
          </cell>
          <cell r="B1762">
            <v>1756</v>
          </cell>
          <cell r="C1762" t="str">
            <v>IASWD2406001260</v>
          </cell>
          <cell r="D1762">
            <v>45471</v>
          </cell>
          <cell r="E1762">
            <v>45948</v>
          </cell>
          <cell r="F1762" t="str">
            <v>36804</v>
          </cell>
          <cell r="G1762" t="str">
            <v>家登四</v>
          </cell>
          <cell r="H1762">
            <v>100000</v>
          </cell>
          <cell r="I1762">
            <v>3.2</v>
          </cell>
          <cell r="J1762">
            <v>45948</v>
          </cell>
          <cell r="K1762">
            <v>100</v>
          </cell>
          <cell r="L1762">
            <v>45926</v>
          </cell>
          <cell r="M1762">
            <v>-2814</v>
          </cell>
          <cell r="N1762">
            <v>97186</v>
          </cell>
        </row>
        <row r="1763">
          <cell r="A1763">
            <v>36804</v>
          </cell>
          <cell r="B1763">
            <v>1757</v>
          </cell>
          <cell r="C1763" t="str">
            <v>IASWD2407000001</v>
          </cell>
          <cell r="D1763">
            <v>45474</v>
          </cell>
          <cell r="E1763">
            <v>45948</v>
          </cell>
          <cell r="F1763" t="str">
            <v>36804</v>
          </cell>
          <cell r="G1763" t="str">
            <v>家登四</v>
          </cell>
          <cell r="H1763">
            <v>200000</v>
          </cell>
          <cell r="I1763">
            <v>3.2</v>
          </cell>
          <cell r="J1763">
            <v>45948</v>
          </cell>
          <cell r="K1763">
            <v>100</v>
          </cell>
          <cell r="L1763">
            <v>45926</v>
          </cell>
          <cell r="M1763">
            <v>-5576</v>
          </cell>
          <cell r="N1763">
            <v>194424</v>
          </cell>
        </row>
        <row r="1764">
          <cell r="A1764">
            <v>61965</v>
          </cell>
          <cell r="B1764">
            <v>1758</v>
          </cell>
          <cell r="C1764" t="str">
            <v>IASWD2407000003</v>
          </cell>
          <cell r="D1764">
            <v>45474</v>
          </cell>
          <cell r="E1764">
            <v>46200</v>
          </cell>
          <cell r="F1764" t="str">
            <v>61965</v>
          </cell>
          <cell r="G1764" t="str">
            <v>帆宣五</v>
          </cell>
          <cell r="H1764">
            <v>100000</v>
          </cell>
          <cell r="I1764">
            <v>3</v>
          </cell>
          <cell r="J1764">
            <v>46200</v>
          </cell>
          <cell r="K1764">
            <v>100</v>
          </cell>
          <cell r="L1764">
            <v>46182</v>
          </cell>
          <cell r="M1764">
            <v>-2614</v>
          </cell>
          <cell r="N1764">
            <v>97386</v>
          </cell>
        </row>
        <row r="1765">
          <cell r="A1765">
            <v>36804</v>
          </cell>
          <cell r="B1765">
            <v>1759</v>
          </cell>
          <cell r="C1765" t="str">
            <v>IASWD2407000004</v>
          </cell>
          <cell r="D1765">
            <v>45474</v>
          </cell>
          <cell r="E1765">
            <v>45948</v>
          </cell>
          <cell r="F1765" t="str">
            <v>36804</v>
          </cell>
          <cell r="G1765" t="str">
            <v>家登四</v>
          </cell>
          <cell r="H1765">
            <v>100000</v>
          </cell>
          <cell r="I1765">
            <v>3.2</v>
          </cell>
          <cell r="J1765">
            <v>45948</v>
          </cell>
          <cell r="K1765">
            <v>100</v>
          </cell>
          <cell r="L1765">
            <v>45926</v>
          </cell>
          <cell r="M1765">
            <v>-2788</v>
          </cell>
          <cell r="N1765">
            <v>97212</v>
          </cell>
        </row>
        <row r="1766">
          <cell r="A1766">
            <v>22313</v>
          </cell>
          <cell r="B1766">
            <v>1760</v>
          </cell>
          <cell r="C1766" t="str">
            <v>IASWD2407000005</v>
          </cell>
          <cell r="D1766">
            <v>45474</v>
          </cell>
          <cell r="E1766">
            <v>45898</v>
          </cell>
          <cell r="F1766" t="str">
            <v>22313</v>
          </cell>
          <cell r="G1766" t="str">
            <v>為升三</v>
          </cell>
          <cell r="H1766">
            <v>200000</v>
          </cell>
          <cell r="I1766">
            <v>3.5</v>
          </cell>
          <cell r="J1766">
            <v>45898</v>
          </cell>
          <cell r="K1766">
            <v>101.50749999999999</v>
          </cell>
          <cell r="L1766">
            <v>45880</v>
          </cell>
          <cell r="M1766">
            <v>-6099</v>
          </cell>
          <cell r="N1766">
            <v>193901</v>
          </cell>
        </row>
        <row r="1767">
          <cell r="A1767">
            <v>22013</v>
          </cell>
          <cell r="B1767">
            <v>1761</v>
          </cell>
          <cell r="C1767" t="str">
            <v>IASWD2407000007</v>
          </cell>
          <cell r="D1767">
            <v>45474</v>
          </cell>
          <cell r="E1767">
            <v>46167</v>
          </cell>
          <cell r="F1767" t="str">
            <v>22013</v>
          </cell>
          <cell r="G1767" t="str">
            <v>裕隆三</v>
          </cell>
          <cell r="H1767">
            <v>100000</v>
          </cell>
          <cell r="I1767">
            <v>3</v>
          </cell>
          <cell r="J1767">
            <v>46167</v>
          </cell>
          <cell r="K1767">
            <v>100.75190000000001</v>
          </cell>
          <cell r="L1767">
            <v>46147</v>
          </cell>
          <cell r="M1767">
            <v>-2614</v>
          </cell>
          <cell r="N1767">
            <v>97386</v>
          </cell>
        </row>
        <row r="1768">
          <cell r="A1768">
            <v>61965</v>
          </cell>
          <cell r="B1768">
            <v>1762</v>
          </cell>
          <cell r="C1768" t="str">
            <v>IASWD2407000010</v>
          </cell>
          <cell r="D1768">
            <v>45474</v>
          </cell>
          <cell r="E1768">
            <v>46200</v>
          </cell>
          <cell r="F1768" t="str">
            <v>61965</v>
          </cell>
          <cell r="G1768" t="str">
            <v>帆宣五</v>
          </cell>
          <cell r="H1768">
            <v>100000</v>
          </cell>
          <cell r="I1768">
            <v>3</v>
          </cell>
          <cell r="J1768">
            <v>46200</v>
          </cell>
          <cell r="K1768">
            <v>100</v>
          </cell>
          <cell r="L1768">
            <v>46182</v>
          </cell>
          <cell r="M1768">
            <v>-2614</v>
          </cell>
          <cell r="N1768">
            <v>97386</v>
          </cell>
        </row>
        <row r="1769">
          <cell r="A1769">
            <v>22013</v>
          </cell>
          <cell r="B1769">
            <v>1763</v>
          </cell>
          <cell r="C1769" t="str">
            <v>IASWD2407000014</v>
          </cell>
          <cell r="D1769">
            <v>45474</v>
          </cell>
          <cell r="E1769">
            <v>46167</v>
          </cell>
          <cell r="F1769" t="str">
            <v>22013</v>
          </cell>
          <cell r="G1769" t="str">
            <v>裕隆三</v>
          </cell>
          <cell r="H1769">
            <v>100000</v>
          </cell>
          <cell r="I1769">
            <v>3</v>
          </cell>
          <cell r="J1769">
            <v>46167</v>
          </cell>
          <cell r="K1769">
            <v>100.75190000000001</v>
          </cell>
          <cell r="L1769">
            <v>46147</v>
          </cell>
          <cell r="M1769">
            <v>-2614</v>
          </cell>
          <cell r="N1769">
            <v>97386</v>
          </cell>
        </row>
        <row r="1770">
          <cell r="A1770">
            <v>20632</v>
          </cell>
          <cell r="B1770">
            <v>1764</v>
          </cell>
          <cell r="C1770" t="str">
            <v>IASWD2407000015</v>
          </cell>
          <cell r="D1770">
            <v>45474</v>
          </cell>
          <cell r="E1770">
            <v>45971</v>
          </cell>
          <cell r="F1770" t="str">
            <v>20632</v>
          </cell>
          <cell r="G1770" t="str">
            <v>世鎧二</v>
          </cell>
          <cell r="H1770">
            <v>100000</v>
          </cell>
          <cell r="I1770">
            <v>3.25</v>
          </cell>
          <cell r="J1770">
            <v>45971</v>
          </cell>
          <cell r="K1770">
            <v>100</v>
          </cell>
          <cell r="L1770">
            <v>45951</v>
          </cell>
          <cell r="M1770">
            <v>-2832</v>
          </cell>
          <cell r="N1770">
            <v>97168</v>
          </cell>
        </row>
        <row r="1771">
          <cell r="A1771">
            <v>22013</v>
          </cell>
          <cell r="B1771">
            <v>1765</v>
          </cell>
          <cell r="C1771" t="str">
            <v>IASWD2407000018</v>
          </cell>
          <cell r="D1771">
            <v>45474</v>
          </cell>
          <cell r="E1771">
            <v>46167</v>
          </cell>
          <cell r="F1771" t="str">
            <v>22013</v>
          </cell>
          <cell r="G1771" t="str">
            <v>裕隆三</v>
          </cell>
          <cell r="H1771">
            <v>100000</v>
          </cell>
          <cell r="I1771">
            <v>3</v>
          </cell>
          <cell r="J1771">
            <v>46167</v>
          </cell>
          <cell r="K1771">
            <v>100.75190000000001</v>
          </cell>
          <cell r="L1771">
            <v>46147</v>
          </cell>
          <cell r="M1771">
            <v>-2614</v>
          </cell>
          <cell r="N1771">
            <v>97386</v>
          </cell>
        </row>
        <row r="1772">
          <cell r="A1772">
            <v>22013</v>
          </cell>
          <cell r="B1772">
            <v>1766</v>
          </cell>
          <cell r="C1772" t="str">
            <v>IASWD2407000021</v>
          </cell>
          <cell r="D1772">
            <v>45474</v>
          </cell>
          <cell r="E1772">
            <v>46167</v>
          </cell>
          <cell r="F1772" t="str">
            <v>22013</v>
          </cell>
          <cell r="G1772" t="str">
            <v>裕隆三</v>
          </cell>
          <cell r="H1772">
            <v>500000</v>
          </cell>
          <cell r="I1772">
            <v>3</v>
          </cell>
          <cell r="J1772">
            <v>46167</v>
          </cell>
          <cell r="K1772">
            <v>100.75190000000001</v>
          </cell>
          <cell r="L1772">
            <v>46147</v>
          </cell>
          <cell r="M1772">
            <v>-13068</v>
          </cell>
          <cell r="N1772">
            <v>486932</v>
          </cell>
        </row>
        <row r="1773">
          <cell r="A1773">
            <v>22013</v>
          </cell>
          <cell r="B1773">
            <v>1767</v>
          </cell>
          <cell r="C1773" t="str">
            <v>IASWD2407000022</v>
          </cell>
          <cell r="D1773">
            <v>45474</v>
          </cell>
          <cell r="E1773">
            <v>46167</v>
          </cell>
          <cell r="F1773" t="str">
            <v>22013</v>
          </cell>
          <cell r="G1773" t="str">
            <v>裕隆三</v>
          </cell>
          <cell r="H1773">
            <v>300000</v>
          </cell>
          <cell r="I1773">
            <v>3</v>
          </cell>
          <cell r="J1773">
            <v>46167</v>
          </cell>
          <cell r="K1773">
            <v>100.75190000000001</v>
          </cell>
          <cell r="L1773">
            <v>46147</v>
          </cell>
          <cell r="M1773">
            <v>-7841</v>
          </cell>
          <cell r="N1773">
            <v>292159</v>
          </cell>
        </row>
        <row r="1774">
          <cell r="A1774">
            <v>22013</v>
          </cell>
          <cell r="B1774">
            <v>1768</v>
          </cell>
          <cell r="C1774" t="str">
            <v>IASWD2407000023</v>
          </cell>
          <cell r="D1774">
            <v>45474</v>
          </cell>
          <cell r="E1774">
            <v>46167</v>
          </cell>
          <cell r="F1774" t="str">
            <v>22013</v>
          </cell>
          <cell r="G1774" t="str">
            <v>裕隆三</v>
          </cell>
          <cell r="H1774">
            <v>300000</v>
          </cell>
          <cell r="I1774">
            <v>3</v>
          </cell>
          <cell r="J1774">
            <v>46167</v>
          </cell>
          <cell r="K1774">
            <v>100.75190000000001</v>
          </cell>
          <cell r="L1774">
            <v>46147</v>
          </cell>
          <cell r="M1774">
            <v>-7841</v>
          </cell>
          <cell r="N1774">
            <v>292159</v>
          </cell>
        </row>
        <row r="1775">
          <cell r="A1775">
            <v>22313</v>
          </cell>
          <cell r="B1775">
            <v>1769</v>
          </cell>
          <cell r="C1775" t="str">
            <v>IASWD2407000025</v>
          </cell>
          <cell r="D1775">
            <v>45474</v>
          </cell>
          <cell r="E1775">
            <v>45898</v>
          </cell>
          <cell r="F1775" t="str">
            <v>22313</v>
          </cell>
          <cell r="G1775" t="str">
            <v>為升三</v>
          </cell>
          <cell r="H1775">
            <v>100000</v>
          </cell>
          <cell r="I1775">
            <v>3.5</v>
          </cell>
          <cell r="J1775">
            <v>45898</v>
          </cell>
          <cell r="K1775">
            <v>101.50749999999999</v>
          </cell>
          <cell r="L1775">
            <v>45880</v>
          </cell>
          <cell r="M1775">
            <v>-3049</v>
          </cell>
          <cell r="N1775">
            <v>96951</v>
          </cell>
        </row>
        <row r="1776">
          <cell r="A1776">
            <v>61965</v>
          </cell>
          <cell r="B1776">
            <v>1770</v>
          </cell>
          <cell r="C1776" t="str">
            <v>IASWD2407000033</v>
          </cell>
          <cell r="D1776">
            <v>45474</v>
          </cell>
          <cell r="E1776">
            <v>46200</v>
          </cell>
          <cell r="F1776" t="str">
            <v>61965</v>
          </cell>
          <cell r="G1776" t="str">
            <v>帆宣五</v>
          </cell>
          <cell r="H1776">
            <v>200000</v>
          </cell>
          <cell r="I1776">
            <v>3</v>
          </cell>
          <cell r="J1776">
            <v>46200</v>
          </cell>
          <cell r="K1776">
            <v>100</v>
          </cell>
          <cell r="L1776">
            <v>46182</v>
          </cell>
          <cell r="M1776">
            <v>-5227</v>
          </cell>
          <cell r="N1776">
            <v>194773</v>
          </cell>
        </row>
        <row r="1777">
          <cell r="A1777">
            <v>22313</v>
          </cell>
          <cell r="B1777">
            <v>1771</v>
          </cell>
          <cell r="C1777" t="str">
            <v>IASWD2407000034</v>
          </cell>
          <cell r="D1777">
            <v>45474</v>
          </cell>
          <cell r="E1777">
            <v>45898</v>
          </cell>
          <cell r="F1777" t="str">
            <v>22313</v>
          </cell>
          <cell r="G1777" t="str">
            <v>為升三</v>
          </cell>
          <cell r="H1777">
            <v>100000</v>
          </cell>
          <cell r="I1777">
            <v>3.5</v>
          </cell>
          <cell r="J1777">
            <v>45898</v>
          </cell>
          <cell r="K1777">
            <v>101.50749999999999</v>
          </cell>
          <cell r="L1777">
            <v>45880</v>
          </cell>
          <cell r="M1777">
            <v>-3049</v>
          </cell>
          <cell r="N1777">
            <v>96951</v>
          </cell>
        </row>
        <row r="1778">
          <cell r="A1778">
            <v>22013</v>
          </cell>
          <cell r="B1778">
            <v>1772</v>
          </cell>
          <cell r="C1778" t="str">
            <v>IASWD2407000035</v>
          </cell>
          <cell r="D1778">
            <v>45474</v>
          </cell>
          <cell r="E1778">
            <v>46167</v>
          </cell>
          <cell r="F1778" t="str">
            <v>22013</v>
          </cell>
          <cell r="G1778" t="str">
            <v>裕隆三</v>
          </cell>
          <cell r="H1778">
            <v>100000</v>
          </cell>
          <cell r="I1778">
            <v>3</v>
          </cell>
          <cell r="J1778">
            <v>46167</v>
          </cell>
          <cell r="K1778">
            <v>100.75190000000001</v>
          </cell>
          <cell r="L1778">
            <v>46147</v>
          </cell>
          <cell r="M1778">
            <v>-2614</v>
          </cell>
          <cell r="N1778">
            <v>97386</v>
          </cell>
        </row>
        <row r="1779">
          <cell r="A1779">
            <v>22013</v>
          </cell>
          <cell r="B1779">
            <v>1773</v>
          </cell>
          <cell r="C1779" t="str">
            <v>IASWD2407000036</v>
          </cell>
          <cell r="D1779">
            <v>45474</v>
          </cell>
          <cell r="E1779">
            <v>46167</v>
          </cell>
          <cell r="F1779" t="str">
            <v>22013</v>
          </cell>
          <cell r="G1779" t="str">
            <v>裕隆三</v>
          </cell>
          <cell r="H1779">
            <v>100000</v>
          </cell>
          <cell r="I1779">
            <v>3</v>
          </cell>
          <cell r="J1779">
            <v>46167</v>
          </cell>
          <cell r="K1779">
            <v>100.75190000000001</v>
          </cell>
          <cell r="L1779">
            <v>46147</v>
          </cell>
          <cell r="M1779">
            <v>-2614</v>
          </cell>
          <cell r="N1779">
            <v>97386</v>
          </cell>
        </row>
        <row r="1780">
          <cell r="A1780">
            <v>27323</v>
          </cell>
          <cell r="B1780">
            <v>1774</v>
          </cell>
          <cell r="C1780" t="str">
            <v>IASWD2407000037</v>
          </cell>
          <cell r="D1780">
            <v>45474</v>
          </cell>
          <cell r="E1780">
            <v>46048</v>
          </cell>
          <cell r="F1780" t="str">
            <v>27323</v>
          </cell>
          <cell r="G1780" t="str">
            <v>六角三</v>
          </cell>
          <cell r="H1780">
            <v>200000</v>
          </cell>
          <cell r="I1780">
            <v>3</v>
          </cell>
          <cell r="J1780">
            <v>46048</v>
          </cell>
          <cell r="K1780">
            <v>101</v>
          </cell>
          <cell r="L1780">
            <v>46028</v>
          </cell>
          <cell r="M1780">
            <v>-5227</v>
          </cell>
          <cell r="N1780">
            <v>194773</v>
          </cell>
        </row>
        <row r="1781">
          <cell r="A1781">
            <v>36804</v>
          </cell>
          <cell r="B1781">
            <v>1775</v>
          </cell>
          <cell r="C1781" t="str">
            <v>IASWD2407000039</v>
          </cell>
          <cell r="D1781">
            <v>45474</v>
          </cell>
          <cell r="E1781">
            <v>45948</v>
          </cell>
          <cell r="F1781" t="str">
            <v>36804</v>
          </cell>
          <cell r="G1781" t="str">
            <v>家登四</v>
          </cell>
          <cell r="H1781">
            <v>100000</v>
          </cell>
          <cell r="I1781">
            <v>3.2</v>
          </cell>
          <cell r="J1781">
            <v>45948</v>
          </cell>
          <cell r="K1781">
            <v>100</v>
          </cell>
          <cell r="L1781">
            <v>45926</v>
          </cell>
          <cell r="M1781">
            <v>-2788</v>
          </cell>
          <cell r="N1781">
            <v>97212</v>
          </cell>
        </row>
        <row r="1782">
          <cell r="A1782">
            <v>61965</v>
          </cell>
          <cell r="B1782">
            <v>1776</v>
          </cell>
          <cell r="C1782" t="str">
            <v>IASWD2407000040</v>
          </cell>
          <cell r="D1782">
            <v>45474</v>
          </cell>
          <cell r="E1782">
            <v>46200</v>
          </cell>
          <cell r="F1782" t="str">
            <v>61965</v>
          </cell>
          <cell r="G1782" t="str">
            <v>帆宣五</v>
          </cell>
          <cell r="H1782">
            <v>100000</v>
          </cell>
          <cell r="I1782">
            <v>3</v>
          </cell>
          <cell r="J1782">
            <v>46200</v>
          </cell>
          <cell r="K1782">
            <v>100</v>
          </cell>
          <cell r="L1782">
            <v>46182</v>
          </cell>
          <cell r="M1782">
            <v>-2614</v>
          </cell>
          <cell r="N1782">
            <v>97386</v>
          </cell>
        </row>
        <row r="1783">
          <cell r="A1783">
            <v>61965</v>
          </cell>
          <cell r="B1783">
            <v>1777</v>
          </cell>
          <cell r="C1783" t="str">
            <v>IASWD2407000042</v>
          </cell>
          <cell r="D1783">
            <v>45474</v>
          </cell>
          <cell r="E1783">
            <v>46200</v>
          </cell>
          <cell r="F1783" t="str">
            <v>61965</v>
          </cell>
          <cell r="G1783" t="str">
            <v>帆宣五</v>
          </cell>
          <cell r="H1783">
            <v>1000000</v>
          </cell>
          <cell r="I1783">
            <v>3</v>
          </cell>
          <cell r="J1783">
            <v>46200</v>
          </cell>
          <cell r="K1783">
            <v>100</v>
          </cell>
          <cell r="L1783">
            <v>46182</v>
          </cell>
          <cell r="M1783">
            <v>-26137</v>
          </cell>
          <cell r="N1783">
            <v>973863</v>
          </cell>
        </row>
        <row r="1784">
          <cell r="A1784">
            <v>22013</v>
          </cell>
          <cell r="B1784">
            <v>1778</v>
          </cell>
          <cell r="C1784" t="str">
            <v>IASWD2407000044</v>
          </cell>
          <cell r="D1784">
            <v>45474</v>
          </cell>
          <cell r="E1784">
            <v>46167</v>
          </cell>
          <cell r="F1784" t="str">
            <v>22013</v>
          </cell>
          <cell r="G1784" t="str">
            <v>裕隆三</v>
          </cell>
          <cell r="H1784">
            <v>100000</v>
          </cell>
          <cell r="I1784">
            <v>3</v>
          </cell>
          <cell r="J1784">
            <v>46167</v>
          </cell>
          <cell r="K1784">
            <v>100.75190000000001</v>
          </cell>
          <cell r="L1784">
            <v>46147</v>
          </cell>
          <cell r="M1784">
            <v>-2614</v>
          </cell>
          <cell r="N1784">
            <v>97386</v>
          </cell>
        </row>
        <row r="1785">
          <cell r="A1785">
            <v>34793</v>
          </cell>
          <cell r="B1785">
            <v>1779</v>
          </cell>
          <cell r="C1785" t="str">
            <v>IASWD2407000050</v>
          </cell>
          <cell r="D1785">
            <v>45474</v>
          </cell>
          <cell r="E1785">
            <v>46409</v>
          </cell>
          <cell r="F1785" t="str">
            <v>34793</v>
          </cell>
          <cell r="G1785" t="str">
            <v>安勤三</v>
          </cell>
          <cell r="H1785">
            <v>100000</v>
          </cell>
          <cell r="I1785">
            <v>3</v>
          </cell>
          <cell r="J1785">
            <v>46409</v>
          </cell>
          <cell r="K1785">
            <v>100</v>
          </cell>
          <cell r="L1785">
            <v>46391</v>
          </cell>
          <cell r="M1785">
            <v>-2614</v>
          </cell>
          <cell r="N1785">
            <v>97386</v>
          </cell>
        </row>
        <row r="1786">
          <cell r="A1786">
            <v>61965</v>
          </cell>
          <cell r="B1786">
            <v>1780</v>
          </cell>
          <cell r="C1786" t="str">
            <v>IASWD2407000051</v>
          </cell>
          <cell r="D1786">
            <v>45474</v>
          </cell>
          <cell r="E1786">
            <v>46200</v>
          </cell>
          <cell r="F1786" t="str">
            <v>61965</v>
          </cell>
          <cell r="G1786" t="str">
            <v>帆宣五</v>
          </cell>
          <cell r="H1786">
            <v>100000</v>
          </cell>
          <cell r="I1786">
            <v>3</v>
          </cell>
          <cell r="J1786">
            <v>46200</v>
          </cell>
          <cell r="K1786">
            <v>100</v>
          </cell>
          <cell r="L1786">
            <v>46182</v>
          </cell>
          <cell r="M1786">
            <v>-2614</v>
          </cell>
          <cell r="N1786">
            <v>97386</v>
          </cell>
        </row>
        <row r="1787">
          <cell r="A1787">
            <v>22013</v>
          </cell>
          <cell r="B1787">
            <v>1781</v>
          </cell>
          <cell r="C1787" t="str">
            <v>IASWD2407000054</v>
          </cell>
          <cell r="D1787">
            <v>45474</v>
          </cell>
          <cell r="E1787">
            <v>46167</v>
          </cell>
          <cell r="F1787" t="str">
            <v>22013</v>
          </cell>
          <cell r="G1787" t="str">
            <v>裕隆三</v>
          </cell>
          <cell r="H1787">
            <v>100000</v>
          </cell>
          <cell r="I1787">
            <v>3</v>
          </cell>
          <cell r="J1787">
            <v>46167</v>
          </cell>
          <cell r="K1787">
            <v>100.75190000000001</v>
          </cell>
          <cell r="L1787">
            <v>46147</v>
          </cell>
          <cell r="M1787">
            <v>-2614</v>
          </cell>
          <cell r="N1787">
            <v>97386</v>
          </cell>
        </row>
        <row r="1788">
          <cell r="A1788">
            <v>34834</v>
          </cell>
          <cell r="B1788">
            <v>1782</v>
          </cell>
          <cell r="C1788" t="str">
            <v>IASWD2407000059</v>
          </cell>
          <cell r="D1788">
            <v>45475</v>
          </cell>
          <cell r="E1788">
            <v>46529</v>
          </cell>
          <cell r="F1788" t="str">
            <v>34834</v>
          </cell>
          <cell r="G1788" t="str">
            <v>力致四</v>
          </cell>
          <cell r="H1788">
            <v>100000</v>
          </cell>
          <cell r="I1788">
            <v>3.75</v>
          </cell>
          <cell r="J1788">
            <v>46529</v>
          </cell>
          <cell r="K1788">
            <v>100</v>
          </cell>
          <cell r="L1788">
            <v>46511</v>
          </cell>
          <cell r="M1788">
            <v>-3257</v>
          </cell>
          <cell r="N1788">
            <v>96743</v>
          </cell>
        </row>
        <row r="1789">
          <cell r="A1789">
            <v>61906</v>
          </cell>
          <cell r="B1789">
            <v>1783</v>
          </cell>
          <cell r="C1789" t="str">
            <v>IASWD2407000061</v>
          </cell>
          <cell r="D1789">
            <v>45475</v>
          </cell>
          <cell r="E1789">
            <v>45961</v>
          </cell>
          <cell r="F1789" t="str">
            <v>61906</v>
          </cell>
          <cell r="G1789" t="str">
            <v>萬泰科六</v>
          </cell>
          <cell r="H1789">
            <v>300000</v>
          </cell>
          <cell r="I1789">
            <v>4</v>
          </cell>
          <cell r="J1789">
            <v>45961</v>
          </cell>
          <cell r="K1789">
            <v>100</v>
          </cell>
          <cell r="L1789">
            <v>45943</v>
          </cell>
          <cell r="M1789">
            <v>-10422</v>
          </cell>
          <cell r="N1789">
            <v>289578</v>
          </cell>
        </row>
        <row r="1790">
          <cell r="A1790">
            <v>22013</v>
          </cell>
          <cell r="B1790">
            <v>1784</v>
          </cell>
          <cell r="C1790" t="str">
            <v>IASWD2407000068</v>
          </cell>
          <cell r="D1790">
            <v>45475</v>
          </cell>
          <cell r="E1790">
            <v>46167</v>
          </cell>
          <cell r="F1790" t="str">
            <v>22013</v>
          </cell>
          <cell r="G1790" t="str">
            <v>裕隆三</v>
          </cell>
          <cell r="H1790">
            <v>100000</v>
          </cell>
          <cell r="I1790">
            <v>3</v>
          </cell>
          <cell r="J1790">
            <v>46167</v>
          </cell>
          <cell r="K1790">
            <v>100.75190000000001</v>
          </cell>
          <cell r="L1790">
            <v>46147</v>
          </cell>
          <cell r="M1790">
            <v>-2605</v>
          </cell>
          <cell r="N1790">
            <v>97395</v>
          </cell>
        </row>
        <row r="1791">
          <cell r="A1791">
            <v>22013</v>
          </cell>
          <cell r="B1791">
            <v>1785</v>
          </cell>
          <cell r="C1791" t="str">
            <v>IASWD2407000076</v>
          </cell>
          <cell r="D1791">
            <v>45475</v>
          </cell>
          <cell r="E1791">
            <v>46167</v>
          </cell>
          <cell r="F1791" t="str">
            <v>22013</v>
          </cell>
          <cell r="G1791" t="str">
            <v>裕隆三</v>
          </cell>
          <cell r="H1791">
            <v>1000000</v>
          </cell>
          <cell r="I1791">
            <v>3</v>
          </cell>
          <cell r="J1791">
            <v>46167</v>
          </cell>
          <cell r="K1791">
            <v>100.75190000000001</v>
          </cell>
          <cell r="L1791">
            <v>46147</v>
          </cell>
          <cell r="M1791">
            <v>-26055</v>
          </cell>
          <cell r="N1791">
            <v>973945</v>
          </cell>
        </row>
        <row r="1792">
          <cell r="A1792">
            <v>34834</v>
          </cell>
          <cell r="B1792">
            <v>1786</v>
          </cell>
          <cell r="C1792" t="str">
            <v>IASWD2407000080</v>
          </cell>
          <cell r="D1792">
            <v>45475</v>
          </cell>
          <cell r="E1792">
            <v>46529</v>
          </cell>
          <cell r="F1792" t="str">
            <v>34834</v>
          </cell>
          <cell r="G1792" t="str">
            <v>力致四</v>
          </cell>
          <cell r="H1792">
            <v>200000</v>
          </cell>
          <cell r="I1792">
            <v>3.75</v>
          </cell>
          <cell r="J1792">
            <v>46529</v>
          </cell>
          <cell r="K1792">
            <v>100</v>
          </cell>
          <cell r="L1792">
            <v>46511</v>
          </cell>
          <cell r="M1792">
            <v>-6514</v>
          </cell>
          <cell r="N1792">
            <v>193486</v>
          </cell>
        </row>
        <row r="1793">
          <cell r="A1793">
            <v>36804</v>
          </cell>
          <cell r="B1793">
            <v>1787</v>
          </cell>
          <cell r="C1793" t="str">
            <v>IASWD2407000082</v>
          </cell>
          <cell r="D1793">
            <v>45475</v>
          </cell>
          <cell r="E1793">
            <v>45948</v>
          </cell>
          <cell r="F1793" t="str">
            <v>36804</v>
          </cell>
          <cell r="G1793" t="str">
            <v>家登四</v>
          </cell>
          <cell r="H1793">
            <v>200000</v>
          </cell>
          <cell r="I1793">
            <v>3.2</v>
          </cell>
          <cell r="J1793">
            <v>45948</v>
          </cell>
          <cell r="K1793">
            <v>100</v>
          </cell>
          <cell r="L1793">
            <v>45926</v>
          </cell>
          <cell r="M1793">
            <v>-5558</v>
          </cell>
          <cell r="N1793">
            <v>194442</v>
          </cell>
        </row>
        <row r="1794">
          <cell r="A1794">
            <v>22013</v>
          </cell>
          <cell r="B1794">
            <v>1788</v>
          </cell>
          <cell r="C1794" t="str">
            <v>IASWD2407000086</v>
          </cell>
          <cell r="D1794">
            <v>45475</v>
          </cell>
          <cell r="E1794">
            <v>46167</v>
          </cell>
          <cell r="F1794" t="str">
            <v>22013</v>
          </cell>
          <cell r="G1794" t="str">
            <v>裕隆三</v>
          </cell>
          <cell r="H1794">
            <v>100000</v>
          </cell>
          <cell r="I1794">
            <v>3</v>
          </cell>
          <cell r="J1794">
            <v>46167</v>
          </cell>
          <cell r="K1794">
            <v>100.75190000000001</v>
          </cell>
          <cell r="L1794">
            <v>46147</v>
          </cell>
          <cell r="M1794">
            <v>-2605</v>
          </cell>
          <cell r="N1794">
            <v>97395</v>
          </cell>
        </row>
        <row r="1795">
          <cell r="A1795">
            <v>22013</v>
          </cell>
          <cell r="B1795">
            <v>1789</v>
          </cell>
          <cell r="C1795" t="str">
            <v>IASWD2407000089</v>
          </cell>
          <cell r="D1795">
            <v>45475</v>
          </cell>
          <cell r="E1795">
            <v>46167</v>
          </cell>
          <cell r="F1795" t="str">
            <v>22013</v>
          </cell>
          <cell r="G1795" t="str">
            <v>裕隆三</v>
          </cell>
          <cell r="H1795">
            <v>100000</v>
          </cell>
          <cell r="I1795">
            <v>3</v>
          </cell>
          <cell r="J1795">
            <v>46167</v>
          </cell>
          <cell r="K1795">
            <v>100.75190000000001</v>
          </cell>
          <cell r="L1795">
            <v>46147</v>
          </cell>
          <cell r="M1795">
            <v>-2605</v>
          </cell>
          <cell r="N1795">
            <v>97395</v>
          </cell>
        </row>
        <row r="1796">
          <cell r="A1796">
            <v>35482</v>
          </cell>
          <cell r="B1796">
            <v>1790</v>
          </cell>
          <cell r="C1796" t="str">
            <v>IASWD2407000091</v>
          </cell>
          <cell r="D1796">
            <v>45475</v>
          </cell>
          <cell r="E1796">
            <v>46395</v>
          </cell>
          <cell r="F1796" t="str">
            <v>35482</v>
          </cell>
          <cell r="G1796" t="str">
            <v>兆利二</v>
          </cell>
          <cell r="H1796">
            <v>100000</v>
          </cell>
          <cell r="I1796">
            <v>3</v>
          </cell>
          <cell r="J1796">
            <v>46395</v>
          </cell>
          <cell r="K1796">
            <v>100</v>
          </cell>
          <cell r="L1796">
            <v>46377</v>
          </cell>
          <cell r="M1796">
            <v>-2605</v>
          </cell>
          <cell r="N1796">
            <v>97395</v>
          </cell>
        </row>
        <row r="1797">
          <cell r="A1797">
            <v>22013</v>
          </cell>
          <cell r="B1797">
            <v>1791</v>
          </cell>
          <cell r="C1797" t="str">
            <v>IASWD2407000093</v>
          </cell>
          <cell r="D1797">
            <v>45475</v>
          </cell>
          <cell r="E1797">
            <v>46167</v>
          </cell>
          <cell r="F1797" t="str">
            <v>22013</v>
          </cell>
          <cell r="G1797" t="str">
            <v>裕隆三</v>
          </cell>
          <cell r="H1797">
            <v>100000</v>
          </cell>
          <cell r="I1797">
            <v>3</v>
          </cell>
          <cell r="J1797">
            <v>46167</v>
          </cell>
          <cell r="K1797">
            <v>100.75190000000001</v>
          </cell>
          <cell r="L1797">
            <v>46147</v>
          </cell>
          <cell r="M1797">
            <v>-2605</v>
          </cell>
          <cell r="N1797">
            <v>97395</v>
          </cell>
        </row>
        <row r="1798">
          <cell r="A1798">
            <v>34834</v>
          </cell>
          <cell r="B1798">
            <v>1792</v>
          </cell>
          <cell r="C1798" t="str">
            <v>IASWD2407000094</v>
          </cell>
          <cell r="D1798">
            <v>45475</v>
          </cell>
          <cell r="E1798">
            <v>46529</v>
          </cell>
          <cell r="F1798" t="str">
            <v>34834</v>
          </cell>
          <cell r="G1798" t="str">
            <v>力致四</v>
          </cell>
          <cell r="H1798">
            <v>200000</v>
          </cell>
          <cell r="I1798">
            <v>3.75</v>
          </cell>
          <cell r="J1798">
            <v>46529</v>
          </cell>
          <cell r="K1798">
            <v>100</v>
          </cell>
          <cell r="L1798">
            <v>46511</v>
          </cell>
          <cell r="M1798">
            <v>-6514</v>
          </cell>
          <cell r="N1798">
            <v>193486</v>
          </cell>
        </row>
        <row r="1799">
          <cell r="A1799">
            <v>22013</v>
          </cell>
          <cell r="B1799">
            <v>1793</v>
          </cell>
          <cell r="C1799" t="str">
            <v>IASWD2407000097</v>
          </cell>
          <cell r="D1799">
            <v>45475</v>
          </cell>
          <cell r="E1799">
            <v>46167</v>
          </cell>
          <cell r="F1799" t="str">
            <v>22013</v>
          </cell>
          <cell r="G1799" t="str">
            <v>裕隆三</v>
          </cell>
          <cell r="H1799">
            <v>200000</v>
          </cell>
          <cell r="I1799">
            <v>3</v>
          </cell>
          <cell r="J1799">
            <v>46167</v>
          </cell>
          <cell r="K1799">
            <v>100.75190000000001</v>
          </cell>
          <cell r="L1799">
            <v>46147</v>
          </cell>
          <cell r="M1799">
            <v>-5211</v>
          </cell>
          <cell r="N1799">
            <v>194789</v>
          </cell>
        </row>
        <row r="1800">
          <cell r="A1800">
            <v>22313</v>
          </cell>
          <cell r="B1800">
            <v>1794</v>
          </cell>
          <cell r="C1800" t="str">
            <v>IASWD2407000099</v>
          </cell>
          <cell r="D1800">
            <v>45475</v>
          </cell>
          <cell r="E1800">
            <v>45898</v>
          </cell>
          <cell r="F1800" t="str">
            <v>22313</v>
          </cell>
          <cell r="G1800" t="str">
            <v>為升三</v>
          </cell>
          <cell r="H1800">
            <v>200000</v>
          </cell>
          <cell r="I1800">
            <v>3.5</v>
          </cell>
          <cell r="J1800">
            <v>45898</v>
          </cell>
          <cell r="K1800">
            <v>101.50749999999999</v>
          </cell>
          <cell r="L1800">
            <v>45880</v>
          </cell>
          <cell r="M1800">
            <v>-6079</v>
          </cell>
          <cell r="N1800">
            <v>193921</v>
          </cell>
        </row>
        <row r="1801">
          <cell r="A1801">
            <v>22313</v>
          </cell>
          <cell r="B1801">
            <v>1795</v>
          </cell>
          <cell r="C1801" t="str">
            <v>IASWD2407000101</v>
          </cell>
          <cell r="D1801">
            <v>45475</v>
          </cell>
          <cell r="E1801">
            <v>45898</v>
          </cell>
          <cell r="F1801" t="str">
            <v>22313</v>
          </cell>
          <cell r="G1801" t="str">
            <v>為升三</v>
          </cell>
          <cell r="H1801">
            <v>300000</v>
          </cell>
          <cell r="I1801">
            <v>3.5</v>
          </cell>
          <cell r="J1801">
            <v>45898</v>
          </cell>
          <cell r="K1801">
            <v>101.50749999999999</v>
          </cell>
          <cell r="L1801">
            <v>45880</v>
          </cell>
          <cell r="M1801">
            <v>-9119</v>
          </cell>
          <cell r="N1801">
            <v>290881</v>
          </cell>
        </row>
        <row r="1802">
          <cell r="A1802">
            <v>36804</v>
          </cell>
          <cell r="B1802">
            <v>1796</v>
          </cell>
          <cell r="C1802" t="str">
            <v>IASWD2407000104</v>
          </cell>
          <cell r="D1802">
            <v>45475</v>
          </cell>
          <cell r="E1802">
            <v>45948</v>
          </cell>
          <cell r="F1802" t="str">
            <v>36804</v>
          </cell>
          <cell r="G1802" t="str">
            <v>家登四</v>
          </cell>
          <cell r="H1802">
            <v>700000</v>
          </cell>
          <cell r="I1802">
            <v>3.2</v>
          </cell>
          <cell r="J1802">
            <v>45948</v>
          </cell>
          <cell r="K1802">
            <v>100</v>
          </cell>
          <cell r="L1802">
            <v>45926</v>
          </cell>
          <cell r="M1802">
            <v>-19454</v>
          </cell>
          <cell r="N1802">
            <v>680546</v>
          </cell>
        </row>
        <row r="1803">
          <cell r="A1803">
            <v>22313</v>
          </cell>
          <cell r="B1803">
            <v>1797</v>
          </cell>
          <cell r="C1803" t="str">
            <v>IASWD2407000106</v>
          </cell>
          <cell r="D1803">
            <v>45475</v>
          </cell>
          <cell r="E1803">
            <v>45898</v>
          </cell>
          <cell r="F1803" t="str">
            <v>22313</v>
          </cell>
          <cell r="G1803" t="str">
            <v>為升三</v>
          </cell>
          <cell r="H1803">
            <v>100000</v>
          </cell>
          <cell r="I1803">
            <v>3.5</v>
          </cell>
          <cell r="J1803">
            <v>45898</v>
          </cell>
          <cell r="K1803">
            <v>101.50749999999999</v>
          </cell>
          <cell r="L1803">
            <v>45880</v>
          </cell>
          <cell r="M1803">
            <v>-3040</v>
          </cell>
          <cell r="N1803">
            <v>96960</v>
          </cell>
        </row>
        <row r="1804">
          <cell r="A1804">
            <v>34834</v>
          </cell>
          <cell r="B1804">
            <v>1798</v>
          </cell>
          <cell r="C1804" t="str">
            <v>IASWD2407000110</v>
          </cell>
          <cell r="D1804">
            <v>45475</v>
          </cell>
          <cell r="E1804">
            <v>46529</v>
          </cell>
          <cell r="F1804" t="str">
            <v>34834</v>
          </cell>
          <cell r="G1804" t="str">
            <v>力致四</v>
          </cell>
          <cell r="H1804">
            <v>100000</v>
          </cell>
          <cell r="I1804">
            <v>3.75</v>
          </cell>
          <cell r="J1804">
            <v>46529</v>
          </cell>
          <cell r="K1804">
            <v>100</v>
          </cell>
          <cell r="L1804">
            <v>46511</v>
          </cell>
          <cell r="M1804">
            <v>-3257</v>
          </cell>
          <cell r="N1804">
            <v>96743</v>
          </cell>
        </row>
        <row r="1805">
          <cell r="A1805">
            <v>36804</v>
          </cell>
          <cell r="B1805">
            <v>1799</v>
          </cell>
          <cell r="C1805" t="str">
            <v>IASWD2407000113</v>
          </cell>
          <cell r="D1805">
            <v>45476</v>
          </cell>
          <cell r="E1805">
            <v>45948</v>
          </cell>
          <cell r="F1805" t="str">
            <v>36804</v>
          </cell>
          <cell r="G1805" t="str">
            <v>家登四</v>
          </cell>
          <cell r="H1805">
            <v>100000</v>
          </cell>
          <cell r="I1805">
            <v>3.2</v>
          </cell>
          <cell r="J1805">
            <v>45948</v>
          </cell>
          <cell r="K1805">
            <v>100</v>
          </cell>
          <cell r="L1805">
            <v>45926</v>
          </cell>
          <cell r="M1805">
            <v>-2770</v>
          </cell>
          <cell r="N1805">
            <v>97230</v>
          </cell>
        </row>
        <row r="1806">
          <cell r="A1806">
            <v>36804</v>
          </cell>
          <cell r="B1806">
            <v>1800</v>
          </cell>
          <cell r="C1806" t="str">
            <v>IASWD2407000115</v>
          </cell>
          <cell r="D1806">
            <v>45476</v>
          </cell>
          <cell r="E1806">
            <v>45948</v>
          </cell>
          <cell r="F1806" t="str">
            <v>36804</v>
          </cell>
          <cell r="G1806" t="str">
            <v>家登四</v>
          </cell>
          <cell r="H1806">
            <v>200000</v>
          </cell>
          <cell r="I1806">
            <v>3.2</v>
          </cell>
          <cell r="J1806">
            <v>45948</v>
          </cell>
          <cell r="K1806">
            <v>100</v>
          </cell>
          <cell r="L1806">
            <v>45926</v>
          </cell>
          <cell r="M1806">
            <v>-5541</v>
          </cell>
          <cell r="N1806">
            <v>194459</v>
          </cell>
        </row>
        <row r="1807">
          <cell r="A1807">
            <v>61906</v>
          </cell>
          <cell r="B1807">
            <v>1801</v>
          </cell>
          <cell r="C1807" t="str">
            <v>IASWD2407000118</v>
          </cell>
          <cell r="D1807">
            <v>45476</v>
          </cell>
          <cell r="E1807">
            <v>45961</v>
          </cell>
          <cell r="F1807" t="str">
            <v>61906</v>
          </cell>
          <cell r="G1807" t="str">
            <v>萬泰科六</v>
          </cell>
          <cell r="H1807">
            <v>100000</v>
          </cell>
          <cell r="I1807">
            <v>4</v>
          </cell>
          <cell r="J1807">
            <v>45961</v>
          </cell>
          <cell r="K1807">
            <v>100</v>
          </cell>
          <cell r="L1807">
            <v>45943</v>
          </cell>
          <cell r="M1807">
            <v>-3463</v>
          </cell>
          <cell r="N1807">
            <v>96537</v>
          </cell>
        </row>
        <row r="1808">
          <cell r="A1808">
            <v>36804</v>
          </cell>
          <cell r="B1808">
            <v>1802</v>
          </cell>
          <cell r="C1808" t="str">
            <v>IASWD2407000124</v>
          </cell>
          <cell r="D1808">
            <v>45476</v>
          </cell>
          <cell r="E1808">
            <v>45948</v>
          </cell>
          <cell r="F1808" t="str">
            <v>36804</v>
          </cell>
          <cell r="G1808" t="str">
            <v>家登四</v>
          </cell>
          <cell r="H1808">
            <v>200000</v>
          </cell>
          <cell r="I1808">
            <v>3.2</v>
          </cell>
          <cell r="J1808">
            <v>45948</v>
          </cell>
          <cell r="K1808">
            <v>100</v>
          </cell>
          <cell r="L1808">
            <v>45926</v>
          </cell>
          <cell r="M1808">
            <v>-5541</v>
          </cell>
          <cell r="N1808">
            <v>194459</v>
          </cell>
        </row>
        <row r="1809">
          <cell r="A1809">
            <v>56086</v>
          </cell>
          <cell r="B1809">
            <v>1803</v>
          </cell>
          <cell r="C1809" t="str">
            <v>IASWD2407000129</v>
          </cell>
          <cell r="D1809">
            <v>45476</v>
          </cell>
          <cell r="E1809">
            <v>46194</v>
          </cell>
          <cell r="F1809" t="str">
            <v>56086</v>
          </cell>
          <cell r="G1809" t="str">
            <v>四維航六</v>
          </cell>
          <cell r="H1809">
            <v>100000</v>
          </cell>
          <cell r="I1809">
            <v>2.35</v>
          </cell>
          <cell r="J1809">
            <v>46194</v>
          </cell>
          <cell r="K1809">
            <v>100</v>
          </cell>
          <cell r="L1809">
            <v>46175</v>
          </cell>
          <cell r="M1809">
            <v>-2035</v>
          </cell>
          <cell r="N1809">
            <v>97965</v>
          </cell>
        </row>
        <row r="1810">
          <cell r="A1810">
            <v>22013</v>
          </cell>
          <cell r="B1810">
            <v>1804</v>
          </cell>
          <cell r="C1810" t="str">
            <v>IASWD2407000132</v>
          </cell>
          <cell r="D1810">
            <v>45476</v>
          </cell>
          <cell r="E1810">
            <v>46167</v>
          </cell>
          <cell r="F1810" t="str">
            <v>22013</v>
          </cell>
          <cell r="G1810" t="str">
            <v>裕隆三</v>
          </cell>
          <cell r="H1810">
            <v>200000</v>
          </cell>
          <cell r="I1810">
            <v>3</v>
          </cell>
          <cell r="J1810">
            <v>46167</v>
          </cell>
          <cell r="K1810">
            <v>100.75190000000001</v>
          </cell>
          <cell r="L1810">
            <v>46147</v>
          </cell>
          <cell r="M1810">
            <v>-5195</v>
          </cell>
          <cell r="N1810">
            <v>194805</v>
          </cell>
        </row>
        <row r="1811">
          <cell r="A1811">
            <v>61965</v>
          </cell>
          <cell r="B1811">
            <v>1805</v>
          </cell>
          <cell r="C1811" t="str">
            <v>IASWD2407000135</v>
          </cell>
          <cell r="D1811">
            <v>45476</v>
          </cell>
          <cell r="E1811">
            <v>46200</v>
          </cell>
          <cell r="F1811" t="str">
            <v>61965</v>
          </cell>
          <cell r="G1811" t="str">
            <v>帆宣五</v>
          </cell>
          <cell r="H1811">
            <v>1000000</v>
          </cell>
          <cell r="I1811">
            <v>3</v>
          </cell>
          <cell r="J1811">
            <v>46200</v>
          </cell>
          <cell r="K1811">
            <v>100</v>
          </cell>
          <cell r="L1811">
            <v>46182</v>
          </cell>
          <cell r="M1811">
            <v>-25973</v>
          </cell>
          <cell r="N1811">
            <v>974027</v>
          </cell>
        </row>
        <row r="1812">
          <cell r="A1812">
            <v>22013</v>
          </cell>
          <cell r="B1812">
            <v>1806</v>
          </cell>
          <cell r="C1812" t="str">
            <v>IASWD2407000138</v>
          </cell>
          <cell r="D1812">
            <v>45476</v>
          </cell>
          <cell r="E1812">
            <v>46167</v>
          </cell>
          <cell r="F1812" t="str">
            <v>22013</v>
          </cell>
          <cell r="G1812" t="str">
            <v>裕隆三</v>
          </cell>
          <cell r="H1812">
            <v>200000</v>
          </cell>
          <cell r="I1812">
            <v>3</v>
          </cell>
          <cell r="J1812">
            <v>46167</v>
          </cell>
          <cell r="K1812">
            <v>100.75190000000001</v>
          </cell>
          <cell r="L1812">
            <v>46147</v>
          </cell>
          <cell r="M1812">
            <v>-5195</v>
          </cell>
          <cell r="N1812">
            <v>194805</v>
          </cell>
        </row>
        <row r="1813">
          <cell r="A1813">
            <v>22313</v>
          </cell>
          <cell r="B1813">
            <v>1807</v>
          </cell>
          <cell r="C1813" t="str">
            <v>IASWD2407000142</v>
          </cell>
          <cell r="D1813">
            <v>45476</v>
          </cell>
          <cell r="E1813">
            <v>45898</v>
          </cell>
          <cell r="F1813" t="str">
            <v>22313</v>
          </cell>
          <cell r="G1813" t="str">
            <v>為升三</v>
          </cell>
          <cell r="H1813">
            <v>500000</v>
          </cell>
          <cell r="I1813">
            <v>3.5</v>
          </cell>
          <cell r="J1813">
            <v>45898</v>
          </cell>
          <cell r="K1813">
            <v>101.50749999999999</v>
          </cell>
          <cell r="L1813">
            <v>45880</v>
          </cell>
          <cell r="M1813">
            <v>-15151</v>
          </cell>
          <cell r="N1813">
            <v>484849</v>
          </cell>
        </row>
        <row r="1814">
          <cell r="A1814">
            <v>22013</v>
          </cell>
          <cell r="B1814">
            <v>1808</v>
          </cell>
          <cell r="C1814" t="str">
            <v>IASWD2407000146</v>
          </cell>
          <cell r="D1814">
            <v>45476</v>
          </cell>
          <cell r="E1814">
            <v>46167</v>
          </cell>
          <cell r="F1814" t="str">
            <v>22013</v>
          </cell>
          <cell r="G1814" t="str">
            <v>裕隆三</v>
          </cell>
          <cell r="H1814">
            <v>100000</v>
          </cell>
          <cell r="I1814">
            <v>3</v>
          </cell>
          <cell r="J1814">
            <v>46167</v>
          </cell>
          <cell r="K1814">
            <v>100.75190000000001</v>
          </cell>
          <cell r="L1814">
            <v>46147</v>
          </cell>
          <cell r="M1814">
            <v>-2597</v>
          </cell>
          <cell r="N1814">
            <v>97403</v>
          </cell>
        </row>
        <row r="1815">
          <cell r="A1815">
            <v>22313</v>
          </cell>
          <cell r="B1815">
            <v>1809</v>
          </cell>
          <cell r="C1815" t="str">
            <v>IASWD2407000147</v>
          </cell>
          <cell r="D1815">
            <v>45476</v>
          </cell>
          <cell r="E1815">
            <v>45898</v>
          </cell>
          <cell r="F1815" t="str">
            <v>22313</v>
          </cell>
          <cell r="G1815" t="str">
            <v>為升三</v>
          </cell>
          <cell r="H1815">
            <v>100000</v>
          </cell>
          <cell r="I1815">
            <v>3.5</v>
          </cell>
          <cell r="J1815">
            <v>45898</v>
          </cell>
          <cell r="K1815">
            <v>101.50749999999999</v>
          </cell>
          <cell r="L1815">
            <v>45880</v>
          </cell>
          <cell r="M1815">
            <v>-3030</v>
          </cell>
          <cell r="N1815">
            <v>96970</v>
          </cell>
        </row>
        <row r="1816">
          <cell r="A1816">
            <v>22013</v>
          </cell>
          <cell r="B1816">
            <v>1810</v>
          </cell>
          <cell r="C1816" t="str">
            <v>IASWD2407000152</v>
          </cell>
          <cell r="D1816">
            <v>45476</v>
          </cell>
          <cell r="E1816">
            <v>46167</v>
          </cell>
          <cell r="F1816" t="str">
            <v>22013</v>
          </cell>
          <cell r="G1816" t="str">
            <v>裕隆三</v>
          </cell>
          <cell r="H1816">
            <v>500000</v>
          </cell>
          <cell r="I1816">
            <v>3</v>
          </cell>
          <cell r="J1816">
            <v>46167</v>
          </cell>
          <cell r="K1816">
            <v>100.75190000000001</v>
          </cell>
          <cell r="L1816">
            <v>46147</v>
          </cell>
          <cell r="M1816">
            <v>-12986</v>
          </cell>
          <cell r="N1816">
            <v>487014</v>
          </cell>
        </row>
        <row r="1817">
          <cell r="A1817">
            <v>64145</v>
          </cell>
          <cell r="B1817">
            <v>1811</v>
          </cell>
          <cell r="C1817" t="str">
            <v>IASWD2407000153</v>
          </cell>
          <cell r="D1817">
            <v>45476</v>
          </cell>
          <cell r="E1817">
            <v>46250</v>
          </cell>
          <cell r="F1817" t="str">
            <v>64145</v>
          </cell>
          <cell r="G1817" t="str">
            <v>樺漢五</v>
          </cell>
          <cell r="H1817">
            <v>200000</v>
          </cell>
          <cell r="I1817">
            <v>3</v>
          </cell>
          <cell r="J1817">
            <v>46250</v>
          </cell>
          <cell r="K1817">
            <v>100</v>
          </cell>
          <cell r="L1817">
            <v>46231</v>
          </cell>
          <cell r="M1817">
            <v>-5195</v>
          </cell>
          <cell r="N1817">
            <v>194805</v>
          </cell>
        </row>
        <row r="1818">
          <cell r="A1818">
            <v>64145</v>
          </cell>
          <cell r="B1818">
            <v>1812</v>
          </cell>
          <cell r="C1818" t="str">
            <v>IASWD2407000157</v>
          </cell>
          <cell r="D1818">
            <v>45476</v>
          </cell>
          <cell r="E1818">
            <v>46250</v>
          </cell>
          <cell r="F1818" t="str">
            <v>64145</v>
          </cell>
          <cell r="G1818" t="str">
            <v>樺漢五</v>
          </cell>
          <cell r="H1818">
            <v>200000</v>
          </cell>
          <cell r="I1818">
            <v>3</v>
          </cell>
          <cell r="J1818">
            <v>46250</v>
          </cell>
          <cell r="K1818">
            <v>100</v>
          </cell>
          <cell r="L1818">
            <v>46231</v>
          </cell>
          <cell r="M1818">
            <v>-5195</v>
          </cell>
          <cell r="N1818">
            <v>194805</v>
          </cell>
        </row>
        <row r="1819">
          <cell r="A1819">
            <v>64145</v>
          </cell>
          <cell r="B1819">
            <v>1813</v>
          </cell>
          <cell r="C1819" t="str">
            <v>IASWD2407000158</v>
          </cell>
          <cell r="D1819">
            <v>45476</v>
          </cell>
          <cell r="E1819">
            <v>46250</v>
          </cell>
          <cell r="F1819" t="str">
            <v>64145</v>
          </cell>
          <cell r="G1819" t="str">
            <v>樺漢五</v>
          </cell>
          <cell r="H1819">
            <v>100000</v>
          </cell>
          <cell r="I1819">
            <v>3</v>
          </cell>
          <cell r="J1819">
            <v>46250</v>
          </cell>
          <cell r="K1819">
            <v>100</v>
          </cell>
          <cell r="L1819">
            <v>46231</v>
          </cell>
          <cell r="M1819">
            <v>-2597</v>
          </cell>
          <cell r="N1819">
            <v>97403</v>
          </cell>
        </row>
        <row r="1820">
          <cell r="A1820">
            <v>64145</v>
          </cell>
          <cell r="B1820">
            <v>1814</v>
          </cell>
          <cell r="C1820" t="str">
            <v>IASWD2407000165</v>
          </cell>
          <cell r="D1820">
            <v>45476</v>
          </cell>
          <cell r="E1820">
            <v>46250</v>
          </cell>
          <cell r="F1820" t="str">
            <v>64145</v>
          </cell>
          <cell r="G1820" t="str">
            <v>樺漢五</v>
          </cell>
          <cell r="H1820">
            <v>100000</v>
          </cell>
          <cell r="I1820">
            <v>3</v>
          </cell>
          <cell r="J1820">
            <v>46250</v>
          </cell>
          <cell r="K1820">
            <v>100</v>
          </cell>
          <cell r="L1820">
            <v>46231</v>
          </cell>
          <cell r="M1820">
            <v>-2597</v>
          </cell>
          <cell r="N1820">
            <v>97403</v>
          </cell>
        </row>
        <row r="1821">
          <cell r="A1821">
            <v>45663</v>
          </cell>
          <cell r="B1821">
            <v>1815</v>
          </cell>
          <cell r="C1821" t="str">
            <v>IASWD2407000166</v>
          </cell>
          <cell r="D1821">
            <v>45476</v>
          </cell>
          <cell r="E1821">
            <v>46353</v>
          </cell>
          <cell r="F1821" t="str">
            <v>45663</v>
          </cell>
          <cell r="G1821" t="str">
            <v>時碩工業三</v>
          </cell>
          <cell r="H1821">
            <v>200000</v>
          </cell>
          <cell r="I1821">
            <v>3.5</v>
          </cell>
          <cell r="J1821">
            <v>46353</v>
          </cell>
          <cell r="K1821">
            <v>100</v>
          </cell>
          <cell r="L1821">
            <v>46335</v>
          </cell>
          <cell r="M1821">
            <v>-6060</v>
          </cell>
          <cell r="N1821">
            <v>193940</v>
          </cell>
        </row>
        <row r="1822">
          <cell r="A1822">
            <v>64145</v>
          </cell>
          <cell r="B1822">
            <v>1816</v>
          </cell>
          <cell r="C1822" t="str">
            <v>IASWD2407000170</v>
          </cell>
          <cell r="D1822">
            <v>45476</v>
          </cell>
          <cell r="E1822">
            <v>46250</v>
          </cell>
          <cell r="F1822" t="str">
            <v>64145</v>
          </cell>
          <cell r="G1822" t="str">
            <v>樺漢五</v>
          </cell>
          <cell r="H1822">
            <v>100000</v>
          </cell>
          <cell r="I1822">
            <v>3</v>
          </cell>
          <cell r="J1822">
            <v>46250</v>
          </cell>
          <cell r="K1822">
            <v>100</v>
          </cell>
          <cell r="L1822">
            <v>46231</v>
          </cell>
          <cell r="M1822">
            <v>-2597</v>
          </cell>
          <cell r="N1822">
            <v>97403</v>
          </cell>
        </row>
        <row r="1823">
          <cell r="A1823">
            <v>36804</v>
          </cell>
          <cell r="B1823">
            <v>1817</v>
          </cell>
          <cell r="C1823" t="str">
            <v>IASWD2407000172</v>
          </cell>
          <cell r="D1823">
            <v>45476</v>
          </cell>
          <cell r="E1823">
            <v>45948</v>
          </cell>
          <cell r="F1823" t="str">
            <v>36804</v>
          </cell>
          <cell r="G1823" t="str">
            <v>家登四</v>
          </cell>
          <cell r="H1823">
            <v>100000</v>
          </cell>
          <cell r="I1823">
            <v>3.2</v>
          </cell>
          <cell r="J1823">
            <v>45948</v>
          </cell>
          <cell r="K1823">
            <v>100</v>
          </cell>
          <cell r="L1823">
            <v>45926</v>
          </cell>
          <cell r="M1823">
            <v>-2770</v>
          </cell>
          <cell r="N1823">
            <v>97230</v>
          </cell>
        </row>
        <row r="1824">
          <cell r="A1824">
            <v>20632</v>
          </cell>
          <cell r="B1824">
            <v>1818</v>
          </cell>
          <cell r="C1824" t="str">
            <v>IASWD2407000173</v>
          </cell>
          <cell r="D1824">
            <v>45476</v>
          </cell>
          <cell r="E1824">
            <v>45971</v>
          </cell>
          <cell r="F1824" t="str">
            <v>20632</v>
          </cell>
          <cell r="G1824" t="str">
            <v>世鎧二</v>
          </cell>
          <cell r="H1824">
            <v>500000</v>
          </cell>
          <cell r="I1824">
            <v>3.25</v>
          </cell>
          <cell r="J1824">
            <v>45971</v>
          </cell>
          <cell r="K1824">
            <v>100</v>
          </cell>
          <cell r="L1824">
            <v>45951</v>
          </cell>
          <cell r="M1824">
            <v>-14068</v>
          </cell>
          <cell r="N1824">
            <v>485932</v>
          </cell>
        </row>
        <row r="1825">
          <cell r="A1825">
            <v>64145</v>
          </cell>
          <cell r="B1825">
            <v>1819</v>
          </cell>
          <cell r="C1825" t="str">
            <v>IASWD2407000176</v>
          </cell>
          <cell r="D1825">
            <v>45476</v>
          </cell>
          <cell r="E1825">
            <v>46250</v>
          </cell>
          <cell r="F1825" t="str">
            <v>64145</v>
          </cell>
          <cell r="G1825" t="str">
            <v>樺漢五</v>
          </cell>
          <cell r="H1825">
            <v>200000</v>
          </cell>
          <cell r="I1825">
            <v>3</v>
          </cell>
          <cell r="J1825">
            <v>46250</v>
          </cell>
          <cell r="K1825">
            <v>100</v>
          </cell>
          <cell r="L1825">
            <v>46231</v>
          </cell>
          <cell r="M1825">
            <v>-5195</v>
          </cell>
          <cell r="N1825">
            <v>194805</v>
          </cell>
        </row>
        <row r="1826">
          <cell r="A1826">
            <v>61965</v>
          </cell>
          <cell r="B1826">
            <v>1820</v>
          </cell>
          <cell r="C1826" t="str">
            <v>IASWD2407000180</v>
          </cell>
          <cell r="D1826">
            <v>45477</v>
          </cell>
          <cell r="E1826">
            <v>46200</v>
          </cell>
          <cell r="F1826" t="str">
            <v>61965</v>
          </cell>
          <cell r="G1826" t="str">
            <v>帆宣五</v>
          </cell>
          <cell r="H1826">
            <v>100000</v>
          </cell>
          <cell r="I1826">
            <v>3</v>
          </cell>
          <cell r="J1826">
            <v>46200</v>
          </cell>
          <cell r="K1826">
            <v>100</v>
          </cell>
          <cell r="L1826">
            <v>46182</v>
          </cell>
          <cell r="M1826">
            <v>-2589</v>
          </cell>
          <cell r="N1826">
            <v>97411</v>
          </cell>
        </row>
        <row r="1827">
          <cell r="A1827">
            <v>34834</v>
          </cell>
          <cell r="B1827">
            <v>1821</v>
          </cell>
          <cell r="C1827" t="str">
            <v>IASWD2407000182</v>
          </cell>
          <cell r="D1827">
            <v>45477</v>
          </cell>
          <cell r="E1827">
            <v>46529</v>
          </cell>
          <cell r="F1827" t="str">
            <v>34834</v>
          </cell>
          <cell r="G1827" t="str">
            <v>力致四</v>
          </cell>
          <cell r="H1827">
            <v>200000</v>
          </cell>
          <cell r="I1827">
            <v>3.75</v>
          </cell>
          <cell r="J1827">
            <v>46529</v>
          </cell>
          <cell r="K1827">
            <v>100</v>
          </cell>
          <cell r="L1827">
            <v>46511</v>
          </cell>
          <cell r="M1827">
            <v>-6473</v>
          </cell>
          <cell r="N1827">
            <v>193527</v>
          </cell>
        </row>
        <row r="1828">
          <cell r="A1828">
            <v>64145</v>
          </cell>
          <cell r="B1828">
            <v>1822</v>
          </cell>
          <cell r="C1828" t="str">
            <v>IASWD2407000183</v>
          </cell>
          <cell r="D1828">
            <v>45477</v>
          </cell>
          <cell r="E1828">
            <v>46250</v>
          </cell>
          <cell r="F1828" t="str">
            <v>64145</v>
          </cell>
          <cell r="G1828" t="str">
            <v>樺漢五</v>
          </cell>
          <cell r="H1828">
            <v>1000000</v>
          </cell>
          <cell r="I1828">
            <v>3</v>
          </cell>
          <cell r="J1828">
            <v>46250</v>
          </cell>
          <cell r="K1828">
            <v>100</v>
          </cell>
          <cell r="L1828">
            <v>46231</v>
          </cell>
          <cell r="M1828">
            <v>-25890</v>
          </cell>
          <cell r="N1828">
            <v>974110</v>
          </cell>
        </row>
        <row r="1829">
          <cell r="A1829">
            <v>29061</v>
          </cell>
          <cell r="B1829">
            <v>1823</v>
          </cell>
          <cell r="C1829" t="str">
            <v>IASWD2407000185</v>
          </cell>
          <cell r="D1829">
            <v>45477</v>
          </cell>
          <cell r="E1829">
            <v>45920</v>
          </cell>
          <cell r="F1829" t="str">
            <v>29061</v>
          </cell>
          <cell r="G1829" t="str">
            <v>高林一</v>
          </cell>
          <cell r="H1829">
            <v>100000</v>
          </cell>
          <cell r="I1829">
            <v>3.75</v>
          </cell>
          <cell r="J1829">
            <v>45920</v>
          </cell>
          <cell r="K1829">
            <v>102.01</v>
          </cell>
          <cell r="L1829">
            <v>45902</v>
          </cell>
          <cell r="M1829">
            <v>-3236</v>
          </cell>
          <cell r="N1829">
            <v>96764</v>
          </cell>
        </row>
        <row r="1830">
          <cell r="A1830">
            <v>64145</v>
          </cell>
          <cell r="B1830">
            <v>1824</v>
          </cell>
          <cell r="C1830" t="str">
            <v>IASWD2407000191</v>
          </cell>
          <cell r="D1830">
            <v>45477</v>
          </cell>
          <cell r="E1830">
            <v>46250</v>
          </cell>
          <cell r="F1830" t="str">
            <v>64145</v>
          </cell>
          <cell r="G1830" t="str">
            <v>樺漢五</v>
          </cell>
          <cell r="H1830">
            <v>100000</v>
          </cell>
          <cell r="I1830">
            <v>3</v>
          </cell>
          <cell r="J1830">
            <v>46250</v>
          </cell>
          <cell r="K1830">
            <v>100</v>
          </cell>
          <cell r="L1830">
            <v>46231</v>
          </cell>
          <cell r="M1830">
            <v>-2589</v>
          </cell>
          <cell r="N1830">
            <v>97411</v>
          </cell>
        </row>
        <row r="1831">
          <cell r="A1831">
            <v>27323</v>
          </cell>
          <cell r="B1831">
            <v>1825</v>
          </cell>
          <cell r="C1831" t="str">
            <v>IASWD2407000192</v>
          </cell>
          <cell r="D1831">
            <v>45477</v>
          </cell>
          <cell r="E1831">
            <v>46048</v>
          </cell>
          <cell r="F1831" t="str">
            <v>27323</v>
          </cell>
          <cell r="G1831" t="str">
            <v>六角三</v>
          </cell>
          <cell r="H1831">
            <v>100000</v>
          </cell>
          <cell r="I1831">
            <v>3</v>
          </cell>
          <cell r="J1831">
            <v>46048</v>
          </cell>
          <cell r="K1831">
            <v>101</v>
          </cell>
          <cell r="L1831">
            <v>46028</v>
          </cell>
          <cell r="M1831">
            <v>-2589</v>
          </cell>
          <cell r="N1831">
            <v>97411</v>
          </cell>
        </row>
        <row r="1832">
          <cell r="A1832">
            <v>45663</v>
          </cell>
          <cell r="B1832">
            <v>1826</v>
          </cell>
          <cell r="C1832" t="str">
            <v>IASWD2407000196</v>
          </cell>
          <cell r="D1832">
            <v>45477</v>
          </cell>
          <cell r="E1832">
            <v>46353</v>
          </cell>
          <cell r="F1832" t="str">
            <v>45663</v>
          </cell>
          <cell r="G1832" t="str">
            <v>時碩工業三</v>
          </cell>
          <cell r="H1832">
            <v>100000</v>
          </cell>
          <cell r="I1832">
            <v>3.5</v>
          </cell>
          <cell r="J1832">
            <v>46353</v>
          </cell>
          <cell r="K1832">
            <v>100</v>
          </cell>
          <cell r="L1832">
            <v>46335</v>
          </cell>
          <cell r="M1832">
            <v>-3021</v>
          </cell>
          <cell r="N1832">
            <v>96979</v>
          </cell>
        </row>
        <row r="1833">
          <cell r="A1833">
            <v>27323</v>
          </cell>
          <cell r="B1833">
            <v>1827</v>
          </cell>
          <cell r="C1833" t="str">
            <v>IASWD2407000197</v>
          </cell>
          <cell r="D1833">
            <v>45477</v>
          </cell>
          <cell r="E1833">
            <v>46048</v>
          </cell>
          <cell r="F1833" t="str">
            <v>27323</v>
          </cell>
          <cell r="G1833" t="str">
            <v>六角三</v>
          </cell>
          <cell r="H1833">
            <v>100000</v>
          </cell>
          <cell r="I1833">
            <v>3</v>
          </cell>
          <cell r="J1833">
            <v>46048</v>
          </cell>
          <cell r="K1833">
            <v>101</v>
          </cell>
          <cell r="L1833">
            <v>46028</v>
          </cell>
          <cell r="M1833">
            <v>-2589</v>
          </cell>
          <cell r="N1833">
            <v>97411</v>
          </cell>
        </row>
        <row r="1834">
          <cell r="A1834">
            <v>27323</v>
          </cell>
          <cell r="B1834">
            <v>1828</v>
          </cell>
          <cell r="C1834" t="str">
            <v>IASWD2407000200</v>
          </cell>
          <cell r="D1834">
            <v>45477</v>
          </cell>
          <cell r="E1834">
            <v>46048</v>
          </cell>
          <cell r="F1834" t="str">
            <v>27323</v>
          </cell>
          <cell r="G1834" t="str">
            <v>六角三</v>
          </cell>
          <cell r="H1834">
            <v>200000</v>
          </cell>
          <cell r="I1834">
            <v>3</v>
          </cell>
          <cell r="J1834">
            <v>46048</v>
          </cell>
          <cell r="K1834">
            <v>101</v>
          </cell>
          <cell r="L1834">
            <v>46028</v>
          </cell>
          <cell r="M1834">
            <v>-5178</v>
          </cell>
          <cell r="N1834">
            <v>194822</v>
          </cell>
        </row>
        <row r="1835">
          <cell r="A1835">
            <v>22013</v>
          </cell>
          <cell r="B1835">
            <v>1829</v>
          </cell>
          <cell r="C1835" t="str">
            <v>IASWD2407000201</v>
          </cell>
          <cell r="D1835">
            <v>45477</v>
          </cell>
          <cell r="E1835">
            <v>46167</v>
          </cell>
          <cell r="F1835" t="str">
            <v>22013</v>
          </cell>
          <cell r="G1835" t="str">
            <v>裕隆三</v>
          </cell>
          <cell r="H1835">
            <v>100000</v>
          </cell>
          <cell r="I1835">
            <v>3</v>
          </cell>
          <cell r="J1835">
            <v>46167</v>
          </cell>
          <cell r="K1835">
            <v>100.75190000000001</v>
          </cell>
          <cell r="L1835">
            <v>46147</v>
          </cell>
          <cell r="M1835">
            <v>-2589</v>
          </cell>
          <cell r="N1835">
            <v>97411</v>
          </cell>
        </row>
        <row r="1836">
          <cell r="A1836">
            <v>22013</v>
          </cell>
          <cell r="B1836">
            <v>1830</v>
          </cell>
          <cell r="C1836" t="str">
            <v>IASWD2407000207</v>
          </cell>
          <cell r="D1836">
            <v>45477</v>
          </cell>
          <cell r="E1836">
            <v>46167</v>
          </cell>
          <cell r="F1836" t="str">
            <v>22013</v>
          </cell>
          <cell r="G1836" t="str">
            <v>裕隆三</v>
          </cell>
          <cell r="H1836">
            <v>100000</v>
          </cell>
          <cell r="I1836">
            <v>3</v>
          </cell>
          <cell r="J1836">
            <v>46167</v>
          </cell>
          <cell r="K1836">
            <v>100.75190000000001</v>
          </cell>
          <cell r="L1836">
            <v>46147</v>
          </cell>
          <cell r="M1836">
            <v>-2589</v>
          </cell>
          <cell r="N1836">
            <v>97411</v>
          </cell>
        </row>
        <row r="1837">
          <cell r="A1837">
            <v>64145</v>
          </cell>
          <cell r="B1837">
            <v>1831</v>
          </cell>
          <cell r="C1837" t="str">
            <v>IASWD2407000210</v>
          </cell>
          <cell r="D1837">
            <v>45477</v>
          </cell>
          <cell r="E1837">
            <v>46250</v>
          </cell>
          <cell r="F1837" t="str">
            <v>64145</v>
          </cell>
          <cell r="G1837" t="str">
            <v>樺漢五</v>
          </cell>
          <cell r="H1837">
            <v>100000</v>
          </cell>
          <cell r="I1837">
            <v>3</v>
          </cell>
          <cell r="J1837">
            <v>46250</v>
          </cell>
          <cell r="K1837">
            <v>100</v>
          </cell>
          <cell r="L1837">
            <v>46231</v>
          </cell>
          <cell r="M1837">
            <v>-2589</v>
          </cell>
          <cell r="N1837">
            <v>97411</v>
          </cell>
        </row>
        <row r="1838">
          <cell r="A1838">
            <v>64145</v>
          </cell>
          <cell r="B1838">
            <v>1832</v>
          </cell>
          <cell r="C1838" t="str">
            <v>IASWD2407000211</v>
          </cell>
          <cell r="D1838">
            <v>45477</v>
          </cell>
          <cell r="E1838">
            <v>46250</v>
          </cell>
          <cell r="F1838" t="str">
            <v>64145</v>
          </cell>
          <cell r="G1838" t="str">
            <v>樺漢五</v>
          </cell>
          <cell r="H1838">
            <v>100000</v>
          </cell>
          <cell r="I1838">
            <v>3</v>
          </cell>
          <cell r="J1838">
            <v>46250</v>
          </cell>
          <cell r="K1838">
            <v>100</v>
          </cell>
          <cell r="L1838">
            <v>46231</v>
          </cell>
          <cell r="M1838">
            <v>-2589</v>
          </cell>
          <cell r="N1838">
            <v>97411</v>
          </cell>
        </row>
        <row r="1839">
          <cell r="A1839">
            <v>27323</v>
          </cell>
          <cell r="B1839">
            <v>1833</v>
          </cell>
          <cell r="C1839" t="str">
            <v>IASWD2407000213</v>
          </cell>
          <cell r="D1839">
            <v>45477</v>
          </cell>
          <cell r="E1839">
            <v>46048</v>
          </cell>
          <cell r="F1839" t="str">
            <v>27323</v>
          </cell>
          <cell r="G1839" t="str">
            <v>六角三</v>
          </cell>
          <cell r="H1839">
            <v>300000</v>
          </cell>
          <cell r="I1839">
            <v>3</v>
          </cell>
          <cell r="J1839">
            <v>46048</v>
          </cell>
          <cell r="K1839">
            <v>101</v>
          </cell>
          <cell r="L1839">
            <v>46028</v>
          </cell>
          <cell r="M1839">
            <v>-7767</v>
          </cell>
          <cell r="N1839">
            <v>292233</v>
          </cell>
        </row>
        <row r="1840">
          <cell r="A1840">
            <v>35482</v>
          </cell>
          <cell r="B1840">
            <v>1834</v>
          </cell>
          <cell r="C1840" t="str">
            <v>IASWD2407000214</v>
          </cell>
          <cell r="D1840">
            <v>45477</v>
          </cell>
          <cell r="E1840">
            <v>46395</v>
          </cell>
          <cell r="F1840" t="str">
            <v>35482</v>
          </cell>
          <cell r="G1840" t="str">
            <v>兆利二</v>
          </cell>
          <cell r="H1840">
            <v>1500000</v>
          </cell>
          <cell r="I1840">
            <v>3</v>
          </cell>
          <cell r="J1840">
            <v>46395</v>
          </cell>
          <cell r="K1840">
            <v>100</v>
          </cell>
          <cell r="L1840">
            <v>46377</v>
          </cell>
          <cell r="M1840">
            <v>-38836</v>
          </cell>
          <cell r="N1840">
            <v>1461164</v>
          </cell>
        </row>
        <row r="1841">
          <cell r="A1841">
            <v>27323</v>
          </cell>
          <cell r="B1841">
            <v>1835</v>
          </cell>
          <cell r="C1841" t="str">
            <v>IASWD2407000216</v>
          </cell>
          <cell r="D1841">
            <v>45477</v>
          </cell>
          <cell r="E1841">
            <v>46048</v>
          </cell>
          <cell r="F1841" t="str">
            <v>27323</v>
          </cell>
          <cell r="G1841" t="str">
            <v>六角三</v>
          </cell>
          <cell r="H1841">
            <v>100000</v>
          </cell>
          <cell r="I1841">
            <v>3</v>
          </cell>
          <cell r="J1841">
            <v>46048</v>
          </cell>
          <cell r="K1841">
            <v>101</v>
          </cell>
          <cell r="L1841">
            <v>46028</v>
          </cell>
          <cell r="M1841">
            <v>-2589</v>
          </cell>
          <cell r="N1841">
            <v>97411</v>
          </cell>
        </row>
        <row r="1842">
          <cell r="A1842">
            <v>89964</v>
          </cell>
          <cell r="B1842">
            <v>1836</v>
          </cell>
          <cell r="C1842" t="str">
            <v>IASWD2407000219</v>
          </cell>
          <cell r="D1842">
            <v>45477</v>
          </cell>
          <cell r="E1842">
            <v>46362</v>
          </cell>
          <cell r="F1842" t="str">
            <v>89964</v>
          </cell>
          <cell r="G1842" t="str">
            <v>高力四</v>
          </cell>
          <cell r="H1842">
            <v>500000</v>
          </cell>
          <cell r="I1842">
            <v>3.5</v>
          </cell>
          <cell r="J1842">
            <v>46362</v>
          </cell>
          <cell r="K1842">
            <v>100.75190000000001</v>
          </cell>
          <cell r="L1842">
            <v>46343</v>
          </cell>
          <cell r="M1842">
            <v>-15103</v>
          </cell>
          <cell r="N1842">
            <v>484897</v>
          </cell>
        </row>
        <row r="1843">
          <cell r="A1843">
            <v>64145</v>
          </cell>
          <cell r="B1843">
            <v>1837</v>
          </cell>
          <cell r="C1843" t="str">
            <v>IASWD2407000222</v>
          </cell>
          <cell r="D1843">
            <v>45477</v>
          </cell>
          <cell r="E1843">
            <v>46250</v>
          </cell>
          <cell r="F1843" t="str">
            <v>64145</v>
          </cell>
          <cell r="G1843" t="str">
            <v>樺漢五</v>
          </cell>
          <cell r="H1843">
            <v>500000</v>
          </cell>
          <cell r="I1843">
            <v>3</v>
          </cell>
          <cell r="J1843">
            <v>46250</v>
          </cell>
          <cell r="K1843">
            <v>100</v>
          </cell>
          <cell r="L1843">
            <v>46231</v>
          </cell>
          <cell r="M1843">
            <v>-12945</v>
          </cell>
          <cell r="N1843">
            <v>487055</v>
          </cell>
        </row>
        <row r="1844">
          <cell r="A1844">
            <v>29061</v>
          </cell>
          <cell r="B1844">
            <v>1838</v>
          </cell>
          <cell r="C1844" t="str">
            <v>IASWD2407000223</v>
          </cell>
          <cell r="D1844">
            <v>45477</v>
          </cell>
          <cell r="E1844">
            <v>45920</v>
          </cell>
          <cell r="F1844" t="str">
            <v>29061</v>
          </cell>
          <cell r="G1844" t="str">
            <v>高林一</v>
          </cell>
          <cell r="H1844">
            <v>100000</v>
          </cell>
          <cell r="I1844">
            <v>3.75</v>
          </cell>
          <cell r="J1844">
            <v>45920</v>
          </cell>
          <cell r="K1844">
            <v>102.01</v>
          </cell>
          <cell r="L1844">
            <v>45902</v>
          </cell>
          <cell r="M1844">
            <v>-3236</v>
          </cell>
          <cell r="N1844">
            <v>96764</v>
          </cell>
        </row>
        <row r="1845">
          <cell r="A1845">
            <v>64145</v>
          </cell>
          <cell r="B1845">
            <v>1839</v>
          </cell>
          <cell r="C1845" t="str">
            <v>IASWD2407000224</v>
          </cell>
          <cell r="D1845">
            <v>45477</v>
          </cell>
          <cell r="E1845">
            <v>46250</v>
          </cell>
          <cell r="F1845" t="str">
            <v>64145</v>
          </cell>
          <cell r="G1845" t="str">
            <v>樺漢五</v>
          </cell>
          <cell r="H1845">
            <v>200000</v>
          </cell>
          <cell r="I1845">
            <v>3</v>
          </cell>
          <cell r="J1845">
            <v>46250</v>
          </cell>
          <cell r="K1845">
            <v>100</v>
          </cell>
          <cell r="L1845">
            <v>46231</v>
          </cell>
          <cell r="M1845">
            <v>-5178</v>
          </cell>
          <cell r="N1845">
            <v>194822</v>
          </cell>
        </row>
        <row r="1846">
          <cell r="A1846">
            <v>27323</v>
          </cell>
          <cell r="B1846">
            <v>1840</v>
          </cell>
          <cell r="C1846" t="str">
            <v>IASWD2407000225</v>
          </cell>
          <cell r="D1846">
            <v>45477</v>
          </cell>
          <cell r="E1846">
            <v>46048</v>
          </cell>
          <cell r="F1846" t="str">
            <v>27323</v>
          </cell>
          <cell r="G1846" t="str">
            <v>六角三</v>
          </cell>
          <cell r="H1846">
            <v>100000</v>
          </cell>
          <cell r="I1846">
            <v>3</v>
          </cell>
          <cell r="J1846">
            <v>46048</v>
          </cell>
          <cell r="K1846">
            <v>101</v>
          </cell>
          <cell r="L1846">
            <v>46028</v>
          </cell>
          <cell r="M1846">
            <v>-2589</v>
          </cell>
          <cell r="N1846">
            <v>97411</v>
          </cell>
        </row>
        <row r="1847">
          <cell r="A1847">
            <v>27323</v>
          </cell>
          <cell r="B1847">
            <v>1841</v>
          </cell>
          <cell r="C1847" t="str">
            <v>IASWD2407000226</v>
          </cell>
          <cell r="D1847">
            <v>45477</v>
          </cell>
          <cell r="E1847">
            <v>46048</v>
          </cell>
          <cell r="F1847" t="str">
            <v>27323</v>
          </cell>
          <cell r="G1847" t="str">
            <v>六角三</v>
          </cell>
          <cell r="H1847">
            <v>600000</v>
          </cell>
          <cell r="I1847">
            <v>3</v>
          </cell>
          <cell r="J1847">
            <v>46048</v>
          </cell>
          <cell r="K1847">
            <v>101</v>
          </cell>
          <cell r="L1847">
            <v>46028</v>
          </cell>
          <cell r="M1847">
            <v>-15534</v>
          </cell>
          <cell r="N1847">
            <v>584466</v>
          </cell>
        </row>
        <row r="1848">
          <cell r="A1848">
            <v>61965</v>
          </cell>
          <cell r="B1848">
            <v>1842</v>
          </cell>
          <cell r="C1848" t="str">
            <v>IASWD2407000228</v>
          </cell>
          <cell r="D1848">
            <v>45477</v>
          </cell>
          <cell r="E1848">
            <v>46200</v>
          </cell>
          <cell r="F1848" t="str">
            <v>61965</v>
          </cell>
          <cell r="G1848" t="str">
            <v>帆宣五</v>
          </cell>
          <cell r="H1848">
            <v>100000</v>
          </cell>
          <cell r="I1848">
            <v>3</v>
          </cell>
          <cell r="J1848">
            <v>46200</v>
          </cell>
          <cell r="K1848">
            <v>100</v>
          </cell>
          <cell r="L1848">
            <v>46182</v>
          </cell>
          <cell r="M1848">
            <v>-2589</v>
          </cell>
          <cell r="N1848">
            <v>97411</v>
          </cell>
        </row>
        <row r="1849">
          <cell r="A1849">
            <v>35482</v>
          </cell>
          <cell r="B1849">
            <v>1843</v>
          </cell>
          <cell r="C1849" t="str">
            <v>IASWD2407000230</v>
          </cell>
          <cell r="D1849">
            <v>45477</v>
          </cell>
          <cell r="E1849">
            <v>46395</v>
          </cell>
          <cell r="F1849" t="str">
            <v>35482</v>
          </cell>
          <cell r="G1849" t="str">
            <v>兆利二</v>
          </cell>
          <cell r="H1849">
            <v>100000</v>
          </cell>
          <cell r="I1849">
            <v>3</v>
          </cell>
          <cell r="J1849">
            <v>46395</v>
          </cell>
          <cell r="K1849">
            <v>100</v>
          </cell>
          <cell r="L1849">
            <v>46377</v>
          </cell>
          <cell r="M1849">
            <v>-2589</v>
          </cell>
          <cell r="N1849">
            <v>97411</v>
          </cell>
        </row>
        <row r="1850">
          <cell r="A1850">
            <v>22013</v>
          </cell>
          <cell r="B1850">
            <v>1844</v>
          </cell>
          <cell r="C1850" t="str">
            <v>IASWD2407000231</v>
          </cell>
          <cell r="D1850">
            <v>45477</v>
          </cell>
          <cell r="E1850">
            <v>46167</v>
          </cell>
          <cell r="F1850" t="str">
            <v>22013</v>
          </cell>
          <cell r="G1850" t="str">
            <v>裕隆三</v>
          </cell>
          <cell r="H1850">
            <v>200000</v>
          </cell>
          <cell r="I1850">
            <v>3</v>
          </cell>
          <cell r="J1850">
            <v>46167</v>
          </cell>
          <cell r="K1850">
            <v>100.75190000000001</v>
          </cell>
          <cell r="L1850">
            <v>46147</v>
          </cell>
          <cell r="M1850">
            <v>-5178</v>
          </cell>
          <cell r="N1850">
            <v>194822</v>
          </cell>
        </row>
        <row r="1851">
          <cell r="A1851">
            <v>64145</v>
          </cell>
          <cell r="B1851">
            <v>1845</v>
          </cell>
          <cell r="C1851" t="str">
            <v>IASWD2407000234</v>
          </cell>
          <cell r="D1851">
            <v>45477</v>
          </cell>
          <cell r="E1851">
            <v>46250</v>
          </cell>
          <cell r="F1851" t="str">
            <v>64145</v>
          </cell>
          <cell r="G1851" t="str">
            <v>樺漢五</v>
          </cell>
          <cell r="H1851">
            <v>200000</v>
          </cell>
          <cell r="I1851">
            <v>3</v>
          </cell>
          <cell r="J1851">
            <v>46250</v>
          </cell>
          <cell r="K1851">
            <v>100</v>
          </cell>
          <cell r="L1851">
            <v>46231</v>
          </cell>
          <cell r="M1851">
            <v>-5178</v>
          </cell>
          <cell r="N1851">
            <v>194822</v>
          </cell>
        </row>
        <row r="1852">
          <cell r="A1852">
            <v>64145</v>
          </cell>
          <cell r="B1852">
            <v>1846</v>
          </cell>
          <cell r="C1852" t="str">
            <v>IASWD2407000592</v>
          </cell>
          <cell r="D1852">
            <v>45478</v>
          </cell>
          <cell r="E1852">
            <v>46250</v>
          </cell>
          <cell r="F1852" t="str">
            <v>64145</v>
          </cell>
          <cell r="G1852" t="str">
            <v>樺漢五</v>
          </cell>
          <cell r="H1852">
            <v>100000</v>
          </cell>
          <cell r="I1852">
            <v>3</v>
          </cell>
          <cell r="J1852">
            <v>46250</v>
          </cell>
          <cell r="K1852">
            <v>100</v>
          </cell>
          <cell r="L1852">
            <v>46231</v>
          </cell>
          <cell r="M1852">
            <v>-2581</v>
          </cell>
          <cell r="N1852">
            <v>97419</v>
          </cell>
        </row>
        <row r="1853">
          <cell r="A1853">
            <v>64145</v>
          </cell>
          <cell r="B1853">
            <v>1847</v>
          </cell>
          <cell r="C1853" t="str">
            <v>IASWD2407000594</v>
          </cell>
          <cell r="D1853">
            <v>45478</v>
          </cell>
          <cell r="E1853">
            <v>46250</v>
          </cell>
          <cell r="F1853" t="str">
            <v>64145</v>
          </cell>
          <cell r="G1853" t="str">
            <v>樺漢五</v>
          </cell>
          <cell r="H1853">
            <v>300000</v>
          </cell>
          <cell r="I1853">
            <v>3</v>
          </cell>
          <cell r="J1853">
            <v>46250</v>
          </cell>
          <cell r="K1853">
            <v>100</v>
          </cell>
          <cell r="L1853">
            <v>46231</v>
          </cell>
          <cell r="M1853">
            <v>-7742</v>
          </cell>
          <cell r="N1853">
            <v>292258</v>
          </cell>
        </row>
        <row r="1854">
          <cell r="A1854">
            <v>61906</v>
          </cell>
          <cell r="B1854">
            <v>1848</v>
          </cell>
          <cell r="C1854" t="str">
            <v>IASWD2407000595</v>
          </cell>
          <cell r="D1854">
            <v>45478</v>
          </cell>
          <cell r="E1854">
            <v>45961</v>
          </cell>
          <cell r="F1854" t="str">
            <v>61906</v>
          </cell>
          <cell r="G1854" t="str">
            <v>萬泰科六</v>
          </cell>
          <cell r="H1854">
            <v>100000</v>
          </cell>
          <cell r="I1854">
            <v>4</v>
          </cell>
          <cell r="J1854">
            <v>45961</v>
          </cell>
          <cell r="K1854">
            <v>100</v>
          </cell>
          <cell r="L1854">
            <v>45943</v>
          </cell>
          <cell r="M1854">
            <v>-3441</v>
          </cell>
          <cell r="N1854">
            <v>96559</v>
          </cell>
        </row>
        <row r="1855">
          <cell r="A1855">
            <v>27323</v>
          </cell>
          <cell r="B1855">
            <v>1849</v>
          </cell>
          <cell r="C1855" t="str">
            <v>IASWD2407000599</v>
          </cell>
          <cell r="D1855">
            <v>45478</v>
          </cell>
          <cell r="E1855">
            <v>46048</v>
          </cell>
          <cell r="F1855" t="str">
            <v>27323</v>
          </cell>
          <cell r="G1855" t="str">
            <v>六角三</v>
          </cell>
          <cell r="H1855">
            <v>100000</v>
          </cell>
          <cell r="I1855">
            <v>3</v>
          </cell>
          <cell r="J1855">
            <v>46048</v>
          </cell>
          <cell r="K1855">
            <v>101</v>
          </cell>
          <cell r="L1855">
            <v>46028</v>
          </cell>
          <cell r="M1855">
            <v>-2581</v>
          </cell>
          <cell r="N1855">
            <v>97419</v>
          </cell>
        </row>
        <row r="1856">
          <cell r="A1856">
            <v>64145</v>
          </cell>
          <cell r="B1856">
            <v>1850</v>
          </cell>
          <cell r="C1856" t="str">
            <v>IASWD2407000601</v>
          </cell>
          <cell r="D1856">
            <v>45478</v>
          </cell>
          <cell r="E1856">
            <v>46250</v>
          </cell>
          <cell r="F1856" t="str">
            <v>64145</v>
          </cell>
          <cell r="G1856" t="str">
            <v>樺漢五</v>
          </cell>
          <cell r="H1856">
            <v>200000</v>
          </cell>
          <cell r="I1856">
            <v>3</v>
          </cell>
          <cell r="J1856">
            <v>46250</v>
          </cell>
          <cell r="K1856">
            <v>100</v>
          </cell>
          <cell r="L1856">
            <v>46231</v>
          </cell>
          <cell r="M1856">
            <v>-5162</v>
          </cell>
          <cell r="N1856">
            <v>194838</v>
          </cell>
        </row>
        <row r="1857">
          <cell r="A1857">
            <v>22013</v>
          </cell>
          <cell r="B1857">
            <v>1851</v>
          </cell>
          <cell r="C1857" t="str">
            <v>IASWD2407000604</v>
          </cell>
          <cell r="D1857">
            <v>45478</v>
          </cell>
          <cell r="E1857">
            <v>46167</v>
          </cell>
          <cell r="F1857" t="str">
            <v>22013</v>
          </cell>
          <cell r="G1857" t="str">
            <v>裕隆三</v>
          </cell>
          <cell r="H1857">
            <v>100000</v>
          </cell>
          <cell r="I1857">
            <v>3</v>
          </cell>
          <cell r="J1857">
            <v>46167</v>
          </cell>
          <cell r="K1857">
            <v>100.75190000000001</v>
          </cell>
          <cell r="L1857">
            <v>46147</v>
          </cell>
          <cell r="M1857">
            <v>-2581</v>
          </cell>
          <cell r="N1857">
            <v>97419</v>
          </cell>
        </row>
        <row r="1858">
          <cell r="A1858">
            <v>35482</v>
          </cell>
          <cell r="B1858">
            <v>1852</v>
          </cell>
          <cell r="C1858" t="str">
            <v>IASWD2407000608</v>
          </cell>
          <cell r="D1858">
            <v>45478</v>
          </cell>
          <cell r="E1858">
            <v>46395</v>
          </cell>
          <cell r="F1858" t="str">
            <v>35482</v>
          </cell>
          <cell r="G1858" t="str">
            <v>兆利二</v>
          </cell>
          <cell r="H1858">
            <v>100000</v>
          </cell>
          <cell r="I1858">
            <v>3</v>
          </cell>
          <cell r="J1858">
            <v>46395</v>
          </cell>
          <cell r="K1858">
            <v>100</v>
          </cell>
          <cell r="L1858">
            <v>46377</v>
          </cell>
          <cell r="M1858">
            <v>-2581</v>
          </cell>
          <cell r="N1858">
            <v>97419</v>
          </cell>
        </row>
        <row r="1859">
          <cell r="A1859">
            <v>35482</v>
          </cell>
          <cell r="B1859">
            <v>1853</v>
          </cell>
          <cell r="C1859" t="str">
            <v>IASWD2407000610</v>
          </cell>
          <cell r="D1859">
            <v>45478</v>
          </cell>
          <cell r="E1859">
            <v>46395</v>
          </cell>
          <cell r="F1859" t="str">
            <v>35482</v>
          </cell>
          <cell r="G1859" t="str">
            <v>兆利二</v>
          </cell>
          <cell r="H1859">
            <v>100000</v>
          </cell>
          <cell r="I1859">
            <v>3</v>
          </cell>
          <cell r="J1859">
            <v>46395</v>
          </cell>
          <cell r="K1859">
            <v>100</v>
          </cell>
          <cell r="L1859">
            <v>46377</v>
          </cell>
          <cell r="M1859">
            <v>-2581</v>
          </cell>
          <cell r="N1859">
            <v>97419</v>
          </cell>
        </row>
        <row r="1860">
          <cell r="A1860">
            <v>36804</v>
          </cell>
          <cell r="B1860">
            <v>1854</v>
          </cell>
          <cell r="C1860" t="str">
            <v>IASWD2407000611</v>
          </cell>
          <cell r="D1860">
            <v>45478</v>
          </cell>
          <cell r="E1860">
            <v>45948</v>
          </cell>
          <cell r="F1860" t="str">
            <v>36804</v>
          </cell>
          <cell r="G1860" t="str">
            <v>家登四</v>
          </cell>
          <cell r="H1860">
            <v>100000</v>
          </cell>
          <cell r="I1860">
            <v>3.2</v>
          </cell>
          <cell r="J1860">
            <v>45948</v>
          </cell>
          <cell r="K1860">
            <v>100</v>
          </cell>
          <cell r="L1860">
            <v>45926</v>
          </cell>
          <cell r="M1860">
            <v>-2753</v>
          </cell>
          <cell r="N1860">
            <v>97247</v>
          </cell>
        </row>
        <row r="1861">
          <cell r="A1861">
            <v>34132</v>
          </cell>
          <cell r="B1861">
            <v>1855</v>
          </cell>
          <cell r="C1861" t="str">
            <v>IASWD2407000613</v>
          </cell>
          <cell r="D1861">
            <v>45478</v>
          </cell>
          <cell r="E1861">
            <v>45977</v>
          </cell>
          <cell r="F1861" t="str">
            <v>34132</v>
          </cell>
          <cell r="G1861" t="str">
            <v>京鼎二</v>
          </cell>
          <cell r="H1861">
            <v>100000</v>
          </cell>
          <cell r="I1861">
            <v>3</v>
          </cell>
          <cell r="J1861">
            <v>45977</v>
          </cell>
          <cell r="K1861">
            <v>100</v>
          </cell>
          <cell r="L1861">
            <v>45958</v>
          </cell>
          <cell r="M1861">
            <v>-2581</v>
          </cell>
          <cell r="N1861">
            <v>97419</v>
          </cell>
        </row>
        <row r="1862">
          <cell r="A1862">
            <v>22013</v>
          </cell>
          <cell r="B1862">
            <v>1856</v>
          </cell>
          <cell r="C1862" t="str">
            <v>IASWD2407000614</v>
          </cell>
          <cell r="D1862">
            <v>45478</v>
          </cell>
          <cell r="E1862">
            <v>46167</v>
          </cell>
          <cell r="F1862" t="str">
            <v>22013</v>
          </cell>
          <cell r="G1862" t="str">
            <v>裕隆三</v>
          </cell>
          <cell r="H1862">
            <v>300000</v>
          </cell>
          <cell r="I1862">
            <v>3</v>
          </cell>
          <cell r="J1862">
            <v>46167</v>
          </cell>
          <cell r="K1862">
            <v>100.75190000000001</v>
          </cell>
          <cell r="L1862">
            <v>46147</v>
          </cell>
          <cell r="M1862">
            <v>-7742</v>
          </cell>
          <cell r="N1862">
            <v>292258</v>
          </cell>
        </row>
        <row r="1863">
          <cell r="A1863">
            <v>64145</v>
          </cell>
          <cell r="B1863">
            <v>1857</v>
          </cell>
          <cell r="C1863" t="str">
            <v>IASWD2407000620</v>
          </cell>
          <cell r="D1863">
            <v>45478</v>
          </cell>
          <cell r="E1863">
            <v>46250</v>
          </cell>
          <cell r="F1863" t="str">
            <v>64145</v>
          </cell>
          <cell r="G1863" t="str">
            <v>樺漢五</v>
          </cell>
          <cell r="H1863">
            <v>100000</v>
          </cell>
          <cell r="I1863">
            <v>3</v>
          </cell>
          <cell r="J1863">
            <v>46250</v>
          </cell>
          <cell r="K1863">
            <v>100</v>
          </cell>
          <cell r="L1863">
            <v>46231</v>
          </cell>
          <cell r="M1863">
            <v>-2581</v>
          </cell>
          <cell r="N1863">
            <v>97419</v>
          </cell>
        </row>
        <row r="1864">
          <cell r="A1864">
            <v>64145</v>
          </cell>
          <cell r="B1864">
            <v>1858</v>
          </cell>
          <cell r="C1864" t="str">
            <v>IASWD2407000622</v>
          </cell>
          <cell r="D1864">
            <v>45478</v>
          </cell>
          <cell r="E1864">
            <v>46250</v>
          </cell>
          <cell r="F1864" t="str">
            <v>64145</v>
          </cell>
          <cell r="G1864" t="str">
            <v>樺漢五</v>
          </cell>
          <cell r="H1864">
            <v>100000</v>
          </cell>
          <cell r="I1864">
            <v>3</v>
          </cell>
          <cell r="J1864">
            <v>46250</v>
          </cell>
          <cell r="K1864">
            <v>100</v>
          </cell>
          <cell r="L1864">
            <v>46231</v>
          </cell>
          <cell r="M1864">
            <v>-2581</v>
          </cell>
          <cell r="N1864">
            <v>97419</v>
          </cell>
        </row>
        <row r="1865">
          <cell r="A1865">
            <v>64145</v>
          </cell>
          <cell r="B1865">
            <v>1859</v>
          </cell>
          <cell r="C1865" t="str">
            <v>IASWD2407000623</v>
          </cell>
          <cell r="D1865">
            <v>45478</v>
          </cell>
          <cell r="E1865">
            <v>46250</v>
          </cell>
          <cell r="F1865" t="str">
            <v>64145</v>
          </cell>
          <cell r="G1865" t="str">
            <v>樺漢五</v>
          </cell>
          <cell r="H1865">
            <v>1000000</v>
          </cell>
          <cell r="I1865">
            <v>3</v>
          </cell>
          <cell r="J1865">
            <v>46250</v>
          </cell>
          <cell r="K1865">
            <v>100</v>
          </cell>
          <cell r="L1865">
            <v>46231</v>
          </cell>
          <cell r="M1865">
            <v>-25808</v>
          </cell>
          <cell r="N1865">
            <v>974192</v>
          </cell>
        </row>
        <row r="1866">
          <cell r="A1866">
            <v>22313</v>
          </cell>
          <cell r="B1866">
            <v>1860</v>
          </cell>
          <cell r="C1866" t="str">
            <v>IASWD2407000625</v>
          </cell>
          <cell r="D1866">
            <v>45478</v>
          </cell>
          <cell r="E1866">
            <v>45898</v>
          </cell>
          <cell r="F1866" t="str">
            <v>22313</v>
          </cell>
          <cell r="G1866" t="str">
            <v>為升三</v>
          </cell>
          <cell r="H1866">
            <v>100000</v>
          </cell>
          <cell r="I1866">
            <v>3.5</v>
          </cell>
          <cell r="J1866">
            <v>45898</v>
          </cell>
          <cell r="K1866">
            <v>101.50749999999999</v>
          </cell>
          <cell r="L1866">
            <v>45880</v>
          </cell>
          <cell r="M1866">
            <v>-3011</v>
          </cell>
          <cell r="N1866">
            <v>96989</v>
          </cell>
        </row>
        <row r="1867">
          <cell r="A1867">
            <v>36804</v>
          </cell>
          <cell r="B1867">
            <v>1861</v>
          </cell>
          <cell r="C1867" t="str">
            <v>IASWD2407000628</v>
          </cell>
          <cell r="D1867">
            <v>45478</v>
          </cell>
          <cell r="E1867">
            <v>45948</v>
          </cell>
          <cell r="F1867" t="str">
            <v>36804</v>
          </cell>
          <cell r="G1867" t="str">
            <v>家登四</v>
          </cell>
          <cell r="H1867">
            <v>100000</v>
          </cell>
          <cell r="I1867">
            <v>3.2</v>
          </cell>
          <cell r="J1867">
            <v>45948</v>
          </cell>
          <cell r="K1867">
            <v>100</v>
          </cell>
          <cell r="L1867">
            <v>45926</v>
          </cell>
          <cell r="M1867">
            <v>-2753</v>
          </cell>
          <cell r="N1867">
            <v>97247</v>
          </cell>
        </row>
        <row r="1868">
          <cell r="A1868">
            <v>35482</v>
          </cell>
          <cell r="B1868">
            <v>1862</v>
          </cell>
          <cell r="C1868" t="str">
            <v>IASWD2407000633</v>
          </cell>
          <cell r="D1868">
            <v>45478</v>
          </cell>
          <cell r="E1868">
            <v>46395</v>
          </cell>
          <cell r="F1868" t="str">
            <v>35482</v>
          </cell>
          <cell r="G1868" t="str">
            <v>兆利二</v>
          </cell>
          <cell r="H1868">
            <v>100000</v>
          </cell>
          <cell r="I1868">
            <v>3</v>
          </cell>
          <cell r="J1868">
            <v>46395</v>
          </cell>
          <cell r="K1868">
            <v>100</v>
          </cell>
          <cell r="L1868">
            <v>46377</v>
          </cell>
          <cell r="M1868">
            <v>-2581</v>
          </cell>
          <cell r="N1868">
            <v>97419</v>
          </cell>
        </row>
        <row r="1869">
          <cell r="A1869">
            <v>34843</v>
          </cell>
          <cell r="B1869">
            <v>1863</v>
          </cell>
          <cell r="C1869" t="str">
            <v>IASWD2407000634</v>
          </cell>
          <cell r="D1869">
            <v>45478</v>
          </cell>
          <cell r="E1869">
            <v>46136</v>
          </cell>
          <cell r="F1869" t="str">
            <v>34843</v>
          </cell>
          <cell r="G1869" t="str">
            <v>崧騰三</v>
          </cell>
          <cell r="H1869">
            <v>100000</v>
          </cell>
          <cell r="I1869">
            <v>3.5</v>
          </cell>
          <cell r="J1869">
            <v>46136</v>
          </cell>
          <cell r="K1869">
            <v>100.75</v>
          </cell>
          <cell r="L1869">
            <v>46118</v>
          </cell>
          <cell r="M1869">
            <v>-3011</v>
          </cell>
          <cell r="N1869">
            <v>96989</v>
          </cell>
        </row>
        <row r="1870">
          <cell r="A1870">
            <v>34843</v>
          </cell>
          <cell r="B1870">
            <v>1864</v>
          </cell>
          <cell r="C1870" t="str">
            <v>IASWD2407000636</v>
          </cell>
          <cell r="D1870">
            <v>45478</v>
          </cell>
          <cell r="E1870">
            <v>46136</v>
          </cell>
          <cell r="F1870" t="str">
            <v>34843</v>
          </cell>
          <cell r="G1870" t="str">
            <v>崧騰三</v>
          </cell>
          <cell r="H1870">
            <v>300000</v>
          </cell>
          <cell r="I1870">
            <v>3.5</v>
          </cell>
          <cell r="J1870">
            <v>46136</v>
          </cell>
          <cell r="K1870">
            <v>100.75</v>
          </cell>
          <cell r="L1870">
            <v>46118</v>
          </cell>
          <cell r="M1870">
            <v>-9033</v>
          </cell>
          <cell r="N1870">
            <v>290967</v>
          </cell>
        </row>
        <row r="1871">
          <cell r="A1871">
            <v>61965</v>
          </cell>
          <cell r="B1871">
            <v>1865</v>
          </cell>
          <cell r="C1871" t="str">
            <v>IASWD2407000637</v>
          </cell>
          <cell r="D1871">
            <v>45478</v>
          </cell>
          <cell r="E1871">
            <v>46200</v>
          </cell>
          <cell r="F1871" t="str">
            <v>61965</v>
          </cell>
          <cell r="G1871" t="str">
            <v>帆宣五</v>
          </cell>
          <cell r="H1871">
            <v>300000</v>
          </cell>
          <cell r="I1871">
            <v>3</v>
          </cell>
          <cell r="J1871">
            <v>46200</v>
          </cell>
          <cell r="K1871">
            <v>100</v>
          </cell>
          <cell r="L1871">
            <v>46182</v>
          </cell>
          <cell r="M1871">
            <v>-7742</v>
          </cell>
          <cell r="N1871">
            <v>292258</v>
          </cell>
        </row>
        <row r="1872">
          <cell r="A1872">
            <v>64145</v>
          </cell>
          <cell r="B1872">
            <v>1866</v>
          </cell>
          <cell r="C1872" t="str">
            <v>IASWD2407000639</v>
          </cell>
          <cell r="D1872">
            <v>45478</v>
          </cell>
          <cell r="E1872">
            <v>46250</v>
          </cell>
          <cell r="F1872" t="str">
            <v>64145</v>
          </cell>
          <cell r="G1872" t="str">
            <v>樺漢五</v>
          </cell>
          <cell r="H1872">
            <v>100000</v>
          </cell>
          <cell r="I1872">
            <v>3</v>
          </cell>
          <cell r="J1872">
            <v>46250</v>
          </cell>
          <cell r="K1872">
            <v>100</v>
          </cell>
          <cell r="L1872">
            <v>46231</v>
          </cell>
          <cell r="M1872">
            <v>-2581</v>
          </cell>
          <cell r="N1872">
            <v>97419</v>
          </cell>
        </row>
        <row r="1873">
          <cell r="A1873">
            <v>35482</v>
          </cell>
          <cell r="B1873">
            <v>1867</v>
          </cell>
          <cell r="C1873" t="str">
            <v>IASWD2407000640</v>
          </cell>
          <cell r="D1873">
            <v>45478</v>
          </cell>
          <cell r="E1873">
            <v>46395</v>
          </cell>
          <cell r="F1873" t="str">
            <v>35482</v>
          </cell>
          <cell r="G1873" t="str">
            <v>兆利二</v>
          </cell>
          <cell r="H1873">
            <v>100000</v>
          </cell>
          <cell r="I1873">
            <v>3</v>
          </cell>
          <cell r="J1873">
            <v>46395</v>
          </cell>
          <cell r="K1873">
            <v>100</v>
          </cell>
          <cell r="L1873">
            <v>46377</v>
          </cell>
          <cell r="M1873">
            <v>-2581</v>
          </cell>
          <cell r="N1873">
            <v>97419</v>
          </cell>
        </row>
        <row r="1874">
          <cell r="A1874">
            <v>64145</v>
          </cell>
          <cell r="B1874">
            <v>1868</v>
          </cell>
          <cell r="C1874" t="str">
            <v>IASWD2407000642</v>
          </cell>
          <cell r="D1874">
            <v>45478</v>
          </cell>
          <cell r="E1874">
            <v>46250</v>
          </cell>
          <cell r="F1874" t="str">
            <v>64145</v>
          </cell>
          <cell r="G1874" t="str">
            <v>樺漢五</v>
          </cell>
          <cell r="H1874">
            <v>900000</v>
          </cell>
          <cell r="I1874">
            <v>3</v>
          </cell>
          <cell r="J1874">
            <v>46250</v>
          </cell>
          <cell r="K1874">
            <v>100</v>
          </cell>
          <cell r="L1874">
            <v>46231</v>
          </cell>
          <cell r="M1874">
            <v>-23227</v>
          </cell>
          <cell r="N1874">
            <v>876773</v>
          </cell>
        </row>
        <row r="1875">
          <cell r="A1875">
            <v>35482</v>
          </cell>
          <cell r="B1875">
            <v>1869</v>
          </cell>
          <cell r="C1875" t="str">
            <v>IASWD2407000643</v>
          </cell>
          <cell r="D1875">
            <v>45478</v>
          </cell>
          <cell r="E1875">
            <v>46395</v>
          </cell>
          <cell r="F1875" t="str">
            <v>35482</v>
          </cell>
          <cell r="G1875" t="str">
            <v>兆利二</v>
          </cell>
          <cell r="H1875">
            <v>100000</v>
          </cell>
          <cell r="I1875">
            <v>3</v>
          </cell>
          <cell r="J1875">
            <v>46395</v>
          </cell>
          <cell r="K1875">
            <v>100</v>
          </cell>
          <cell r="L1875">
            <v>46377</v>
          </cell>
          <cell r="M1875">
            <v>-2581</v>
          </cell>
          <cell r="N1875">
            <v>97419</v>
          </cell>
        </row>
        <row r="1876">
          <cell r="A1876">
            <v>64145</v>
          </cell>
          <cell r="B1876">
            <v>1870</v>
          </cell>
          <cell r="C1876" t="str">
            <v>IASWD2407000646</v>
          </cell>
          <cell r="D1876">
            <v>45478</v>
          </cell>
          <cell r="E1876">
            <v>46250</v>
          </cell>
          <cell r="F1876" t="str">
            <v>64145</v>
          </cell>
          <cell r="G1876" t="str">
            <v>樺漢五</v>
          </cell>
          <cell r="H1876">
            <v>100000</v>
          </cell>
          <cell r="I1876">
            <v>3</v>
          </cell>
          <cell r="J1876">
            <v>46250</v>
          </cell>
          <cell r="K1876">
            <v>100</v>
          </cell>
          <cell r="L1876">
            <v>46231</v>
          </cell>
          <cell r="M1876">
            <v>-2581</v>
          </cell>
          <cell r="N1876">
            <v>97419</v>
          </cell>
        </row>
        <row r="1877">
          <cell r="A1877">
            <v>64145</v>
          </cell>
          <cell r="B1877">
            <v>1871</v>
          </cell>
          <cell r="C1877" t="str">
            <v>IASWD2407000648</v>
          </cell>
          <cell r="D1877">
            <v>45478</v>
          </cell>
          <cell r="E1877">
            <v>46250</v>
          </cell>
          <cell r="F1877" t="str">
            <v>64145</v>
          </cell>
          <cell r="G1877" t="str">
            <v>樺漢五</v>
          </cell>
          <cell r="H1877">
            <v>100000</v>
          </cell>
          <cell r="I1877">
            <v>3</v>
          </cell>
          <cell r="J1877">
            <v>46250</v>
          </cell>
          <cell r="K1877">
            <v>100</v>
          </cell>
          <cell r="L1877">
            <v>46231</v>
          </cell>
          <cell r="M1877">
            <v>-2581</v>
          </cell>
          <cell r="N1877">
            <v>97419</v>
          </cell>
        </row>
        <row r="1878">
          <cell r="A1878">
            <v>64145</v>
          </cell>
          <cell r="B1878">
            <v>1872</v>
          </cell>
          <cell r="C1878" t="str">
            <v>IASWD2407000649</v>
          </cell>
          <cell r="D1878">
            <v>45478</v>
          </cell>
          <cell r="E1878">
            <v>46250</v>
          </cell>
          <cell r="F1878" t="str">
            <v>64145</v>
          </cell>
          <cell r="G1878" t="str">
            <v>樺漢五</v>
          </cell>
          <cell r="H1878">
            <v>100000</v>
          </cell>
          <cell r="I1878">
            <v>3</v>
          </cell>
          <cell r="J1878">
            <v>46250</v>
          </cell>
          <cell r="K1878">
            <v>100</v>
          </cell>
          <cell r="L1878">
            <v>46231</v>
          </cell>
          <cell r="M1878">
            <v>-2581</v>
          </cell>
          <cell r="N1878">
            <v>97419</v>
          </cell>
        </row>
        <row r="1879">
          <cell r="A1879">
            <v>64145</v>
          </cell>
          <cell r="B1879">
            <v>1873</v>
          </cell>
          <cell r="C1879" t="str">
            <v>IASWD2407000650</v>
          </cell>
          <cell r="D1879">
            <v>45478</v>
          </cell>
          <cell r="E1879">
            <v>46250</v>
          </cell>
          <cell r="F1879" t="str">
            <v>64145</v>
          </cell>
          <cell r="G1879" t="str">
            <v>樺漢五</v>
          </cell>
          <cell r="H1879">
            <v>100000</v>
          </cell>
          <cell r="I1879">
            <v>3</v>
          </cell>
          <cell r="J1879">
            <v>46250</v>
          </cell>
          <cell r="K1879">
            <v>100</v>
          </cell>
          <cell r="L1879">
            <v>46231</v>
          </cell>
          <cell r="M1879">
            <v>-2581</v>
          </cell>
          <cell r="N1879">
            <v>97419</v>
          </cell>
        </row>
        <row r="1880">
          <cell r="A1880">
            <v>36804</v>
          </cell>
          <cell r="B1880">
            <v>1874</v>
          </cell>
          <cell r="C1880" t="str">
            <v>IASWD2407000651</v>
          </cell>
          <cell r="D1880">
            <v>45478</v>
          </cell>
          <cell r="E1880">
            <v>45948</v>
          </cell>
          <cell r="F1880" t="str">
            <v>36804</v>
          </cell>
          <cell r="G1880" t="str">
            <v>家登四</v>
          </cell>
          <cell r="H1880">
            <v>1000000</v>
          </cell>
          <cell r="I1880">
            <v>3.2</v>
          </cell>
          <cell r="J1880">
            <v>45948</v>
          </cell>
          <cell r="K1880">
            <v>100</v>
          </cell>
          <cell r="L1880">
            <v>45926</v>
          </cell>
          <cell r="M1880">
            <v>-27529</v>
          </cell>
          <cell r="N1880">
            <v>972471</v>
          </cell>
        </row>
        <row r="1881">
          <cell r="A1881">
            <v>64145</v>
          </cell>
          <cell r="B1881">
            <v>1875</v>
          </cell>
          <cell r="C1881" t="str">
            <v>IASWD2407000654</v>
          </cell>
          <cell r="D1881">
            <v>45478</v>
          </cell>
          <cell r="E1881">
            <v>46250</v>
          </cell>
          <cell r="F1881" t="str">
            <v>64145</v>
          </cell>
          <cell r="G1881" t="str">
            <v>樺漢五</v>
          </cell>
          <cell r="H1881">
            <v>100000</v>
          </cell>
          <cell r="I1881">
            <v>3</v>
          </cell>
          <cell r="J1881">
            <v>46250</v>
          </cell>
          <cell r="K1881">
            <v>100</v>
          </cell>
          <cell r="L1881">
            <v>46231</v>
          </cell>
          <cell r="M1881">
            <v>-2581</v>
          </cell>
          <cell r="N1881">
            <v>97419</v>
          </cell>
        </row>
        <row r="1882">
          <cell r="A1882">
            <v>27323</v>
          </cell>
          <cell r="B1882">
            <v>1876</v>
          </cell>
          <cell r="C1882" t="str">
            <v>IASWD2407000656</v>
          </cell>
          <cell r="D1882">
            <v>45478</v>
          </cell>
          <cell r="E1882">
            <v>46048</v>
          </cell>
          <cell r="F1882" t="str">
            <v>27323</v>
          </cell>
          <cell r="G1882" t="str">
            <v>六角三</v>
          </cell>
          <cell r="H1882">
            <v>100000</v>
          </cell>
          <cell r="I1882">
            <v>3</v>
          </cell>
          <cell r="J1882">
            <v>46048</v>
          </cell>
          <cell r="K1882">
            <v>101</v>
          </cell>
          <cell r="L1882">
            <v>46028</v>
          </cell>
          <cell r="M1882">
            <v>-2581</v>
          </cell>
          <cell r="N1882">
            <v>97419</v>
          </cell>
        </row>
        <row r="1883">
          <cell r="A1883">
            <v>35482</v>
          </cell>
          <cell r="B1883">
            <v>1877</v>
          </cell>
          <cell r="C1883" t="str">
            <v>IASWD2407000659</v>
          </cell>
          <cell r="D1883">
            <v>45478</v>
          </cell>
          <cell r="E1883">
            <v>46395</v>
          </cell>
          <cell r="F1883" t="str">
            <v>35482</v>
          </cell>
          <cell r="G1883" t="str">
            <v>兆利二</v>
          </cell>
          <cell r="H1883">
            <v>100000</v>
          </cell>
          <cell r="I1883">
            <v>3</v>
          </cell>
          <cell r="J1883">
            <v>46395</v>
          </cell>
          <cell r="K1883">
            <v>100</v>
          </cell>
          <cell r="L1883">
            <v>46377</v>
          </cell>
          <cell r="M1883">
            <v>-2581</v>
          </cell>
          <cell r="N1883">
            <v>97419</v>
          </cell>
        </row>
        <row r="1884">
          <cell r="A1884">
            <v>35482</v>
          </cell>
          <cell r="B1884">
            <v>1878</v>
          </cell>
          <cell r="C1884" t="str">
            <v>IASWD2407000662</v>
          </cell>
          <cell r="D1884">
            <v>45481</v>
          </cell>
          <cell r="E1884">
            <v>46395</v>
          </cell>
          <cell r="F1884" t="str">
            <v>35482</v>
          </cell>
          <cell r="G1884" t="str">
            <v>兆利二</v>
          </cell>
          <cell r="H1884">
            <v>200000</v>
          </cell>
          <cell r="I1884">
            <v>3</v>
          </cell>
          <cell r="J1884">
            <v>46395</v>
          </cell>
          <cell r="K1884">
            <v>100</v>
          </cell>
          <cell r="L1884">
            <v>46377</v>
          </cell>
          <cell r="M1884">
            <v>-5112</v>
          </cell>
          <cell r="N1884">
            <v>194888</v>
          </cell>
        </row>
        <row r="1885">
          <cell r="A1885">
            <v>61965</v>
          </cell>
          <cell r="B1885">
            <v>1879</v>
          </cell>
          <cell r="C1885" t="str">
            <v>IASWD2407000665</v>
          </cell>
          <cell r="D1885">
            <v>45481</v>
          </cell>
          <cell r="E1885">
            <v>46200</v>
          </cell>
          <cell r="F1885" t="str">
            <v>61965</v>
          </cell>
          <cell r="G1885" t="str">
            <v>帆宣五</v>
          </cell>
          <cell r="H1885">
            <v>500000</v>
          </cell>
          <cell r="I1885">
            <v>3</v>
          </cell>
          <cell r="J1885">
            <v>46200</v>
          </cell>
          <cell r="K1885">
            <v>100</v>
          </cell>
          <cell r="L1885">
            <v>46182</v>
          </cell>
          <cell r="M1885">
            <v>-12781</v>
          </cell>
          <cell r="N1885">
            <v>487219</v>
          </cell>
        </row>
        <row r="1886">
          <cell r="A1886">
            <v>64145</v>
          </cell>
          <cell r="B1886">
            <v>1880</v>
          </cell>
          <cell r="C1886" t="str">
            <v>IASWD2407000666</v>
          </cell>
          <cell r="D1886">
            <v>45481</v>
          </cell>
          <cell r="E1886">
            <v>46250</v>
          </cell>
          <cell r="F1886" t="str">
            <v>64145</v>
          </cell>
          <cell r="G1886" t="str">
            <v>樺漢五</v>
          </cell>
          <cell r="H1886">
            <v>300000</v>
          </cell>
          <cell r="I1886">
            <v>3</v>
          </cell>
          <cell r="J1886">
            <v>46250</v>
          </cell>
          <cell r="K1886">
            <v>100</v>
          </cell>
          <cell r="L1886">
            <v>46231</v>
          </cell>
          <cell r="M1886">
            <v>-7668</v>
          </cell>
          <cell r="N1886">
            <v>292332</v>
          </cell>
        </row>
        <row r="1887">
          <cell r="A1887">
            <v>61965</v>
          </cell>
          <cell r="B1887">
            <v>1881</v>
          </cell>
          <cell r="C1887" t="str">
            <v>IASWD2407000669</v>
          </cell>
          <cell r="D1887">
            <v>45481</v>
          </cell>
          <cell r="E1887">
            <v>46200</v>
          </cell>
          <cell r="F1887" t="str">
            <v>61965</v>
          </cell>
          <cell r="G1887" t="str">
            <v>帆宣五</v>
          </cell>
          <cell r="H1887">
            <v>1500000</v>
          </cell>
          <cell r="I1887">
            <v>3</v>
          </cell>
          <cell r="J1887">
            <v>46200</v>
          </cell>
          <cell r="K1887">
            <v>100</v>
          </cell>
          <cell r="L1887">
            <v>46182</v>
          </cell>
          <cell r="M1887">
            <v>-38342</v>
          </cell>
          <cell r="N1887">
            <v>1461658</v>
          </cell>
        </row>
        <row r="1888">
          <cell r="A1888">
            <v>22013</v>
          </cell>
          <cell r="B1888">
            <v>1882</v>
          </cell>
          <cell r="C1888" t="str">
            <v>IASWD2407000670</v>
          </cell>
          <cell r="D1888">
            <v>45481</v>
          </cell>
          <cell r="E1888">
            <v>46167</v>
          </cell>
          <cell r="F1888" t="str">
            <v>22013</v>
          </cell>
          <cell r="G1888" t="str">
            <v>裕隆三</v>
          </cell>
          <cell r="H1888">
            <v>100000</v>
          </cell>
          <cell r="I1888">
            <v>3</v>
          </cell>
          <cell r="J1888">
            <v>46167</v>
          </cell>
          <cell r="K1888">
            <v>100.75190000000001</v>
          </cell>
          <cell r="L1888">
            <v>46147</v>
          </cell>
          <cell r="M1888">
            <v>-2556</v>
          </cell>
          <cell r="N1888">
            <v>97444</v>
          </cell>
        </row>
        <row r="1889">
          <cell r="A1889">
            <v>35482</v>
          </cell>
          <cell r="B1889">
            <v>1883</v>
          </cell>
          <cell r="C1889" t="str">
            <v>IASWD2407000673</v>
          </cell>
          <cell r="D1889">
            <v>45481</v>
          </cell>
          <cell r="E1889">
            <v>46395</v>
          </cell>
          <cell r="F1889" t="str">
            <v>35482</v>
          </cell>
          <cell r="G1889" t="str">
            <v>兆利二</v>
          </cell>
          <cell r="H1889">
            <v>1000000</v>
          </cell>
          <cell r="I1889">
            <v>3</v>
          </cell>
          <cell r="J1889">
            <v>46395</v>
          </cell>
          <cell r="K1889">
            <v>100</v>
          </cell>
          <cell r="L1889">
            <v>46377</v>
          </cell>
          <cell r="M1889">
            <v>-25562</v>
          </cell>
          <cell r="N1889">
            <v>974438</v>
          </cell>
        </row>
        <row r="1890">
          <cell r="A1890">
            <v>41683</v>
          </cell>
          <cell r="B1890">
            <v>1884</v>
          </cell>
          <cell r="C1890" t="str">
            <v>IASWD2407000674</v>
          </cell>
          <cell r="D1890">
            <v>45481</v>
          </cell>
          <cell r="E1890">
            <v>45835</v>
          </cell>
          <cell r="F1890" t="str">
            <v>41683</v>
          </cell>
          <cell r="G1890" t="str">
            <v>醣聯三</v>
          </cell>
          <cell r="H1890">
            <v>500000</v>
          </cell>
          <cell r="I1890">
            <v>2.2000000000000002</v>
          </cell>
          <cell r="J1890">
            <v>45835</v>
          </cell>
          <cell r="K1890">
            <v>100</v>
          </cell>
          <cell r="L1890">
            <v>45817</v>
          </cell>
          <cell r="M1890">
            <v>-9373</v>
          </cell>
          <cell r="N1890">
            <v>490627</v>
          </cell>
        </row>
        <row r="1891">
          <cell r="A1891">
            <v>34163</v>
          </cell>
          <cell r="B1891">
            <v>1885</v>
          </cell>
          <cell r="C1891" t="str">
            <v>IASWD2407000676</v>
          </cell>
          <cell r="D1891">
            <v>45481</v>
          </cell>
          <cell r="E1891">
            <v>46047</v>
          </cell>
          <cell r="F1891" t="str">
            <v>34163</v>
          </cell>
          <cell r="G1891" t="str">
            <v>融程電三</v>
          </cell>
          <cell r="H1891">
            <v>100000</v>
          </cell>
          <cell r="I1891">
            <v>3</v>
          </cell>
          <cell r="J1891">
            <v>46047</v>
          </cell>
          <cell r="K1891">
            <v>100.5</v>
          </cell>
          <cell r="L1891">
            <v>46028</v>
          </cell>
          <cell r="M1891">
            <v>-2556</v>
          </cell>
          <cell r="N1891">
            <v>97444</v>
          </cell>
        </row>
        <row r="1892">
          <cell r="A1892">
            <v>64145</v>
          </cell>
          <cell r="B1892">
            <v>1886</v>
          </cell>
          <cell r="C1892" t="str">
            <v>IASWD2407000680</v>
          </cell>
          <cell r="D1892">
            <v>45481</v>
          </cell>
          <cell r="E1892">
            <v>46250</v>
          </cell>
          <cell r="F1892" t="str">
            <v>64145</v>
          </cell>
          <cell r="G1892" t="str">
            <v>樺漢五</v>
          </cell>
          <cell r="H1892">
            <v>100000</v>
          </cell>
          <cell r="I1892">
            <v>3</v>
          </cell>
          <cell r="J1892">
            <v>46250</v>
          </cell>
          <cell r="K1892">
            <v>100</v>
          </cell>
          <cell r="L1892">
            <v>46231</v>
          </cell>
          <cell r="M1892">
            <v>-2556</v>
          </cell>
          <cell r="N1892">
            <v>97444</v>
          </cell>
        </row>
        <row r="1893">
          <cell r="A1893">
            <v>36804</v>
          </cell>
          <cell r="B1893">
            <v>1887</v>
          </cell>
          <cell r="C1893" t="str">
            <v>IASWD2407000681</v>
          </cell>
          <cell r="D1893">
            <v>45481</v>
          </cell>
          <cell r="E1893">
            <v>45948</v>
          </cell>
          <cell r="F1893" t="str">
            <v>36804</v>
          </cell>
          <cell r="G1893" t="str">
            <v>家登四</v>
          </cell>
          <cell r="H1893">
            <v>100000</v>
          </cell>
          <cell r="I1893">
            <v>3.2</v>
          </cell>
          <cell r="J1893">
            <v>45948</v>
          </cell>
          <cell r="K1893">
            <v>100</v>
          </cell>
          <cell r="L1893">
            <v>45926</v>
          </cell>
          <cell r="M1893">
            <v>-2727</v>
          </cell>
          <cell r="N1893">
            <v>97273</v>
          </cell>
        </row>
        <row r="1894">
          <cell r="A1894">
            <v>61906</v>
          </cell>
          <cell r="B1894">
            <v>1888</v>
          </cell>
          <cell r="C1894" t="str">
            <v>IASWD2407000683</v>
          </cell>
          <cell r="D1894">
            <v>45481</v>
          </cell>
          <cell r="E1894">
            <v>45961</v>
          </cell>
          <cell r="F1894" t="str">
            <v>61906</v>
          </cell>
          <cell r="G1894" t="str">
            <v>萬泰科六</v>
          </cell>
          <cell r="H1894">
            <v>100000</v>
          </cell>
          <cell r="I1894">
            <v>4</v>
          </cell>
          <cell r="J1894">
            <v>45961</v>
          </cell>
          <cell r="K1894">
            <v>100</v>
          </cell>
          <cell r="L1894">
            <v>45943</v>
          </cell>
          <cell r="M1894">
            <v>-3408</v>
          </cell>
          <cell r="N1894">
            <v>96592</v>
          </cell>
        </row>
        <row r="1895">
          <cell r="A1895">
            <v>22013</v>
          </cell>
          <cell r="B1895">
            <v>1889</v>
          </cell>
          <cell r="C1895" t="str">
            <v>IASWD2407000689</v>
          </cell>
          <cell r="D1895">
            <v>45481</v>
          </cell>
          <cell r="E1895">
            <v>46167</v>
          </cell>
          <cell r="F1895" t="str">
            <v>22013</v>
          </cell>
          <cell r="G1895" t="str">
            <v>裕隆三</v>
          </cell>
          <cell r="H1895">
            <v>100000</v>
          </cell>
          <cell r="I1895">
            <v>3</v>
          </cell>
          <cell r="J1895">
            <v>46167</v>
          </cell>
          <cell r="K1895">
            <v>100.75190000000001</v>
          </cell>
          <cell r="L1895">
            <v>46147</v>
          </cell>
          <cell r="M1895">
            <v>-2556</v>
          </cell>
          <cell r="N1895">
            <v>97444</v>
          </cell>
        </row>
        <row r="1896">
          <cell r="A1896">
            <v>56086</v>
          </cell>
          <cell r="B1896">
            <v>1890</v>
          </cell>
          <cell r="C1896" t="str">
            <v>IASWD2407000697</v>
          </cell>
          <cell r="D1896">
            <v>45481</v>
          </cell>
          <cell r="E1896">
            <v>46194</v>
          </cell>
          <cell r="F1896" t="str">
            <v>56086</v>
          </cell>
          <cell r="G1896" t="str">
            <v>四維航六</v>
          </cell>
          <cell r="H1896">
            <v>100000</v>
          </cell>
          <cell r="I1896">
            <v>2.35</v>
          </cell>
          <cell r="J1896">
            <v>46194</v>
          </cell>
          <cell r="K1896">
            <v>100</v>
          </cell>
          <cell r="L1896">
            <v>46175</v>
          </cell>
          <cell r="M1896">
            <v>-2002</v>
          </cell>
          <cell r="N1896">
            <v>97998</v>
          </cell>
        </row>
        <row r="1897">
          <cell r="A1897">
            <v>61965</v>
          </cell>
          <cell r="B1897">
            <v>1891</v>
          </cell>
          <cell r="C1897" t="str">
            <v>IASWD2407000698</v>
          </cell>
          <cell r="D1897">
            <v>45481</v>
          </cell>
          <cell r="E1897">
            <v>46200</v>
          </cell>
          <cell r="F1897" t="str">
            <v>61965</v>
          </cell>
          <cell r="G1897" t="str">
            <v>帆宣五</v>
          </cell>
          <cell r="H1897">
            <v>100000</v>
          </cell>
          <cell r="I1897">
            <v>3</v>
          </cell>
          <cell r="J1897">
            <v>46200</v>
          </cell>
          <cell r="K1897">
            <v>100</v>
          </cell>
          <cell r="L1897">
            <v>46182</v>
          </cell>
          <cell r="M1897">
            <v>-2556</v>
          </cell>
          <cell r="N1897">
            <v>97444</v>
          </cell>
        </row>
        <row r="1898">
          <cell r="A1898">
            <v>64145</v>
          </cell>
          <cell r="B1898">
            <v>1892</v>
          </cell>
          <cell r="C1898" t="str">
            <v>IASWD2407000700</v>
          </cell>
          <cell r="D1898">
            <v>45481</v>
          </cell>
          <cell r="E1898">
            <v>46250</v>
          </cell>
          <cell r="F1898" t="str">
            <v>64145</v>
          </cell>
          <cell r="G1898" t="str">
            <v>樺漢五</v>
          </cell>
          <cell r="H1898">
            <v>1800000</v>
          </cell>
          <cell r="I1898">
            <v>3</v>
          </cell>
          <cell r="J1898">
            <v>46250</v>
          </cell>
          <cell r="K1898">
            <v>100</v>
          </cell>
          <cell r="L1898">
            <v>46231</v>
          </cell>
          <cell r="M1898">
            <v>-46011</v>
          </cell>
          <cell r="N1898">
            <v>1753989</v>
          </cell>
        </row>
        <row r="1899">
          <cell r="A1899">
            <v>61965</v>
          </cell>
          <cell r="B1899">
            <v>1893</v>
          </cell>
          <cell r="C1899" t="str">
            <v>IASWD2407000701</v>
          </cell>
          <cell r="D1899">
            <v>45481</v>
          </cell>
          <cell r="E1899">
            <v>46200</v>
          </cell>
          <cell r="F1899" t="str">
            <v>61965</v>
          </cell>
          <cell r="G1899" t="str">
            <v>帆宣五</v>
          </cell>
          <cell r="H1899">
            <v>200000</v>
          </cell>
          <cell r="I1899">
            <v>3</v>
          </cell>
          <cell r="J1899">
            <v>46200</v>
          </cell>
          <cell r="K1899">
            <v>100</v>
          </cell>
          <cell r="L1899">
            <v>46182</v>
          </cell>
          <cell r="M1899">
            <v>-5112</v>
          </cell>
          <cell r="N1899">
            <v>194888</v>
          </cell>
        </row>
        <row r="1900">
          <cell r="A1900">
            <v>34163</v>
          </cell>
          <cell r="B1900">
            <v>1894</v>
          </cell>
          <cell r="C1900" t="str">
            <v>IASWD2407000705</v>
          </cell>
          <cell r="D1900">
            <v>45481</v>
          </cell>
          <cell r="E1900">
            <v>46047</v>
          </cell>
          <cell r="F1900" t="str">
            <v>34163</v>
          </cell>
          <cell r="G1900" t="str">
            <v>融程電三</v>
          </cell>
          <cell r="H1900">
            <v>100000</v>
          </cell>
          <cell r="I1900">
            <v>3</v>
          </cell>
          <cell r="J1900">
            <v>46047</v>
          </cell>
          <cell r="K1900">
            <v>100.5</v>
          </cell>
          <cell r="L1900">
            <v>46028</v>
          </cell>
          <cell r="M1900">
            <v>-2556</v>
          </cell>
          <cell r="N1900">
            <v>97444</v>
          </cell>
        </row>
        <row r="1901">
          <cell r="A1901">
            <v>56086</v>
          </cell>
          <cell r="B1901">
            <v>1895</v>
          </cell>
          <cell r="C1901" t="str">
            <v>IASWD2407000707</v>
          </cell>
          <cell r="D1901">
            <v>45481</v>
          </cell>
          <cell r="E1901">
            <v>46194</v>
          </cell>
          <cell r="F1901" t="str">
            <v>56086</v>
          </cell>
          <cell r="G1901" t="str">
            <v>四維航六</v>
          </cell>
          <cell r="H1901">
            <v>100000</v>
          </cell>
          <cell r="I1901">
            <v>2.35</v>
          </cell>
          <cell r="J1901">
            <v>46194</v>
          </cell>
          <cell r="K1901">
            <v>100</v>
          </cell>
          <cell r="L1901">
            <v>46175</v>
          </cell>
          <cell r="M1901">
            <v>-2002</v>
          </cell>
          <cell r="N1901">
            <v>97998</v>
          </cell>
        </row>
        <row r="1902">
          <cell r="A1902">
            <v>61965</v>
          </cell>
          <cell r="B1902">
            <v>1896</v>
          </cell>
          <cell r="C1902" t="str">
            <v>IASWD2407000708</v>
          </cell>
          <cell r="D1902">
            <v>45481</v>
          </cell>
          <cell r="E1902">
            <v>46200</v>
          </cell>
          <cell r="F1902" t="str">
            <v>61965</v>
          </cell>
          <cell r="G1902" t="str">
            <v>帆宣五</v>
          </cell>
          <cell r="H1902">
            <v>100000</v>
          </cell>
          <cell r="I1902">
            <v>3</v>
          </cell>
          <cell r="J1902">
            <v>46200</v>
          </cell>
          <cell r="K1902">
            <v>100</v>
          </cell>
          <cell r="L1902">
            <v>46182</v>
          </cell>
          <cell r="M1902">
            <v>-2556</v>
          </cell>
          <cell r="N1902">
            <v>97444</v>
          </cell>
        </row>
        <row r="1903">
          <cell r="A1903">
            <v>36804</v>
          </cell>
          <cell r="B1903">
            <v>1897</v>
          </cell>
          <cell r="C1903" t="str">
            <v>IASWD2407000710</v>
          </cell>
          <cell r="D1903">
            <v>45481</v>
          </cell>
          <cell r="E1903">
            <v>45948</v>
          </cell>
          <cell r="F1903" t="str">
            <v>36804</v>
          </cell>
          <cell r="G1903" t="str">
            <v>家登四</v>
          </cell>
          <cell r="H1903">
            <v>100000</v>
          </cell>
          <cell r="I1903">
            <v>3.2</v>
          </cell>
          <cell r="J1903">
            <v>45948</v>
          </cell>
          <cell r="K1903">
            <v>100</v>
          </cell>
          <cell r="L1903">
            <v>45926</v>
          </cell>
          <cell r="M1903">
            <v>-2727</v>
          </cell>
          <cell r="N1903">
            <v>97273</v>
          </cell>
        </row>
        <row r="1904">
          <cell r="A1904">
            <v>64145</v>
          </cell>
          <cell r="B1904">
            <v>1898</v>
          </cell>
          <cell r="C1904" t="str">
            <v>IASWD2407000714</v>
          </cell>
          <cell r="D1904">
            <v>45481</v>
          </cell>
          <cell r="E1904">
            <v>46250</v>
          </cell>
          <cell r="F1904" t="str">
            <v>64145</v>
          </cell>
          <cell r="G1904" t="str">
            <v>樺漢五</v>
          </cell>
          <cell r="H1904">
            <v>100000</v>
          </cell>
          <cell r="I1904">
            <v>3</v>
          </cell>
          <cell r="J1904">
            <v>46250</v>
          </cell>
          <cell r="K1904">
            <v>100</v>
          </cell>
          <cell r="L1904">
            <v>46231</v>
          </cell>
          <cell r="M1904">
            <v>-2556</v>
          </cell>
          <cell r="N1904">
            <v>97444</v>
          </cell>
        </row>
        <row r="1905">
          <cell r="A1905">
            <v>61906</v>
          </cell>
          <cell r="B1905">
            <v>1899</v>
          </cell>
          <cell r="C1905" t="str">
            <v>IASWD2407000715</v>
          </cell>
          <cell r="D1905">
            <v>45481</v>
          </cell>
          <cell r="E1905">
            <v>45961</v>
          </cell>
          <cell r="F1905" t="str">
            <v>61906</v>
          </cell>
          <cell r="G1905" t="str">
            <v>萬泰科六</v>
          </cell>
          <cell r="H1905">
            <v>200000</v>
          </cell>
          <cell r="I1905">
            <v>4</v>
          </cell>
          <cell r="J1905">
            <v>45961</v>
          </cell>
          <cell r="K1905">
            <v>100</v>
          </cell>
          <cell r="L1905">
            <v>45943</v>
          </cell>
          <cell r="M1905">
            <v>-6816</v>
          </cell>
          <cell r="N1905">
            <v>193184</v>
          </cell>
        </row>
        <row r="1906">
          <cell r="A1906">
            <v>64145</v>
          </cell>
          <cell r="B1906">
            <v>1900</v>
          </cell>
          <cell r="C1906" t="str">
            <v>IASWD2407000717</v>
          </cell>
          <cell r="D1906">
            <v>45481</v>
          </cell>
          <cell r="E1906">
            <v>46250</v>
          </cell>
          <cell r="F1906" t="str">
            <v>64145</v>
          </cell>
          <cell r="G1906" t="str">
            <v>樺漢五</v>
          </cell>
          <cell r="H1906">
            <v>100000</v>
          </cell>
          <cell r="I1906">
            <v>3</v>
          </cell>
          <cell r="J1906">
            <v>46250</v>
          </cell>
          <cell r="K1906">
            <v>100</v>
          </cell>
          <cell r="L1906">
            <v>46231</v>
          </cell>
          <cell r="M1906">
            <v>-2556</v>
          </cell>
          <cell r="N1906">
            <v>97444</v>
          </cell>
        </row>
        <row r="1907">
          <cell r="A1907">
            <v>64145</v>
          </cell>
          <cell r="B1907">
            <v>1901</v>
          </cell>
          <cell r="C1907" t="str">
            <v>IASWD2407000721</v>
          </cell>
          <cell r="D1907">
            <v>45481</v>
          </cell>
          <cell r="E1907">
            <v>46250</v>
          </cell>
          <cell r="F1907" t="str">
            <v>64145</v>
          </cell>
          <cell r="G1907" t="str">
            <v>樺漢五</v>
          </cell>
          <cell r="H1907">
            <v>500000</v>
          </cell>
          <cell r="I1907">
            <v>3</v>
          </cell>
          <cell r="J1907">
            <v>46250</v>
          </cell>
          <cell r="K1907">
            <v>100</v>
          </cell>
          <cell r="L1907">
            <v>46231</v>
          </cell>
          <cell r="M1907">
            <v>-12781</v>
          </cell>
          <cell r="N1907">
            <v>487219</v>
          </cell>
        </row>
        <row r="1908">
          <cell r="A1908">
            <v>22013</v>
          </cell>
          <cell r="B1908">
            <v>1902</v>
          </cell>
          <cell r="C1908" t="str">
            <v>IASWD2407000725</v>
          </cell>
          <cell r="D1908">
            <v>45481</v>
          </cell>
          <cell r="E1908">
            <v>46167</v>
          </cell>
          <cell r="F1908" t="str">
            <v>22013</v>
          </cell>
          <cell r="G1908" t="str">
            <v>裕隆三</v>
          </cell>
          <cell r="H1908">
            <v>100000</v>
          </cell>
          <cell r="I1908">
            <v>3</v>
          </cell>
          <cell r="J1908">
            <v>46167</v>
          </cell>
          <cell r="K1908">
            <v>100.75190000000001</v>
          </cell>
          <cell r="L1908">
            <v>46147</v>
          </cell>
          <cell r="M1908">
            <v>-2556</v>
          </cell>
          <cell r="N1908">
            <v>97444</v>
          </cell>
        </row>
        <row r="1909">
          <cell r="A1909">
            <v>64145</v>
          </cell>
          <cell r="B1909">
            <v>1903</v>
          </cell>
          <cell r="C1909" t="str">
            <v>IASWD2407000726</v>
          </cell>
          <cell r="D1909">
            <v>45481</v>
          </cell>
          <cell r="E1909">
            <v>46250</v>
          </cell>
          <cell r="F1909" t="str">
            <v>64145</v>
          </cell>
          <cell r="G1909" t="str">
            <v>樺漢五</v>
          </cell>
          <cell r="H1909">
            <v>300000</v>
          </cell>
          <cell r="I1909">
            <v>3</v>
          </cell>
          <cell r="J1909">
            <v>46250</v>
          </cell>
          <cell r="K1909">
            <v>100</v>
          </cell>
          <cell r="L1909">
            <v>46231</v>
          </cell>
          <cell r="M1909">
            <v>-7668</v>
          </cell>
          <cell r="N1909">
            <v>292332</v>
          </cell>
        </row>
        <row r="1910">
          <cell r="A1910">
            <v>61965</v>
          </cell>
          <cell r="B1910">
            <v>1904</v>
          </cell>
          <cell r="C1910" t="str">
            <v>IASWD2407000731</v>
          </cell>
          <cell r="D1910">
            <v>45481</v>
          </cell>
          <cell r="E1910">
            <v>46200</v>
          </cell>
          <cell r="F1910" t="str">
            <v>61965</v>
          </cell>
          <cell r="G1910" t="str">
            <v>帆宣五</v>
          </cell>
          <cell r="H1910">
            <v>100000</v>
          </cell>
          <cell r="I1910">
            <v>3</v>
          </cell>
          <cell r="J1910">
            <v>46200</v>
          </cell>
          <cell r="K1910">
            <v>100</v>
          </cell>
          <cell r="L1910">
            <v>46182</v>
          </cell>
          <cell r="M1910">
            <v>-2556</v>
          </cell>
          <cell r="N1910">
            <v>97444</v>
          </cell>
        </row>
        <row r="1911">
          <cell r="A1911">
            <v>61906</v>
          </cell>
          <cell r="B1911">
            <v>1905</v>
          </cell>
          <cell r="C1911" t="str">
            <v>IASWD2407000737</v>
          </cell>
          <cell r="D1911">
            <v>45482</v>
          </cell>
          <cell r="E1911">
            <v>45961</v>
          </cell>
          <cell r="F1911" t="str">
            <v>61906</v>
          </cell>
          <cell r="G1911" t="str">
            <v>萬泰科六</v>
          </cell>
          <cell r="H1911">
            <v>300000</v>
          </cell>
          <cell r="I1911">
            <v>4</v>
          </cell>
          <cell r="J1911">
            <v>45961</v>
          </cell>
          <cell r="K1911">
            <v>100</v>
          </cell>
          <cell r="L1911">
            <v>45943</v>
          </cell>
          <cell r="M1911">
            <v>-10192</v>
          </cell>
          <cell r="N1911">
            <v>289808</v>
          </cell>
        </row>
        <row r="1912">
          <cell r="A1912">
            <v>64145</v>
          </cell>
          <cell r="B1912">
            <v>1906</v>
          </cell>
          <cell r="C1912" t="str">
            <v>IASWD2407000738</v>
          </cell>
          <cell r="D1912">
            <v>45482</v>
          </cell>
          <cell r="E1912">
            <v>46250</v>
          </cell>
          <cell r="F1912" t="str">
            <v>64145</v>
          </cell>
          <cell r="G1912" t="str">
            <v>樺漢五</v>
          </cell>
          <cell r="H1912">
            <v>400000</v>
          </cell>
          <cell r="I1912">
            <v>3</v>
          </cell>
          <cell r="J1912">
            <v>46250</v>
          </cell>
          <cell r="K1912">
            <v>100</v>
          </cell>
          <cell r="L1912">
            <v>46231</v>
          </cell>
          <cell r="M1912">
            <v>-10192</v>
          </cell>
          <cell r="N1912">
            <v>389808</v>
          </cell>
        </row>
        <row r="1913">
          <cell r="A1913">
            <v>61906</v>
          </cell>
          <cell r="B1913">
            <v>1907</v>
          </cell>
          <cell r="C1913" t="str">
            <v>IASWD2407000740</v>
          </cell>
          <cell r="D1913">
            <v>45482</v>
          </cell>
          <cell r="E1913">
            <v>45961</v>
          </cell>
          <cell r="F1913" t="str">
            <v>61906</v>
          </cell>
          <cell r="G1913" t="str">
            <v>萬泰科六</v>
          </cell>
          <cell r="H1913">
            <v>300000</v>
          </cell>
          <cell r="I1913">
            <v>4</v>
          </cell>
          <cell r="J1913">
            <v>45961</v>
          </cell>
          <cell r="K1913">
            <v>100</v>
          </cell>
          <cell r="L1913">
            <v>45943</v>
          </cell>
          <cell r="M1913">
            <v>-10192</v>
          </cell>
          <cell r="N1913">
            <v>289808</v>
          </cell>
        </row>
        <row r="1914">
          <cell r="A1914">
            <v>22313</v>
          </cell>
          <cell r="B1914">
            <v>1908</v>
          </cell>
          <cell r="C1914" t="str">
            <v>IASWD2407000742</v>
          </cell>
          <cell r="D1914">
            <v>45482</v>
          </cell>
          <cell r="E1914">
            <v>45898</v>
          </cell>
          <cell r="F1914" t="str">
            <v>22313</v>
          </cell>
          <cell r="G1914" t="str">
            <v>為升三</v>
          </cell>
          <cell r="H1914">
            <v>200000</v>
          </cell>
          <cell r="I1914">
            <v>3.5</v>
          </cell>
          <cell r="J1914">
            <v>45898</v>
          </cell>
          <cell r="K1914">
            <v>101.50749999999999</v>
          </cell>
          <cell r="L1914">
            <v>45880</v>
          </cell>
          <cell r="M1914">
            <v>-5945</v>
          </cell>
          <cell r="N1914">
            <v>194055</v>
          </cell>
        </row>
        <row r="1915">
          <cell r="A1915">
            <v>22013</v>
          </cell>
          <cell r="B1915">
            <v>1909</v>
          </cell>
          <cell r="C1915" t="str">
            <v>IASWD2407000743</v>
          </cell>
          <cell r="D1915">
            <v>45482</v>
          </cell>
          <cell r="E1915">
            <v>46167</v>
          </cell>
          <cell r="F1915" t="str">
            <v>22013</v>
          </cell>
          <cell r="G1915" t="str">
            <v>裕隆三</v>
          </cell>
          <cell r="H1915">
            <v>100000</v>
          </cell>
          <cell r="I1915">
            <v>3</v>
          </cell>
          <cell r="J1915">
            <v>46167</v>
          </cell>
          <cell r="K1915">
            <v>100.75190000000001</v>
          </cell>
          <cell r="L1915">
            <v>46147</v>
          </cell>
          <cell r="M1915">
            <v>-2548</v>
          </cell>
          <cell r="N1915">
            <v>97452</v>
          </cell>
        </row>
        <row r="1916">
          <cell r="A1916">
            <v>64145</v>
          </cell>
          <cell r="B1916">
            <v>1910</v>
          </cell>
          <cell r="C1916" t="str">
            <v>IASWD2407000747</v>
          </cell>
          <cell r="D1916">
            <v>45482</v>
          </cell>
          <cell r="E1916">
            <v>46250</v>
          </cell>
          <cell r="F1916" t="str">
            <v>64145</v>
          </cell>
          <cell r="G1916" t="str">
            <v>樺漢五</v>
          </cell>
          <cell r="H1916">
            <v>100000</v>
          </cell>
          <cell r="I1916">
            <v>3</v>
          </cell>
          <cell r="J1916">
            <v>46250</v>
          </cell>
          <cell r="K1916">
            <v>100</v>
          </cell>
          <cell r="L1916">
            <v>46231</v>
          </cell>
          <cell r="M1916">
            <v>-2548</v>
          </cell>
          <cell r="N1916">
            <v>97452</v>
          </cell>
        </row>
        <row r="1917">
          <cell r="A1917">
            <v>35266</v>
          </cell>
          <cell r="B1917">
            <v>1911</v>
          </cell>
          <cell r="C1917" t="str">
            <v>IASWD2407000749</v>
          </cell>
          <cell r="D1917">
            <v>45482</v>
          </cell>
          <cell r="E1917">
            <v>46416</v>
          </cell>
          <cell r="F1917" t="str">
            <v>35266</v>
          </cell>
          <cell r="G1917" t="str">
            <v>凡甲六</v>
          </cell>
          <cell r="H1917">
            <v>200000</v>
          </cell>
          <cell r="I1917">
            <v>3.5</v>
          </cell>
          <cell r="J1917">
            <v>46416</v>
          </cell>
          <cell r="K1917">
            <v>100</v>
          </cell>
          <cell r="L1917">
            <v>46398</v>
          </cell>
          <cell r="M1917">
            <v>-5945</v>
          </cell>
          <cell r="N1917">
            <v>194055</v>
          </cell>
        </row>
        <row r="1918">
          <cell r="A1918">
            <v>22013</v>
          </cell>
          <cell r="B1918">
            <v>1912</v>
          </cell>
          <cell r="C1918" t="str">
            <v>IASWD2407000758</v>
          </cell>
          <cell r="D1918">
            <v>45482</v>
          </cell>
          <cell r="E1918">
            <v>46167</v>
          </cell>
          <cell r="F1918" t="str">
            <v>22013</v>
          </cell>
          <cell r="G1918" t="str">
            <v>裕隆三</v>
          </cell>
          <cell r="H1918">
            <v>300000</v>
          </cell>
          <cell r="I1918">
            <v>3</v>
          </cell>
          <cell r="J1918">
            <v>46167</v>
          </cell>
          <cell r="K1918">
            <v>100.75190000000001</v>
          </cell>
          <cell r="L1918">
            <v>46147</v>
          </cell>
          <cell r="M1918">
            <v>-7644</v>
          </cell>
          <cell r="N1918">
            <v>292356</v>
          </cell>
        </row>
        <row r="1919">
          <cell r="A1919">
            <v>61965</v>
          </cell>
          <cell r="B1919">
            <v>1913</v>
          </cell>
          <cell r="C1919" t="str">
            <v>IASWD2407000760</v>
          </cell>
          <cell r="D1919">
            <v>45482</v>
          </cell>
          <cell r="E1919">
            <v>46200</v>
          </cell>
          <cell r="F1919" t="str">
            <v>61965</v>
          </cell>
          <cell r="G1919" t="str">
            <v>帆宣五</v>
          </cell>
          <cell r="H1919">
            <v>100000</v>
          </cell>
          <cell r="I1919">
            <v>3</v>
          </cell>
          <cell r="J1919">
            <v>46200</v>
          </cell>
          <cell r="K1919">
            <v>100</v>
          </cell>
          <cell r="L1919">
            <v>46182</v>
          </cell>
          <cell r="M1919">
            <v>-2548</v>
          </cell>
          <cell r="N1919">
            <v>97452</v>
          </cell>
        </row>
        <row r="1920">
          <cell r="A1920">
            <v>22013</v>
          </cell>
          <cell r="B1920">
            <v>1914</v>
          </cell>
          <cell r="C1920" t="str">
            <v>IASWD2407000762</v>
          </cell>
          <cell r="D1920">
            <v>45482</v>
          </cell>
          <cell r="E1920">
            <v>46167</v>
          </cell>
          <cell r="F1920" t="str">
            <v>22013</v>
          </cell>
          <cell r="G1920" t="str">
            <v>裕隆三</v>
          </cell>
          <cell r="H1920">
            <v>200000</v>
          </cell>
          <cell r="I1920">
            <v>3</v>
          </cell>
          <cell r="J1920">
            <v>46167</v>
          </cell>
          <cell r="K1920">
            <v>100.75190000000001</v>
          </cell>
          <cell r="L1920">
            <v>46147</v>
          </cell>
          <cell r="M1920">
            <v>-5096</v>
          </cell>
          <cell r="N1920">
            <v>194904</v>
          </cell>
        </row>
        <row r="1921">
          <cell r="A1921">
            <v>61965</v>
          </cell>
          <cell r="B1921">
            <v>1915</v>
          </cell>
          <cell r="C1921" t="str">
            <v>IASWD2407000763</v>
          </cell>
          <cell r="D1921">
            <v>45482</v>
          </cell>
          <cell r="E1921">
            <v>46200</v>
          </cell>
          <cell r="F1921" t="str">
            <v>61965</v>
          </cell>
          <cell r="G1921" t="str">
            <v>帆宣五</v>
          </cell>
          <cell r="H1921">
            <v>100000</v>
          </cell>
          <cell r="I1921">
            <v>3</v>
          </cell>
          <cell r="J1921">
            <v>46200</v>
          </cell>
          <cell r="K1921">
            <v>100</v>
          </cell>
          <cell r="L1921">
            <v>46182</v>
          </cell>
          <cell r="M1921">
            <v>-2548</v>
          </cell>
          <cell r="N1921">
            <v>97452</v>
          </cell>
        </row>
        <row r="1922">
          <cell r="A1922">
            <v>34163</v>
          </cell>
          <cell r="B1922">
            <v>1916</v>
          </cell>
          <cell r="C1922" t="str">
            <v>IASWD2407000769</v>
          </cell>
          <cell r="D1922">
            <v>45482</v>
          </cell>
          <cell r="E1922">
            <v>46047</v>
          </cell>
          <cell r="F1922" t="str">
            <v>34163</v>
          </cell>
          <cell r="G1922" t="str">
            <v>融程電三</v>
          </cell>
          <cell r="H1922">
            <v>100000</v>
          </cell>
          <cell r="I1922">
            <v>3</v>
          </cell>
          <cell r="J1922">
            <v>46047</v>
          </cell>
          <cell r="K1922">
            <v>100.5</v>
          </cell>
          <cell r="L1922">
            <v>46028</v>
          </cell>
          <cell r="M1922">
            <v>-2548</v>
          </cell>
          <cell r="N1922">
            <v>97452</v>
          </cell>
        </row>
        <row r="1923">
          <cell r="A1923">
            <v>64145</v>
          </cell>
          <cell r="B1923">
            <v>1917</v>
          </cell>
          <cell r="C1923" t="str">
            <v>IASWD2407000770</v>
          </cell>
          <cell r="D1923">
            <v>45482</v>
          </cell>
          <cell r="E1923">
            <v>46250</v>
          </cell>
          <cell r="F1923" t="str">
            <v>64145</v>
          </cell>
          <cell r="G1923" t="str">
            <v>樺漢五</v>
          </cell>
          <cell r="H1923">
            <v>100000</v>
          </cell>
          <cell r="I1923">
            <v>3</v>
          </cell>
          <cell r="J1923">
            <v>46250</v>
          </cell>
          <cell r="K1923">
            <v>100</v>
          </cell>
          <cell r="L1923">
            <v>46231</v>
          </cell>
          <cell r="M1923">
            <v>-2548</v>
          </cell>
          <cell r="N1923">
            <v>97452</v>
          </cell>
        </row>
        <row r="1924">
          <cell r="A1924">
            <v>34163</v>
          </cell>
          <cell r="B1924">
            <v>1918</v>
          </cell>
          <cell r="C1924" t="str">
            <v>IASWD2407000773</v>
          </cell>
          <cell r="D1924">
            <v>45482</v>
          </cell>
          <cell r="E1924">
            <v>46047</v>
          </cell>
          <cell r="F1924" t="str">
            <v>34163</v>
          </cell>
          <cell r="G1924" t="str">
            <v>融程電三</v>
          </cell>
          <cell r="H1924">
            <v>100000</v>
          </cell>
          <cell r="I1924">
            <v>3</v>
          </cell>
          <cell r="J1924">
            <v>46047</v>
          </cell>
          <cell r="K1924">
            <v>100.5</v>
          </cell>
          <cell r="L1924">
            <v>46028</v>
          </cell>
          <cell r="M1924">
            <v>-2548</v>
          </cell>
          <cell r="N1924">
            <v>97452</v>
          </cell>
        </row>
        <row r="1925">
          <cell r="A1925">
            <v>36804</v>
          </cell>
          <cell r="B1925">
            <v>1919</v>
          </cell>
          <cell r="C1925" t="str">
            <v>IASWD2407000774</v>
          </cell>
          <cell r="D1925">
            <v>45482</v>
          </cell>
          <cell r="E1925">
            <v>45948</v>
          </cell>
          <cell r="F1925" t="str">
            <v>36804</v>
          </cell>
          <cell r="G1925" t="str">
            <v>家登四</v>
          </cell>
          <cell r="H1925">
            <v>200000</v>
          </cell>
          <cell r="I1925">
            <v>3.2</v>
          </cell>
          <cell r="J1925">
            <v>45948</v>
          </cell>
          <cell r="K1925">
            <v>100</v>
          </cell>
          <cell r="L1925">
            <v>45926</v>
          </cell>
          <cell r="M1925">
            <v>-5436</v>
          </cell>
          <cell r="N1925">
            <v>194564</v>
          </cell>
        </row>
        <row r="1926">
          <cell r="A1926">
            <v>64145</v>
          </cell>
          <cell r="B1926">
            <v>1920</v>
          </cell>
          <cell r="C1926" t="str">
            <v>IASWD2407000775</v>
          </cell>
          <cell r="D1926">
            <v>45482</v>
          </cell>
          <cell r="E1926">
            <v>46250</v>
          </cell>
          <cell r="F1926" t="str">
            <v>64145</v>
          </cell>
          <cell r="G1926" t="str">
            <v>樺漢五</v>
          </cell>
          <cell r="H1926">
            <v>100000</v>
          </cell>
          <cell r="I1926">
            <v>3</v>
          </cell>
          <cell r="J1926">
            <v>46250</v>
          </cell>
          <cell r="K1926">
            <v>100</v>
          </cell>
          <cell r="L1926">
            <v>46231</v>
          </cell>
          <cell r="M1926">
            <v>-2548</v>
          </cell>
          <cell r="N1926">
            <v>97452</v>
          </cell>
        </row>
        <row r="1927">
          <cell r="A1927">
            <v>64145</v>
          </cell>
          <cell r="B1927">
            <v>1921</v>
          </cell>
          <cell r="C1927" t="str">
            <v>IASWD2407000776</v>
          </cell>
          <cell r="D1927">
            <v>45482</v>
          </cell>
          <cell r="E1927">
            <v>46250</v>
          </cell>
          <cell r="F1927" t="str">
            <v>64145</v>
          </cell>
          <cell r="G1927" t="str">
            <v>樺漢五</v>
          </cell>
          <cell r="H1927">
            <v>100000</v>
          </cell>
          <cell r="I1927">
            <v>3</v>
          </cell>
          <cell r="J1927">
            <v>46250</v>
          </cell>
          <cell r="K1927">
            <v>100</v>
          </cell>
          <cell r="L1927">
            <v>46231</v>
          </cell>
          <cell r="M1927">
            <v>-2548</v>
          </cell>
          <cell r="N1927">
            <v>97452</v>
          </cell>
        </row>
        <row r="1928">
          <cell r="A1928">
            <v>34163</v>
          </cell>
          <cell r="B1928">
            <v>1922</v>
          </cell>
          <cell r="C1928" t="str">
            <v>IASWD2407000777</v>
          </cell>
          <cell r="D1928">
            <v>45482</v>
          </cell>
          <cell r="E1928">
            <v>46047</v>
          </cell>
          <cell r="F1928" t="str">
            <v>34163</v>
          </cell>
          <cell r="G1928" t="str">
            <v>融程電三</v>
          </cell>
          <cell r="H1928">
            <v>200000</v>
          </cell>
          <cell r="I1928">
            <v>3</v>
          </cell>
          <cell r="J1928">
            <v>46047</v>
          </cell>
          <cell r="K1928">
            <v>100.5</v>
          </cell>
          <cell r="L1928">
            <v>46028</v>
          </cell>
          <cell r="M1928">
            <v>-5096</v>
          </cell>
          <cell r="N1928">
            <v>194904</v>
          </cell>
        </row>
        <row r="1929">
          <cell r="A1929">
            <v>64145</v>
          </cell>
          <cell r="B1929">
            <v>1923</v>
          </cell>
          <cell r="C1929" t="str">
            <v>IASWD2407000779</v>
          </cell>
          <cell r="D1929">
            <v>45482</v>
          </cell>
          <cell r="E1929">
            <v>46250</v>
          </cell>
          <cell r="F1929" t="str">
            <v>64145</v>
          </cell>
          <cell r="G1929" t="str">
            <v>樺漢五</v>
          </cell>
          <cell r="H1929">
            <v>100000</v>
          </cell>
          <cell r="I1929">
            <v>3</v>
          </cell>
          <cell r="J1929">
            <v>46250</v>
          </cell>
          <cell r="K1929">
            <v>100</v>
          </cell>
          <cell r="L1929">
            <v>46231</v>
          </cell>
          <cell r="M1929">
            <v>-2548</v>
          </cell>
          <cell r="N1929">
            <v>97452</v>
          </cell>
        </row>
        <row r="1930">
          <cell r="A1930">
            <v>64145</v>
          </cell>
          <cell r="B1930">
            <v>1924</v>
          </cell>
          <cell r="C1930" t="str">
            <v>IASWD2407000782</v>
          </cell>
          <cell r="D1930">
            <v>45482</v>
          </cell>
          <cell r="E1930">
            <v>46250</v>
          </cell>
          <cell r="F1930" t="str">
            <v>64145</v>
          </cell>
          <cell r="G1930" t="str">
            <v>樺漢五</v>
          </cell>
          <cell r="H1930">
            <v>100000</v>
          </cell>
          <cell r="I1930">
            <v>3</v>
          </cell>
          <cell r="J1930">
            <v>46250</v>
          </cell>
          <cell r="K1930">
            <v>100</v>
          </cell>
          <cell r="L1930">
            <v>46231</v>
          </cell>
          <cell r="M1930">
            <v>-2548</v>
          </cell>
          <cell r="N1930">
            <v>97452</v>
          </cell>
        </row>
        <row r="1931">
          <cell r="A1931">
            <v>64145</v>
          </cell>
          <cell r="B1931">
            <v>1925</v>
          </cell>
          <cell r="C1931" t="str">
            <v>IASWD2407000783</v>
          </cell>
          <cell r="D1931">
            <v>45482</v>
          </cell>
          <cell r="E1931">
            <v>46250</v>
          </cell>
          <cell r="F1931" t="str">
            <v>64145</v>
          </cell>
          <cell r="G1931" t="str">
            <v>樺漢五</v>
          </cell>
          <cell r="H1931">
            <v>100000</v>
          </cell>
          <cell r="I1931">
            <v>3</v>
          </cell>
          <cell r="J1931">
            <v>46250</v>
          </cell>
          <cell r="K1931">
            <v>100</v>
          </cell>
          <cell r="L1931">
            <v>46231</v>
          </cell>
          <cell r="M1931">
            <v>-2548</v>
          </cell>
          <cell r="N1931">
            <v>97452</v>
          </cell>
        </row>
        <row r="1932">
          <cell r="A1932">
            <v>64145</v>
          </cell>
          <cell r="B1932">
            <v>1926</v>
          </cell>
          <cell r="C1932" t="str">
            <v>IASWD2407000784</v>
          </cell>
          <cell r="D1932">
            <v>45482</v>
          </cell>
          <cell r="E1932">
            <v>46250</v>
          </cell>
          <cell r="F1932" t="str">
            <v>64145</v>
          </cell>
          <cell r="G1932" t="str">
            <v>樺漢五</v>
          </cell>
          <cell r="H1932">
            <v>100000</v>
          </cell>
          <cell r="I1932">
            <v>3</v>
          </cell>
          <cell r="J1932">
            <v>46250</v>
          </cell>
          <cell r="K1932">
            <v>100</v>
          </cell>
          <cell r="L1932">
            <v>46231</v>
          </cell>
          <cell r="M1932">
            <v>-2548</v>
          </cell>
          <cell r="N1932">
            <v>97452</v>
          </cell>
        </row>
        <row r="1933">
          <cell r="A1933">
            <v>61906</v>
          </cell>
          <cell r="B1933">
            <v>1927</v>
          </cell>
          <cell r="C1933" t="str">
            <v>IASWD2407000785</v>
          </cell>
          <cell r="D1933">
            <v>45482</v>
          </cell>
          <cell r="E1933">
            <v>45961</v>
          </cell>
          <cell r="F1933" t="str">
            <v>61906</v>
          </cell>
          <cell r="G1933" t="str">
            <v>萬泰科六</v>
          </cell>
          <cell r="H1933">
            <v>200000</v>
          </cell>
          <cell r="I1933">
            <v>4</v>
          </cell>
          <cell r="J1933">
            <v>45961</v>
          </cell>
          <cell r="K1933">
            <v>100</v>
          </cell>
          <cell r="L1933">
            <v>45943</v>
          </cell>
          <cell r="M1933">
            <v>-6795</v>
          </cell>
          <cell r="N1933">
            <v>193205</v>
          </cell>
        </row>
        <row r="1934">
          <cell r="A1934">
            <v>34843</v>
          </cell>
          <cell r="B1934">
            <v>1928</v>
          </cell>
          <cell r="C1934" t="str">
            <v>IASWD2407000786</v>
          </cell>
          <cell r="D1934">
            <v>45482</v>
          </cell>
          <cell r="E1934">
            <v>46136</v>
          </cell>
          <cell r="F1934" t="str">
            <v>34843</v>
          </cell>
          <cell r="G1934" t="str">
            <v>崧騰三</v>
          </cell>
          <cell r="H1934">
            <v>400000</v>
          </cell>
          <cell r="I1934">
            <v>3.5</v>
          </cell>
          <cell r="J1934">
            <v>46136</v>
          </cell>
          <cell r="K1934">
            <v>100.75</v>
          </cell>
          <cell r="L1934">
            <v>46118</v>
          </cell>
          <cell r="M1934">
            <v>-11890</v>
          </cell>
          <cell r="N1934">
            <v>388110</v>
          </cell>
        </row>
        <row r="1935">
          <cell r="A1935">
            <v>64145</v>
          </cell>
          <cell r="B1935">
            <v>1929</v>
          </cell>
          <cell r="C1935" t="str">
            <v>IASWD2407000788</v>
          </cell>
          <cell r="D1935">
            <v>45482</v>
          </cell>
          <cell r="E1935">
            <v>46250</v>
          </cell>
          <cell r="F1935" t="str">
            <v>64145</v>
          </cell>
          <cell r="G1935" t="str">
            <v>樺漢五</v>
          </cell>
          <cell r="H1935">
            <v>300000</v>
          </cell>
          <cell r="I1935">
            <v>3</v>
          </cell>
          <cell r="J1935">
            <v>46250</v>
          </cell>
          <cell r="K1935">
            <v>100</v>
          </cell>
          <cell r="L1935">
            <v>46231</v>
          </cell>
          <cell r="M1935">
            <v>-7644</v>
          </cell>
          <cell r="N1935">
            <v>292356</v>
          </cell>
        </row>
        <row r="1936">
          <cell r="A1936">
            <v>22013</v>
          </cell>
          <cell r="B1936">
            <v>1930</v>
          </cell>
          <cell r="C1936" t="str">
            <v>IASWD2407000790</v>
          </cell>
          <cell r="D1936">
            <v>45482</v>
          </cell>
          <cell r="E1936">
            <v>46167</v>
          </cell>
          <cell r="F1936" t="str">
            <v>22013</v>
          </cell>
          <cell r="G1936" t="str">
            <v>裕隆三</v>
          </cell>
          <cell r="H1936">
            <v>200000</v>
          </cell>
          <cell r="I1936">
            <v>3</v>
          </cell>
          <cell r="J1936">
            <v>46167</v>
          </cell>
          <cell r="K1936">
            <v>100.75190000000001</v>
          </cell>
          <cell r="L1936">
            <v>46147</v>
          </cell>
          <cell r="M1936">
            <v>-5096</v>
          </cell>
          <cell r="N1936">
            <v>194904</v>
          </cell>
        </row>
        <row r="1937">
          <cell r="A1937">
            <v>64145</v>
          </cell>
          <cell r="B1937">
            <v>1931</v>
          </cell>
          <cell r="C1937" t="str">
            <v>IASWD2407000791</v>
          </cell>
          <cell r="D1937">
            <v>45482</v>
          </cell>
          <cell r="E1937">
            <v>46250</v>
          </cell>
          <cell r="F1937" t="str">
            <v>64145</v>
          </cell>
          <cell r="G1937" t="str">
            <v>樺漢五</v>
          </cell>
          <cell r="H1937">
            <v>200000</v>
          </cell>
          <cell r="I1937">
            <v>3</v>
          </cell>
          <cell r="J1937">
            <v>46250</v>
          </cell>
          <cell r="K1937">
            <v>100</v>
          </cell>
          <cell r="L1937">
            <v>46231</v>
          </cell>
          <cell r="M1937">
            <v>-5096</v>
          </cell>
          <cell r="N1937">
            <v>194904</v>
          </cell>
        </row>
        <row r="1938">
          <cell r="A1938">
            <v>22013</v>
          </cell>
          <cell r="B1938">
            <v>1932</v>
          </cell>
          <cell r="C1938" t="str">
            <v>IASWD2407000792</v>
          </cell>
          <cell r="D1938">
            <v>45482</v>
          </cell>
          <cell r="E1938">
            <v>46167</v>
          </cell>
          <cell r="F1938" t="str">
            <v>22013</v>
          </cell>
          <cell r="G1938" t="str">
            <v>裕隆三</v>
          </cell>
          <cell r="H1938">
            <v>100000</v>
          </cell>
          <cell r="I1938">
            <v>3</v>
          </cell>
          <cell r="J1938">
            <v>46167</v>
          </cell>
          <cell r="K1938">
            <v>100.75190000000001</v>
          </cell>
          <cell r="L1938">
            <v>46147</v>
          </cell>
          <cell r="M1938">
            <v>-2548</v>
          </cell>
          <cell r="N1938">
            <v>97452</v>
          </cell>
        </row>
        <row r="1939">
          <cell r="A1939">
            <v>61906</v>
          </cell>
          <cell r="B1939">
            <v>1933</v>
          </cell>
          <cell r="C1939" t="str">
            <v>IASWD2407000793</v>
          </cell>
          <cell r="D1939">
            <v>45482</v>
          </cell>
          <cell r="E1939">
            <v>45961</v>
          </cell>
          <cell r="F1939" t="str">
            <v>61906</v>
          </cell>
          <cell r="G1939" t="str">
            <v>萬泰科六</v>
          </cell>
          <cell r="H1939">
            <v>100000</v>
          </cell>
          <cell r="I1939">
            <v>4</v>
          </cell>
          <cell r="J1939">
            <v>45961</v>
          </cell>
          <cell r="K1939">
            <v>100</v>
          </cell>
          <cell r="L1939">
            <v>45943</v>
          </cell>
          <cell r="M1939">
            <v>-3397</v>
          </cell>
          <cell r="N1939">
            <v>96603</v>
          </cell>
        </row>
        <row r="1940">
          <cell r="A1940">
            <v>34843</v>
          </cell>
          <cell r="B1940">
            <v>1934</v>
          </cell>
          <cell r="C1940" t="str">
            <v>IASWD2407000794</v>
          </cell>
          <cell r="D1940">
            <v>45482</v>
          </cell>
          <cell r="E1940">
            <v>46136</v>
          </cell>
          <cell r="F1940" t="str">
            <v>34843</v>
          </cell>
          <cell r="G1940" t="str">
            <v>崧騰三</v>
          </cell>
          <cell r="H1940">
            <v>100000</v>
          </cell>
          <cell r="I1940">
            <v>3.5</v>
          </cell>
          <cell r="J1940">
            <v>46136</v>
          </cell>
          <cell r="K1940">
            <v>100.75</v>
          </cell>
          <cell r="L1940">
            <v>46118</v>
          </cell>
          <cell r="M1940">
            <v>-2973</v>
          </cell>
          <cell r="N1940">
            <v>97027</v>
          </cell>
        </row>
        <row r="1941">
          <cell r="A1941">
            <v>35266</v>
          </cell>
          <cell r="B1941">
            <v>1935</v>
          </cell>
          <cell r="C1941" t="str">
            <v>IASWD2407000795</v>
          </cell>
          <cell r="D1941">
            <v>45482</v>
          </cell>
          <cell r="E1941">
            <v>46416</v>
          </cell>
          <cell r="F1941" t="str">
            <v>35266</v>
          </cell>
          <cell r="G1941" t="str">
            <v>凡甲六</v>
          </cell>
          <cell r="H1941">
            <v>100000</v>
          </cell>
          <cell r="I1941">
            <v>3.5</v>
          </cell>
          <cell r="J1941">
            <v>46416</v>
          </cell>
          <cell r="K1941">
            <v>100</v>
          </cell>
          <cell r="L1941">
            <v>46398</v>
          </cell>
          <cell r="M1941">
            <v>-2973</v>
          </cell>
          <cell r="N1941">
            <v>97027</v>
          </cell>
        </row>
        <row r="1942">
          <cell r="A1942">
            <v>34793</v>
          </cell>
          <cell r="B1942">
            <v>1936</v>
          </cell>
          <cell r="C1942" t="str">
            <v>IASWD2407000799</v>
          </cell>
          <cell r="D1942">
            <v>45482</v>
          </cell>
          <cell r="E1942">
            <v>46409</v>
          </cell>
          <cell r="F1942" t="str">
            <v>34793</v>
          </cell>
          <cell r="G1942" t="str">
            <v>安勤三</v>
          </cell>
          <cell r="H1942">
            <v>100000</v>
          </cell>
          <cell r="I1942">
            <v>3</v>
          </cell>
          <cell r="J1942">
            <v>46409</v>
          </cell>
          <cell r="K1942">
            <v>100</v>
          </cell>
          <cell r="L1942">
            <v>46391</v>
          </cell>
          <cell r="M1942">
            <v>-2548</v>
          </cell>
          <cell r="N1942">
            <v>97452</v>
          </cell>
        </row>
        <row r="1943">
          <cell r="A1943">
            <v>34793</v>
          </cell>
          <cell r="B1943">
            <v>1937</v>
          </cell>
          <cell r="C1943" t="str">
            <v>IASWD2407000801</v>
          </cell>
          <cell r="D1943">
            <v>45482</v>
          </cell>
          <cell r="E1943">
            <v>46409</v>
          </cell>
          <cell r="F1943" t="str">
            <v>34793</v>
          </cell>
          <cell r="G1943" t="str">
            <v>安勤三</v>
          </cell>
          <cell r="H1943">
            <v>200000</v>
          </cell>
          <cell r="I1943">
            <v>3</v>
          </cell>
          <cell r="J1943">
            <v>46409</v>
          </cell>
          <cell r="K1943">
            <v>100</v>
          </cell>
          <cell r="L1943">
            <v>46391</v>
          </cell>
          <cell r="M1943">
            <v>-5096</v>
          </cell>
          <cell r="N1943">
            <v>194904</v>
          </cell>
        </row>
        <row r="1944">
          <cell r="A1944">
            <v>64145</v>
          </cell>
          <cell r="B1944">
            <v>1938</v>
          </cell>
          <cell r="C1944" t="str">
            <v>IASWD2407000802</v>
          </cell>
          <cell r="D1944">
            <v>45482</v>
          </cell>
          <cell r="E1944">
            <v>46250</v>
          </cell>
          <cell r="F1944" t="str">
            <v>64145</v>
          </cell>
          <cell r="G1944" t="str">
            <v>樺漢五</v>
          </cell>
          <cell r="H1944">
            <v>1000000</v>
          </cell>
          <cell r="I1944">
            <v>3</v>
          </cell>
          <cell r="J1944">
            <v>46250</v>
          </cell>
          <cell r="K1944">
            <v>100</v>
          </cell>
          <cell r="L1944">
            <v>46231</v>
          </cell>
          <cell r="M1944">
            <v>-25479</v>
          </cell>
          <cell r="N1944">
            <v>974521</v>
          </cell>
        </row>
        <row r="1945">
          <cell r="A1945">
            <v>20632</v>
          </cell>
          <cell r="B1945">
            <v>1939</v>
          </cell>
          <cell r="C1945" t="str">
            <v>IASWD2407000803</v>
          </cell>
          <cell r="D1945">
            <v>45482</v>
          </cell>
          <cell r="E1945">
            <v>45971</v>
          </cell>
          <cell r="F1945" t="str">
            <v>20632</v>
          </cell>
          <cell r="G1945" t="str">
            <v>世鎧二</v>
          </cell>
          <cell r="H1945">
            <v>100000</v>
          </cell>
          <cell r="I1945">
            <v>3.25</v>
          </cell>
          <cell r="J1945">
            <v>45971</v>
          </cell>
          <cell r="K1945">
            <v>100</v>
          </cell>
          <cell r="L1945">
            <v>45951</v>
          </cell>
          <cell r="M1945">
            <v>-2760</v>
          </cell>
          <cell r="N1945">
            <v>97240</v>
          </cell>
        </row>
        <row r="1946">
          <cell r="A1946">
            <v>64145</v>
          </cell>
          <cell r="B1946">
            <v>1940</v>
          </cell>
          <cell r="C1946" t="str">
            <v>IASWD2407000805</v>
          </cell>
          <cell r="D1946">
            <v>45482</v>
          </cell>
          <cell r="E1946">
            <v>46250</v>
          </cell>
          <cell r="F1946" t="str">
            <v>64145</v>
          </cell>
          <cell r="G1946" t="str">
            <v>樺漢五</v>
          </cell>
          <cell r="H1946">
            <v>200000</v>
          </cell>
          <cell r="I1946">
            <v>3</v>
          </cell>
          <cell r="J1946">
            <v>46250</v>
          </cell>
          <cell r="K1946">
            <v>100</v>
          </cell>
          <cell r="L1946">
            <v>46231</v>
          </cell>
          <cell r="M1946">
            <v>-5096</v>
          </cell>
          <cell r="N1946">
            <v>194904</v>
          </cell>
        </row>
        <row r="1947">
          <cell r="A1947">
            <v>34793</v>
          </cell>
          <cell r="B1947">
            <v>1941</v>
          </cell>
          <cell r="C1947" t="str">
            <v>IASWD2407000806</v>
          </cell>
          <cell r="D1947">
            <v>45482</v>
          </cell>
          <cell r="E1947">
            <v>46409</v>
          </cell>
          <cell r="F1947" t="str">
            <v>34793</v>
          </cell>
          <cell r="G1947" t="str">
            <v>安勤三</v>
          </cell>
          <cell r="H1947">
            <v>200000</v>
          </cell>
          <cell r="I1947">
            <v>3</v>
          </cell>
          <cell r="J1947">
            <v>46409</v>
          </cell>
          <cell r="K1947">
            <v>100</v>
          </cell>
          <cell r="L1947">
            <v>46391</v>
          </cell>
          <cell r="M1947">
            <v>-5096</v>
          </cell>
          <cell r="N1947">
            <v>194904</v>
          </cell>
        </row>
        <row r="1948">
          <cell r="A1948">
            <v>22013</v>
          </cell>
          <cell r="B1948">
            <v>1942</v>
          </cell>
          <cell r="C1948" t="str">
            <v>IASWD2407000807</v>
          </cell>
          <cell r="D1948">
            <v>45482</v>
          </cell>
          <cell r="E1948">
            <v>46167</v>
          </cell>
          <cell r="F1948" t="str">
            <v>22013</v>
          </cell>
          <cell r="G1948" t="str">
            <v>裕隆三</v>
          </cell>
          <cell r="H1948">
            <v>100000</v>
          </cell>
          <cell r="I1948">
            <v>3</v>
          </cell>
          <cell r="J1948">
            <v>46167</v>
          </cell>
          <cell r="K1948">
            <v>100.75190000000001</v>
          </cell>
          <cell r="L1948">
            <v>46147</v>
          </cell>
          <cell r="M1948">
            <v>-2548</v>
          </cell>
          <cell r="N1948">
            <v>97452</v>
          </cell>
        </row>
        <row r="1949">
          <cell r="A1949">
            <v>22013</v>
          </cell>
          <cell r="B1949">
            <v>1943</v>
          </cell>
          <cell r="C1949" t="str">
            <v>IASWD2407000809</v>
          </cell>
          <cell r="D1949">
            <v>45482</v>
          </cell>
          <cell r="E1949">
            <v>46167</v>
          </cell>
          <cell r="F1949" t="str">
            <v>22013</v>
          </cell>
          <cell r="G1949" t="str">
            <v>裕隆三</v>
          </cell>
          <cell r="H1949">
            <v>200000</v>
          </cell>
          <cell r="I1949">
            <v>3</v>
          </cell>
          <cell r="J1949">
            <v>46167</v>
          </cell>
          <cell r="K1949">
            <v>100.75190000000001</v>
          </cell>
          <cell r="L1949">
            <v>46147</v>
          </cell>
          <cell r="M1949">
            <v>-5096</v>
          </cell>
          <cell r="N1949">
            <v>194904</v>
          </cell>
        </row>
        <row r="1950">
          <cell r="A1950">
            <v>34793</v>
          </cell>
          <cell r="B1950">
            <v>1944</v>
          </cell>
          <cell r="C1950" t="str">
            <v>IASWD2407000896</v>
          </cell>
          <cell r="D1950">
            <v>45483</v>
          </cell>
          <cell r="E1950">
            <v>46409</v>
          </cell>
          <cell r="F1950" t="str">
            <v>34793</v>
          </cell>
          <cell r="G1950" t="str">
            <v>安勤三</v>
          </cell>
          <cell r="H1950">
            <v>100000</v>
          </cell>
          <cell r="I1950">
            <v>3</v>
          </cell>
          <cell r="J1950">
            <v>46409</v>
          </cell>
          <cell r="K1950">
            <v>100</v>
          </cell>
          <cell r="L1950">
            <v>46391</v>
          </cell>
          <cell r="M1950">
            <v>-2540</v>
          </cell>
          <cell r="N1950">
            <v>97460</v>
          </cell>
        </row>
        <row r="1951">
          <cell r="A1951">
            <v>64145</v>
          </cell>
          <cell r="B1951">
            <v>1945</v>
          </cell>
          <cell r="C1951" t="str">
            <v>IASWD2407000910</v>
          </cell>
          <cell r="D1951">
            <v>45483</v>
          </cell>
          <cell r="E1951">
            <v>46250</v>
          </cell>
          <cell r="F1951" t="str">
            <v>64145</v>
          </cell>
          <cell r="G1951" t="str">
            <v>樺漢五</v>
          </cell>
          <cell r="H1951">
            <v>300000</v>
          </cell>
          <cell r="I1951">
            <v>3</v>
          </cell>
          <cell r="J1951">
            <v>46250</v>
          </cell>
          <cell r="K1951">
            <v>100</v>
          </cell>
          <cell r="L1951">
            <v>46231</v>
          </cell>
          <cell r="M1951">
            <v>-7619</v>
          </cell>
          <cell r="N1951">
            <v>292381</v>
          </cell>
        </row>
        <row r="1952">
          <cell r="A1952">
            <v>34834</v>
          </cell>
          <cell r="B1952">
            <v>1946</v>
          </cell>
          <cell r="C1952" t="str">
            <v>IASWD2407000912</v>
          </cell>
          <cell r="D1952">
            <v>45483</v>
          </cell>
          <cell r="E1952">
            <v>46529</v>
          </cell>
          <cell r="F1952" t="str">
            <v>34834</v>
          </cell>
          <cell r="G1952" t="str">
            <v>力致四</v>
          </cell>
          <cell r="H1952">
            <v>200000</v>
          </cell>
          <cell r="I1952">
            <v>3.75</v>
          </cell>
          <cell r="J1952">
            <v>46529</v>
          </cell>
          <cell r="K1952">
            <v>100</v>
          </cell>
          <cell r="L1952">
            <v>46511</v>
          </cell>
          <cell r="M1952">
            <v>-6349</v>
          </cell>
          <cell r="N1952">
            <v>193651</v>
          </cell>
        </row>
        <row r="1953">
          <cell r="A1953">
            <v>22013</v>
          </cell>
          <cell r="B1953">
            <v>1947</v>
          </cell>
          <cell r="C1953" t="str">
            <v>IASWD2407000913</v>
          </cell>
          <cell r="D1953">
            <v>45483</v>
          </cell>
          <cell r="E1953">
            <v>46167</v>
          </cell>
          <cell r="F1953" t="str">
            <v>22013</v>
          </cell>
          <cell r="G1953" t="str">
            <v>裕隆三</v>
          </cell>
          <cell r="H1953">
            <v>500000</v>
          </cell>
          <cell r="I1953">
            <v>3</v>
          </cell>
          <cell r="J1953">
            <v>46167</v>
          </cell>
          <cell r="K1953">
            <v>100.75190000000001</v>
          </cell>
          <cell r="L1953">
            <v>46147</v>
          </cell>
          <cell r="M1953">
            <v>-12699</v>
          </cell>
          <cell r="N1953">
            <v>487301</v>
          </cell>
        </row>
        <row r="1954">
          <cell r="A1954">
            <v>64145</v>
          </cell>
          <cell r="B1954">
            <v>1948</v>
          </cell>
          <cell r="C1954" t="str">
            <v>IASWD2407000915</v>
          </cell>
          <cell r="D1954">
            <v>45483</v>
          </cell>
          <cell r="E1954">
            <v>46250</v>
          </cell>
          <cell r="F1954" t="str">
            <v>64145</v>
          </cell>
          <cell r="G1954" t="str">
            <v>樺漢五</v>
          </cell>
          <cell r="H1954">
            <v>200000</v>
          </cell>
          <cell r="I1954">
            <v>3</v>
          </cell>
          <cell r="J1954">
            <v>46250</v>
          </cell>
          <cell r="K1954">
            <v>100</v>
          </cell>
          <cell r="L1954">
            <v>46231</v>
          </cell>
          <cell r="M1954">
            <v>-5079</v>
          </cell>
          <cell r="N1954">
            <v>194921</v>
          </cell>
        </row>
        <row r="1955">
          <cell r="A1955">
            <v>34793</v>
          </cell>
          <cell r="B1955">
            <v>1949</v>
          </cell>
          <cell r="C1955" t="str">
            <v>IASWD2407000917</v>
          </cell>
          <cell r="D1955">
            <v>45483</v>
          </cell>
          <cell r="E1955">
            <v>46409</v>
          </cell>
          <cell r="F1955" t="str">
            <v>34793</v>
          </cell>
          <cell r="G1955" t="str">
            <v>安勤三</v>
          </cell>
          <cell r="H1955">
            <v>400000</v>
          </cell>
          <cell r="I1955">
            <v>3</v>
          </cell>
          <cell r="J1955">
            <v>46409</v>
          </cell>
          <cell r="K1955">
            <v>100</v>
          </cell>
          <cell r="L1955">
            <v>46391</v>
          </cell>
          <cell r="M1955">
            <v>-10159</v>
          </cell>
          <cell r="N1955">
            <v>389841</v>
          </cell>
        </row>
        <row r="1956">
          <cell r="A1956">
            <v>22013</v>
          </cell>
          <cell r="B1956">
            <v>1950</v>
          </cell>
          <cell r="C1956" t="str">
            <v>IASWD2407000921</v>
          </cell>
          <cell r="D1956">
            <v>45483</v>
          </cell>
          <cell r="E1956">
            <v>46167</v>
          </cell>
          <cell r="F1956" t="str">
            <v>22013</v>
          </cell>
          <cell r="G1956" t="str">
            <v>裕隆三</v>
          </cell>
          <cell r="H1956">
            <v>100000</v>
          </cell>
          <cell r="I1956">
            <v>3</v>
          </cell>
          <cell r="J1956">
            <v>46167</v>
          </cell>
          <cell r="K1956">
            <v>100.75190000000001</v>
          </cell>
          <cell r="L1956">
            <v>46147</v>
          </cell>
          <cell r="M1956">
            <v>-2540</v>
          </cell>
          <cell r="N1956">
            <v>97460</v>
          </cell>
        </row>
        <row r="1957">
          <cell r="A1957">
            <v>35266</v>
          </cell>
          <cell r="B1957">
            <v>1951</v>
          </cell>
          <cell r="C1957" t="str">
            <v>IASWD2407000924</v>
          </cell>
          <cell r="D1957">
            <v>45483</v>
          </cell>
          <cell r="E1957">
            <v>46416</v>
          </cell>
          <cell r="F1957" t="str">
            <v>35266</v>
          </cell>
          <cell r="G1957" t="str">
            <v>凡甲六</v>
          </cell>
          <cell r="H1957">
            <v>100000</v>
          </cell>
          <cell r="I1957">
            <v>3.5</v>
          </cell>
          <cell r="J1957">
            <v>46416</v>
          </cell>
          <cell r="K1957">
            <v>100</v>
          </cell>
          <cell r="L1957">
            <v>46398</v>
          </cell>
          <cell r="M1957">
            <v>-2963</v>
          </cell>
          <cell r="N1957">
            <v>97037</v>
          </cell>
        </row>
        <row r="1958">
          <cell r="A1958">
            <v>36804</v>
          </cell>
          <cell r="B1958">
            <v>1952</v>
          </cell>
          <cell r="C1958" t="str">
            <v>IASWD2407000925</v>
          </cell>
          <cell r="D1958">
            <v>45483</v>
          </cell>
          <cell r="E1958">
            <v>45948</v>
          </cell>
          <cell r="F1958" t="str">
            <v>36804</v>
          </cell>
          <cell r="G1958" t="str">
            <v>家登四</v>
          </cell>
          <cell r="H1958">
            <v>100000</v>
          </cell>
          <cell r="I1958">
            <v>3.2</v>
          </cell>
          <cell r="J1958">
            <v>45948</v>
          </cell>
          <cell r="K1958">
            <v>100</v>
          </cell>
          <cell r="L1958">
            <v>45926</v>
          </cell>
          <cell r="M1958">
            <v>-2709</v>
          </cell>
          <cell r="N1958">
            <v>97291</v>
          </cell>
        </row>
        <row r="1959">
          <cell r="A1959">
            <v>35482</v>
          </cell>
          <cell r="B1959">
            <v>1953</v>
          </cell>
          <cell r="C1959" t="str">
            <v>IASWD2407000926</v>
          </cell>
          <cell r="D1959">
            <v>45483</v>
          </cell>
          <cell r="E1959">
            <v>46395</v>
          </cell>
          <cell r="F1959" t="str">
            <v>35482</v>
          </cell>
          <cell r="G1959" t="str">
            <v>兆利二</v>
          </cell>
          <cell r="H1959">
            <v>100000</v>
          </cell>
          <cell r="I1959">
            <v>3</v>
          </cell>
          <cell r="J1959">
            <v>46395</v>
          </cell>
          <cell r="K1959">
            <v>100</v>
          </cell>
          <cell r="L1959">
            <v>46377</v>
          </cell>
          <cell r="M1959">
            <v>-2540</v>
          </cell>
          <cell r="N1959">
            <v>97460</v>
          </cell>
        </row>
        <row r="1960">
          <cell r="A1960">
            <v>35266</v>
          </cell>
          <cell r="B1960">
            <v>1954</v>
          </cell>
          <cell r="C1960" t="str">
            <v>IASWD2407000930</v>
          </cell>
          <cell r="D1960">
            <v>45483</v>
          </cell>
          <cell r="E1960">
            <v>46416</v>
          </cell>
          <cell r="F1960" t="str">
            <v>35266</v>
          </cell>
          <cell r="G1960" t="str">
            <v>凡甲六</v>
          </cell>
          <cell r="H1960">
            <v>100000</v>
          </cell>
          <cell r="I1960">
            <v>3.5</v>
          </cell>
          <cell r="J1960">
            <v>46416</v>
          </cell>
          <cell r="K1960">
            <v>100</v>
          </cell>
          <cell r="L1960">
            <v>46398</v>
          </cell>
          <cell r="M1960">
            <v>-2963</v>
          </cell>
          <cell r="N1960">
            <v>97037</v>
          </cell>
        </row>
        <row r="1961">
          <cell r="A1961">
            <v>64145</v>
          </cell>
          <cell r="B1961">
            <v>1955</v>
          </cell>
          <cell r="C1961" t="str">
            <v>IASWD2407000932</v>
          </cell>
          <cell r="D1961">
            <v>45483</v>
          </cell>
          <cell r="E1961">
            <v>46250</v>
          </cell>
          <cell r="F1961" t="str">
            <v>64145</v>
          </cell>
          <cell r="G1961" t="str">
            <v>樺漢五</v>
          </cell>
          <cell r="H1961">
            <v>500000</v>
          </cell>
          <cell r="I1961">
            <v>3</v>
          </cell>
          <cell r="J1961">
            <v>46250</v>
          </cell>
          <cell r="K1961">
            <v>100</v>
          </cell>
          <cell r="L1961">
            <v>46231</v>
          </cell>
          <cell r="M1961">
            <v>-12699</v>
          </cell>
          <cell r="N1961">
            <v>487301</v>
          </cell>
        </row>
        <row r="1962">
          <cell r="A1962">
            <v>34793</v>
          </cell>
          <cell r="B1962">
            <v>1956</v>
          </cell>
          <cell r="C1962" t="str">
            <v>IASWD2407000933</v>
          </cell>
          <cell r="D1962">
            <v>45483</v>
          </cell>
          <cell r="E1962">
            <v>46409</v>
          </cell>
          <cell r="F1962" t="str">
            <v>34793</v>
          </cell>
          <cell r="G1962" t="str">
            <v>安勤三</v>
          </cell>
          <cell r="H1962">
            <v>200000</v>
          </cell>
          <cell r="I1962">
            <v>3</v>
          </cell>
          <cell r="J1962">
            <v>46409</v>
          </cell>
          <cell r="K1962">
            <v>100</v>
          </cell>
          <cell r="L1962">
            <v>46391</v>
          </cell>
          <cell r="M1962">
            <v>-5079</v>
          </cell>
          <cell r="N1962">
            <v>194921</v>
          </cell>
        </row>
        <row r="1963">
          <cell r="A1963">
            <v>36804</v>
          </cell>
          <cell r="B1963">
            <v>1957</v>
          </cell>
          <cell r="C1963" t="str">
            <v>IASWD2407000934</v>
          </cell>
          <cell r="D1963">
            <v>45483</v>
          </cell>
          <cell r="E1963">
            <v>45948</v>
          </cell>
          <cell r="F1963" t="str">
            <v>36804</v>
          </cell>
          <cell r="G1963" t="str">
            <v>家登四</v>
          </cell>
          <cell r="H1963">
            <v>100000</v>
          </cell>
          <cell r="I1963">
            <v>3.2</v>
          </cell>
          <cell r="J1963">
            <v>45948</v>
          </cell>
          <cell r="K1963">
            <v>100</v>
          </cell>
          <cell r="L1963">
            <v>45926</v>
          </cell>
          <cell r="M1963">
            <v>-2709</v>
          </cell>
          <cell r="N1963">
            <v>97291</v>
          </cell>
        </row>
        <row r="1964">
          <cell r="A1964">
            <v>22013</v>
          </cell>
          <cell r="B1964">
            <v>1958</v>
          </cell>
          <cell r="C1964" t="str">
            <v>IASWD2407000937</v>
          </cell>
          <cell r="D1964">
            <v>45483</v>
          </cell>
          <cell r="E1964">
            <v>46167</v>
          </cell>
          <cell r="F1964" t="str">
            <v>22013</v>
          </cell>
          <cell r="G1964" t="str">
            <v>裕隆三</v>
          </cell>
          <cell r="H1964">
            <v>100000</v>
          </cell>
          <cell r="I1964">
            <v>3</v>
          </cell>
          <cell r="J1964">
            <v>46167</v>
          </cell>
          <cell r="K1964">
            <v>100.75190000000001</v>
          </cell>
          <cell r="L1964">
            <v>46147</v>
          </cell>
          <cell r="M1964">
            <v>-2540</v>
          </cell>
          <cell r="N1964">
            <v>97460</v>
          </cell>
        </row>
        <row r="1965">
          <cell r="A1965">
            <v>41683</v>
          </cell>
          <cell r="B1965">
            <v>1959</v>
          </cell>
          <cell r="C1965" t="str">
            <v>IASWD2407000941</v>
          </cell>
          <cell r="D1965">
            <v>45483</v>
          </cell>
          <cell r="E1965">
            <v>45835</v>
          </cell>
          <cell r="F1965" t="str">
            <v>41683</v>
          </cell>
          <cell r="G1965" t="str">
            <v>醣聯三</v>
          </cell>
          <cell r="H1965">
            <v>200000</v>
          </cell>
          <cell r="I1965">
            <v>2.2000000000000002</v>
          </cell>
          <cell r="J1965">
            <v>45835</v>
          </cell>
          <cell r="K1965">
            <v>100</v>
          </cell>
          <cell r="L1965">
            <v>45817</v>
          </cell>
          <cell r="M1965">
            <v>-3725</v>
          </cell>
          <cell r="N1965">
            <v>196275</v>
          </cell>
        </row>
        <row r="1966">
          <cell r="A1966">
            <v>22013</v>
          </cell>
          <cell r="B1966">
            <v>1960</v>
          </cell>
          <cell r="C1966" t="str">
            <v>IASWD2407000952</v>
          </cell>
          <cell r="D1966">
            <v>45483</v>
          </cell>
          <cell r="E1966">
            <v>46167</v>
          </cell>
          <cell r="F1966" t="str">
            <v>22013</v>
          </cell>
          <cell r="G1966" t="str">
            <v>裕隆三</v>
          </cell>
          <cell r="H1966">
            <v>200000</v>
          </cell>
          <cell r="I1966">
            <v>3</v>
          </cell>
          <cell r="J1966">
            <v>46167</v>
          </cell>
          <cell r="K1966">
            <v>100.75190000000001</v>
          </cell>
          <cell r="L1966">
            <v>46147</v>
          </cell>
          <cell r="M1966">
            <v>-5079</v>
          </cell>
          <cell r="N1966">
            <v>194921</v>
          </cell>
        </row>
        <row r="1967">
          <cell r="A1967">
            <v>36804</v>
          </cell>
          <cell r="B1967">
            <v>1961</v>
          </cell>
          <cell r="C1967" t="str">
            <v>IASWD2407000953</v>
          </cell>
          <cell r="D1967">
            <v>45483</v>
          </cell>
          <cell r="E1967">
            <v>45948</v>
          </cell>
          <cell r="F1967" t="str">
            <v>36804</v>
          </cell>
          <cell r="G1967" t="str">
            <v>家登四</v>
          </cell>
          <cell r="H1967">
            <v>100000</v>
          </cell>
          <cell r="I1967">
            <v>3.2</v>
          </cell>
          <cell r="J1967">
            <v>45948</v>
          </cell>
          <cell r="K1967">
            <v>100</v>
          </cell>
          <cell r="L1967">
            <v>45926</v>
          </cell>
          <cell r="M1967">
            <v>-2709</v>
          </cell>
          <cell r="N1967">
            <v>97291</v>
          </cell>
        </row>
        <row r="1968">
          <cell r="A1968">
            <v>61906</v>
          </cell>
          <cell r="B1968">
            <v>1962</v>
          </cell>
          <cell r="C1968" t="str">
            <v>IASWD2407000954</v>
          </cell>
          <cell r="D1968">
            <v>45483</v>
          </cell>
          <cell r="E1968">
            <v>45961</v>
          </cell>
          <cell r="F1968" t="str">
            <v>61906</v>
          </cell>
          <cell r="G1968" t="str">
            <v>萬泰科六</v>
          </cell>
          <cell r="H1968">
            <v>500000</v>
          </cell>
          <cell r="I1968">
            <v>4</v>
          </cell>
          <cell r="J1968">
            <v>45961</v>
          </cell>
          <cell r="K1968">
            <v>100</v>
          </cell>
          <cell r="L1968">
            <v>45943</v>
          </cell>
          <cell r="M1968">
            <v>-16932</v>
          </cell>
          <cell r="N1968">
            <v>483068</v>
          </cell>
        </row>
        <row r="1969">
          <cell r="A1969">
            <v>20632</v>
          </cell>
          <cell r="B1969">
            <v>1963</v>
          </cell>
          <cell r="C1969" t="str">
            <v>IASWD2407000955</v>
          </cell>
          <cell r="D1969">
            <v>45483</v>
          </cell>
          <cell r="E1969">
            <v>45971</v>
          </cell>
          <cell r="F1969" t="str">
            <v>20632</v>
          </cell>
          <cell r="G1969" t="str">
            <v>世鎧二</v>
          </cell>
          <cell r="H1969">
            <v>100000</v>
          </cell>
          <cell r="I1969">
            <v>3.25</v>
          </cell>
          <cell r="J1969">
            <v>45971</v>
          </cell>
          <cell r="K1969">
            <v>100</v>
          </cell>
          <cell r="L1969">
            <v>45951</v>
          </cell>
          <cell r="M1969">
            <v>-2751</v>
          </cell>
          <cell r="N1969">
            <v>97249</v>
          </cell>
        </row>
        <row r="1970">
          <cell r="A1970">
            <v>45663</v>
          </cell>
          <cell r="B1970">
            <v>1964</v>
          </cell>
          <cell r="C1970" t="str">
            <v>IASWD2407000960</v>
          </cell>
          <cell r="D1970">
            <v>45483</v>
          </cell>
          <cell r="E1970">
            <v>46353</v>
          </cell>
          <cell r="F1970" t="str">
            <v>45663</v>
          </cell>
          <cell r="G1970" t="str">
            <v>時碩工業三</v>
          </cell>
          <cell r="H1970">
            <v>200000</v>
          </cell>
          <cell r="I1970">
            <v>3.5</v>
          </cell>
          <cell r="J1970">
            <v>46353</v>
          </cell>
          <cell r="K1970">
            <v>100</v>
          </cell>
          <cell r="L1970">
            <v>46335</v>
          </cell>
          <cell r="M1970">
            <v>-5926</v>
          </cell>
          <cell r="N1970">
            <v>194074</v>
          </cell>
        </row>
        <row r="1971">
          <cell r="A1971">
            <v>64145</v>
          </cell>
          <cell r="B1971">
            <v>1965</v>
          </cell>
          <cell r="C1971" t="str">
            <v>IASWD2407000961</v>
          </cell>
          <cell r="D1971">
            <v>45483</v>
          </cell>
          <cell r="E1971">
            <v>46250</v>
          </cell>
          <cell r="F1971" t="str">
            <v>64145</v>
          </cell>
          <cell r="G1971" t="str">
            <v>樺漢五</v>
          </cell>
          <cell r="H1971">
            <v>100000</v>
          </cell>
          <cell r="I1971">
            <v>3</v>
          </cell>
          <cell r="J1971">
            <v>46250</v>
          </cell>
          <cell r="K1971">
            <v>100</v>
          </cell>
          <cell r="L1971">
            <v>46231</v>
          </cell>
          <cell r="M1971">
            <v>-2540</v>
          </cell>
          <cell r="N1971">
            <v>97460</v>
          </cell>
        </row>
        <row r="1972">
          <cell r="A1972">
            <v>35482</v>
          </cell>
          <cell r="B1972">
            <v>1966</v>
          </cell>
          <cell r="C1972" t="str">
            <v>IASWD2407000962</v>
          </cell>
          <cell r="D1972">
            <v>45483</v>
          </cell>
          <cell r="E1972">
            <v>46395</v>
          </cell>
          <cell r="F1972" t="str">
            <v>35482</v>
          </cell>
          <cell r="G1972" t="str">
            <v>兆利二</v>
          </cell>
          <cell r="H1972">
            <v>500000</v>
          </cell>
          <cell r="I1972">
            <v>3</v>
          </cell>
          <cell r="J1972">
            <v>46395</v>
          </cell>
          <cell r="K1972">
            <v>100</v>
          </cell>
          <cell r="L1972">
            <v>46377</v>
          </cell>
          <cell r="M1972">
            <v>-12699</v>
          </cell>
          <cell r="N1972">
            <v>487301</v>
          </cell>
        </row>
        <row r="1973">
          <cell r="A1973">
            <v>64145</v>
          </cell>
          <cell r="B1973">
            <v>1967</v>
          </cell>
          <cell r="C1973" t="str">
            <v>IASWD2407000964</v>
          </cell>
          <cell r="D1973">
            <v>45483</v>
          </cell>
          <cell r="E1973">
            <v>46250</v>
          </cell>
          <cell r="F1973" t="str">
            <v>64145</v>
          </cell>
          <cell r="G1973" t="str">
            <v>樺漢五</v>
          </cell>
          <cell r="H1973">
            <v>200000</v>
          </cell>
          <cell r="I1973">
            <v>3</v>
          </cell>
          <cell r="J1973">
            <v>46250</v>
          </cell>
          <cell r="K1973">
            <v>100</v>
          </cell>
          <cell r="L1973">
            <v>46231</v>
          </cell>
          <cell r="M1973">
            <v>-5079</v>
          </cell>
          <cell r="N1973">
            <v>194921</v>
          </cell>
        </row>
        <row r="1974">
          <cell r="A1974">
            <v>61906</v>
          </cell>
          <cell r="B1974">
            <v>1968</v>
          </cell>
          <cell r="C1974" t="str">
            <v>IASWD2407000965</v>
          </cell>
          <cell r="D1974">
            <v>45483</v>
          </cell>
          <cell r="E1974">
            <v>45961</v>
          </cell>
          <cell r="F1974" t="str">
            <v>61906</v>
          </cell>
          <cell r="G1974" t="str">
            <v>萬泰科六</v>
          </cell>
          <cell r="H1974">
            <v>100000</v>
          </cell>
          <cell r="I1974">
            <v>4</v>
          </cell>
          <cell r="J1974">
            <v>45961</v>
          </cell>
          <cell r="K1974">
            <v>100</v>
          </cell>
          <cell r="L1974">
            <v>45943</v>
          </cell>
          <cell r="M1974">
            <v>-3386</v>
          </cell>
          <cell r="N1974">
            <v>96614</v>
          </cell>
        </row>
        <row r="1975">
          <cell r="A1975">
            <v>35482</v>
          </cell>
          <cell r="B1975">
            <v>1969</v>
          </cell>
          <cell r="C1975" t="str">
            <v>IASWD2407000967</v>
          </cell>
          <cell r="D1975">
            <v>45483</v>
          </cell>
          <cell r="E1975">
            <v>46395</v>
          </cell>
          <cell r="F1975" t="str">
            <v>35482</v>
          </cell>
          <cell r="G1975" t="str">
            <v>兆利二</v>
          </cell>
          <cell r="H1975">
            <v>500000</v>
          </cell>
          <cell r="I1975">
            <v>3</v>
          </cell>
          <cell r="J1975">
            <v>46395</v>
          </cell>
          <cell r="K1975">
            <v>100</v>
          </cell>
          <cell r="L1975">
            <v>46377</v>
          </cell>
          <cell r="M1975">
            <v>-12699</v>
          </cell>
          <cell r="N1975">
            <v>487301</v>
          </cell>
        </row>
        <row r="1976">
          <cell r="A1976">
            <v>64145</v>
          </cell>
          <cell r="B1976">
            <v>1970</v>
          </cell>
          <cell r="C1976" t="str">
            <v>IASWD2407000969</v>
          </cell>
          <cell r="D1976">
            <v>45483</v>
          </cell>
          <cell r="E1976">
            <v>46250</v>
          </cell>
          <cell r="F1976" t="str">
            <v>64145</v>
          </cell>
          <cell r="G1976" t="str">
            <v>樺漢五</v>
          </cell>
          <cell r="H1976">
            <v>100000</v>
          </cell>
          <cell r="I1976">
            <v>3</v>
          </cell>
          <cell r="J1976">
            <v>46250</v>
          </cell>
          <cell r="K1976">
            <v>100</v>
          </cell>
          <cell r="L1976">
            <v>46231</v>
          </cell>
          <cell r="M1976">
            <v>-2540</v>
          </cell>
          <cell r="N1976">
            <v>97460</v>
          </cell>
        </row>
        <row r="1977">
          <cell r="A1977">
            <v>22013</v>
          </cell>
          <cell r="B1977">
            <v>1971</v>
          </cell>
          <cell r="C1977" t="str">
            <v>IASWD2407000972</v>
          </cell>
          <cell r="D1977">
            <v>45484</v>
          </cell>
          <cell r="E1977">
            <v>46167</v>
          </cell>
          <cell r="F1977" t="str">
            <v>22013</v>
          </cell>
          <cell r="G1977" t="str">
            <v>裕隆三</v>
          </cell>
          <cell r="H1977">
            <v>200000</v>
          </cell>
          <cell r="I1977">
            <v>3</v>
          </cell>
          <cell r="J1977">
            <v>46167</v>
          </cell>
          <cell r="K1977">
            <v>100.75190000000001</v>
          </cell>
          <cell r="L1977">
            <v>46147</v>
          </cell>
          <cell r="M1977">
            <v>-5063</v>
          </cell>
          <cell r="N1977">
            <v>194937</v>
          </cell>
        </row>
        <row r="1978">
          <cell r="A1978">
            <v>34163</v>
          </cell>
          <cell r="B1978">
            <v>1972</v>
          </cell>
          <cell r="C1978" t="str">
            <v>IASWD2407000974</v>
          </cell>
          <cell r="D1978">
            <v>45484</v>
          </cell>
          <cell r="E1978">
            <v>46047</v>
          </cell>
          <cell r="F1978" t="str">
            <v>34163</v>
          </cell>
          <cell r="G1978" t="str">
            <v>融程電三</v>
          </cell>
          <cell r="H1978">
            <v>200000</v>
          </cell>
          <cell r="I1978">
            <v>3</v>
          </cell>
          <cell r="J1978">
            <v>46047</v>
          </cell>
          <cell r="K1978">
            <v>100.5</v>
          </cell>
          <cell r="L1978">
            <v>46028</v>
          </cell>
          <cell r="M1978">
            <v>-5063</v>
          </cell>
          <cell r="N1978">
            <v>194937</v>
          </cell>
        </row>
        <row r="1979">
          <cell r="A1979">
            <v>64145</v>
          </cell>
          <cell r="B1979">
            <v>1973</v>
          </cell>
          <cell r="C1979" t="str">
            <v>IASWD2407000975</v>
          </cell>
          <cell r="D1979">
            <v>45484</v>
          </cell>
          <cell r="E1979">
            <v>46250</v>
          </cell>
          <cell r="F1979" t="str">
            <v>64145</v>
          </cell>
          <cell r="G1979" t="str">
            <v>樺漢五</v>
          </cell>
          <cell r="H1979">
            <v>100000</v>
          </cell>
          <cell r="I1979">
            <v>3</v>
          </cell>
          <cell r="J1979">
            <v>46250</v>
          </cell>
          <cell r="K1979">
            <v>100</v>
          </cell>
          <cell r="L1979">
            <v>46231</v>
          </cell>
          <cell r="M1979">
            <v>-2532</v>
          </cell>
          <cell r="N1979">
            <v>97468</v>
          </cell>
        </row>
        <row r="1980">
          <cell r="A1980">
            <v>35482</v>
          </cell>
          <cell r="B1980">
            <v>1974</v>
          </cell>
          <cell r="C1980" t="str">
            <v>IASWD2407000976</v>
          </cell>
          <cell r="D1980">
            <v>45484</v>
          </cell>
          <cell r="E1980">
            <v>46395</v>
          </cell>
          <cell r="F1980" t="str">
            <v>35482</v>
          </cell>
          <cell r="G1980" t="str">
            <v>兆利二</v>
          </cell>
          <cell r="H1980">
            <v>500000</v>
          </cell>
          <cell r="I1980">
            <v>3</v>
          </cell>
          <cell r="J1980">
            <v>46395</v>
          </cell>
          <cell r="K1980">
            <v>100</v>
          </cell>
          <cell r="L1980">
            <v>46377</v>
          </cell>
          <cell r="M1980">
            <v>-12658</v>
          </cell>
          <cell r="N1980">
            <v>487342</v>
          </cell>
        </row>
        <row r="1981">
          <cell r="A1981">
            <v>34163</v>
          </cell>
          <cell r="B1981">
            <v>1975</v>
          </cell>
          <cell r="C1981" t="str">
            <v>IASWD2407000977</v>
          </cell>
          <cell r="D1981">
            <v>45484</v>
          </cell>
          <cell r="E1981">
            <v>46047</v>
          </cell>
          <cell r="F1981" t="str">
            <v>34163</v>
          </cell>
          <cell r="G1981" t="str">
            <v>融程電三</v>
          </cell>
          <cell r="H1981">
            <v>300000</v>
          </cell>
          <cell r="I1981">
            <v>3</v>
          </cell>
          <cell r="J1981">
            <v>46047</v>
          </cell>
          <cell r="K1981">
            <v>100.5</v>
          </cell>
          <cell r="L1981">
            <v>46028</v>
          </cell>
          <cell r="M1981">
            <v>-7595</v>
          </cell>
          <cell r="N1981">
            <v>292405</v>
          </cell>
        </row>
        <row r="1982">
          <cell r="A1982">
            <v>36804</v>
          </cell>
          <cell r="B1982">
            <v>1976</v>
          </cell>
          <cell r="C1982" t="str">
            <v>IASWD2407000978</v>
          </cell>
          <cell r="D1982">
            <v>45484</v>
          </cell>
          <cell r="E1982">
            <v>45948</v>
          </cell>
          <cell r="F1982" t="str">
            <v>36804</v>
          </cell>
          <cell r="G1982" t="str">
            <v>家登四</v>
          </cell>
          <cell r="H1982">
            <v>200000</v>
          </cell>
          <cell r="I1982">
            <v>3.2</v>
          </cell>
          <cell r="J1982">
            <v>45948</v>
          </cell>
          <cell r="K1982">
            <v>100</v>
          </cell>
          <cell r="L1982">
            <v>45926</v>
          </cell>
          <cell r="M1982">
            <v>-5401</v>
          </cell>
          <cell r="N1982">
            <v>194599</v>
          </cell>
        </row>
        <row r="1983">
          <cell r="A1983">
            <v>22013</v>
          </cell>
          <cell r="B1983">
            <v>1977</v>
          </cell>
          <cell r="C1983" t="str">
            <v>IASWD2407000980</v>
          </cell>
          <cell r="D1983">
            <v>45484</v>
          </cell>
          <cell r="E1983">
            <v>46167</v>
          </cell>
          <cell r="F1983" t="str">
            <v>22013</v>
          </cell>
          <cell r="G1983" t="str">
            <v>裕隆三</v>
          </cell>
          <cell r="H1983">
            <v>200000</v>
          </cell>
          <cell r="I1983">
            <v>3</v>
          </cell>
          <cell r="J1983">
            <v>46167</v>
          </cell>
          <cell r="K1983">
            <v>100.75190000000001</v>
          </cell>
          <cell r="L1983">
            <v>46147</v>
          </cell>
          <cell r="M1983">
            <v>-5063</v>
          </cell>
          <cell r="N1983">
            <v>194937</v>
          </cell>
        </row>
        <row r="1984">
          <cell r="A1984">
            <v>34793</v>
          </cell>
          <cell r="B1984">
            <v>1978</v>
          </cell>
          <cell r="C1984" t="str">
            <v>IASWD2407000981</v>
          </cell>
          <cell r="D1984">
            <v>45484</v>
          </cell>
          <cell r="E1984">
            <v>46409</v>
          </cell>
          <cell r="F1984" t="str">
            <v>34793</v>
          </cell>
          <cell r="G1984" t="str">
            <v>安勤三</v>
          </cell>
          <cell r="H1984">
            <v>100000</v>
          </cell>
          <cell r="I1984">
            <v>3</v>
          </cell>
          <cell r="J1984">
            <v>46409</v>
          </cell>
          <cell r="K1984">
            <v>100</v>
          </cell>
          <cell r="L1984">
            <v>46391</v>
          </cell>
          <cell r="M1984">
            <v>-2532</v>
          </cell>
          <cell r="N1984">
            <v>97468</v>
          </cell>
        </row>
        <row r="1985">
          <cell r="A1985">
            <v>35482</v>
          </cell>
          <cell r="B1985">
            <v>1979</v>
          </cell>
          <cell r="C1985" t="str">
            <v>IASWD2407000982</v>
          </cell>
          <cell r="D1985">
            <v>45484</v>
          </cell>
          <cell r="E1985">
            <v>46395</v>
          </cell>
          <cell r="F1985" t="str">
            <v>35482</v>
          </cell>
          <cell r="G1985" t="str">
            <v>兆利二</v>
          </cell>
          <cell r="H1985">
            <v>100000</v>
          </cell>
          <cell r="I1985">
            <v>3</v>
          </cell>
          <cell r="J1985">
            <v>46395</v>
          </cell>
          <cell r="K1985">
            <v>100</v>
          </cell>
          <cell r="L1985">
            <v>46377</v>
          </cell>
          <cell r="M1985">
            <v>-2532</v>
          </cell>
          <cell r="N1985">
            <v>97468</v>
          </cell>
        </row>
        <row r="1986">
          <cell r="A1986">
            <v>35482</v>
          </cell>
          <cell r="B1986">
            <v>1980</v>
          </cell>
          <cell r="C1986" t="str">
            <v>IASWD2407000984</v>
          </cell>
          <cell r="D1986">
            <v>45484</v>
          </cell>
          <cell r="E1986">
            <v>46395</v>
          </cell>
          <cell r="F1986" t="str">
            <v>35482</v>
          </cell>
          <cell r="G1986" t="str">
            <v>兆利二</v>
          </cell>
          <cell r="H1986">
            <v>100000</v>
          </cell>
          <cell r="I1986">
            <v>3</v>
          </cell>
          <cell r="J1986">
            <v>46395</v>
          </cell>
          <cell r="K1986">
            <v>100</v>
          </cell>
          <cell r="L1986">
            <v>46377</v>
          </cell>
          <cell r="M1986">
            <v>-2532</v>
          </cell>
          <cell r="N1986">
            <v>97468</v>
          </cell>
        </row>
        <row r="1987">
          <cell r="A1987">
            <v>22013</v>
          </cell>
          <cell r="B1987">
            <v>1981</v>
          </cell>
          <cell r="C1987" t="str">
            <v>IASWD2407000985</v>
          </cell>
          <cell r="D1987">
            <v>45484</v>
          </cell>
          <cell r="E1987">
            <v>46167</v>
          </cell>
          <cell r="F1987" t="str">
            <v>22013</v>
          </cell>
          <cell r="G1987" t="str">
            <v>裕隆三</v>
          </cell>
          <cell r="H1987">
            <v>300000</v>
          </cell>
          <cell r="I1987">
            <v>3</v>
          </cell>
          <cell r="J1987">
            <v>46167</v>
          </cell>
          <cell r="K1987">
            <v>100.75190000000001</v>
          </cell>
          <cell r="L1987">
            <v>46147</v>
          </cell>
          <cell r="M1987">
            <v>-7595</v>
          </cell>
          <cell r="N1987">
            <v>292405</v>
          </cell>
        </row>
        <row r="1988">
          <cell r="A1988">
            <v>35482</v>
          </cell>
          <cell r="B1988">
            <v>1982</v>
          </cell>
          <cell r="C1988" t="str">
            <v>IASWD2407000986</v>
          </cell>
          <cell r="D1988">
            <v>45484</v>
          </cell>
          <cell r="E1988">
            <v>46395</v>
          </cell>
          <cell r="F1988" t="str">
            <v>35482</v>
          </cell>
          <cell r="G1988" t="str">
            <v>兆利二</v>
          </cell>
          <cell r="H1988">
            <v>100000</v>
          </cell>
          <cell r="I1988">
            <v>3</v>
          </cell>
          <cell r="J1988">
            <v>46395</v>
          </cell>
          <cell r="K1988">
            <v>100</v>
          </cell>
          <cell r="L1988">
            <v>46377</v>
          </cell>
          <cell r="M1988">
            <v>-2532</v>
          </cell>
          <cell r="N1988">
            <v>97468</v>
          </cell>
        </row>
        <row r="1989">
          <cell r="A1989">
            <v>64145</v>
          </cell>
          <cell r="B1989">
            <v>1983</v>
          </cell>
          <cell r="C1989" t="str">
            <v>IASWD2407000987</v>
          </cell>
          <cell r="D1989">
            <v>45484</v>
          </cell>
          <cell r="E1989">
            <v>46250</v>
          </cell>
          <cell r="F1989" t="str">
            <v>64145</v>
          </cell>
          <cell r="G1989" t="str">
            <v>樺漢五</v>
          </cell>
          <cell r="H1989">
            <v>100000</v>
          </cell>
          <cell r="I1989">
            <v>3</v>
          </cell>
          <cell r="J1989">
            <v>46250</v>
          </cell>
          <cell r="K1989">
            <v>100</v>
          </cell>
          <cell r="L1989">
            <v>46231</v>
          </cell>
          <cell r="M1989">
            <v>-2532</v>
          </cell>
          <cell r="N1989">
            <v>97468</v>
          </cell>
        </row>
        <row r="1990">
          <cell r="A1990">
            <v>61906</v>
          </cell>
          <cell r="B1990">
            <v>1984</v>
          </cell>
          <cell r="C1990" t="str">
            <v>IASWD2407000988</v>
          </cell>
          <cell r="D1990">
            <v>45484</v>
          </cell>
          <cell r="E1990">
            <v>45961</v>
          </cell>
          <cell r="F1990" t="str">
            <v>61906</v>
          </cell>
          <cell r="G1990" t="str">
            <v>萬泰科六</v>
          </cell>
          <cell r="H1990">
            <v>200000</v>
          </cell>
          <cell r="I1990">
            <v>4</v>
          </cell>
          <cell r="J1990">
            <v>45961</v>
          </cell>
          <cell r="K1990">
            <v>100</v>
          </cell>
          <cell r="L1990">
            <v>45943</v>
          </cell>
          <cell r="M1990">
            <v>-6751</v>
          </cell>
          <cell r="N1990">
            <v>193249</v>
          </cell>
        </row>
        <row r="1991">
          <cell r="A1991">
            <v>34834</v>
          </cell>
          <cell r="B1991">
            <v>1985</v>
          </cell>
          <cell r="C1991" t="str">
            <v>IASWD2407000989</v>
          </cell>
          <cell r="D1991">
            <v>45484</v>
          </cell>
          <cell r="E1991">
            <v>46529</v>
          </cell>
          <cell r="F1991" t="str">
            <v>34834</v>
          </cell>
          <cell r="G1991" t="str">
            <v>力致四</v>
          </cell>
          <cell r="H1991">
            <v>100000</v>
          </cell>
          <cell r="I1991">
            <v>3.75</v>
          </cell>
          <cell r="J1991">
            <v>46529</v>
          </cell>
          <cell r="K1991">
            <v>100</v>
          </cell>
          <cell r="L1991">
            <v>46511</v>
          </cell>
          <cell r="M1991">
            <v>-3164</v>
          </cell>
          <cell r="N1991">
            <v>96836</v>
          </cell>
        </row>
        <row r="1992">
          <cell r="A1992">
            <v>36804</v>
          </cell>
          <cell r="B1992">
            <v>1986</v>
          </cell>
          <cell r="C1992" t="str">
            <v>IASWD2407000990</v>
          </cell>
          <cell r="D1992">
            <v>45484</v>
          </cell>
          <cell r="E1992">
            <v>45948</v>
          </cell>
          <cell r="F1992" t="str">
            <v>36804</v>
          </cell>
          <cell r="G1992" t="str">
            <v>家登四</v>
          </cell>
          <cell r="H1992">
            <v>100000</v>
          </cell>
          <cell r="I1992">
            <v>3.2</v>
          </cell>
          <cell r="J1992">
            <v>45948</v>
          </cell>
          <cell r="K1992">
            <v>100</v>
          </cell>
          <cell r="L1992">
            <v>45926</v>
          </cell>
          <cell r="M1992">
            <v>-2700</v>
          </cell>
          <cell r="N1992">
            <v>97300</v>
          </cell>
        </row>
        <row r="1993">
          <cell r="A1993">
            <v>61965</v>
          </cell>
          <cell r="B1993">
            <v>1987</v>
          </cell>
          <cell r="C1993" t="str">
            <v>IASWD2407000991</v>
          </cell>
          <cell r="D1993">
            <v>45484</v>
          </cell>
          <cell r="E1993">
            <v>46200</v>
          </cell>
          <cell r="F1993" t="str">
            <v>61965</v>
          </cell>
          <cell r="G1993" t="str">
            <v>帆宣五</v>
          </cell>
          <cell r="H1993">
            <v>100000</v>
          </cell>
          <cell r="I1993">
            <v>3</v>
          </cell>
          <cell r="J1993">
            <v>46200</v>
          </cell>
          <cell r="K1993">
            <v>100</v>
          </cell>
          <cell r="L1993">
            <v>46182</v>
          </cell>
          <cell r="M1993">
            <v>-2532</v>
          </cell>
          <cell r="N1993">
            <v>97468</v>
          </cell>
        </row>
        <row r="1994">
          <cell r="A1994">
            <v>64145</v>
          </cell>
          <cell r="B1994">
            <v>1988</v>
          </cell>
          <cell r="C1994" t="str">
            <v>IASWD2407000994</v>
          </cell>
          <cell r="D1994">
            <v>45484</v>
          </cell>
          <cell r="E1994">
            <v>46250</v>
          </cell>
          <cell r="F1994" t="str">
            <v>64145</v>
          </cell>
          <cell r="G1994" t="str">
            <v>樺漢五</v>
          </cell>
          <cell r="H1994">
            <v>100000</v>
          </cell>
          <cell r="I1994">
            <v>3</v>
          </cell>
          <cell r="J1994">
            <v>46250</v>
          </cell>
          <cell r="K1994">
            <v>100</v>
          </cell>
          <cell r="L1994">
            <v>46231</v>
          </cell>
          <cell r="M1994">
            <v>-2532</v>
          </cell>
          <cell r="N1994">
            <v>97468</v>
          </cell>
        </row>
        <row r="1995">
          <cell r="A1995">
            <v>56086</v>
          </cell>
          <cell r="B1995">
            <v>1989</v>
          </cell>
          <cell r="C1995" t="str">
            <v>IASWD2407000995</v>
          </cell>
          <cell r="D1995">
            <v>45484</v>
          </cell>
          <cell r="E1995">
            <v>46194</v>
          </cell>
          <cell r="F1995" t="str">
            <v>56086</v>
          </cell>
          <cell r="G1995" t="str">
            <v>四維航六</v>
          </cell>
          <cell r="H1995">
            <v>100000</v>
          </cell>
          <cell r="I1995">
            <v>2.35</v>
          </cell>
          <cell r="J1995">
            <v>46194</v>
          </cell>
          <cell r="K1995">
            <v>100</v>
          </cell>
          <cell r="L1995">
            <v>46175</v>
          </cell>
          <cell r="M1995">
            <v>-1983</v>
          </cell>
          <cell r="N1995">
            <v>98017</v>
          </cell>
        </row>
        <row r="1996">
          <cell r="A1996">
            <v>64145</v>
          </cell>
          <cell r="B1996">
            <v>1990</v>
          </cell>
          <cell r="C1996" t="str">
            <v>IASWD2407000996</v>
          </cell>
          <cell r="D1996">
            <v>45484</v>
          </cell>
          <cell r="E1996">
            <v>46250</v>
          </cell>
          <cell r="F1996" t="str">
            <v>64145</v>
          </cell>
          <cell r="G1996" t="str">
            <v>樺漢五</v>
          </cell>
          <cell r="H1996">
            <v>100000</v>
          </cell>
          <cell r="I1996">
            <v>3</v>
          </cell>
          <cell r="J1996">
            <v>46250</v>
          </cell>
          <cell r="K1996">
            <v>100</v>
          </cell>
          <cell r="L1996">
            <v>46231</v>
          </cell>
          <cell r="M1996">
            <v>-2532</v>
          </cell>
          <cell r="N1996">
            <v>97468</v>
          </cell>
        </row>
        <row r="1997">
          <cell r="A1997">
            <v>65096</v>
          </cell>
          <cell r="B1997">
            <v>1991</v>
          </cell>
          <cell r="C1997" t="str">
            <v>IASWD2407000997</v>
          </cell>
          <cell r="D1997">
            <v>45484</v>
          </cell>
          <cell r="E1997">
            <v>46206</v>
          </cell>
          <cell r="F1997" t="str">
            <v>65096</v>
          </cell>
          <cell r="G1997" t="str">
            <v>聚和六</v>
          </cell>
          <cell r="H1997">
            <v>800000</v>
          </cell>
          <cell r="I1997">
            <v>3.1</v>
          </cell>
          <cell r="J1997">
            <v>46206</v>
          </cell>
          <cell r="K1997">
            <v>100</v>
          </cell>
          <cell r="L1997">
            <v>46188</v>
          </cell>
          <cell r="M1997">
            <v>-20927</v>
          </cell>
          <cell r="N1997">
            <v>779073</v>
          </cell>
        </row>
        <row r="1998">
          <cell r="A1998">
            <v>34793</v>
          </cell>
          <cell r="B1998">
            <v>1992</v>
          </cell>
          <cell r="C1998" t="str">
            <v>IASWD2407001002</v>
          </cell>
          <cell r="D1998">
            <v>45484</v>
          </cell>
          <cell r="E1998">
            <v>46409</v>
          </cell>
          <cell r="F1998" t="str">
            <v>34793</v>
          </cell>
          <cell r="G1998" t="str">
            <v>安勤三</v>
          </cell>
          <cell r="H1998">
            <v>100000</v>
          </cell>
          <cell r="I1998">
            <v>3</v>
          </cell>
          <cell r="J1998">
            <v>46409</v>
          </cell>
          <cell r="K1998">
            <v>100</v>
          </cell>
          <cell r="L1998">
            <v>46391</v>
          </cell>
          <cell r="M1998">
            <v>-2532</v>
          </cell>
          <cell r="N1998">
            <v>97468</v>
          </cell>
        </row>
        <row r="1999">
          <cell r="A1999">
            <v>36804</v>
          </cell>
          <cell r="B1999">
            <v>1993</v>
          </cell>
          <cell r="C1999" t="str">
            <v>IASWD2407001003</v>
          </cell>
          <cell r="D1999">
            <v>45484</v>
          </cell>
          <cell r="E1999">
            <v>45948</v>
          </cell>
          <cell r="F1999" t="str">
            <v>36804</v>
          </cell>
          <cell r="G1999" t="str">
            <v>家登四</v>
          </cell>
          <cell r="H1999">
            <v>200000</v>
          </cell>
          <cell r="I1999">
            <v>3.2</v>
          </cell>
          <cell r="J1999">
            <v>45948</v>
          </cell>
          <cell r="K1999">
            <v>100</v>
          </cell>
          <cell r="L1999">
            <v>45926</v>
          </cell>
          <cell r="M1999">
            <v>-5401</v>
          </cell>
          <cell r="N1999">
            <v>194599</v>
          </cell>
        </row>
        <row r="2000">
          <cell r="A2000">
            <v>22013</v>
          </cell>
          <cell r="B2000">
            <v>1994</v>
          </cell>
          <cell r="C2000" t="str">
            <v>IASWD2407001005</v>
          </cell>
          <cell r="D2000">
            <v>45484</v>
          </cell>
          <cell r="E2000">
            <v>46167</v>
          </cell>
          <cell r="F2000" t="str">
            <v>22013</v>
          </cell>
          <cell r="G2000" t="str">
            <v>裕隆三</v>
          </cell>
          <cell r="H2000">
            <v>1000000</v>
          </cell>
          <cell r="I2000">
            <v>3</v>
          </cell>
          <cell r="J2000">
            <v>46167</v>
          </cell>
          <cell r="K2000">
            <v>100.75190000000001</v>
          </cell>
          <cell r="L2000">
            <v>46147</v>
          </cell>
          <cell r="M2000">
            <v>-25315</v>
          </cell>
          <cell r="N2000">
            <v>974685</v>
          </cell>
        </row>
        <row r="2001">
          <cell r="A2001">
            <v>64145</v>
          </cell>
          <cell r="B2001">
            <v>1995</v>
          </cell>
          <cell r="C2001" t="str">
            <v>IASWD2407001008</v>
          </cell>
          <cell r="D2001">
            <v>45484</v>
          </cell>
          <cell r="E2001">
            <v>46250</v>
          </cell>
          <cell r="F2001" t="str">
            <v>64145</v>
          </cell>
          <cell r="G2001" t="str">
            <v>樺漢五</v>
          </cell>
          <cell r="H2001">
            <v>100000</v>
          </cell>
          <cell r="I2001">
            <v>3</v>
          </cell>
          <cell r="J2001">
            <v>46250</v>
          </cell>
          <cell r="K2001">
            <v>100</v>
          </cell>
          <cell r="L2001">
            <v>46231</v>
          </cell>
          <cell r="M2001">
            <v>-2532</v>
          </cell>
          <cell r="N2001">
            <v>97468</v>
          </cell>
        </row>
        <row r="2002">
          <cell r="A2002">
            <v>34163</v>
          </cell>
          <cell r="B2002">
            <v>1996</v>
          </cell>
          <cell r="C2002" t="str">
            <v>IASWD2407001009</v>
          </cell>
          <cell r="D2002">
            <v>45484</v>
          </cell>
          <cell r="E2002">
            <v>46047</v>
          </cell>
          <cell r="F2002" t="str">
            <v>34163</v>
          </cell>
          <cell r="G2002" t="str">
            <v>融程電三</v>
          </cell>
          <cell r="H2002">
            <v>100000</v>
          </cell>
          <cell r="I2002">
            <v>3</v>
          </cell>
          <cell r="J2002">
            <v>46047</v>
          </cell>
          <cell r="K2002">
            <v>100.5</v>
          </cell>
          <cell r="L2002">
            <v>46028</v>
          </cell>
          <cell r="M2002">
            <v>-2532</v>
          </cell>
          <cell r="N2002">
            <v>97468</v>
          </cell>
        </row>
        <row r="2003">
          <cell r="A2003">
            <v>65096</v>
          </cell>
          <cell r="B2003">
            <v>1997</v>
          </cell>
          <cell r="C2003" t="str">
            <v>IASWD2407001010</v>
          </cell>
          <cell r="D2003">
            <v>45484</v>
          </cell>
          <cell r="E2003">
            <v>46206</v>
          </cell>
          <cell r="F2003" t="str">
            <v>65096</v>
          </cell>
          <cell r="G2003" t="str">
            <v>聚和六</v>
          </cell>
          <cell r="H2003">
            <v>100000</v>
          </cell>
          <cell r="I2003">
            <v>3.1</v>
          </cell>
          <cell r="J2003">
            <v>46206</v>
          </cell>
          <cell r="K2003">
            <v>100</v>
          </cell>
          <cell r="L2003">
            <v>46188</v>
          </cell>
          <cell r="M2003">
            <v>-2616</v>
          </cell>
          <cell r="N2003">
            <v>97384</v>
          </cell>
        </row>
        <row r="2004">
          <cell r="A2004">
            <v>35482</v>
          </cell>
          <cell r="B2004">
            <v>1998</v>
          </cell>
          <cell r="C2004" t="str">
            <v>IASWD2407001011</v>
          </cell>
          <cell r="D2004">
            <v>45484</v>
          </cell>
          <cell r="E2004">
            <v>46395</v>
          </cell>
          <cell r="F2004" t="str">
            <v>35482</v>
          </cell>
          <cell r="G2004" t="str">
            <v>兆利二</v>
          </cell>
          <cell r="H2004">
            <v>200000</v>
          </cell>
          <cell r="I2004">
            <v>3</v>
          </cell>
          <cell r="J2004">
            <v>46395</v>
          </cell>
          <cell r="K2004">
            <v>100</v>
          </cell>
          <cell r="L2004">
            <v>46377</v>
          </cell>
          <cell r="M2004">
            <v>-5063</v>
          </cell>
          <cell r="N2004">
            <v>194937</v>
          </cell>
        </row>
        <row r="2005">
          <cell r="A2005">
            <v>64145</v>
          </cell>
          <cell r="B2005">
            <v>1999</v>
          </cell>
          <cell r="C2005" t="str">
            <v>IASWD2407001012</v>
          </cell>
          <cell r="D2005">
            <v>45484</v>
          </cell>
          <cell r="E2005">
            <v>46250</v>
          </cell>
          <cell r="F2005" t="str">
            <v>64145</v>
          </cell>
          <cell r="G2005" t="str">
            <v>樺漢五</v>
          </cell>
          <cell r="H2005">
            <v>100000</v>
          </cell>
          <cell r="I2005">
            <v>3</v>
          </cell>
          <cell r="J2005">
            <v>46250</v>
          </cell>
          <cell r="K2005">
            <v>100</v>
          </cell>
          <cell r="L2005">
            <v>46231</v>
          </cell>
          <cell r="M2005">
            <v>-2532</v>
          </cell>
          <cell r="N2005">
            <v>97468</v>
          </cell>
        </row>
        <row r="2006">
          <cell r="A2006">
            <v>65096</v>
          </cell>
          <cell r="B2006">
            <v>2000</v>
          </cell>
          <cell r="C2006" t="str">
            <v>IASWD2407001013</v>
          </cell>
          <cell r="D2006">
            <v>45484</v>
          </cell>
          <cell r="E2006">
            <v>46206</v>
          </cell>
          <cell r="F2006" t="str">
            <v>65096</v>
          </cell>
          <cell r="G2006" t="str">
            <v>聚和六</v>
          </cell>
          <cell r="H2006">
            <v>300000</v>
          </cell>
          <cell r="I2006">
            <v>3.1</v>
          </cell>
          <cell r="J2006">
            <v>46206</v>
          </cell>
          <cell r="K2006">
            <v>100</v>
          </cell>
          <cell r="L2006">
            <v>46188</v>
          </cell>
          <cell r="M2006">
            <v>-7848</v>
          </cell>
          <cell r="N2006">
            <v>292152</v>
          </cell>
        </row>
        <row r="2007">
          <cell r="A2007">
            <v>35482</v>
          </cell>
          <cell r="B2007">
            <v>2001</v>
          </cell>
          <cell r="C2007" t="str">
            <v>IASWD2407001014</v>
          </cell>
          <cell r="D2007">
            <v>45484</v>
          </cell>
          <cell r="E2007">
            <v>46395</v>
          </cell>
          <cell r="F2007" t="str">
            <v>35482</v>
          </cell>
          <cell r="G2007" t="str">
            <v>兆利二</v>
          </cell>
          <cell r="H2007">
            <v>100000</v>
          </cell>
          <cell r="I2007">
            <v>3</v>
          </cell>
          <cell r="J2007">
            <v>46395</v>
          </cell>
          <cell r="K2007">
            <v>100</v>
          </cell>
          <cell r="L2007">
            <v>46377</v>
          </cell>
          <cell r="M2007">
            <v>-2532</v>
          </cell>
          <cell r="N2007">
            <v>97468</v>
          </cell>
        </row>
        <row r="2008">
          <cell r="A2008">
            <v>36804</v>
          </cell>
          <cell r="B2008">
            <v>2002</v>
          </cell>
          <cell r="C2008" t="str">
            <v>IASWD2407001016</v>
          </cell>
          <cell r="D2008">
            <v>45484</v>
          </cell>
          <cell r="E2008">
            <v>45948</v>
          </cell>
          <cell r="F2008" t="str">
            <v>36804</v>
          </cell>
          <cell r="G2008" t="str">
            <v>家登四</v>
          </cell>
          <cell r="H2008">
            <v>300000</v>
          </cell>
          <cell r="I2008">
            <v>3.2</v>
          </cell>
          <cell r="J2008">
            <v>45948</v>
          </cell>
          <cell r="K2008">
            <v>100</v>
          </cell>
          <cell r="L2008">
            <v>45926</v>
          </cell>
          <cell r="M2008">
            <v>-8101</v>
          </cell>
          <cell r="N2008">
            <v>291899</v>
          </cell>
        </row>
        <row r="2009">
          <cell r="A2009">
            <v>64145</v>
          </cell>
          <cell r="B2009">
            <v>2003</v>
          </cell>
          <cell r="C2009" t="str">
            <v>IASWD2407001017</v>
          </cell>
          <cell r="D2009">
            <v>45484</v>
          </cell>
          <cell r="E2009">
            <v>46250</v>
          </cell>
          <cell r="F2009" t="str">
            <v>64145</v>
          </cell>
          <cell r="G2009" t="str">
            <v>樺漢五</v>
          </cell>
          <cell r="H2009">
            <v>200000</v>
          </cell>
          <cell r="I2009">
            <v>3</v>
          </cell>
          <cell r="J2009">
            <v>46250</v>
          </cell>
          <cell r="K2009">
            <v>100</v>
          </cell>
          <cell r="L2009">
            <v>46231</v>
          </cell>
          <cell r="M2009">
            <v>-5063</v>
          </cell>
          <cell r="N2009">
            <v>194937</v>
          </cell>
        </row>
        <row r="2010">
          <cell r="A2010">
            <v>34793</v>
          </cell>
          <cell r="B2010">
            <v>2004</v>
          </cell>
          <cell r="C2010" t="str">
            <v>IASWD2407001018</v>
          </cell>
          <cell r="D2010">
            <v>45484</v>
          </cell>
          <cell r="E2010">
            <v>46409</v>
          </cell>
          <cell r="F2010" t="str">
            <v>34793</v>
          </cell>
          <cell r="G2010" t="str">
            <v>安勤三</v>
          </cell>
          <cell r="H2010">
            <v>100000</v>
          </cell>
          <cell r="I2010">
            <v>3</v>
          </cell>
          <cell r="J2010">
            <v>46409</v>
          </cell>
          <cell r="K2010">
            <v>100</v>
          </cell>
          <cell r="L2010">
            <v>46391</v>
          </cell>
          <cell r="M2010">
            <v>-2532</v>
          </cell>
          <cell r="N2010">
            <v>97468</v>
          </cell>
        </row>
        <row r="2011">
          <cell r="A2011">
            <v>65096</v>
          </cell>
          <cell r="B2011">
            <v>2005</v>
          </cell>
          <cell r="C2011" t="str">
            <v>IASWD2407001020</v>
          </cell>
          <cell r="D2011">
            <v>45484</v>
          </cell>
          <cell r="E2011">
            <v>46206</v>
          </cell>
          <cell r="F2011" t="str">
            <v>65096</v>
          </cell>
          <cell r="G2011" t="str">
            <v>聚和六</v>
          </cell>
          <cell r="H2011">
            <v>400000</v>
          </cell>
          <cell r="I2011">
            <v>3.1</v>
          </cell>
          <cell r="J2011">
            <v>46206</v>
          </cell>
          <cell r="K2011">
            <v>100</v>
          </cell>
          <cell r="L2011">
            <v>46188</v>
          </cell>
          <cell r="M2011">
            <v>-10464</v>
          </cell>
          <cell r="N2011">
            <v>389536</v>
          </cell>
        </row>
        <row r="2012">
          <cell r="A2012">
            <v>34843</v>
          </cell>
          <cell r="B2012">
            <v>2006</v>
          </cell>
          <cell r="C2012" t="str">
            <v>IASWD2407001021</v>
          </cell>
          <cell r="D2012">
            <v>45484</v>
          </cell>
          <cell r="E2012">
            <v>46136</v>
          </cell>
          <cell r="F2012" t="str">
            <v>34843</v>
          </cell>
          <cell r="G2012" t="str">
            <v>崧騰三</v>
          </cell>
          <cell r="H2012">
            <v>500000</v>
          </cell>
          <cell r="I2012">
            <v>3.5</v>
          </cell>
          <cell r="J2012">
            <v>46136</v>
          </cell>
          <cell r="K2012">
            <v>100.75</v>
          </cell>
          <cell r="L2012">
            <v>46118</v>
          </cell>
          <cell r="M2012">
            <v>-14767</v>
          </cell>
          <cell r="N2012">
            <v>485233</v>
          </cell>
        </row>
        <row r="2013">
          <cell r="A2013">
            <v>35266</v>
          </cell>
          <cell r="B2013">
            <v>2007</v>
          </cell>
          <cell r="C2013" t="str">
            <v>IASWD2407001023</v>
          </cell>
          <cell r="D2013">
            <v>45484</v>
          </cell>
          <cell r="E2013">
            <v>46416</v>
          </cell>
          <cell r="F2013" t="str">
            <v>35266</v>
          </cell>
          <cell r="G2013" t="str">
            <v>凡甲六</v>
          </cell>
          <cell r="H2013">
            <v>400000</v>
          </cell>
          <cell r="I2013">
            <v>3.5</v>
          </cell>
          <cell r="J2013">
            <v>46416</v>
          </cell>
          <cell r="K2013">
            <v>100</v>
          </cell>
          <cell r="L2013">
            <v>46398</v>
          </cell>
          <cell r="M2013">
            <v>-11814</v>
          </cell>
          <cell r="N2013">
            <v>388186</v>
          </cell>
        </row>
        <row r="2014">
          <cell r="A2014">
            <v>34163</v>
          </cell>
          <cell r="B2014">
            <v>2008</v>
          </cell>
          <cell r="C2014" t="str">
            <v>IASWD2407001026</v>
          </cell>
          <cell r="D2014">
            <v>45484</v>
          </cell>
          <cell r="E2014">
            <v>46047</v>
          </cell>
          <cell r="F2014" t="str">
            <v>34163</v>
          </cell>
          <cell r="G2014" t="str">
            <v>融程電三</v>
          </cell>
          <cell r="H2014">
            <v>100000</v>
          </cell>
          <cell r="I2014">
            <v>3</v>
          </cell>
          <cell r="J2014">
            <v>46047</v>
          </cell>
          <cell r="K2014">
            <v>100.5</v>
          </cell>
          <cell r="L2014">
            <v>46028</v>
          </cell>
          <cell r="M2014">
            <v>-2532</v>
          </cell>
          <cell r="N2014">
            <v>97468</v>
          </cell>
        </row>
        <row r="2015">
          <cell r="A2015">
            <v>22013</v>
          </cell>
          <cell r="B2015">
            <v>2009</v>
          </cell>
          <cell r="C2015" t="str">
            <v>IASWD2407001027</v>
          </cell>
          <cell r="D2015">
            <v>45484</v>
          </cell>
          <cell r="E2015">
            <v>46167</v>
          </cell>
          <cell r="F2015" t="str">
            <v>22013</v>
          </cell>
          <cell r="G2015" t="str">
            <v>裕隆三</v>
          </cell>
          <cell r="H2015">
            <v>2500000</v>
          </cell>
          <cell r="I2015">
            <v>3</v>
          </cell>
          <cell r="J2015">
            <v>46167</v>
          </cell>
          <cell r="K2015">
            <v>100.75190000000001</v>
          </cell>
          <cell r="L2015">
            <v>46147</v>
          </cell>
          <cell r="M2015">
            <v>-63288</v>
          </cell>
          <cell r="N2015">
            <v>2436712</v>
          </cell>
        </row>
        <row r="2016">
          <cell r="A2016">
            <v>36804</v>
          </cell>
          <cell r="B2016">
            <v>2010</v>
          </cell>
          <cell r="C2016" t="str">
            <v>IASWD2407001029</v>
          </cell>
          <cell r="D2016">
            <v>45484</v>
          </cell>
          <cell r="E2016">
            <v>45948</v>
          </cell>
          <cell r="F2016" t="str">
            <v>36804</v>
          </cell>
          <cell r="G2016" t="str">
            <v>家登四</v>
          </cell>
          <cell r="H2016">
            <v>100000</v>
          </cell>
          <cell r="I2016">
            <v>3.2</v>
          </cell>
          <cell r="J2016">
            <v>45948</v>
          </cell>
          <cell r="K2016">
            <v>100</v>
          </cell>
          <cell r="L2016">
            <v>45926</v>
          </cell>
          <cell r="M2016">
            <v>-2700</v>
          </cell>
          <cell r="N2016">
            <v>97300</v>
          </cell>
        </row>
        <row r="2017">
          <cell r="A2017">
            <v>64145</v>
          </cell>
          <cell r="B2017">
            <v>2011</v>
          </cell>
          <cell r="C2017" t="str">
            <v>IASWD2407001030</v>
          </cell>
          <cell r="D2017">
            <v>45484</v>
          </cell>
          <cell r="E2017">
            <v>46250</v>
          </cell>
          <cell r="F2017" t="str">
            <v>64145</v>
          </cell>
          <cell r="G2017" t="str">
            <v>樺漢五</v>
          </cell>
          <cell r="H2017">
            <v>2100000</v>
          </cell>
          <cell r="I2017">
            <v>3</v>
          </cell>
          <cell r="J2017">
            <v>46250</v>
          </cell>
          <cell r="K2017">
            <v>100</v>
          </cell>
          <cell r="L2017">
            <v>46231</v>
          </cell>
          <cell r="M2017">
            <v>-53162</v>
          </cell>
          <cell r="N2017">
            <v>2046838</v>
          </cell>
        </row>
        <row r="2018">
          <cell r="A2018">
            <v>64145</v>
          </cell>
          <cell r="B2018">
            <v>2012</v>
          </cell>
          <cell r="C2018" t="str">
            <v>IASWD2407001034</v>
          </cell>
          <cell r="D2018">
            <v>45484</v>
          </cell>
          <cell r="E2018">
            <v>46250</v>
          </cell>
          <cell r="F2018" t="str">
            <v>64145</v>
          </cell>
          <cell r="G2018" t="str">
            <v>樺漢五</v>
          </cell>
          <cell r="H2018">
            <v>200000</v>
          </cell>
          <cell r="I2018">
            <v>3</v>
          </cell>
          <cell r="J2018">
            <v>46250</v>
          </cell>
          <cell r="K2018">
            <v>100</v>
          </cell>
          <cell r="L2018">
            <v>46231</v>
          </cell>
          <cell r="M2018">
            <v>-5063</v>
          </cell>
          <cell r="N2018">
            <v>194937</v>
          </cell>
        </row>
        <row r="2019">
          <cell r="A2019">
            <v>34793</v>
          </cell>
          <cell r="B2019">
            <v>2013</v>
          </cell>
          <cell r="C2019" t="str">
            <v>IASWD2407001037</v>
          </cell>
          <cell r="D2019">
            <v>45484</v>
          </cell>
          <cell r="E2019">
            <v>46409</v>
          </cell>
          <cell r="F2019" t="str">
            <v>34793</v>
          </cell>
          <cell r="G2019" t="str">
            <v>安勤三</v>
          </cell>
          <cell r="H2019">
            <v>100000</v>
          </cell>
          <cell r="I2019">
            <v>3</v>
          </cell>
          <cell r="J2019">
            <v>46409</v>
          </cell>
          <cell r="K2019">
            <v>100</v>
          </cell>
          <cell r="L2019">
            <v>46391</v>
          </cell>
          <cell r="M2019">
            <v>-2532</v>
          </cell>
          <cell r="N2019">
            <v>97468</v>
          </cell>
        </row>
        <row r="2020">
          <cell r="A2020">
            <v>35482</v>
          </cell>
          <cell r="B2020">
            <v>2014</v>
          </cell>
          <cell r="C2020" t="str">
            <v>IASWD2407001040</v>
          </cell>
          <cell r="D2020">
            <v>45484</v>
          </cell>
          <cell r="E2020">
            <v>46395</v>
          </cell>
          <cell r="F2020" t="str">
            <v>35482</v>
          </cell>
          <cell r="G2020" t="str">
            <v>兆利二</v>
          </cell>
          <cell r="H2020">
            <v>100000</v>
          </cell>
          <cell r="I2020">
            <v>3</v>
          </cell>
          <cell r="J2020">
            <v>46395</v>
          </cell>
          <cell r="K2020">
            <v>100</v>
          </cell>
          <cell r="L2020">
            <v>46377</v>
          </cell>
          <cell r="M2020">
            <v>-2532</v>
          </cell>
          <cell r="N2020">
            <v>97468</v>
          </cell>
        </row>
        <row r="2021">
          <cell r="A2021">
            <v>22013</v>
          </cell>
          <cell r="B2021">
            <v>2015</v>
          </cell>
          <cell r="C2021" t="str">
            <v>IASWD2407001041</v>
          </cell>
          <cell r="D2021">
            <v>45484</v>
          </cell>
          <cell r="E2021">
            <v>46167</v>
          </cell>
          <cell r="F2021" t="str">
            <v>22013</v>
          </cell>
          <cell r="G2021" t="str">
            <v>裕隆三</v>
          </cell>
          <cell r="H2021">
            <v>100000</v>
          </cell>
          <cell r="I2021">
            <v>3</v>
          </cell>
          <cell r="J2021">
            <v>46167</v>
          </cell>
          <cell r="K2021">
            <v>100.75190000000001</v>
          </cell>
          <cell r="L2021">
            <v>46147</v>
          </cell>
          <cell r="M2021">
            <v>-2532</v>
          </cell>
          <cell r="N2021">
            <v>97468</v>
          </cell>
        </row>
        <row r="2022">
          <cell r="A2022">
            <v>65096</v>
          </cell>
          <cell r="B2022">
            <v>2016</v>
          </cell>
          <cell r="C2022" t="str">
            <v>IASWD2407001045</v>
          </cell>
          <cell r="D2022">
            <v>45484</v>
          </cell>
          <cell r="E2022">
            <v>46206</v>
          </cell>
          <cell r="F2022" t="str">
            <v>65096</v>
          </cell>
          <cell r="G2022" t="str">
            <v>聚和六</v>
          </cell>
          <cell r="H2022">
            <v>500000</v>
          </cell>
          <cell r="I2022">
            <v>3.1</v>
          </cell>
          <cell r="J2022">
            <v>46206</v>
          </cell>
          <cell r="K2022">
            <v>100</v>
          </cell>
          <cell r="L2022">
            <v>46188</v>
          </cell>
          <cell r="M2022">
            <v>-13079</v>
          </cell>
          <cell r="N2022">
            <v>486921</v>
          </cell>
        </row>
        <row r="2023">
          <cell r="A2023">
            <v>35266</v>
          </cell>
          <cell r="B2023">
            <v>2017</v>
          </cell>
          <cell r="C2023" t="str">
            <v>IASWD2407001046</v>
          </cell>
          <cell r="D2023">
            <v>45484</v>
          </cell>
          <cell r="E2023">
            <v>46416</v>
          </cell>
          <cell r="F2023" t="str">
            <v>35266</v>
          </cell>
          <cell r="G2023" t="str">
            <v>凡甲六</v>
          </cell>
          <cell r="H2023">
            <v>100000</v>
          </cell>
          <cell r="I2023">
            <v>3.5</v>
          </cell>
          <cell r="J2023">
            <v>46416</v>
          </cell>
          <cell r="K2023">
            <v>100</v>
          </cell>
          <cell r="L2023">
            <v>46398</v>
          </cell>
          <cell r="M2023">
            <v>-2953</v>
          </cell>
          <cell r="N2023">
            <v>97047</v>
          </cell>
        </row>
        <row r="2024">
          <cell r="A2024">
            <v>35482</v>
          </cell>
          <cell r="B2024">
            <v>2018</v>
          </cell>
          <cell r="C2024" t="str">
            <v>IASWD2407001050</v>
          </cell>
          <cell r="D2024">
            <v>45484</v>
          </cell>
          <cell r="E2024">
            <v>46395</v>
          </cell>
          <cell r="F2024" t="str">
            <v>35482</v>
          </cell>
          <cell r="G2024" t="str">
            <v>兆利二</v>
          </cell>
          <cell r="H2024">
            <v>1400000</v>
          </cell>
          <cell r="I2024">
            <v>3</v>
          </cell>
          <cell r="J2024">
            <v>46395</v>
          </cell>
          <cell r="K2024">
            <v>100</v>
          </cell>
          <cell r="L2024">
            <v>46377</v>
          </cell>
          <cell r="M2024">
            <v>-35441</v>
          </cell>
          <cell r="N2024">
            <v>1364559</v>
          </cell>
        </row>
        <row r="2025">
          <cell r="A2025">
            <v>65096</v>
          </cell>
          <cell r="B2025">
            <v>2019</v>
          </cell>
          <cell r="C2025" t="str">
            <v>IASWD2407001052</v>
          </cell>
          <cell r="D2025">
            <v>45484</v>
          </cell>
          <cell r="E2025">
            <v>46206</v>
          </cell>
          <cell r="F2025" t="str">
            <v>65096</v>
          </cell>
          <cell r="G2025" t="str">
            <v>聚和六</v>
          </cell>
          <cell r="H2025">
            <v>300000</v>
          </cell>
          <cell r="I2025">
            <v>3.1</v>
          </cell>
          <cell r="J2025">
            <v>46206</v>
          </cell>
          <cell r="K2025">
            <v>100</v>
          </cell>
          <cell r="L2025">
            <v>46188</v>
          </cell>
          <cell r="M2025">
            <v>-7848</v>
          </cell>
          <cell r="N2025">
            <v>292152</v>
          </cell>
        </row>
        <row r="2026">
          <cell r="A2026">
            <v>61906</v>
          </cell>
          <cell r="B2026">
            <v>2020</v>
          </cell>
          <cell r="C2026" t="str">
            <v>IASWD2407001053</v>
          </cell>
          <cell r="D2026">
            <v>45484</v>
          </cell>
          <cell r="E2026">
            <v>45961</v>
          </cell>
          <cell r="F2026" t="str">
            <v>61906</v>
          </cell>
          <cell r="G2026" t="str">
            <v>萬泰科六</v>
          </cell>
          <cell r="H2026">
            <v>100000</v>
          </cell>
          <cell r="I2026">
            <v>4</v>
          </cell>
          <cell r="J2026">
            <v>45961</v>
          </cell>
          <cell r="K2026">
            <v>100</v>
          </cell>
          <cell r="L2026">
            <v>45943</v>
          </cell>
          <cell r="M2026">
            <v>-3375</v>
          </cell>
          <cell r="N2026">
            <v>96625</v>
          </cell>
        </row>
        <row r="2027">
          <cell r="A2027">
            <v>61906</v>
          </cell>
          <cell r="B2027">
            <v>2021</v>
          </cell>
          <cell r="C2027" t="str">
            <v>IASWD2407001054</v>
          </cell>
          <cell r="D2027">
            <v>45484</v>
          </cell>
          <cell r="E2027">
            <v>45961</v>
          </cell>
          <cell r="F2027" t="str">
            <v>61906</v>
          </cell>
          <cell r="G2027" t="str">
            <v>萬泰科六</v>
          </cell>
          <cell r="H2027">
            <v>300000</v>
          </cell>
          <cell r="I2027">
            <v>4</v>
          </cell>
          <cell r="J2027">
            <v>45961</v>
          </cell>
          <cell r="K2027">
            <v>100</v>
          </cell>
          <cell r="L2027">
            <v>45943</v>
          </cell>
          <cell r="M2027">
            <v>-10126</v>
          </cell>
          <cell r="N2027">
            <v>289874</v>
          </cell>
        </row>
        <row r="2028">
          <cell r="A2028">
            <v>34163</v>
          </cell>
          <cell r="B2028">
            <v>2022</v>
          </cell>
          <cell r="C2028" t="str">
            <v>IASWD2407001056</v>
          </cell>
          <cell r="D2028">
            <v>45484</v>
          </cell>
          <cell r="E2028">
            <v>46047</v>
          </cell>
          <cell r="F2028" t="str">
            <v>34163</v>
          </cell>
          <cell r="G2028" t="str">
            <v>融程電三</v>
          </cell>
          <cell r="H2028">
            <v>100000</v>
          </cell>
          <cell r="I2028">
            <v>3</v>
          </cell>
          <cell r="J2028">
            <v>46047</v>
          </cell>
          <cell r="K2028">
            <v>100.5</v>
          </cell>
          <cell r="L2028">
            <v>46028</v>
          </cell>
          <cell r="M2028">
            <v>-2532</v>
          </cell>
          <cell r="N2028">
            <v>97468</v>
          </cell>
        </row>
        <row r="2029">
          <cell r="A2029">
            <v>64145</v>
          </cell>
          <cell r="B2029">
            <v>2023</v>
          </cell>
          <cell r="C2029" t="str">
            <v>IASWD2407001057</v>
          </cell>
          <cell r="D2029">
            <v>45484</v>
          </cell>
          <cell r="E2029">
            <v>46250</v>
          </cell>
          <cell r="F2029" t="str">
            <v>64145</v>
          </cell>
          <cell r="G2029" t="str">
            <v>樺漢五</v>
          </cell>
          <cell r="H2029">
            <v>200000</v>
          </cell>
          <cell r="I2029">
            <v>3</v>
          </cell>
          <cell r="J2029">
            <v>46250</v>
          </cell>
          <cell r="K2029">
            <v>100</v>
          </cell>
          <cell r="L2029">
            <v>46231</v>
          </cell>
          <cell r="M2029">
            <v>-5063</v>
          </cell>
          <cell r="N2029">
            <v>194937</v>
          </cell>
        </row>
        <row r="2030">
          <cell r="A2030">
            <v>36804</v>
          </cell>
          <cell r="B2030">
            <v>2024</v>
          </cell>
          <cell r="C2030" t="str">
            <v>IASWD2407001058</v>
          </cell>
          <cell r="D2030">
            <v>45484</v>
          </cell>
          <cell r="E2030">
            <v>45948</v>
          </cell>
          <cell r="F2030" t="str">
            <v>36804</v>
          </cell>
          <cell r="G2030" t="str">
            <v>家登四</v>
          </cell>
          <cell r="H2030">
            <v>100000</v>
          </cell>
          <cell r="I2030">
            <v>3.2</v>
          </cell>
          <cell r="J2030">
            <v>45948</v>
          </cell>
          <cell r="K2030">
            <v>100</v>
          </cell>
          <cell r="L2030">
            <v>45926</v>
          </cell>
          <cell r="M2030">
            <v>-2700</v>
          </cell>
          <cell r="N2030">
            <v>97300</v>
          </cell>
        </row>
        <row r="2031">
          <cell r="A2031">
            <v>61965</v>
          </cell>
          <cell r="B2031">
            <v>2025</v>
          </cell>
          <cell r="C2031" t="str">
            <v>IASWD2407001059</v>
          </cell>
          <cell r="D2031">
            <v>45484</v>
          </cell>
          <cell r="E2031">
            <v>46200</v>
          </cell>
          <cell r="F2031" t="str">
            <v>61965</v>
          </cell>
          <cell r="G2031" t="str">
            <v>帆宣五</v>
          </cell>
          <cell r="H2031">
            <v>300000</v>
          </cell>
          <cell r="I2031">
            <v>3</v>
          </cell>
          <cell r="J2031">
            <v>46200</v>
          </cell>
          <cell r="K2031">
            <v>100</v>
          </cell>
          <cell r="L2031">
            <v>46182</v>
          </cell>
          <cell r="M2031">
            <v>-7595</v>
          </cell>
          <cell r="N2031">
            <v>292405</v>
          </cell>
        </row>
        <row r="2032">
          <cell r="A2032">
            <v>20632</v>
          </cell>
          <cell r="B2032">
            <v>2026</v>
          </cell>
          <cell r="C2032" t="str">
            <v>IASWD2407001065</v>
          </cell>
          <cell r="D2032">
            <v>45485</v>
          </cell>
          <cell r="E2032">
            <v>45971</v>
          </cell>
          <cell r="F2032" t="str">
            <v>20632</v>
          </cell>
          <cell r="G2032" t="str">
            <v>世鎧二</v>
          </cell>
          <cell r="H2032">
            <v>100000</v>
          </cell>
          <cell r="I2032">
            <v>3.25</v>
          </cell>
          <cell r="J2032">
            <v>45971</v>
          </cell>
          <cell r="K2032">
            <v>100</v>
          </cell>
          <cell r="L2032">
            <v>45951</v>
          </cell>
          <cell r="M2032">
            <v>-2734</v>
          </cell>
          <cell r="N2032">
            <v>97266</v>
          </cell>
        </row>
        <row r="2033">
          <cell r="A2033">
            <v>34163</v>
          </cell>
          <cell r="B2033">
            <v>2027</v>
          </cell>
          <cell r="C2033" t="str">
            <v>IASWD2407001068</v>
          </cell>
          <cell r="D2033">
            <v>45485</v>
          </cell>
          <cell r="E2033">
            <v>46047</v>
          </cell>
          <cell r="F2033" t="str">
            <v>34163</v>
          </cell>
          <cell r="G2033" t="str">
            <v>融程電三</v>
          </cell>
          <cell r="H2033">
            <v>200000</v>
          </cell>
          <cell r="I2033">
            <v>3</v>
          </cell>
          <cell r="J2033">
            <v>46047</v>
          </cell>
          <cell r="K2033">
            <v>100.5</v>
          </cell>
          <cell r="L2033">
            <v>46028</v>
          </cell>
          <cell r="M2033">
            <v>-5047</v>
          </cell>
          <cell r="N2033">
            <v>194953</v>
          </cell>
        </row>
        <row r="2034">
          <cell r="A2034">
            <v>64145</v>
          </cell>
          <cell r="B2034">
            <v>2028</v>
          </cell>
          <cell r="C2034" t="str">
            <v>IASWD2407001069</v>
          </cell>
          <cell r="D2034">
            <v>45485</v>
          </cell>
          <cell r="E2034">
            <v>46250</v>
          </cell>
          <cell r="F2034" t="str">
            <v>64145</v>
          </cell>
          <cell r="G2034" t="str">
            <v>樺漢五</v>
          </cell>
          <cell r="H2034">
            <v>1600000</v>
          </cell>
          <cell r="I2034">
            <v>3</v>
          </cell>
          <cell r="J2034">
            <v>46250</v>
          </cell>
          <cell r="K2034">
            <v>100</v>
          </cell>
          <cell r="L2034">
            <v>46231</v>
          </cell>
          <cell r="M2034">
            <v>-40373</v>
          </cell>
          <cell r="N2034">
            <v>1559627</v>
          </cell>
        </row>
        <row r="2035">
          <cell r="A2035">
            <v>34834</v>
          </cell>
          <cell r="B2035">
            <v>2029</v>
          </cell>
          <cell r="C2035" t="str">
            <v>IASWD2407001072</v>
          </cell>
          <cell r="D2035">
            <v>45485</v>
          </cell>
          <cell r="E2035">
            <v>46529</v>
          </cell>
          <cell r="F2035" t="str">
            <v>34834</v>
          </cell>
          <cell r="G2035" t="str">
            <v>力致四</v>
          </cell>
          <cell r="H2035">
            <v>100000</v>
          </cell>
          <cell r="I2035">
            <v>3.75</v>
          </cell>
          <cell r="J2035">
            <v>46529</v>
          </cell>
          <cell r="K2035">
            <v>100</v>
          </cell>
          <cell r="L2035">
            <v>46511</v>
          </cell>
          <cell r="M2035">
            <v>-3154</v>
          </cell>
          <cell r="N2035">
            <v>96846</v>
          </cell>
        </row>
        <row r="2036">
          <cell r="A2036">
            <v>64145</v>
          </cell>
          <cell r="B2036">
            <v>2030</v>
          </cell>
          <cell r="C2036" t="str">
            <v>IASWD2407001075</v>
          </cell>
          <cell r="D2036">
            <v>45485</v>
          </cell>
          <cell r="E2036">
            <v>46250</v>
          </cell>
          <cell r="F2036" t="str">
            <v>64145</v>
          </cell>
          <cell r="G2036" t="str">
            <v>樺漢五</v>
          </cell>
          <cell r="H2036">
            <v>100000</v>
          </cell>
          <cell r="I2036">
            <v>3</v>
          </cell>
          <cell r="J2036">
            <v>46250</v>
          </cell>
          <cell r="K2036">
            <v>100</v>
          </cell>
          <cell r="L2036">
            <v>46231</v>
          </cell>
          <cell r="M2036">
            <v>-2523</v>
          </cell>
          <cell r="N2036">
            <v>97477</v>
          </cell>
        </row>
        <row r="2037">
          <cell r="A2037">
            <v>64145</v>
          </cell>
          <cell r="B2037">
            <v>2031</v>
          </cell>
          <cell r="C2037" t="str">
            <v>IASWD2407001076</v>
          </cell>
          <cell r="D2037">
            <v>45485</v>
          </cell>
          <cell r="E2037">
            <v>46250</v>
          </cell>
          <cell r="F2037" t="str">
            <v>64145</v>
          </cell>
          <cell r="G2037" t="str">
            <v>樺漢五</v>
          </cell>
          <cell r="H2037">
            <v>100000</v>
          </cell>
          <cell r="I2037">
            <v>3</v>
          </cell>
          <cell r="J2037">
            <v>46250</v>
          </cell>
          <cell r="K2037">
            <v>100</v>
          </cell>
          <cell r="L2037">
            <v>46231</v>
          </cell>
          <cell r="M2037">
            <v>-2523</v>
          </cell>
          <cell r="N2037">
            <v>97477</v>
          </cell>
        </row>
        <row r="2038">
          <cell r="A2038">
            <v>64145</v>
          </cell>
          <cell r="B2038">
            <v>2032</v>
          </cell>
          <cell r="C2038" t="str">
            <v>IASWD2407001077</v>
          </cell>
          <cell r="D2038">
            <v>45485</v>
          </cell>
          <cell r="E2038">
            <v>46250</v>
          </cell>
          <cell r="F2038" t="str">
            <v>64145</v>
          </cell>
          <cell r="G2038" t="str">
            <v>樺漢五</v>
          </cell>
          <cell r="H2038">
            <v>100000</v>
          </cell>
          <cell r="I2038">
            <v>3</v>
          </cell>
          <cell r="J2038">
            <v>46250</v>
          </cell>
          <cell r="K2038">
            <v>100</v>
          </cell>
          <cell r="L2038">
            <v>46231</v>
          </cell>
          <cell r="M2038">
            <v>-2523</v>
          </cell>
          <cell r="N2038">
            <v>97477</v>
          </cell>
        </row>
        <row r="2039">
          <cell r="A2039">
            <v>35482</v>
          </cell>
          <cell r="B2039">
            <v>2033</v>
          </cell>
          <cell r="C2039" t="str">
            <v>IASWD2407001078</v>
          </cell>
          <cell r="D2039">
            <v>45485</v>
          </cell>
          <cell r="E2039">
            <v>46395</v>
          </cell>
          <cell r="F2039" t="str">
            <v>35482</v>
          </cell>
          <cell r="G2039" t="str">
            <v>兆利二</v>
          </cell>
          <cell r="H2039">
            <v>100000</v>
          </cell>
          <cell r="I2039">
            <v>3</v>
          </cell>
          <cell r="J2039">
            <v>46395</v>
          </cell>
          <cell r="K2039">
            <v>100</v>
          </cell>
          <cell r="L2039">
            <v>46377</v>
          </cell>
          <cell r="M2039">
            <v>-2523</v>
          </cell>
          <cell r="N2039">
            <v>97477</v>
          </cell>
        </row>
        <row r="2040">
          <cell r="A2040">
            <v>22013</v>
          </cell>
          <cell r="B2040">
            <v>2034</v>
          </cell>
          <cell r="C2040" t="str">
            <v>IASWD2407001079</v>
          </cell>
          <cell r="D2040">
            <v>45485</v>
          </cell>
          <cell r="E2040">
            <v>46167</v>
          </cell>
          <cell r="F2040" t="str">
            <v>22013</v>
          </cell>
          <cell r="G2040" t="str">
            <v>裕隆三</v>
          </cell>
          <cell r="H2040">
            <v>100000</v>
          </cell>
          <cell r="I2040">
            <v>3</v>
          </cell>
          <cell r="J2040">
            <v>46167</v>
          </cell>
          <cell r="K2040">
            <v>100.75190000000001</v>
          </cell>
          <cell r="L2040">
            <v>46147</v>
          </cell>
          <cell r="M2040">
            <v>-2523</v>
          </cell>
          <cell r="N2040">
            <v>97477</v>
          </cell>
        </row>
        <row r="2041">
          <cell r="A2041">
            <v>22313</v>
          </cell>
          <cell r="B2041">
            <v>2035</v>
          </cell>
          <cell r="C2041" t="str">
            <v>IASWD2407001081</v>
          </cell>
          <cell r="D2041">
            <v>45485</v>
          </cell>
          <cell r="E2041">
            <v>45898</v>
          </cell>
          <cell r="F2041" t="str">
            <v>22313</v>
          </cell>
          <cell r="G2041" t="str">
            <v>為升三</v>
          </cell>
          <cell r="H2041">
            <v>300000</v>
          </cell>
          <cell r="I2041">
            <v>3.5</v>
          </cell>
          <cell r="J2041">
            <v>45898</v>
          </cell>
          <cell r="K2041">
            <v>101.50749999999999</v>
          </cell>
          <cell r="L2041">
            <v>45880</v>
          </cell>
          <cell r="M2041">
            <v>-8832</v>
          </cell>
          <cell r="N2041">
            <v>291168</v>
          </cell>
        </row>
        <row r="2042">
          <cell r="A2042">
            <v>61965</v>
          </cell>
          <cell r="B2042">
            <v>2036</v>
          </cell>
          <cell r="C2042" t="str">
            <v>IASWD2407001082</v>
          </cell>
          <cell r="D2042">
            <v>45485</v>
          </cell>
          <cell r="E2042">
            <v>46200</v>
          </cell>
          <cell r="F2042" t="str">
            <v>61965</v>
          </cell>
          <cell r="G2042" t="str">
            <v>帆宣五</v>
          </cell>
          <cell r="H2042">
            <v>100000</v>
          </cell>
          <cell r="I2042">
            <v>3</v>
          </cell>
          <cell r="J2042">
            <v>46200</v>
          </cell>
          <cell r="K2042">
            <v>100</v>
          </cell>
          <cell r="L2042">
            <v>46182</v>
          </cell>
          <cell r="M2042">
            <v>-2523</v>
          </cell>
          <cell r="N2042">
            <v>97477</v>
          </cell>
        </row>
        <row r="2043">
          <cell r="A2043">
            <v>65096</v>
          </cell>
          <cell r="B2043">
            <v>2037</v>
          </cell>
          <cell r="C2043" t="str">
            <v>IASWD2407001084</v>
          </cell>
          <cell r="D2043">
            <v>45485</v>
          </cell>
          <cell r="E2043">
            <v>46206</v>
          </cell>
          <cell r="F2043" t="str">
            <v>65096</v>
          </cell>
          <cell r="G2043" t="str">
            <v>聚和六</v>
          </cell>
          <cell r="H2043">
            <v>100000</v>
          </cell>
          <cell r="I2043">
            <v>3.1</v>
          </cell>
          <cell r="J2043">
            <v>46206</v>
          </cell>
          <cell r="K2043">
            <v>100</v>
          </cell>
          <cell r="L2043">
            <v>46188</v>
          </cell>
          <cell r="M2043">
            <v>-2607</v>
          </cell>
          <cell r="N2043">
            <v>97393</v>
          </cell>
        </row>
        <row r="2044">
          <cell r="A2044">
            <v>22013</v>
          </cell>
          <cell r="B2044">
            <v>2038</v>
          </cell>
          <cell r="C2044" t="str">
            <v>IASWD2407001088</v>
          </cell>
          <cell r="D2044">
            <v>45485</v>
          </cell>
          <cell r="E2044">
            <v>46167</v>
          </cell>
          <cell r="F2044" t="str">
            <v>22013</v>
          </cell>
          <cell r="G2044" t="str">
            <v>裕隆三</v>
          </cell>
          <cell r="H2044">
            <v>100000</v>
          </cell>
          <cell r="I2044">
            <v>3</v>
          </cell>
          <cell r="J2044">
            <v>46167</v>
          </cell>
          <cell r="K2044">
            <v>100.75190000000001</v>
          </cell>
          <cell r="L2044">
            <v>46147</v>
          </cell>
          <cell r="M2044">
            <v>-2523</v>
          </cell>
          <cell r="N2044">
            <v>97477</v>
          </cell>
        </row>
        <row r="2045">
          <cell r="A2045">
            <v>64145</v>
          </cell>
          <cell r="B2045">
            <v>2039</v>
          </cell>
          <cell r="C2045" t="str">
            <v>IASWD2407001090</v>
          </cell>
          <cell r="D2045">
            <v>45485</v>
          </cell>
          <cell r="E2045">
            <v>46250</v>
          </cell>
          <cell r="F2045" t="str">
            <v>64145</v>
          </cell>
          <cell r="G2045" t="str">
            <v>樺漢五</v>
          </cell>
          <cell r="H2045">
            <v>100000</v>
          </cell>
          <cell r="I2045">
            <v>3</v>
          </cell>
          <cell r="J2045">
            <v>46250</v>
          </cell>
          <cell r="K2045">
            <v>100</v>
          </cell>
          <cell r="L2045">
            <v>46231</v>
          </cell>
          <cell r="M2045">
            <v>-2523</v>
          </cell>
          <cell r="N2045">
            <v>97477</v>
          </cell>
        </row>
        <row r="2046">
          <cell r="A2046">
            <v>34843</v>
          </cell>
          <cell r="B2046">
            <v>2040</v>
          </cell>
          <cell r="C2046" t="str">
            <v>IASWD2407001091</v>
          </cell>
          <cell r="D2046">
            <v>45485</v>
          </cell>
          <cell r="E2046">
            <v>46136</v>
          </cell>
          <cell r="F2046" t="str">
            <v>34843</v>
          </cell>
          <cell r="G2046" t="str">
            <v>崧騰三</v>
          </cell>
          <cell r="H2046">
            <v>100000</v>
          </cell>
          <cell r="I2046">
            <v>3.5</v>
          </cell>
          <cell r="J2046">
            <v>46136</v>
          </cell>
          <cell r="K2046">
            <v>100.75</v>
          </cell>
          <cell r="L2046">
            <v>46118</v>
          </cell>
          <cell r="M2046">
            <v>-2944</v>
          </cell>
          <cell r="N2046">
            <v>97056</v>
          </cell>
        </row>
        <row r="2047">
          <cell r="A2047">
            <v>65096</v>
          </cell>
          <cell r="B2047">
            <v>2041</v>
          </cell>
          <cell r="C2047" t="str">
            <v>IASWD2407001092</v>
          </cell>
          <cell r="D2047">
            <v>45485</v>
          </cell>
          <cell r="E2047">
            <v>46206</v>
          </cell>
          <cell r="F2047" t="str">
            <v>65096</v>
          </cell>
          <cell r="G2047" t="str">
            <v>聚和六</v>
          </cell>
          <cell r="H2047">
            <v>200000</v>
          </cell>
          <cell r="I2047">
            <v>3.1</v>
          </cell>
          <cell r="J2047">
            <v>46206</v>
          </cell>
          <cell r="K2047">
            <v>100</v>
          </cell>
          <cell r="L2047">
            <v>46188</v>
          </cell>
          <cell r="M2047">
            <v>-5215</v>
          </cell>
          <cell r="N2047">
            <v>194785</v>
          </cell>
        </row>
        <row r="2048">
          <cell r="A2048">
            <v>64145</v>
          </cell>
          <cell r="B2048">
            <v>2042</v>
          </cell>
          <cell r="C2048" t="str">
            <v>IASWD2407001094</v>
          </cell>
          <cell r="D2048">
            <v>45485</v>
          </cell>
          <cell r="E2048">
            <v>46250</v>
          </cell>
          <cell r="F2048" t="str">
            <v>64145</v>
          </cell>
          <cell r="G2048" t="str">
            <v>樺漢五</v>
          </cell>
          <cell r="H2048">
            <v>500000</v>
          </cell>
          <cell r="I2048">
            <v>3</v>
          </cell>
          <cell r="J2048">
            <v>46250</v>
          </cell>
          <cell r="K2048">
            <v>100</v>
          </cell>
          <cell r="L2048">
            <v>46231</v>
          </cell>
          <cell r="M2048">
            <v>-12616</v>
          </cell>
          <cell r="N2048">
            <v>487384</v>
          </cell>
        </row>
        <row r="2049">
          <cell r="A2049">
            <v>64145</v>
          </cell>
          <cell r="B2049">
            <v>2043</v>
          </cell>
          <cell r="C2049" t="str">
            <v>IASWD2407001095</v>
          </cell>
          <cell r="D2049">
            <v>45485</v>
          </cell>
          <cell r="E2049">
            <v>46250</v>
          </cell>
          <cell r="F2049" t="str">
            <v>64145</v>
          </cell>
          <cell r="G2049" t="str">
            <v>樺漢五</v>
          </cell>
          <cell r="H2049">
            <v>100000</v>
          </cell>
          <cell r="I2049">
            <v>3</v>
          </cell>
          <cell r="J2049">
            <v>46250</v>
          </cell>
          <cell r="K2049">
            <v>100</v>
          </cell>
          <cell r="L2049">
            <v>46231</v>
          </cell>
          <cell r="M2049">
            <v>-2523</v>
          </cell>
          <cell r="N2049">
            <v>97477</v>
          </cell>
        </row>
        <row r="2050">
          <cell r="A2050">
            <v>64145</v>
          </cell>
          <cell r="B2050">
            <v>2044</v>
          </cell>
          <cell r="C2050" t="str">
            <v>IASWD2407001101</v>
          </cell>
          <cell r="D2050">
            <v>45485</v>
          </cell>
          <cell r="E2050">
            <v>46250</v>
          </cell>
          <cell r="F2050" t="str">
            <v>64145</v>
          </cell>
          <cell r="G2050" t="str">
            <v>樺漢五</v>
          </cell>
          <cell r="H2050">
            <v>100000</v>
          </cell>
          <cell r="I2050">
            <v>3</v>
          </cell>
          <cell r="J2050">
            <v>46250</v>
          </cell>
          <cell r="K2050">
            <v>100</v>
          </cell>
          <cell r="L2050">
            <v>46231</v>
          </cell>
          <cell r="M2050">
            <v>-2523</v>
          </cell>
          <cell r="N2050">
            <v>97477</v>
          </cell>
        </row>
        <row r="2051">
          <cell r="A2051">
            <v>65096</v>
          </cell>
          <cell r="B2051">
            <v>2045</v>
          </cell>
          <cell r="C2051" t="str">
            <v>IASWD2407001102</v>
          </cell>
          <cell r="D2051">
            <v>45485</v>
          </cell>
          <cell r="E2051">
            <v>46206</v>
          </cell>
          <cell r="F2051" t="str">
            <v>65096</v>
          </cell>
          <cell r="G2051" t="str">
            <v>聚和六</v>
          </cell>
          <cell r="H2051">
            <v>100000</v>
          </cell>
          <cell r="I2051">
            <v>3.1</v>
          </cell>
          <cell r="J2051">
            <v>46206</v>
          </cell>
          <cell r="K2051">
            <v>100</v>
          </cell>
          <cell r="L2051">
            <v>46188</v>
          </cell>
          <cell r="M2051">
            <v>-2607</v>
          </cell>
          <cell r="N2051">
            <v>97393</v>
          </cell>
        </row>
        <row r="2052">
          <cell r="A2052">
            <v>34163</v>
          </cell>
          <cell r="B2052">
            <v>2046</v>
          </cell>
          <cell r="C2052" t="str">
            <v>IASWD2407001103</v>
          </cell>
          <cell r="D2052">
            <v>45485</v>
          </cell>
          <cell r="E2052">
            <v>46047</v>
          </cell>
          <cell r="F2052" t="str">
            <v>34163</v>
          </cell>
          <cell r="G2052" t="str">
            <v>融程電三</v>
          </cell>
          <cell r="H2052">
            <v>100000</v>
          </cell>
          <cell r="I2052">
            <v>3</v>
          </cell>
          <cell r="J2052">
            <v>46047</v>
          </cell>
          <cell r="K2052">
            <v>100.5</v>
          </cell>
          <cell r="L2052">
            <v>46028</v>
          </cell>
          <cell r="M2052">
            <v>-2523</v>
          </cell>
          <cell r="N2052">
            <v>97477</v>
          </cell>
        </row>
        <row r="2053">
          <cell r="A2053">
            <v>64145</v>
          </cell>
          <cell r="B2053">
            <v>2047</v>
          </cell>
          <cell r="C2053" t="str">
            <v>IASWD2407001104</v>
          </cell>
          <cell r="D2053">
            <v>45485</v>
          </cell>
          <cell r="E2053">
            <v>46250</v>
          </cell>
          <cell r="F2053" t="str">
            <v>64145</v>
          </cell>
          <cell r="G2053" t="str">
            <v>樺漢五</v>
          </cell>
          <cell r="H2053">
            <v>100000</v>
          </cell>
          <cell r="I2053">
            <v>3</v>
          </cell>
          <cell r="J2053">
            <v>46250</v>
          </cell>
          <cell r="K2053">
            <v>100</v>
          </cell>
          <cell r="L2053">
            <v>46231</v>
          </cell>
          <cell r="M2053">
            <v>-2523</v>
          </cell>
          <cell r="N2053">
            <v>97477</v>
          </cell>
        </row>
        <row r="2054">
          <cell r="A2054">
            <v>34163</v>
          </cell>
          <cell r="B2054">
            <v>2048</v>
          </cell>
          <cell r="C2054" t="str">
            <v>IASWD2407001108</v>
          </cell>
          <cell r="D2054">
            <v>45485</v>
          </cell>
          <cell r="E2054">
            <v>46047</v>
          </cell>
          <cell r="F2054" t="str">
            <v>34163</v>
          </cell>
          <cell r="G2054" t="str">
            <v>融程電三</v>
          </cell>
          <cell r="H2054">
            <v>100000</v>
          </cell>
          <cell r="I2054">
            <v>3</v>
          </cell>
          <cell r="J2054">
            <v>46047</v>
          </cell>
          <cell r="K2054">
            <v>100.5</v>
          </cell>
          <cell r="L2054">
            <v>46028</v>
          </cell>
          <cell r="M2054">
            <v>-2523</v>
          </cell>
          <cell r="N2054">
            <v>97477</v>
          </cell>
        </row>
        <row r="2055">
          <cell r="A2055">
            <v>64145</v>
          </cell>
          <cell r="B2055">
            <v>2049</v>
          </cell>
          <cell r="C2055" t="str">
            <v>IASWD2407001112</v>
          </cell>
          <cell r="D2055">
            <v>45485</v>
          </cell>
          <cell r="E2055">
            <v>46250</v>
          </cell>
          <cell r="F2055" t="str">
            <v>64145</v>
          </cell>
          <cell r="G2055" t="str">
            <v>樺漢五</v>
          </cell>
          <cell r="H2055">
            <v>100000</v>
          </cell>
          <cell r="I2055">
            <v>3</v>
          </cell>
          <cell r="J2055">
            <v>46250</v>
          </cell>
          <cell r="K2055">
            <v>100</v>
          </cell>
          <cell r="L2055">
            <v>46231</v>
          </cell>
          <cell r="M2055">
            <v>-2523</v>
          </cell>
          <cell r="N2055">
            <v>97477</v>
          </cell>
        </row>
        <row r="2056">
          <cell r="A2056">
            <v>36804</v>
          </cell>
          <cell r="B2056">
            <v>2050</v>
          </cell>
          <cell r="C2056" t="str">
            <v>IASWD2407001114</v>
          </cell>
          <cell r="D2056">
            <v>45485</v>
          </cell>
          <cell r="E2056">
            <v>45948</v>
          </cell>
          <cell r="F2056" t="str">
            <v>36804</v>
          </cell>
          <cell r="G2056" t="str">
            <v>家登四</v>
          </cell>
          <cell r="H2056">
            <v>100000</v>
          </cell>
          <cell r="I2056">
            <v>3.2</v>
          </cell>
          <cell r="J2056">
            <v>45948</v>
          </cell>
          <cell r="K2056">
            <v>100</v>
          </cell>
          <cell r="L2056">
            <v>45926</v>
          </cell>
          <cell r="M2056">
            <v>-2692</v>
          </cell>
          <cell r="N2056">
            <v>97308</v>
          </cell>
        </row>
        <row r="2057">
          <cell r="A2057">
            <v>22013</v>
          </cell>
          <cell r="B2057">
            <v>2051</v>
          </cell>
          <cell r="C2057" t="str">
            <v>IASWD2407001117</v>
          </cell>
          <cell r="D2057">
            <v>45485</v>
          </cell>
          <cell r="E2057">
            <v>46167</v>
          </cell>
          <cell r="F2057" t="str">
            <v>22013</v>
          </cell>
          <cell r="G2057" t="str">
            <v>裕隆三</v>
          </cell>
          <cell r="H2057">
            <v>100000</v>
          </cell>
          <cell r="I2057">
            <v>3</v>
          </cell>
          <cell r="J2057">
            <v>46167</v>
          </cell>
          <cell r="K2057">
            <v>100.75190000000001</v>
          </cell>
          <cell r="L2057">
            <v>46147</v>
          </cell>
          <cell r="M2057">
            <v>-2523</v>
          </cell>
          <cell r="N2057">
            <v>97477</v>
          </cell>
        </row>
        <row r="2058">
          <cell r="A2058">
            <v>61906</v>
          </cell>
          <cell r="B2058">
            <v>2052</v>
          </cell>
          <cell r="C2058" t="str">
            <v>IASWD2407001119</v>
          </cell>
          <cell r="D2058">
            <v>45485</v>
          </cell>
          <cell r="E2058">
            <v>45961</v>
          </cell>
          <cell r="F2058" t="str">
            <v>61906</v>
          </cell>
          <cell r="G2058" t="str">
            <v>萬泰科六</v>
          </cell>
          <cell r="H2058">
            <v>100000</v>
          </cell>
          <cell r="I2058">
            <v>4</v>
          </cell>
          <cell r="J2058">
            <v>45961</v>
          </cell>
          <cell r="K2058">
            <v>100</v>
          </cell>
          <cell r="L2058">
            <v>45943</v>
          </cell>
          <cell r="M2058">
            <v>-3364</v>
          </cell>
          <cell r="N2058">
            <v>96636</v>
          </cell>
        </row>
        <row r="2059">
          <cell r="A2059">
            <v>34163</v>
          </cell>
          <cell r="B2059">
            <v>2053</v>
          </cell>
          <cell r="C2059" t="str">
            <v>IASWD2407001122</v>
          </cell>
          <cell r="D2059">
            <v>45485</v>
          </cell>
          <cell r="E2059">
            <v>46047</v>
          </cell>
          <cell r="F2059" t="str">
            <v>34163</v>
          </cell>
          <cell r="G2059" t="str">
            <v>融程電三</v>
          </cell>
          <cell r="H2059">
            <v>100000</v>
          </cell>
          <cell r="I2059">
            <v>3</v>
          </cell>
          <cell r="J2059">
            <v>46047</v>
          </cell>
          <cell r="K2059">
            <v>100.5</v>
          </cell>
          <cell r="L2059">
            <v>46028</v>
          </cell>
          <cell r="M2059">
            <v>-2523</v>
          </cell>
          <cell r="N2059">
            <v>97477</v>
          </cell>
        </row>
        <row r="2060">
          <cell r="A2060">
            <v>65096</v>
          </cell>
          <cell r="B2060">
            <v>2054</v>
          </cell>
          <cell r="C2060" t="str">
            <v>IASWD2407001132</v>
          </cell>
          <cell r="D2060">
            <v>45488</v>
          </cell>
          <cell r="E2060">
            <v>46206</v>
          </cell>
          <cell r="F2060" t="str">
            <v>65096</v>
          </cell>
          <cell r="G2060" t="str">
            <v>聚和六</v>
          </cell>
          <cell r="H2060">
            <v>400000</v>
          </cell>
          <cell r="I2060">
            <v>3.1</v>
          </cell>
          <cell r="J2060">
            <v>46206</v>
          </cell>
          <cell r="K2060">
            <v>100</v>
          </cell>
          <cell r="L2060">
            <v>46188</v>
          </cell>
          <cell r="M2060">
            <v>-10328</v>
          </cell>
          <cell r="N2060">
            <v>389672</v>
          </cell>
        </row>
        <row r="2061">
          <cell r="A2061">
            <v>20632</v>
          </cell>
          <cell r="B2061">
            <v>2055</v>
          </cell>
          <cell r="C2061" t="str">
            <v>IASWD2407001135</v>
          </cell>
          <cell r="D2061">
            <v>45488</v>
          </cell>
          <cell r="E2061">
            <v>45971</v>
          </cell>
          <cell r="F2061" t="str">
            <v>20632</v>
          </cell>
          <cell r="G2061" t="str">
            <v>世鎧二</v>
          </cell>
          <cell r="H2061">
            <v>300000</v>
          </cell>
          <cell r="I2061">
            <v>3.25</v>
          </cell>
          <cell r="J2061">
            <v>45971</v>
          </cell>
          <cell r="K2061">
            <v>100</v>
          </cell>
          <cell r="L2061">
            <v>45951</v>
          </cell>
          <cell r="M2061">
            <v>-8121</v>
          </cell>
          <cell r="N2061">
            <v>291879</v>
          </cell>
        </row>
        <row r="2062">
          <cell r="A2062">
            <v>61965</v>
          </cell>
          <cell r="B2062">
            <v>2056</v>
          </cell>
          <cell r="C2062" t="str">
            <v>IASWD2407001138</v>
          </cell>
          <cell r="D2062">
            <v>45488</v>
          </cell>
          <cell r="E2062">
            <v>46200</v>
          </cell>
          <cell r="F2062" t="str">
            <v>61965</v>
          </cell>
          <cell r="G2062" t="str">
            <v>帆宣五</v>
          </cell>
          <cell r="H2062">
            <v>100000</v>
          </cell>
          <cell r="I2062">
            <v>3</v>
          </cell>
          <cell r="J2062">
            <v>46200</v>
          </cell>
          <cell r="K2062">
            <v>100</v>
          </cell>
          <cell r="L2062">
            <v>46182</v>
          </cell>
          <cell r="M2062">
            <v>-2499</v>
          </cell>
          <cell r="N2062">
            <v>97501</v>
          </cell>
        </row>
        <row r="2063">
          <cell r="A2063">
            <v>64145</v>
          </cell>
          <cell r="B2063">
            <v>2057</v>
          </cell>
          <cell r="C2063" t="str">
            <v>IASWD2407001139</v>
          </cell>
          <cell r="D2063">
            <v>45488</v>
          </cell>
          <cell r="E2063">
            <v>46250</v>
          </cell>
          <cell r="F2063" t="str">
            <v>64145</v>
          </cell>
          <cell r="G2063" t="str">
            <v>樺漢五</v>
          </cell>
          <cell r="H2063">
            <v>100000</v>
          </cell>
          <cell r="I2063">
            <v>3</v>
          </cell>
          <cell r="J2063">
            <v>46250</v>
          </cell>
          <cell r="K2063">
            <v>100</v>
          </cell>
          <cell r="L2063">
            <v>46231</v>
          </cell>
          <cell r="M2063">
            <v>-2499</v>
          </cell>
          <cell r="N2063">
            <v>97501</v>
          </cell>
        </row>
        <row r="2064">
          <cell r="A2064">
            <v>61906</v>
          </cell>
          <cell r="B2064">
            <v>2058</v>
          </cell>
          <cell r="C2064" t="str">
            <v>IASWD2407001142</v>
          </cell>
          <cell r="D2064">
            <v>45488</v>
          </cell>
          <cell r="E2064">
            <v>45961</v>
          </cell>
          <cell r="F2064" t="str">
            <v>61906</v>
          </cell>
          <cell r="G2064" t="str">
            <v>萬泰科六</v>
          </cell>
          <cell r="H2064">
            <v>100000</v>
          </cell>
          <cell r="I2064">
            <v>4</v>
          </cell>
          <cell r="J2064">
            <v>45961</v>
          </cell>
          <cell r="K2064">
            <v>100</v>
          </cell>
          <cell r="L2064">
            <v>45943</v>
          </cell>
          <cell r="M2064">
            <v>-3332</v>
          </cell>
          <cell r="N2064">
            <v>96668</v>
          </cell>
        </row>
        <row r="2065">
          <cell r="A2065">
            <v>22013</v>
          </cell>
          <cell r="B2065">
            <v>2059</v>
          </cell>
          <cell r="C2065" t="str">
            <v>IASWD2407001144</v>
          </cell>
          <cell r="D2065">
            <v>45488</v>
          </cell>
          <cell r="E2065">
            <v>46167</v>
          </cell>
          <cell r="F2065" t="str">
            <v>22013</v>
          </cell>
          <cell r="G2065" t="str">
            <v>裕隆三</v>
          </cell>
          <cell r="H2065">
            <v>3500000</v>
          </cell>
          <cell r="I2065">
            <v>3</v>
          </cell>
          <cell r="J2065">
            <v>46167</v>
          </cell>
          <cell r="K2065">
            <v>100.75190000000001</v>
          </cell>
          <cell r="L2065">
            <v>46147</v>
          </cell>
          <cell r="M2065">
            <v>-87452</v>
          </cell>
          <cell r="N2065">
            <v>3412548</v>
          </cell>
        </row>
        <row r="2066">
          <cell r="A2066">
            <v>22013</v>
          </cell>
          <cell r="B2066">
            <v>2060</v>
          </cell>
          <cell r="C2066" t="str">
            <v>IASWD2407001149</v>
          </cell>
          <cell r="D2066">
            <v>45488</v>
          </cell>
          <cell r="E2066">
            <v>46167</v>
          </cell>
          <cell r="F2066" t="str">
            <v>22013</v>
          </cell>
          <cell r="G2066" t="str">
            <v>裕隆三</v>
          </cell>
          <cell r="H2066">
            <v>100000</v>
          </cell>
          <cell r="I2066">
            <v>3</v>
          </cell>
          <cell r="J2066">
            <v>46167</v>
          </cell>
          <cell r="K2066">
            <v>100.75190000000001</v>
          </cell>
          <cell r="L2066">
            <v>46147</v>
          </cell>
          <cell r="M2066">
            <v>-2499</v>
          </cell>
          <cell r="N2066">
            <v>97501</v>
          </cell>
        </row>
        <row r="2067">
          <cell r="A2067">
            <v>22313</v>
          </cell>
          <cell r="B2067">
            <v>2061</v>
          </cell>
          <cell r="C2067" t="str">
            <v>IASWD2407001152</v>
          </cell>
          <cell r="D2067">
            <v>45488</v>
          </cell>
          <cell r="E2067">
            <v>45898</v>
          </cell>
          <cell r="F2067" t="str">
            <v>22313</v>
          </cell>
          <cell r="G2067" t="str">
            <v>為升三</v>
          </cell>
          <cell r="H2067">
            <v>500000</v>
          </cell>
          <cell r="I2067">
            <v>3.5</v>
          </cell>
          <cell r="J2067">
            <v>45898</v>
          </cell>
          <cell r="K2067">
            <v>101.50749999999999</v>
          </cell>
          <cell r="L2067">
            <v>45880</v>
          </cell>
          <cell r="M2067">
            <v>-14575</v>
          </cell>
          <cell r="N2067">
            <v>485425</v>
          </cell>
        </row>
        <row r="2068">
          <cell r="A2068">
            <v>64145</v>
          </cell>
          <cell r="B2068">
            <v>2062</v>
          </cell>
          <cell r="C2068" t="str">
            <v>IASWD2407001153</v>
          </cell>
          <cell r="D2068">
            <v>45488</v>
          </cell>
          <cell r="E2068">
            <v>46250</v>
          </cell>
          <cell r="F2068" t="str">
            <v>64145</v>
          </cell>
          <cell r="G2068" t="str">
            <v>樺漢五</v>
          </cell>
          <cell r="H2068">
            <v>100000</v>
          </cell>
          <cell r="I2068">
            <v>3</v>
          </cell>
          <cell r="J2068">
            <v>46250</v>
          </cell>
          <cell r="K2068">
            <v>100</v>
          </cell>
          <cell r="L2068">
            <v>46231</v>
          </cell>
          <cell r="M2068">
            <v>-2499</v>
          </cell>
          <cell r="N2068">
            <v>97501</v>
          </cell>
        </row>
        <row r="2069">
          <cell r="A2069">
            <v>34163</v>
          </cell>
          <cell r="B2069">
            <v>2063</v>
          </cell>
          <cell r="C2069" t="str">
            <v>IASWD2407001155</v>
          </cell>
          <cell r="D2069">
            <v>45488</v>
          </cell>
          <cell r="E2069">
            <v>46047</v>
          </cell>
          <cell r="F2069" t="str">
            <v>34163</v>
          </cell>
          <cell r="G2069" t="str">
            <v>融程電三</v>
          </cell>
          <cell r="H2069">
            <v>300000</v>
          </cell>
          <cell r="I2069">
            <v>3</v>
          </cell>
          <cell r="J2069">
            <v>46047</v>
          </cell>
          <cell r="K2069">
            <v>100.5</v>
          </cell>
          <cell r="L2069">
            <v>46028</v>
          </cell>
          <cell r="M2069">
            <v>-7496</v>
          </cell>
          <cell r="N2069">
            <v>292504</v>
          </cell>
        </row>
        <row r="2070">
          <cell r="A2070">
            <v>65096</v>
          </cell>
          <cell r="B2070">
            <v>2064</v>
          </cell>
          <cell r="C2070" t="str">
            <v>IASWD2407001157</v>
          </cell>
          <cell r="D2070">
            <v>45488</v>
          </cell>
          <cell r="E2070">
            <v>46206</v>
          </cell>
          <cell r="F2070" t="str">
            <v>65096</v>
          </cell>
          <cell r="G2070" t="str">
            <v>聚和六</v>
          </cell>
          <cell r="H2070">
            <v>100000</v>
          </cell>
          <cell r="I2070">
            <v>3.1</v>
          </cell>
          <cell r="J2070">
            <v>46206</v>
          </cell>
          <cell r="K2070">
            <v>100</v>
          </cell>
          <cell r="L2070">
            <v>46188</v>
          </cell>
          <cell r="M2070">
            <v>-2582</v>
          </cell>
          <cell r="N2070">
            <v>97418</v>
          </cell>
        </row>
        <row r="2071">
          <cell r="A2071">
            <v>65096</v>
          </cell>
          <cell r="B2071">
            <v>2065</v>
          </cell>
          <cell r="C2071" t="str">
            <v>IASWD2407001160</v>
          </cell>
          <cell r="D2071">
            <v>45488</v>
          </cell>
          <cell r="E2071">
            <v>46206</v>
          </cell>
          <cell r="F2071" t="str">
            <v>65096</v>
          </cell>
          <cell r="G2071" t="str">
            <v>聚和六</v>
          </cell>
          <cell r="H2071">
            <v>1000000</v>
          </cell>
          <cell r="I2071">
            <v>3.1</v>
          </cell>
          <cell r="J2071">
            <v>46206</v>
          </cell>
          <cell r="K2071">
            <v>100</v>
          </cell>
          <cell r="L2071">
            <v>46188</v>
          </cell>
          <cell r="M2071">
            <v>-25819</v>
          </cell>
          <cell r="N2071">
            <v>974181</v>
          </cell>
        </row>
        <row r="2072">
          <cell r="A2072">
            <v>64145</v>
          </cell>
          <cell r="B2072">
            <v>2066</v>
          </cell>
          <cell r="C2072" t="str">
            <v>IASWD2407001161</v>
          </cell>
          <cell r="D2072">
            <v>45488</v>
          </cell>
          <cell r="E2072">
            <v>46250</v>
          </cell>
          <cell r="F2072" t="str">
            <v>64145</v>
          </cell>
          <cell r="G2072" t="str">
            <v>樺漢五</v>
          </cell>
          <cell r="H2072">
            <v>100000</v>
          </cell>
          <cell r="I2072">
            <v>3</v>
          </cell>
          <cell r="J2072">
            <v>46250</v>
          </cell>
          <cell r="K2072">
            <v>100</v>
          </cell>
          <cell r="L2072">
            <v>46231</v>
          </cell>
          <cell r="M2072">
            <v>-2499</v>
          </cell>
          <cell r="N2072">
            <v>97501</v>
          </cell>
        </row>
        <row r="2073">
          <cell r="A2073">
            <v>22013</v>
          </cell>
          <cell r="B2073">
            <v>2067</v>
          </cell>
          <cell r="C2073" t="str">
            <v>IASWD2407001162</v>
          </cell>
          <cell r="D2073">
            <v>45488</v>
          </cell>
          <cell r="E2073">
            <v>46167</v>
          </cell>
          <cell r="F2073" t="str">
            <v>22013</v>
          </cell>
          <cell r="G2073" t="str">
            <v>裕隆三</v>
          </cell>
          <cell r="H2073">
            <v>100000</v>
          </cell>
          <cell r="I2073">
            <v>3</v>
          </cell>
          <cell r="J2073">
            <v>46167</v>
          </cell>
          <cell r="K2073">
            <v>100.75190000000001</v>
          </cell>
          <cell r="L2073">
            <v>46147</v>
          </cell>
          <cell r="M2073">
            <v>-2499</v>
          </cell>
          <cell r="N2073">
            <v>97501</v>
          </cell>
        </row>
        <row r="2074">
          <cell r="A2074">
            <v>22013</v>
          </cell>
          <cell r="B2074">
            <v>2068</v>
          </cell>
          <cell r="C2074" t="str">
            <v>IASWD2407001164</v>
          </cell>
          <cell r="D2074">
            <v>45488</v>
          </cell>
          <cell r="E2074">
            <v>46167</v>
          </cell>
          <cell r="F2074" t="str">
            <v>22013</v>
          </cell>
          <cell r="G2074" t="str">
            <v>裕隆三</v>
          </cell>
          <cell r="H2074">
            <v>200000</v>
          </cell>
          <cell r="I2074">
            <v>3</v>
          </cell>
          <cell r="J2074">
            <v>46167</v>
          </cell>
          <cell r="K2074">
            <v>100.75190000000001</v>
          </cell>
          <cell r="L2074">
            <v>46147</v>
          </cell>
          <cell r="M2074">
            <v>-4997</v>
          </cell>
          <cell r="N2074">
            <v>195003</v>
          </cell>
        </row>
        <row r="2075">
          <cell r="A2075">
            <v>34163</v>
          </cell>
          <cell r="B2075">
            <v>2069</v>
          </cell>
          <cell r="C2075" t="str">
            <v>IASWD2407001165</v>
          </cell>
          <cell r="D2075">
            <v>45488</v>
          </cell>
          <cell r="E2075">
            <v>46047</v>
          </cell>
          <cell r="F2075" t="str">
            <v>34163</v>
          </cell>
          <cell r="G2075" t="str">
            <v>融程電三</v>
          </cell>
          <cell r="H2075">
            <v>100000</v>
          </cell>
          <cell r="I2075">
            <v>3</v>
          </cell>
          <cell r="J2075">
            <v>46047</v>
          </cell>
          <cell r="K2075">
            <v>100.5</v>
          </cell>
          <cell r="L2075">
            <v>46028</v>
          </cell>
          <cell r="M2075">
            <v>-2499</v>
          </cell>
          <cell r="N2075">
            <v>97501</v>
          </cell>
        </row>
        <row r="2076">
          <cell r="A2076">
            <v>22013</v>
          </cell>
          <cell r="B2076">
            <v>2070</v>
          </cell>
          <cell r="C2076" t="str">
            <v>IASWD2407001166</v>
          </cell>
          <cell r="D2076">
            <v>45488</v>
          </cell>
          <cell r="E2076">
            <v>46167</v>
          </cell>
          <cell r="F2076" t="str">
            <v>22013</v>
          </cell>
          <cell r="G2076" t="str">
            <v>裕隆三</v>
          </cell>
          <cell r="H2076">
            <v>3000000</v>
          </cell>
          <cell r="I2076">
            <v>3</v>
          </cell>
          <cell r="J2076">
            <v>46167</v>
          </cell>
          <cell r="K2076">
            <v>100.75190000000001</v>
          </cell>
          <cell r="L2076">
            <v>46147</v>
          </cell>
          <cell r="M2076">
            <v>-74959</v>
          </cell>
          <cell r="N2076">
            <v>2925041</v>
          </cell>
        </row>
        <row r="2077">
          <cell r="A2077">
            <v>22013</v>
          </cell>
          <cell r="B2077">
            <v>2071</v>
          </cell>
          <cell r="C2077" t="str">
            <v>IASWD2407001168</v>
          </cell>
          <cell r="D2077">
            <v>45488</v>
          </cell>
          <cell r="E2077">
            <v>46167</v>
          </cell>
          <cell r="F2077" t="str">
            <v>22013</v>
          </cell>
          <cell r="G2077" t="str">
            <v>裕隆三</v>
          </cell>
          <cell r="H2077">
            <v>100000</v>
          </cell>
          <cell r="I2077">
            <v>3</v>
          </cell>
          <cell r="J2077">
            <v>46167</v>
          </cell>
          <cell r="K2077">
            <v>100.75190000000001</v>
          </cell>
          <cell r="L2077">
            <v>46147</v>
          </cell>
          <cell r="M2077">
            <v>-2499</v>
          </cell>
          <cell r="N2077">
            <v>97501</v>
          </cell>
        </row>
        <row r="2078">
          <cell r="A2078">
            <v>65096</v>
          </cell>
          <cell r="B2078">
            <v>2072</v>
          </cell>
          <cell r="C2078" t="str">
            <v>IASWD2407001169</v>
          </cell>
          <cell r="D2078">
            <v>45488</v>
          </cell>
          <cell r="E2078">
            <v>46206</v>
          </cell>
          <cell r="F2078" t="str">
            <v>65096</v>
          </cell>
          <cell r="G2078" t="str">
            <v>聚和六</v>
          </cell>
          <cell r="H2078">
            <v>100000</v>
          </cell>
          <cell r="I2078">
            <v>3.1</v>
          </cell>
          <cell r="J2078">
            <v>46206</v>
          </cell>
          <cell r="K2078">
            <v>100</v>
          </cell>
          <cell r="L2078">
            <v>46188</v>
          </cell>
          <cell r="M2078">
            <v>-2582</v>
          </cell>
          <cell r="N2078">
            <v>97418</v>
          </cell>
        </row>
        <row r="2079">
          <cell r="A2079">
            <v>64145</v>
          </cell>
          <cell r="B2079">
            <v>2073</v>
          </cell>
          <cell r="C2079" t="str">
            <v>IASWD2407001170</v>
          </cell>
          <cell r="D2079">
            <v>45488</v>
          </cell>
          <cell r="E2079">
            <v>46250</v>
          </cell>
          <cell r="F2079" t="str">
            <v>64145</v>
          </cell>
          <cell r="G2079" t="str">
            <v>樺漢五</v>
          </cell>
          <cell r="H2079">
            <v>200000</v>
          </cell>
          <cell r="I2079">
            <v>3</v>
          </cell>
          <cell r="J2079">
            <v>46250</v>
          </cell>
          <cell r="K2079">
            <v>100</v>
          </cell>
          <cell r="L2079">
            <v>46231</v>
          </cell>
          <cell r="M2079">
            <v>-4997</v>
          </cell>
          <cell r="N2079">
            <v>195003</v>
          </cell>
        </row>
        <row r="2080">
          <cell r="A2080">
            <v>64145</v>
          </cell>
          <cell r="B2080">
            <v>2074</v>
          </cell>
          <cell r="C2080" t="str">
            <v>IASWD2407001171</v>
          </cell>
          <cell r="D2080">
            <v>45488</v>
          </cell>
          <cell r="E2080">
            <v>46250</v>
          </cell>
          <cell r="F2080" t="str">
            <v>64145</v>
          </cell>
          <cell r="G2080" t="str">
            <v>樺漢五</v>
          </cell>
          <cell r="H2080">
            <v>300000</v>
          </cell>
          <cell r="I2080">
            <v>3</v>
          </cell>
          <cell r="J2080">
            <v>46250</v>
          </cell>
          <cell r="K2080">
            <v>100</v>
          </cell>
          <cell r="L2080">
            <v>46231</v>
          </cell>
          <cell r="M2080">
            <v>-7496</v>
          </cell>
          <cell r="N2080">
            <v>292504</v>
          </cell>
        </row>
        <row r="2081">
          <cell r="A2081">
            <v>36804</v>
          </cell>
          <cell r="B2081">
            <v>2075</v>
          </cell>
          <cell r="C2081" t="str">
            <v>IASWD2407001172</v>
          </cell>
          <cell r="D2081">
            <v>45488</v>
          </cell>
          <cell r="E2081">
            <v>45948</v>
          </cell>
          <cell r="F2081" t="str">
            <v>36804</v>
          </cell>
          <cell r="G2081" t="str">
            <v>家登四</v>
          </cell>
          <cell r="H2081">
            <v>100000</v>
          </cell>
          <cell r="I2081">
            <v>3.2</v>
          </cell>
          <cell r="J2081">
            <v>45948</v>
          </cell>
          <cell r="K2081">
            <v>100</v>
          </cell>
          <cell r="L2081">
            <v>45926</v>
          </cell>
          <cell r="M2081">
            <v>-2665</v>
          </cell>
          <cell r="N2081">
            <v>97335</v>
          </cell>
        </row>
        <row r="2082">
          <cell r="A2082">
            <v>22013</v>
          </cell>
          <cell r="B2082">
            <v>2076</v>
          </cell>
          <cell r="C2082" t="str">
            <v>IASWD2407001173</v>
          </cell>
          <cell r="D2082">
            <v>45488</v>
          </cell>
          <cell r="E2082">
            <v>46167</v>
          </cell>
          <cell r="F2082" t="str">
            <v>22013</v>
          </cell>
          <cell r="G2082" t="str">
            <v>裕隆三</v>
          </cell>
          <cell r="H2082">
            <v>200000</v>
          </cell>
          <cell r="I2082">
            <v>3</v>
          </cell>
          <cell r="J2082">
            <v>46167</v>
          </cell>
          <cell r="K2082">
            <v>100.75190000000001</v>
          </cell>
          <cell r="L2082">
            <v>46147</v>
          </cell>
          <cell r="M2082">
            <v>-4997</v>
          </cell>
          <cell r="N2082">
            <v>195003</v>
          </cell>
        </row>
        <row r="2083">
          <cell r="A2083">
            <v>64145</v>
          </cell>
          <cell r="B2083">
            <v>2077</v>
          </cell>
          <cell r="C2083" t="str">
            <v>IASWD2407001174</v>
          </cell>
          <cell r="D2083">
            <v>45488</v>
          </cell>
          <cell r="E2083">
            <v>46250</v>
          </cell>
          <cell r="F2083" t="str">
            <v>64145</v>
          </cell>
          <cell r="G2083" t="str">
            <v>樺漢五</v>
          </cell>
          <cell r="H2083">
            <v>100000</v>
          </cell>
          <cell r="I2083">
            <v>3</v>
          </cell>
          <cell r="J2083">
            <v>46250</v>
          </cell>
          <cell r="K2083">
            <v>100</v>
          </cell>
          <cell r="L2083">
            <v>46231</v>
          </cell>
          <cell r="M2083">
            <v>-2499</v>
          </cell>
          <cell r="N2083">
            <v>97501</v>
          </cell>
        </row>
        <row r="2084">
          <cell r="A2084">
            <v>64145</v>
          </cell>
          <cell r="B2084">
            <v>2078</v>
          </cell>
          <cell r="C2084" t="str">
            <v>IASWD2407001178</v>
          </cell>
          <cell r="D2084">
            <v>45488</v>
          </cell>
          <cell r="E2084">
            <v>46250</v>
          </cell>
          <cell r="F2084" t="str">
            <v>64145</v>
          </cell>
          <cell r="G2084" t="str">
            <v>樺漢五</v>
          </cell>
          <cell r="H2084">
            <v>200000</v>
          </cell>
          <cell r="I2084">
            <v>3</v>
          </cell>
          <cell r="J2084">
            <v>46250</v>
          </cell>
          <cell r="K2084">
            <v>100</v>
          </cell>
          <cell r="L2084">
            <v>46231</v>
          </cell>
          <cell r="M2084">
            <v>-4997</v>
          </cell>
          <cell r="N2084">
            <v>195003</v>
          </cell>
        </row>
        <row r="2085">
          <cell r="A2085">
            <v>64145</v>
          </cell>
          <cell r="B2085">
            <v>2079</v>
          </cell>
          <cell r="C2085" t="str">
            <v>IASWD2407001179</v>
          </cell>
          <cell r="D2085">
            <v>45489</v>
          </cell>
          <cell r="E2085">
            <v>46250</v>
          </cell>
          <cell r="F2085" t="str">
            <v>64145</v>
          </cell>
          <cell r="G2085" t="str">
            <v>樺漢五</v>
          </cell>
          <cell r="H2085">
            <v>500000</v>
          </cell>
          <cell r="I2085">
            <v>3</v>
          </cell>
          <cell r="J2085">
            <v>46250</v>
          </cell>
          <cell r="K2085">
            <v>100</v>
          </cell>
          <cell r="L2085">
            <v>46231</v>
          </cell>
          <cell r="M2085">
            <v>-12452</v>
          </cell>
          <cell r="N2085">
            <v>487548</v>
          </cell>
        </row>
        <row r="2086">
          <cell r="A2086">
            <v>64145</v>
          </cell>
          <cell r="B2086">
            <v>2080</v>
          </cell>
          <cell r="C2086" t="str">
            <v>IASWD2407001181</v>
          </cell>
          <cell r="D2086">
            <v>45489</v>
          </cell>
          <cell r="E2086">
            <v>46250</v>
          </cell>
          <cell r="F2086" t="str">
            <v>64145</v>
          </cell>
          <cell r="G2086" t="str">
            <v>樺漢五</v>
          </cell>
          <cell r="H2086">
            <v>100000</v>
          </cell>
          <cell r="I2086">
            <v>3</v>
          </cell>
          <cell r="J2086">
            <v>46250</v>
          </cell>
          <cell r="K2086">
            <v>100</v>
          </cell>
          <cell r="L2086">
            <v>46231</v>
          </cell>
          <cell r="M2086">
            <v>-2490</v>
          </cell>
          <cell r="N2086">
            <v>97510</v>
          </cell>
        </row>
        <row r="2087">
          <cell r="A2087">
            <v>34843</v>
          </cell>
          <cell r="B2087">
            <v>2081</v>
          </cell>
          <cell r="C2087" t="str">
            <v>IASWD2407001182</v>
          </cell>
          <cell r="D2087">
            <v>45489</v>
          </cell>
          <cell r="E2087">
            <v>46136</v>
          </cell>
          <cell r="F2087" t="str">
            <v>34843</v>
          </cell>
          <cell r="G2087" t="str">
            <v>崧騰三</v>
          </cell>
          <cell r="H2087">
            <v>100000</v>
          </cell>
          <cell r="I2087">
            <v>3.5</v>
          </cell>
          <cell r="J2087">
            <v>46136</v>
          </cell>
          <cell r="K2087">
            <v>100.75</v>
          </cell>
          <cell r="L2087">
            <v>46118</v>
          </cell>
          <cell r="M2087">
            <v>-2905</v>
          </cell>
          <cell r="N2087">
            <v>97095</v>
          </cell>
        </row>
        <row r="2088">
          <cell r="A2088">
            <v>61965</v>
          </cell>
          <cell r="B2088">
            <v>2082</v>
          </cell>
          <cell r="C2088" t="str">
            <v>IASWD2407001183</v>
          </cell>
          <cell r="D2088">
            <v>45489</v>
          </cell>
          <cell r="E2088">
            <v>46200</v>
          </cell>
          <cell r="F2088" t="str">
            <v>61965</v>
          </cell>
          <cell r="G2088" t="str">
            <v>帆宣五</v>
          </cell>
          <cell r="H2088">
            <v>100000</v>
          </cell>
          <cell r="I2088">
            <v>3</v>
          </cell>
          <cell r="J2088">
            <v>46200</v>
          </cell>
          <cell r="K2088">
            <v>100</v>
          </cell>
          <cell r="L2088">
            <v>46182</v>
          </cell>
          <cell r="M2088">
            <v>-2490</v>
          </cell>
          <cell r="N2088">
            <v>97510</v>
          </cell>
        </row>
        <row r="2089">
          <cell r="A2089">
            <v>22013</v>
          </cell>
          <cell r="B2089">
            <v>2083</v>
          </cell>
          <cell r="C2089" t="str">
            <v>IASWD2407001187</v>
          </cell>
          <cell r="D2089">
            <v>45489</v>
          </cell>
          <cell r="E2089">
            <v>46167</v>
          </cell>
          <cell r="F2089" t="str">
            <v>22013</v>
          </cell>
          <cell r="G2089" t="str">
            <v>裕隆三</v>
          </cell>
          <cell r="H2089">
            <v>100000</v>
          </cell>
          <cell r="I2089">
            <v>3</v>
          </cell>
          <cell r="J2089">
            <v>46167</v>
          </cell>
          <cell r="K2089">
            <v>100.75190000000001</v>
          </cell>
          <cell r="L2089">
            <v>46147</v>
          </cell>
          <cell r="M2089">
            <v>-2490</v>
          </cell>
          <cell r="N2089">
            <v>97510</v>
          </cell>
        </row>
        <row r="2090">
          <cell r="A2090">
            <v>36804</v>
          </cell>
          <cell r="B2090">
            <v>2084</v>
          </cell>
          <cell r="C2090" t="str">
            <v>IASWD2407001189</v>
          </cell>
          <cell r="D2090">
            <v>45489</v>
          </cell>
          <cell r="E2090">
            <v>45948</v>
          </cell>
          <cell r="F2090" t="str">
            <v>36804</v>
          </cell>
          <cell r="G2090" t="str">
            <v>家登四</v>
          </cell>
          <cell r="H2090">
            <v>100000</v>
          </cell>
          <cell r="I2090">
            <v>3.2</v>
          </cell>
          <cell r="J2090">
            <v>45948</v>
          </cell>
          <cell r="K2090">
            <v>100</v>
          </cell>
          <cell r="L2090">
            <v>45926</v>
          </cell>
          <cell r="M2090">
            <v>-2656</v>
          </cell>
          <cell r="N2090">
            <v>97344</v>
          </cell>
        </row>
        <row r="2091">
          <cell r="A2091">
            <v>33121</v>
          </cell>
          <cell r="B2091">
            <v>2085</v>
          </cell>
          <cell r="C2091" t="str">
            <v>IASWD2407001190</v>
          </cell>
          <cell r="D2091">
            <v>45489</v>
          </cell>
          <cell r="E2091">
            <v>46563</v>
          </cell>
          <cell r="F2091" t="str">
            <v>33121</v>
          </cell>
          <cell r="G2091" t="str">
            <v>弘憶股一</v>
          </cell>
          <cell r="H2091">
            <v>100000</v>
          </cell>
          <cell r="I2091">
            <v>3.5</v>
          </cell>
          <cell r="J2091">
            <v>46563</v>
          </cell>
          <cell r="K2091">
            <v>100</v>
          </cell>
          <cell r="L2091">
            <v>46545</v>
          </cell>
          <cell r="M2091">
            <v>-2905</v>
          </cell>
          <cell r="N2091">
            <v>97095</v>
          </cell>
        </row>
        <row r="2092">
          <cell r="A2092">
            <v>65096</v>
          </cell>
          <cell r="B2092">
            <v>2086</v>
          </cell>
          <cell r="C2092" t="str">
            <v>IASWD2407001193</v>
          </cell>
          <cell r="D2092">
            <v>45489</v>
          </cell>
          <cell r="E2092">
            <v>46206</v>
          </cell>
          <cell r="F2092" t="str">
            <v>65096</v>
          </cell>
          <cell r="G2092" t="str">
            <v>聚和六</v>
          </cell>
          <cell r="H2092">
            <v>200000</v>
          </cell>
          <cell r="I2092">
            <v>3.1</v>
          </cell>
          <cell r="J2092">
            <v>46206</v>
          </cell>
          <cell r="K2092">
            <v>100</v>
          </cell>
          <cell r="L2092">
            <v>46188</v>
          </cell>
          <cell r="M2092">
            <v>-5147</v>
          </cell>
          <cell r="N2092">
            <v>194853</v>
          </cell>
        </row>
        <row r="2093">
          <cell r="A2093">
            <v>27323</v>
          </cell>
          <cell r="B2093">
            <v>2087</v>
          </cell>
          <cell r="C2093" t="str">
            <v>IASWD2407001195</v>
          </cell>
          <cell r="D2093">
            <v>45489</v>
          </cell>
          <cell r="E2093">
            <v>46048</v>
          </cell>
          <cell r="F2093" t="str">
            <v>27323</v>
          </cell>
          <cell r="G2093" t="str">
            <v>六角三</v>
          </cell>
          <cell r="H2093">
            <v>100000</v>
          </cell>
          <cell r="I2093">
            <v>3</v>
          </cell>
          <cell r="J2093">
            <v>46048</v>
          </cell>
          <cell r="K2093">
            <v>101</v>
          </cell>
          <cell r="L2093">
            <v>46028</v>
          </cell>
          <cell r="M2093">
            <v>-2490</v>
          </cell>
          <cell r="N2093">
            <v>97510</v>
          </cell>
        </row>
        <row r="2094">
          <cell r="A2094">
            <v>61906</v>
          </cell>
          <cell r="B2094">
            <v>2088</v>
          </cell>
          <cell r="C2094" t="str">
            <v>IASWD2407001197</v>
          </cell>
          <cell r="D2094">
            <v>45489</v>
          </cell>
          <cell r="E2094">
            <v>45961</v>
          </cell>
          <cell r="F2094" t="str">
            <v>61906</v>
          </cell>
          <cell r="G2094" t="str">
            <v>萬泰科六</v>
          </cell>
          <cell r="H2094">
            <v>100000</v>
          </cell>
          <cell r="I2094">
            <v>4</v>
          </cell>
          <cell r="J2094">
            <v>45961</v>
          </cell>
          <cell r="K2094">
            <v>100</v>
          </cell>
          <cell r="L2094">
            <v>45943</v>
          </cell>
          <cell r="M2094">
            <v>-3321</v>
          </cell>
          <cell r="N2094">
            <v>96679</v>
          </cell>
        </row>
        <row r="2095">
          <cell r="A2095">
            <v>33121</v>
          </cell>
          <cell r="B2095">
            <v>2089</v>
          </cell>
          <cell r="C2095" t="str">
            <v>IASWD2407001198</v>
          </cell>
          <cell r="D2095">
            <v>45489</v>
          </cell>
          <cell r="E2095">
            <v>46563</v>
          </cell>
          <cell r="F2095" t="str">
            <v>33121</v>
          </cell>
          <cell r="G2095" t="str">
            <v>弘憶股一</v>
          </cell>
          <cell r="H2095">
            <v>100000</v>
          </cell>
          <cell r="I2095">
            <v>3.5</v>
          </cell>
          <cell r="J2095">
            <v>46563</v>
          </cell>
          <cell r="K2095">
            <v>100</v>
          </cell>
          <cell r="L2095">
            <v>46545</v>
          </cell>
          <cell r="M2095">
            <v>-2905</v>
          </cell>
          <cell r="N2095">
            <v>97095</v>
          </cell>
        </row>
        <row r="2096">
          <cell r="A2096">
            <v>22013</v>
          </cell>
          <cell r="B2096">
            <v>2090</v>
          </cell>
          <cell r="C2096" t="str">
            <v>IASWD2407001199</v>
          </cell>
          <cell r="D2096">
            <v>45489</v>
          </cell>
          <cell r="E2096">
            <v>46167</v>
          </cell>
          <cell r="F2096" t="str">
            <v>22013</v>
          </cell>
          <cell r="G2096" t="str">
            <v>裕隆三</v>
          </cell>
          <cell r="H2096">
            <v>300000</v>
          </cell>
          <cell r="I2096">
            <v>3</v>
          </cell>
          <cell r="J2096">
            <v>46167</v>
          </cell>
          <cell r="K2096">
            <v>100.75190000000001</v>
          </cell>
          <cell r="L2096">
            <v>46147</v>
          </cell>
          <cell r="M2096">
            <v>-7471</v>
          </cell>
          <cell r="N2096">
            <v>292529</v>
          </cell>
        </row>
        <row r="2097">
          <cell r="A2097">
            <v>89964</v>
          </cell>
          <cell r="B2097">
            <v>2091</v>
          </cell>
          <cell r="C2097" t="str">
            <v>IASWD2407001201</v>
          </cell>
          <cell r="D2097">
            <v>45489</v>
          </cell>
          <cell r="E2097">
            <v>46362</v>
          </cell>
          <cell r="F2097" t="str">
            <v>89964</v>
          </cell>
          <cell r="G2097" t="str">
            <v>高力四</v>
          </cell>
          <cell r="H2097">
            <v>200000</v>
          </cell>
          <cell r="I2097">
            <v>3.5</v>
          </cell>
          <cell r="J2097">
            <v>46362</v>
          </cell>
          <cell r="K2097">
            <v>100.75190000000001</v>
          </cell>
          <cell r="L2097">
            <v>46343</v>
          </cell>
          <cell r="M2097">
            <v>-5811</v>
          </cell>
          <cell r="N2097">
            <v>194189</v>
          </cell>
        </row>
        <row r="2098">
          <cell r="A2098">
            <v>22013</v>
          </cell>
          <cell r="B2098">
            <v>2092</v>
          </cell>
          <cell r="C2098" t="str">
            <v>IASWD2407001202</v>
          </cell>
          <cell r="D2098">
            <v>45489</v>
          </cell>
          <cell r="E2098">
            <v>46167</v>
          </cell>
          <cell r="F2098" t="str">
            <v>22013</v>
          </cell>
          <cell r="G2098" t="str">
            <v>裕隆三</v>
          </cell>
          <cell r="H2098">
            <v>100000</v>
          </cell>
          <cell r="I2098">
            <v>3</v>
          </cell>
          <cell r="J2098">
            <v>46167</v>
          </cell>
          <cell r="K2098">
            <v>100.75190000000001</v>
          </cell>
          <cell r="L2098">
            <v>46147</v>
          </cell>
          <cell r="M2098">
            <v>-2490</v>
          </cell>
          <cell r="N2098">
            <v>97510</v>
          </cell>
        </row>
        <row r="2099">
          <cell r="A2099">
            <v>33121</v>
          </cell>
          <cell r="B2099">
            <v>2093</v>
          </cell>
          <cell r="C2099" t="str">
            <v>IASWD2407001206</v>
          </cell>
          <cell r="D2099">
            <v>45489</v>
          </cell>
          <cell r="E2099">
            <v>46563</v>
          </cell>
          <cell r="F2099" t="str">
            <v>33121</v>
          </cell>
          <cell r="G2099" t="str">
            <v>弘憶股一</v>
          </cell>
          <cell r="H2099">
            <v>100000</v>
          </cell>
          <cell r="I2099">
            <v>3.5</v>
          </cell>
          <cell r="J2099">
            <v>46563</v>
          </cell>
          <cell r="K2099">
            <v>100</v>
          </cell>
          <cell r="L2099">
            <v>46545</v>
          </cell>
          <cell r="M2099">
            <v>-2905</v>
          </cell>
          <cell r="N2099">
            <v>97095</v>
          </cell>
        </row>
        <row r="2100">
          <cell r="A2100">
            <v>22013</v>
          </cell>
          <cell r="B2100">
            <v>2094</v>
          </cell>
          <cell r="C2100" t="str">
            <v>IASWD2407001208</v>
          </cell>
          <cell r="D2100">
            <v>45489</v>
          </cell>
          <cell r="E2100">
            <v>46167</v>
          </cell>
          <cell r="F2100" t="str">
            <v>22013</v>
          </cell>
          <cell r="G2100" t="str">
            <v>裕隆三</v>
          </cell>
          <cell r="H2100">
            <v>100000</v>
          </cell>
          <cell r="I2100">
            <v>3</v>
          </cell>
          <cell r="J2100">
            <v>46167</v>
          </cell>
          <cell r="K2100">
            <v>100.75190000000001</v>
          </cell>
          <cell r="L2100">
            <v>46147</v>
          </cell>
          <cell r="M2100">
            <v>-2490</v>
          </cell>
          <cell r="N2100">
            <v>97510</v>
          </cell>
        </row>
        <row r="2101">
          <cell r="A2101">
            <v>22013</v>
          </cell>
          <cell r="B2101">
            <v>2095</v>
          </cell>
          <cell r="C2101" t="str">
            <v>IASWD2407001210</v>
          </cell>
          <cell r="D2101">
            <v>45489</v>
          </cell>
          <cell r="E2101">
            <v>46167</v>
          </cell>
          <cell r="F2101" t="str">
            <v>22013</v>
          </cell>
          <cell r="G2101" t="str">
            <v>裕隆三</v>
          </cell>
          <cell r="H2101">
            <v>100000</v>
          </cell>
          <cell r="I2101">
            <v>3</v>
          </cell>
          <cell r="J2101">
            <v>46167</v>
          </cell>
          <cell r="K2101">
            <v>100.75190000000001</v>
          </cell>
          <cell r="L2101">
            <v>46147</v>
          </cell>
          <cell r="M2101">
            <v>-2490</v>
          </cell>
          <cell r="N2101">
            <v>97510</v>
          </cell>
        </row>
        <row r="2102">
          <cell r="A2102">
            <v>34843</v>
          </cell>
          <cell r="B2102">
            <v>2096</v>
          </cell>
          <cell r="C2102" t="str">
            <v>IASWD2407001211</v>
          </cell>
          <cell r="D2102">
            <v>45489</v>
          </cell>
          <cell r="E2102">
            <v>46136</v>
          </cell>
          <cell r="F2102" t="str">
            <v>34843</v>
          </cell>
          <cell r="G2102" t="str">
            <v>崧騰三</v>
          </cell>
          <cell r="H2102">
            <v>100000</v>
          </cell>
          <cell r="I2102">
            <v>3.5</v>
          </cell>
          <cell r="J2102">
            <v>46136</v>
          </cell>
          <cell r="K2102">
            <v>100.75</v>
          </cell>
          <cell r="L2102">
            <v>46118</v>
          </cell>
          <cell r="M2102">
            <v>-2905</v>
          </cell>
          <cell r="N2102">
            <v>97095</v>
          </cell>
        </row>
        <row r="2103">
          <cell r="A2103">
            <v>33121</v>
          </cell>
          <cell r="B2103">
            <v>2097</v>
          </cell>
          <cell r="C2103" t="str">
            <v>IASWD2407001212</v>
          </cell>
          <cell r="D2103">
            <v>45489</v>
          </cell>
          <cell r="E2103">
            <v>46563</v>
          </cell>
          <cell r="F2103" t="str">
            <v>33121</v>
          </cell>
          <cell r="G2103" t="str">
            <v>弘憶股一</v>
          </cell>
          <cell r="H2103">
            <v>100000</v>
          </cell>
          <cell r="I2103">
            <v>3.5</v>
          </cell>
          <cell r="J2103">
            <v>46563</v>
          </cell>
          <cell r="K2103">
            <v>100</v>
          </cell>
          <cell r="L2103">
            <v>46545</v>
          </cell>
          <cell r="M2103">
            <v>-2905</v>
          </cell>
          <cell r="N2103">
            <v>97095</v>
          </cell>
        </row>
        <row r="2104">
          <cell r="A2104">
            <v>35482</v>
          </cell>
          <cell r="B2104">
            <v>2098</v>
          </cell>
          <cell r="C2104" t="str">
            <v>IASWD2407001213</v>
          </cell>
          <cell r="D2104">
            <v>45489</v>
          </cell>
          <cell r="E2104">
            <v>46395</v>
          </cell>
          <cell r="F2104" t="str">
            <v>35482</v>
          </cell>
          <cell r="G2104" t="str">
            <v>兆利二</v>
          </cell>
          <cell r="H2104">
            <v>100000</v>
          </cell>
          <cell r="I2104">
            <v>3</v>
          </cell>
          <cell r="J2104">
            <v>46395</v>
          </cell>
          <cell r="K2104">
            <v>100</v>
          </cell>
          <cell r="L2104">
            <v>46377</v>
          </cell>
          <cell r="M2104">
            <v>-2490</v>
          </cell>
          <cell r="N2104">
            <v>97510</v>
          </cell>
        </row>
        <row r="2105">
          <cell r="A2105">
            <v>65096</v>
          </cell>
          <cell r="B2105">
            <v>2099</v>
          </cell>
          <cell r="C2105" t="str">
            <v>IASWD2407001215</v>
          </cell>
          <cell r="D2105">
            <v>45489</v>
          </cell>
          <cell r="E2105">
            <v>46206</v>
          </cell>
          <cell r="F2105" t="str">
            <v>65096</v>
          </cell>
          <cell r="G2105" t="str">
            <v>聚和六</v>
          </cell>
          <cell r="H2105">
            <v>100000</v>
          </cell>
          <cell r="I2105">
            <v>3.1</v>
          </cell>
          <cell r="J2105">
            <v>46206</v>
          </cell>
          <cell r="K2105">
            <v>100</v>
          </cell>
          <cell r="L2105">
            <v>46188</v>
          </cell>
          <cell r="M2105">
            <v>-2573</v>
          </cell>
          <cell r="N2105">
            <v>97427</v>
          </cell>
        </row>
        <row r="2106">
          <cell r="A2106">
            <v>33121</v>
          </cell>
          <cell r="B2106">
            <v>2100</v>
          </cell>
          <cell r="C2106" t="str">
            <v>IASWD2407001216</v>
          </cell>
          <cell r="D2106">
            <v>45489</v>
          </cell>
          <cell r="E2106">
            <v>46563</v>
          </cell>
          <cell r="F2106" t="str">
            <v>33121</v>
          </cell>
          <cell r="G2106" t="str">
            <v>弘憶股一</v>
          </cell>
          <cell r="H2106">
            <v>100000</v>
          </cell>
          <cell r="I2106">
            <v>3.5</v>
          </cell>
          <cell r="J2106">
            <v>46563</v>
          </cell>
          <cell r="K2106">
            <v>100</v>
          </cell>
          <cell r="L2106">
            <v>46545</v>
          </cell>
          <cell r="M2106">
            <v>-2905</v>
          </cell>
          <cell r="N2106">
            <v>97095</v>
          </cell>
        </row>
        <row r="2107">
          <cell r="A2107">
            <v>33121</v>
          </cell>
          <cell r="B2107">
            <v>2101</v>
          </cell>
          <cell r="C2107" t="str">
            <v>IASWD2407001219</v>
          </cell>
          <cell r="D2107">
            <v>45489</v>
          </cell>
          <cell r="E2107">
            <v>46563</v>
          </cell>
          <cell r="F2107" t="str">
            <v>33121</v>
          </cell>
          <cell r="G2107" t="str">
            <v>弘憶股一</v>
          </cell>
          <cell r="H2107">
            <v>100000</v>
          </cell>
          <cell r="I2107">
            <v>3.5</v>
          </cell>
          <cell r="J2107">
            <v>46563</v>
          </cell>
          <cell r="K2107">
            <v>100</v>
          </cell>
          <cell r="L2107">
            <v>46545</v>
          </cell>
          <cell r="M2107">
            <v>-2905</v>
          </cell>
          <cell r="N2107">
            <v>97095</v>
          </cell>
        </row>
        <row r="2108">
          <cell r="A2108">
            <v>27323</v>
          </cell>
          <cell r="B2108">
            <v>2102</v>
          </cell>
          <cell r="C2108" t="str">
            <v>IASWD2407001220</v>
          </cell>
          <cell r="D2108">
            <v>45489</v>
          </cell>
          <cell r="E2108">
            <v>46048</v>
          </cell>
          <cell r="F2108" t="str">
            <v>27323</v>
          </cell>
          <cell r="G2108" t="str">
            <v>六角三</v>
          </cell>
          <cell r="H2108">
            <v>100000</v>
          </cell>
          <cell r="I2108">
            <v>3</v>
          </cell>
          <cell r="J2108">
            <v>46048</v>
          </cell>
          <cell r="K2108">
            <v>101</v>
          </cell>
          <cell r="L2108">
            <v>46028</v>
          </cell>
          <cell r="M2108">
            <v>-2490</v>
          </cell>
          <cell r="N2108">
            <v>97510</v>
          </cell>
        </row>
        <row r="2109">
          <cell r="A2109">
            <v>65096</v>
          </cell>
          <cell r="B2109">
            <v>2103</v>
          </cell>
          <cell r="C2109" t="str">
            <v>IASWD2407001221</v>
          </cell>
          <cell r="D2109">
            <v>45489</v>
          </cell>
          <cell r="E2109">
            <v>46206</v>
          </cell>
          <cell r="F2109" t="str">
            <v>65096</v>
          </cell>
          <cell r="G2109" t="str">
            <v>聚和六</v>
          </cell>
          <cell r="H2109">
            <v>100000</v>
          </cell>
          <cell r="I2109">
            <v>3.1</v>
          </cell>
          <cell r="J2109">
            <v>46206</v>
          </cell>
          <cell r="K2109">
            <v>100</v>
          </cell>
          <cell r="L2109">
            <v>46188</v>
          </cell>
          <cell r="M2109">
            <v>-2573</v>
          </cell>
          <cell r="N2109">
            <v>97427</v>
          </cell>
        </row>
        <row r="2110">
          <cell r="A2110">
            <v>64145</v>
          </cell>
          <cell r="B2110">
            <v>2104</v>
          </cell>
          <cell r="C2110" t="str">
            <v>IASWD2407001225</v>
          </cell>
          <cell r="D2110">
            <v>45489</v>
          </cell>
          <cell r="E2110">
            <v>46250</v>
          </cell>
          <cell r="F2110" t="str">
            <v>64145</v>
          </cell>
          <cell r="G2110" t="str">
            <v>樺漢五</v>
          </cell>
          <cell r="H2110">
            <v>200000</v>
          </cell>
          <cell r="I2110">
            <v>3</v>
          </cell>
          <cell r="J2110">
            <v>46250</v>
          </cell>
          <cell r="K2110">
            <v>100</v>
          </cell>
          <cell r="L2110">
            <v>46231</v>
          </cell>
          <cell r="M2110">
            <v>-4981</v>
          </cell>
          <cell r="N2110">
            <v>195019</v>
          </cell>
        </row>
        <row r="2111">
          <cell r="A2111">
            <v>35482</v>
          </cell>
          <cell r="B2111">
            <v>2105</v>
          </cell>
          <cell r="C2111" t="str">
            <v>IASWD2407001226</v>
          </cell>
          <cell r="D2111">
            <v>45489</v>
          </cell>
          <cell r="E2111">
            <v>46395</v>
          </cell>
          <cell r="F2111" t="str">
            <v>35482</v>
          </cell>
          <cell r="G2111" t="str">
            <v>兆利二</v>
          </cell>
          <cell r="H2111">
            <v>1900000</v>
          </cell>
          <cell r="I2111">
            <v>3</v>
          </cell>
          <cell r="J2111">
            <v>46395</v>
          </cell>
          <cell r="K2111">
            <v>100</v>
          </cell>
          <cell r="L2111">
            <v>46377</v>
          </cell>
          <cell r="M2111">
            <v>-47318</v>
          </cell>
          <cell r="N2111">
            <v>1852682</v>
          </cell>
        </row>
        <row r="2112">
          <cell r="A2112">
            <v>33121</v>
          </cell>
          <cell r="B2112">
            <v>2106</v>
          </cell>
          <cell r="C2112" t="str">
            <v>IASWD2407001228</v>
          </cell>
          <cell r="D2112">
            <v>45489</v>
          </cell>
          <cell r="E2112">
            <v>46563</v>
          </cell>
          <cell r="F2112" t="str">
            <v>33121</v>
          </cell>
          <cell r="G2112" t="str">
            <v>弘憶股一</v>
          </cell>
          <cell r="H2112">
            <v>200000</v>
          </cell>
          <cell r="I2112">
            <v>3.5</v>
          </cell>
          <cell r="J2112">
            <v>46563</v>
          </cell>
          <cell r="K2112">
            <v>100</v>
          </cell>
          <cell r="L2112">
            <v>46545</v>
          </cell>
          <cell r="M2112">
            <v>-5811</v>
          </cell>
          <cell r="N2112">
            <v>194189</v>
          </cell>
        </row>
        <row r="2113">
          <cell r="A2113">
            <v>65096</v>
          </cell>
          <cell r="B2113">
            <v>2107</v>
          </cell>
          <cell r="C2113" t="str">
            <v>IASWD2407001229</v>
          </cell>
          <cell r="D2113">
            <v>45489</v>
          </cell>
          <cell r="E2113">
            <v>46206</v>
          </cell>
          <cell r="F2113" t="str">
            <v>65096</v>
          </cell>
          <cell r="G2113" t="str">
            <v>聚和六</v>
          </cell>
          <cell r="H2113">
            <v>100000</v>
          </cell>
          <cell r="I2113">
            <v>3.1</v>
          </cell>
          <cell r="J2113">
            <v>46206</v>
          </cell>
          <cell r="K2113">
            <v>100</v>
          </cell>
          <cell r="L2113">
            <v>46188</v>
          </cell>
          <cell r="M2113">
            <v>-2573</v>
          </cell>
          <cell r="N2113">
            <v>97427</v>
          </cell>
        </row>
        <row r="2114">
          <cell r="A2114">
            <v>64145</v>
          </cell>
          <cell r="B2114">
            <v>2108</v>
          </cell>
          <cell r="C2114" t="str">
            <v>IASWD2407001230</v>
          </cell>
          <cell r="D2114">
            <v>45489</v>
          </cell>
          <cell r="E2114">
            <v>46250</v>
          </cell>
          <cell r="F2114" t="str">
            <v>64145</v>
          </cell>
          <cell r="G2114" t="str">
            <v>樺漢五</v>
          </cell>
          <cell r="H2114">
            <v>100000</v>
          </cell>
          <cell r="I2114">
            <v>3</v>
          </cell>
          <cell r="J2114">
            <v>46250</v>
          </cell>
          <cell r="K2114">
            <v>100</v>
          </cell>
          <cell r="L2114">
            <v>46231</v>
          </cell>
          <cell r="M2114">
            <v>-2490</v>
          </cell>
          <cell r="N2114">
            <v>97510</v>
          </cell>
        </row>
        <row r="2115">
          <cell r="A2115">
            <v>33121</v>
          </cell>
          <cell r="B2115">
            <v>2109</v>
          </cell>
          <cell r="C2115" t="str">
            <v>IASWD2407001231</v>
          </cell>
          <cell r="D2115">
            <v>45489</v>
          </cell>
          <cell r="E2115">
            <v>46563</v>
          </cell>
          <cell r="F2115" t="str">
            <v>33121</v>
          </cell>
          <cell r="G2115" t="str">
            <v>弘憶股一</v>
          </cell>
          <cell r="H2115">
            <v>100000</v>
          </cell>
          <cell r="I2115">
            <v>3.5</v>
          </cell>
          <cell r="J2115">
            <v>46563</v>
          </cell>
          <cell r="K2115">
            <v>100</v>
          </cell>
          <cell r="L2115">
            <v>46545</v>
          </cell>
          <cell r="M2115">
            <v>-2905</v>
          </cell>
          <cell r="N2115">
            <v>97095</v>
          </cell>
        </row>
        <row r="2116">
          <cell r="A2116">
            <v>27323</v>
          </cell>
          <cell r="B2116">
            <v>2110</v>
          </cell>
          <cell r="C2116" t="str">
            <v>IASWD2407001232</v>
          </cell>
          <cell r="D2116">
            <v>45489</v>
          </cell>
          <cell r="E2116">
            <v>46048</v>
          </cell>
          <cell r="F2116" t="str">
            <v>27323</v>
          </cell>
          <cell r="G2116" t="str">
            <v>六角三</v>
          </cell>
          <cell r="H2116">
            <v>400000</v>
          </cell>
          <cell r="I2116">
            <v>3</v>
          </cell>
          <cell r="J2116">
            <v>46048</v>
          </cell>
          <cell r="K2116">
            <v>101</v>
          </cell>
          <cell r="L2116">
            <v>46028</v>
          </cell>
          <cell r="M2116">
            <v>-9962</v>
          </cell>
          <cell r="N2116">
            <v>390038</v>
          </cell>
        </row>
        <row r="2117">
          <cell r="A2117">
            <v>22013</v>
          </cell>
          <cell r="B2117">
            <v>2111</v>
          </cell>
          <cell r="C2117" t="str">
            <v>IASWD2407001233</v>
          </cell>
          <cell r="D2117">
            <v>45489</v>
          </cell>
          <cell r="E2117">
            <v>46167</v>
          </cell>
          <cell r="F2117" t="str">
            <v>22013</v>
          </cell>
          <cell r="G2117" t="str">
            <v>裕隆三</v>
          </cell>
          <cell r="H2117">
            <v>100000</v>
          </cell>
          <cell r="I2117">
            <v>3</v>
          </cell>
          <cell r="J2117">
            <v>46167</v>
          </cell>
          <cell r="K2117">
            <v>100.75190000000001</v>
          </cell>
          <cell r="L2117">
            <v>46147</v>
          </cell>
          <cell r="M2117">
            <v>-2490</v>
          </cell>
          <cell r="N2117">
            <v>97510</v>
          </cell>
        </row>
        <row r="2118">
          <cell r="A2118">
            <v>27323</v>
          </cell>
          <cell r="B2118">
            <v>2112</v>
          </cell>
          <cell r="C2118" t="str">
            <v>IASWD2407001235</v>
          </cell>
          <cell r="D2118">
            <v>45489</v>
          </cell>
          <cell r="E2118">
            <v>46048</v>
          </cell>
          <cell r="F2118" t="str">
            <v>27323</v>
          </cell>
          <cell r="G2118" t="str">
            <v>六角三</v>
          </cell>
          <cell r="H2118">
            <v>100000</v>
          </cell>
          <cell r="I2118">
            <v>3</v>
          </cell>
          <cell r="J2118">
            <v>46048</v>
          </cell>
          <cell r="K2118">
            <v>101</v>
          </cell>
          <cell r="L2118">
            <v>46028</v>
          </cell>
          <cell r="M2118">
            <v>-2490</v>
          </cell>
          <cell r="N2118">
            <v>97510</v>
          </cell>
        </row>
        <row r="2119">
          <cell r="A2119">
            <v>35482</v>
          </cell>
          <cell r="B2119">
            <v>2113</v>
          </cell>
          <cell r="C2119" t="str">
            <v>IASWD2407001236</v>
          </cell>
          <cell r="D2119">
            <v>45490</v>
          </cell>
          <cell r="E2119">
            <v>46395</v>
          </cell>
          <cell r="F2119" t="str">
            <v>35482</v>
          </cell>
          <cell r="G2119" t="str">
            <v>兆利二</v>
          </cell>
          <cell r="H2119">
            <v>100000</v>
          </cell>
          <cell r="I2119">
            <v>3</v>
          </cell>
          <cell r="J2119">
            <v>46395</v>
          </cell>
          <cell r="K2119">
            <v>100</v>
          </cell>
          <cell r="L2119">
            <v>46377</v>
          </cell>
          <cell r="M2119">
            <v>-2482</v>
          </cell>
          <cell r="N2119">
            <v>97518</v>
          </cell>
        </row>
        <row r="2120">
          <cell r="A2120">
            <v>24394</v>
          </cell>
          <cell r="B2120">
            <v>2114</v>
          </cell>
          <cell r="C2120" t="str">
            <v>IASWD2407001238</v>
          </cell>
          <cell r="D2120">
            <v>45490</v>
          </cell>
          <cell r="E2120">
            <v>46578</v>
          </cell>
          <cell r="F2120" t="str">
            <v>24394</v>
          </cell>
          <cell r="G2120" t="str">
            <v>美律四</v>
          </cell>
          <cell r="H2120">
            <v>200000</v>
          </cell>
          <cell r="I2120">
            <v>2.5</v>
          </cell>
          <cell r="J2120">
            <v>46578</v>
          </cell>
          <cell r="K2120">
            <v>100</v>
          </cell>
          <cell r="L2120">
            <v>46560</v>
          </cell>
          <cell r="M2120">
            <v>-4137</v>
          </cell>
          <cell r="N2120">
            <v>195863</v>
          </cell>
        </row>
        <row r="2121">
          <cell r="A2121">
            <v>35482</v>
          </cell>
          <cell r="B2121">
            <v>2115</v>
          </cell>
          <cell r="C2121" t="str">
            <v>IASWD2407001239</v>
          </cell>
          <cell r="D2121">
            <v>45490</v>
          </cell>
          <cell r="E2121">
            <v>46395</v>
          </cell>
          <cell r="F2121" t="str">
            <v>35482</v>
          </cell>
          <cell r="G2121" t="str">
            <v>兆利二</v>
          </cell>
          <cell r="H2121">
            <v>100000</v>
          </cell>
          <cell r="I2121">
            <v>3</v>
          </cell>
          <cell r="J2121">
            <v>46395</v>
          </cell>
          <cell r="K2121">
            <v>100</v>
          </cell>
          <cell r="L2121">
            <v>46377</v>
          </cell>
          <cell r="M2121">
            <v>-2482</v>
          </cell>
          <cell r="N2121">
            <v>97518</v>
          </cell>
        </row>
        <row r="2122">
          <cell r="A2122">
            <v>35266</v>
          </cell>
          <cell r="B2122">
            <v>2116</v>
          </cell>
          <cell r="C2122" t="str">
            <v>IASWD2407001244</v>
          </cell>
          <cell r="D2122">
            <v>45490</v>
          </cell>
          <cell r="E2122">
            <v>46416</v>
          </cell>
          <cell r="F2122" t="str">
            <v>35266</v>
          </cell>
          <cell r="G2122" t="str">
            <v>凡甲六</v>
          </cell>
          <cell r="H2122">
            <v>200000</v>
          </cell>
          <cell r="I2122">
            <v>3.5</v>
          </cell>
          <cell r="J2122">
            <v>46416</v>
          </cell>
          <cell r="K2122">
            <v>100</v>
          </cell>
          <cell r="L2122">
            <v>46398</v>
          </cell>
          <cell r="M2122">
            <v>-5792</v>
          </cell>
          <cell r="N2122">
            <v>194208</v>
          </cell>
        </row>
        <row r="2123">
          <cell r="A2123">
            <v>65096</v>
          </cell>
          <cell r="B2123">
            <v>2117</v>
          </cell>
          <cell r="C2123" t="str">
            <v>IASWD2407001245</v>
          </cell>
          <cell r="D2123">
            <v>45490</v>
          </cell>
          <cell r="E2123">
            <v>46206</v>
          </cell>
          <cell r="F2123" t="str">
            <v>65096</v>
          </cell>
          <cell r="G2123" t="str">
            <v>聚和六</v>
          </cell>
          <cell r="H2123">
            <v>600000</v>
          </cell>
          <cell r="I2123">
            <v>3.1</v>
          </cell>
          <cell r="J2123">
            <v>46206</v>
          </cell>
          <cell r="K2123">
            <v>100</v>
          </cell>
          <cell r="L2123">
            <v>46188</v>
          </cell>
          <cell r="M2123">
            <v>-15390</v>
          </cell>
          <cell r="N2123">
            <v>584610</v>
          </cell>
        </row>
        <row r="2124">
          <cell r="A2124">
            <v>61965</v>
          </cell>
          <cell r="B2124">
            <v>2118</v>
          </cell>
          <cell r="C2124" t="str">
            <v>IASWD2407001247</v>
          </cell>
          <cell r="D2124">
            <v>45490</v>
          </cell>
          <cell r="E2124">
            <v>46200</v>
          </cell>
          <cell r="F2124" t="str">
            <v>61965</v>
          </cell>
          <cell r="G2124" t="str">
            <v>帆宣五</v>
          </cell>
          <cell r="H2124">
            <v>100000</v>
          </cell>
          <cell r="I2124">
            <v>3</v>
          </cell>
          <cell r="J2124">
            <v>46200</v>
          </cell>
          <cell r="K2124">
            <v>100</v>
          </cell>
          <cell r="L2124">
            <v>46182</v>
          </cell>
          <cell r="M2124">
            <v>-2482</v>
          </cell>
          <cell r="N2124">
            <v>97518</v>
          </cell>
        </row>
        <row r="2125">
          <cell r="A2125">
            <v>34843</v>
          </cell>
          <cell r="B2125">
            <v>2119</v>
          </cell>
          <cell r="C2125" t="str">
            <v>IASWD2407001250</v>
          </cell>
          <cell r="D2125">
            <v>45490</v>
          </cell>
          <cell r="E2125">
            <v>46136</v>
          </cell>
          <cell r="F2125" t="str">
            <v>34843</v>
          </cell>
          <cell r="G2125" t="str">
            <v>崧騰三</v>
          </cell>
          <cell r="H2125">
            <v>100000</v>
          </cell>
          <cell r="I2125">
            <v>3.5</v>
          </cell>
          <cell r="J2125">
            <v>46136</v>
          </cell>
          <cell r="K2125">
            <v>100.75</v>
          </cell>
          <cell r="L2125">
            <v>46118</v>
          </cell>
          <cell r="M2125">
            <v>-2896</v>
          </cell>
          <cell r="N2125">
            <v>97104</v>
          </cell>
        </row>
        <row r="2126">
          <cell r="A2126">
            <v>64145</v>
          </cell>
          <cell r="B2126">
            <v>2120</v>
          </cell>
          <cell r="C2126" t="str">
            <v>IASWD2407001252</v>
          </cell>
          <cell r="D2126">
            <v>45490</v>
          </cell>
          <cell r="E2126">
            <v>46250</v>
          </cell>
          <cell r="F2126" t="str">
            <v>64145</v>
          </cell>
          <cell r="G2126" t="str">
            <v>樺漢五</v>
          </cell>
          <cell r="H2126">
            <v>200000</v>
          </cell>
          <cell r="I2126">
            <v>3</v>
          </cell>
          <cell r="J2126">
            <v>46250</v>
          </cell>
          <cell r="K2126">
            <v>100</v>
          </cell>
          <cell r="L2126">
            <v>46231</v>
          </cell>
          <cell r="M2126">
            <v>-4964</v>
          </cell>
          <cell r="N2126">
            <v>195036</v>
          </cell>
        </row>
        <row r="2127">
          <cell r="A2127">
            <v>24394</v>
          </cell>
          <cell r="B2127">
            <v>2121</v>
          </cell>
          <cell r="C2127" t="str">
            <v>IASWD2407001256</v>
          </cell>
          <cell r="D2127">
            <v>45490</v>
          </cell>
          <cell r="E2127">
            <v>46578</v>
          </cell>
          <cell r="F2127" t="str">
            <v>24394</v>
          </cell>
          <cell r="G2127" t="str">
            <v>美律四</v>
          </cell>
          <cell r="H2127">
            <v>100000</v>
          </cell>
          <cell r="I2127">
            <v>2.5</v>
          </cell>
          <cell r="J2127">
            <v>46578</v>
          </cell>
          <cell r="K2127">
            <v>100</v>
          </cell>
          <cell r="L2127">
            <v>46560</v>
          </cell>
          <cell r="M2127">
            <v>-2068</v>
          </cell>
          <cell r="N2127">
            <v>97932</v>
          </cell>
        </row>
        <row r="2128">
          <cell r="A2128">
            <v>61906</v>
          </cell>
          <cell r="B2128">
            <v>2122</v>
          </cell>
          <cell r="C2128" t="str">
            <v>IASWD2407001259</v>
          </cell>
          <cell r="D2128">
            <v>45490</v>
          </cell>
          <cell r="E2128">
            <v>45961</v>
          </cell>
          <cell r="F2128" t="str">
            <v>61906</v>
          </cell>
          <cell r="G2128" t="str">
            <v>萬泰科六</v>
          </cell>
          <cell r="H2128">
            <v>100000</v>
          </cell>
          <cell r="I2128">
            <v>4</v>
          </cell>
          <cell r="J2128">
            <v>45961</v>
          </cell>
          <cell r="K2128">
            <v>100</v>
          </cell>
          <cell r="L2128">
            <v>45943</v>
          </cell>
          <cell r="M2128">
            <v>-3310</v>
          </cell>
          <cell r="N2128">
            <v>96690</v>
          </cell>
        </row>
        <row r="2129">
          <cell r="A2129">
            <v>64145</v>
          </cell>
          <cell r="B2129">
            <v>2123</v>
          </cell>
          <cell r="C2129" t="str">
            <v>IASWD2407001260</v>
          </cell>
          <cell r="D2129">
            <v>45490</v>
          </cell>
          <cell r="E2129">
            <v>46250</v>
          </cell>
          <cell r="F2129" t="str">
            <v>64145</v>
          </cell>
          <cell r="G2129" t="str">
            <v>樺漢五</v>
          </cell>
          <cell r="H2129">
            <v>300000</v>
          </cell>
          <cell r="I2129">
            <v>3</v>
          </cell>
          <cell r="J2129">
            <v>46250</v>
          </cell>
          <cell r="K2129">
            <v>100</v>
          </cell>
          <cell r="L2129">
            <v>46231</v>
          </cell>
          <cell r="M2129">
            <v>-7447</v>
          </cell>
          <cell r="N2129">
            <v>292553</v>
          </cell>
        </row>
        <row r="2130">
          <cell r="A2130">
            <v>35482</v>
          </cell>
          <cell r="B2130">
            <v>2124</v>
          </cell>
          <cell r="C2130" t="str">
            <v>IASWD2407001261</v>
          </cell>
          <cell r="D2130">
            <v>45490</v>
          </cell>
          <cell r="E2130">
            <v>46395</v>
          </cell>
          <cell r="F2130" t="str">
            <v>35482</v>
          </cell>
          <cell r="G2130" t="str">
            <v>兆利二</v>
          </cell>
          <cell r="H2130">
            <v>100000</v>
          </cell>
          <cell r="I2130">
            <v>3</v>
          </cell>
          <cell r="J2130">
            <v>46395</v>
          </cell>
          <cell r="K2130">
            <v>100</v>
          </cell>
          <cell r="L2130">
            <v>46377</v>
          </cell>
          <cell r="M2130">
            <v>-2482</v>
          </cell>
          <cell r="N2130">
            <v>97518</v>
          </cell>
        </row>
        <row r="2131">
          <cell r="A2131">
            <v>24394</v>
          </cell>
          <cell r="B2131">
            <v>2125</v>
          </cell>
          <cell r="C2131" t="str">
            <v>IASWD2407001262</v>
          </cell>
          <cell r="D2131">
            <v>45490</v>
          </cell>
          <cell r="E2131">
            <v>46578</v>
          </cell>
          <cell r="F2131" t="str">
            <v>24394</v>
          </cell>
          <cell r="G2131" t="str">
            <v>美律四</v>
          </cell>
          <cell r="H2131">
            <v>100000</v>
          </cell>
          <cell r="I2131">
            <v>2.5</v>
          </cell>
          <cell r="J2131">
            <v>46578</v>
          </cell>
          <cell r="K2131">
            <v>100</v>
          </cell>
          <cell r="L2131">
            <v>46560</v>
          </cell>
          <cell r="M2131">
            <v>-2068</v>
          </cell>
          <cell r="N2131">
            <v>97932</v>
          </cell>
        </row>
        <row r="2132">
          <cell r="A2132">
            <v>34793</v>
          </cell>
          <cell r="B2132">
            <v>2126</v>
          </cell>
          <cell r="C2132" t="str">
            <v>IASWD2407001264</v>
          </cell>
          <cell r="D2132">
            <v>45490</v>
          </cell>
          <cell r="E2132">
            <v>46409</v>
          </cell>
          <cell r="F2132" t="str">
            <v>34793</v>
          </cell>
          <cell r="G2132" t="str">
            <v>安勤三</v>
          </cell>
          <cell r="H2132">
            <v>100000</v>
          </cell>
          <cell r="I2132">
            <v>3</v>
          </cell>
          <cell r="J2132">
            <v>46409</v>
          </cell>
          <cell r="K2132">
            <v>100</v>
          </cell>
          <cell r="L2132">
            <v>46391</v>
          </cell>
          <cell r="M2132">
            <v>-2482</v>
          </cell>
          <cell r="N2132">
            <v>97518</v>
          </cell>
        </row>
        <row r="2133">
          <cell r="A2133">
            <v>24394</v>
          </cell>
          <cell r="B2133">
            <v>2127</v>
          </cell>
          <cell r="C2133" t="str">
            <v>IASWD2407001265</v>
          </cell>
          <cell r="D2133">
            <v>45490</v>
          </cell>
          <cell r="E2133">
            <v>46578</v>
          </cell>
          <cell r="F2133" t="str">
            <v>24394</v>
          </cell>
          <cell r="G2133" t="str">
            <v>美律四</v>
          </cell>
          <cell r="H2133">
            <v>500000</v>
          </cell>
          <cell r="I2133">
            <v>2.5</v>
          </cell>
          <cell r="J2133">
            <v>46578</v>
          </cell>
          <cell r="K2133">
            <v>100</v>
          </cell>
          <cell r="L2133">
            <v>46560</v>
          </cell>
          <cell r="M2133">
            <v>-10342</v>
          </cell>
          <cell r="N2133">
            <v>489658</v>
          </cell>
        </row>
        <row r="2134">
          <cell r="A2134">
            <v>24394</v>
          </cell>
          <cell r="B2134">
            <v>2128</v>
          </cell>
          <cell r="C2134" t="str">
            <v>IASWD2407001267</v>
          </cell>
          <cell r="D2134">
            <v>45490</v>
          </cell>
          <cell r="E2134">
            <v>46578</v>
          </cell>
          <cell r="F2134" t="str">
            <v>24394</v>
          </cell>
          <cell r="G2134" t="str">
            <v>美律四</v>
          </cell>
          <cell r="H2134">
            <v>200000</v>
          </cell>
          <cell r="I2134">
            <v>2.5</v>
          </cell>
          <cell r="J2134">
            <v>46578</v>
          </cell>
          <cell r="K2134">
            <v>100</v>
          </cell>
          <cell r="L2134">
            <v>46560</v>
          </cell>
          <cell r="M2134">
            <v>-4137</v>
          </cell>
          <cell r="N2134">
            <v>195863</v>
          </cell>
        </row>
        <row r="2135">
          <cell r="A2135">
            <v>24394</v>
          </cell>
          <cell r="B2135">
            <v>2129</v>
          </cell>
          <cell r="C2135" t="str">
            <v>IASWD2407001271</v>
          </cell>
          <cell r="D2135">
            <v>45490</v>
          </cell>
          <cell r="E2135">
            <v>46578</v>
          </cell>
          <cell r="F2135" t="str">
            <v>24394</v>
          </cell>
          <cell r="G2135" t="str">
            <v>美律四</v>
          </cell>
          <cell r="H2135">
            <v>900000</v>
          </cell>
          <cell r="I2135">
            <v>2.5</v>
          </cell>
          <cell r="J2135">
            <v>46578</v>
          </cell>
          <cell r="K2135">
            <v>100</v>
          </cell>
          <cell r="L2135">
            <v>46560</v>
          </cell>
          <cell r="M2135">
            <v>-18616</v>
          </cell>
          <cell r="N2135">
            <v>881384</v>
          </cell>
        </row>
        <row r="2136">
          <cell r="A2136">
            <v>35482</v>
          </cell>
          <cell r="B2136">
            <v>2130</v>
          </cell>
          <cell r="C2136" t="str">
            <v>IASWD2407001272</v>
          </cell>
          <cell r="D2136">
            <v>45490</v>
          </cell>
          <cell r="E2136">
            <v>46395</v>
          </cell>
          <cell r="F2136" t="str">
            <v>35482</v>
          </cell>
          <cell r="G2136" t="str">
            <v>兆利二</v>
          </cell>
          <cell r="H2136">
            <v>300000</v>
          </cell>
          <cell r="I2136">
            <v>3</v>
          </cell>
          <cell r="J2136">
            <v>46395</v>
          </cell>
          <cell r="K2136">
            <v>100</v>
          </cell>
          <cell r="L2136">
            <v>46377</v>
          </cell>
          <cell r="M2136">
            <v>-7447</v>
          </cell>
          <cell r="N2136">
            <v>292553</v>
          </cell>
        </row>
        <row r="2137">
          <cell r="A2137">
            <v>22013</v>
          </cell>
          <cell r="B2137">
            <v>2131</v>
          </cell>
          <cell r="C2137" t="str">
            <v>IASWD2407001274</v>
          </cell>
          <cell r="D2137">
            <v>45490</v>
          </cell>
          <cell r="E2137">
            <v>46167</v>
          </cell>
          <cell r="F2137" t="str">
            <v>22013</v>
          </cell>
          <cell r="G2137" t="str">
            <v>裕隆三</v>
          </cell>
          <cell r="H2137">
            <v>100000</v>
          </cell>
          <cell r="I2137">
            <v>3</v>
          </cell>
          <cell r="J2137">
            <v>46167</v>
          </cell>
          <cell r="K2137">
            <v>100.75190000000001</v>
          </cell>
          <cell r="L2137">
            <v>46147</v>
          </cell>
          <cell r="M2137">
            <v>-2482</v>
          </cell>
          <cell r="N2137">
            <v>97518</v>
          </cell>
        </row>
        <row r="2138">
          <cell r="A2138">
            <v>36804</v>
          </cell>
          <cell r="B2138">
            <v>2132</v>
          </cell>
          <cell r="C2138" t="str">
            <v>IASWD2407001278</v>
          </cell>
          <cell r="D2138">
            <v>45490</v>
          </cell>
          <cell r="E2138">
            <v>45948</v>
          </cell>
          <cell r="F2138" t="str">
            <v>36804</v>
          </cell>
          <cell r="G2138" t="str">
            <v>家登四</v>
          </cell>
          <cell r="H2138">
            <v>100000</v>
          </cell>
          <cell r="I2138">
            <v>3.2</v>
          </cell>
          <cell r="J2138">
            <v>45948</v>
          </cell>
          <cell r="K2138">
            <v>100</v>
          </cell>
          <cell r="L2138">
            <v>45926</v>
          </cell>
          <cell r="M2138">
            <v>-2648</v>
          </cell>
          <cell r="N2138">
            <v>97352</v>
          </cell>
        </row>
        <row r="2139">
          <cell r="A2139">
            <v>24394</v>
          </cell>
          <cell r="B2139">
            <v>2133</v>
          </cell>
          <cell r="C2139" t="str">
            <v>IASWD2407001282</v>
          </cell>
          <cell r="D2139">
            <v>45490</v>
          </cell>
          <cell r="E2139">
            <v>46578</v>
          </cell>
          <cell r="F2139" t="str">
            <v>24394</v>
          </cell>
          <cell r="G2139" t="str">
            <v>美律四</v>
          </cell>
          <cell r="H2139">
            <v>1400000</v>
          </cell>
          <cell r="I2139">
            <v>2.5</v>
          </cell>
          <cell r="J2139">
            <v>46578</v>
          </cell>
          <cell r="K2139">
            <v>100</v>
          </cell>
          <cell r="L2139">
            <v>46560</v>
          </cell>
          <cell r="M2139">
            <v>-28959</v>
          </cell>
          <cell r="N2139">
            <v>1371041</v>
          </cell>
        </row>
        <row r="2140">
          <cell r="A2140">
            <v>35482</v>
          </cell>
          <cell r="B2140">
            <v>2134</v>
          </cell>
          <cell r="C2140" t="str">
            <v>IASWD2407001283</v>
          </cell>
          <cell r="D2140">
            <v>45490</v>
          </cell>
          <cell r="E2140">
            <v>46395</v>
          </cell>
          <cell r="F2140" t="str">
            <v>35482</v>
          </cell>
          <cell r="G2140" t="str">
            <v>兆利二</v>
          </cell>
          <cell r="H2140">
            <v>200000</v>
          </cell>
          <cell r="I2140">
            <v>3</v>
          </cell>
          <cell r="J2140">
            <v>46395</v>
          </cell>
          <cell r="K2140">
            <v>100</v>
          </cell>
          <cell r="L2140">
            <v>46377</v>
          </cell>
          <cell r="M2140">
            <v>-4964</v>
          </cell>
          <cell r="N2140">
            <v>195036</v>
          </cell>
        </row>
        <row r="2141">
          <cell r="A2141">
            <v>64145</v>
          </cell>
          <cell r="B2141">
            <v>2135</v>
          </cell>
          <cell r="C2141" t="str">
            <v>IASWD2407001287</v>
          </cell>
          <cell r="D2141">
            <v>45490</v>
          </cell>
          <cell r="E2141">
            <v>46250</v>
          </cell>
          <cell r="F2141" t="str">
            <v>64145</v>
          </cell>
          <cell r="G2141" t="str">
            <v>樺漢五</v>
          </cell>
          <cell r="H2141">
            <v>100000</v>
          </cell>
          <cell r="I2141">
            <v>3</v>
          </cell>
          <cell r="J2141">
            <v>46250</v>
          </cell>
          <cell r="K2141">
            <v>100</v>
          </cell>
          <cell r="L2141">
            <v>46231</v>
          </cell>
          <cell r="M2141">
            <v>-2482</v>
          </cell>
          <cell r="N2141">
            <v>97518</v>
          </cell>
        </row>
        <row r="2142">
          <cell r="A2142">
            <v>24394</v>
          </cell>
          <cell r="B2142">
            <v>2136</v>
          </cell>
          <cell r="C2142" t="str">
            <v>IASWD2407001289</v>
          </cell>
          <cell r="D2142">
            <v>45490</v>
          </cell>
          <cell r="E2142">
            <v>46578</v>
          </cell>
          <cell r="F2142" t="str">
            <v>24394</v>
          </cell>
          <cell r="G2142" t="str">
            <v>美律四</v>
          </cell>
          <cell r="H2142">
            <v>100000</v>
          </cell>
          <cell r="I2142">
            <v>2.5</v>
          </cell>
          <cell r="J2142">
            <v>46578</v>
          </cell>
          <cell r="K2142">
            <v>100</v>
          </cell>
          <cell r="L2142">
            <v>46560</v>
          </cell>
          <cell r="M2142">
            <v>-2068</v>
          </cell>
          <cell r="N2142">
            <v>97932</v>
          </cell>
        </row>
        <row r="2143">
          <cell r="A2143">
            <v>61965</v>
          </cell>
          <cell r="B2143">
            <v>2137</v>
          </cell>
          <cell r="C2143" t="str">
            <v>IASWD2407001290</v>
          </cell>
          <cell r="D2143">
            <v>45490</v>
          </cell>
          <cell r="E2143">
            <v>46200</v>
          </cell>
          <cell r="F2143" t="str">
            <v>61965</v>
          </cell>
          <cell r="G2143" t="str">
            <v>帆宣五</v>
          </cell>
          <cell r="H2143">
            <v>100000</v>
          </cell>
          <cell r="I2143">
            <v>3</v>
          </cell>
          <cell r="J2143">
            <v>46200</v>
          </cell>
          <cell r="K2143">
            <v>100</v>
          </cell>
          <cell r="L2143">
            <v>46182</v>
          </cell>
          <cell r="M2143">
            <v>-2482</v>
          </cell>
          <cell r="N2143">
            <v>97518</v>
          </cell>
        </row>
        <row r="2144">
          <cell r="A2144">
            <v>36804</v>
          </cell>
          <cell r="B2144">
            <v>2138</v>
          </cell>
          <cell r="C2144" t="str">
            <v>IASWD2407001291</v>
          </cell>
          <cell r="D2144">
            <v>45490</v>
          </cell>
          <cell r="E2144">
            <v>45948</v>
          </cell>
          <cell r="F2144" t="str">
            <v>36804</v>
          </cell>
          <cell r="G2144" t="str">
            <v>家登四</v>
          </cell>
          <cell r="H2144">
            <v>200000</v>
          </cell>
          <cell r="I2144">
            <v>3.2</v>
          </cell>
          <cell r="J2144">
            <v>45948</v>
          </cell>
          <cell r="K2144">
            <v>100</v>
          </cell>
          <cell r="L2144">
            <v>45926</v>
          </cell>
          <cell r="M2144">
            <v>-5295</v>
          </cell>
          <cell r="N2144">
            <v>194705</v>
          </cell>
        </row>
        <row r="2145">
          <cell r="A2145">
            <v>61906</v>
          </cell>
          <cell r="B2145">
            <v>2139</v>
          </cell>
          <cell r="C2145" t="str">
            <v>IASWD2407001292</v>
          </cell>
          <cell r="D2145">
            <v>45490</v>
          </cell>
          <cell r="E2145">
            <v>45961</v>
          </cell>
          <cell r="F2145" t="str">
            <v>61906</v>
          </cell>
          <cell r="G2145" t="str">
            <v>萬泰科六</v>
          </cell>
          <cell r="H2145">
            <v>100000</v>
          </cell>
          <cell r="I2145">
            <v>4</v>
          </cell>
          <cell r="J2145">
            <v>45961</v>
          </cell>
          <cell r="K2145">
            <v>100</v>
          </cell>
          <cell r="L2145">
            <v>45943</v>
          </cell>
          <cell r="M2145">
            <v>-3310</v>
          </cell>
          <cell r="N2145">
            <v>96690</v>
          </cell>
        </row>
        <row r="2146">
          <cell r="A2146">
            <v>24394</v>
          </cell>
          <cell r="B2146">
            <v>2140</v>
          </cell>
          <cell r="C2146" t="str">
            <v>IASWD2407001297</v>
          </cell>
          <cell r="D2146">
            <v>45490</v>
          </cell>
          <cell r="E2146">
            <v>46578</v>
          </cell>
          <cell r="F2146" t="str">
            <v>24394</v>
          </cell>
          <cell r="G2146" t="str">
            <v>美律四</v>
          </cell>
          <cell r="H2146">
            <v>100000</v>
          </cell>
          <cell r="I2146">
            <v>2.5</v>
          </cell>
          <cell r="J2146">
            <v>46578</v>
          </cell>
          <cell r="K2146">
            <v>100</v>
          </cell>
          <cell r="L2146">
            <v>46560</v>
          </cell>
          <cell r="M2146">
            <v>-2068</v>
          </cell>
          <cell r="N2146">
            <v>97932</v>
          </cell>
        </row>
        <row r="2147">
          <cell r="A2147">
            <v>35482</v>
          </cell>
          <cell r="B2147">
            <v>2141</v>
          </cell>
          <cell r="C2147" t="str">
            <v>IASWD2407001298</v>
          </cell>
          <cell r="D2147">
            <v>45490</v>
          </cell>
          <cell r="E2147">
            <v>46395</v>
          </cell>
          <cell r="F2147" t="str">
            <v>35482</v>
          </cell>
          <cell r="G2147" t="str">
            <v>兆利二</v>
          </cell>
          <cell r="H2147">
            <v>100000</v>
          </cell>
          <cell r="I2147">
            <v>3</v>
          </cell>
          <cell r="J2147">
            <v>46395</v>
          </cell>
          <cell r="K2147">
            <v>100</v>
          </cell>
          <cell r="L2147">
            <v>46377</v>
          </cell>
          <cell r="M2147">
            <v>-2482</v>
          </cell>
          <cell r="N2147">
            <v>97518</v>
          </cell>
        </row>
        <row r="2148">
          <cell r="A2148">
            <v>36804</v>
          </cell>
          <cell r="B2148">
            <v>2142</v>
          </cell>
          <cell r="C2148" t="str">
            <v>IASWD2407001301</v>
          </cell>
          <cell r="D2148">
            <v>45490</v>
          </cell>
          <cell r="E2148">
            <v>45948</v>
          </cell>
          <cell r="F2148" t="str">
            <v>36804</v>
          </cell>
          <cell r="G2148" t="str">
            <v>家登四</v>
          </cell>
          <cell r="H2148">
            <v>100000</v>
          </cell>
          <cell r="I2148">
            <v>3.2</v>
          </cell>
          <cell r="J2148">
            <v>45948</v>
          </cell>
          <cell r="K2148">
            <v>100</v>
          </cell>
          <cell r="L2148">
            <v>45926</v>
          </cell>
          <cell r="M2148">
            <v>-2648</v>
          </cell>
          <cell r="N2148">
            <v>97352</v>
          </cell>
        </row>
        <row r="2149">
          <cell r="A2149">
            <v>65096</v>
          </cell>
          <cell r="B2149">
            <v>2143</v>
          </cell>
          <cell r="C2149" t="str">
            <v>IASWD2407001302</v>
          </cell>
          <cell r="D2149">
            <v>45490</v>
          </cell>
          <cell r="E2149">
            <v>46206</v>
          </cell>
          <cell r="F2149" t="str">
            <v>65096</v>
          </cell>
          <cell r="G2149" t="str">
            <v>聚和六</v>
          </cell>
          <cell r="H2149">
            <v>200000</v>
          </cell>
          <cell r="I2149">
            <v>3.1</v>
          </cell>
          <cell r="J2149">
            <v>46206</v>
          </cell>
          <cell r="K2149">
            <v>100</v>
          </cell>
          <cell r="L2149">
            <v>46188</v>
          </cell>
          <cell r="M2149">
            <v>-5130</v>
          </cell>
          <cell r="N2149">
            <v>194870</v>
          </cell>
        </row>
        <row r="2150">
          <cell r="A2150">
            <v>24394</v>
          </cell>
          <cell r="B2150">
            <v>2144</v>
          </cell>
          <cell r="C2150" t="str">
            <v>IASWD2407001304</v>
          </cell>
          <cell r="D2150">
            <v>45490</v>
          </cell>
          <cell r="E2150">
            <v>46578</v>
          </cell>
          <cell r="F2150" t="str">
            <v>24394</v>
          </cell>
          <cell r="G2150" t="str">
            <v>美律四</v>
          </cell>
          <cell r="H2150">
            <v>100000</v>
          </cell>
          <cell r="I2150">
            <v>2.5</v>
          </cell>
          <cell r="J2150">
            <v>46578</v>
          </cell>
          <cell r="K2150">
            <v>100</v>
          </cell>
          <cell r="L2150">
            <v>46560</v>
          </cell>
          <cell r="M2150">
            <v>-2068</v>
          </cell>
          <cell r="N2150">
            <v>97932</v>
          </cell>
        </row>
        <row r="2151">
          <cell r="A2151">
            <v>24394</v>
          </cell>
          <cell r="B2151">
            <v>2145</v>
          </cell>
          <cell r="C2151" t="str">
            <v>IASWD2407001305</v>
          </cell>
          <cell r="D2151">
            <v>45490</v>
          </cell>
          <cell r="E2151">
            <v>46578</v>
          </cell>
          <cell r="F2151" t="str">
            <v>24394</v>
          </cell>
          <cell r="G2151" t="str">
            <v>美律四</v>
          </cell>
          <cell r="H2151">
            <v>100000</v>
          </cell>
          <cell r="I2151">
            <v>2.5</v>
          </cell>
          <cell r="J2151">
            <v>46578</v>
          </cell>
          <cell r="K2151">
            <v>100</v>
          </cell>
          <cell r="L2151">
            <v>46560</v>
          </cell>
          <cell r="M2151">
            <v>-2068</v>
          </cell>
          <cell r="N2151">
            <v>97932</v>
          </cell>
        </row>
        <row r="2152">
          <cell r="A2152">
            <v>22013</v>
          </cell>
          <cell r="B2152">
            <v>2146</v>
          </cell>
          <cell r="C2152" t="str">
            <v>IASWD2407001307</v>
          </cell>
          <cell r="D2152">
            <v>45490</v>
          </cell>
          <cell r="E2152">
            <v>46167</v>
          </cell>
          <cell r="F2152" t="str">
            <v>22013</v>
          </cell>
          <cell r="G2152" t="str">
            <v>裕隆三</v>
          </cell>
          <cell r="H2152">
            <v>100000</v>
          </cell>
          <cell r="I2152">
            <v>3</v>
          </cell>
          <cell r="J2152">
            <v>46167</v>
          </cell>
          <cell r="K2152">
            <v>100.75190000000001</v>
          </cell>
          <cell r="L2152">
            <v>46147</v>
          </cell>
          <cell r="M2152">
            <v>-2482</v>
          </cell>
          <cell r="N2152">
            <v>97518</v>
          </cell>
        </row>
        <row r="2153">
          <cell r="A2153">
            <v>33121</v>
          </cell>
          <cell r="B2153">
            <v>2147</v>
          </cell>
          <cell r="C2153" t="str">
            <v>IASWD2407001308</v>
          </cell>
          <cell r="D2153">
            <v>45490</v>
          </cell>
          <cell r="E2153">
            <v>46563</v>
          </cell>
          <cell r="F2153" t="str">
            <v>33121</v>
          </cell>
          <cell r="G2153" t="str">
            <v>弘憶股一</v>
          </cell>
          <cell r="H2153">
            <v>100000</v>
          </cell>
          <cell r="I2153">
            <v>3.5</v>
          </cell>
          <cell r="J2153">
            <v>46563</v>
          </cell>
          <cell r="K2153">
            <v>100</v>
          </cell>
          <cell r="L2153">
            <v>46545</v>
          </cell>
          <cell r="M2153">
            <v>-2896</v>
          </cell>
          <cell r="N2153">
            <v>97104</v>
          </cell>
        </row>
        <row r="2154">
          <cell r="A2154">
            <v>35482</v>
          </cell>
          <cell r="B2154">
            <v>2148</v>
          </cell>
          <cell r="C2154" t="str">
            <v>IASWD2407001309</v>
          </cell>
          <cell r="D2154">
            <v>45491</v>
          </cell>
          <cell r="E2154">
            <v>46395</v>
          </cell>
          <cell r="F2154" t="str">
            <v>35482</v>
          </cell>
          <cell r="G2154" t="str">
            <v>兆利二</v>
          </cell>
          <cell r="H2154">
            <v>400000</v>
          </cell>
          <cell r="I2154">
            <v>3</v>
          </cell>
          <cell r="J2154">
            <v>46395</v>
          </cell>
          <cell r="K2154">
            <v>100</v>
          </cell>
          <cell r="L2154">
            <v>46377</v>
          </cell>
          <cell r="M2154">
            <v>-9896</v>
          </cell>
          <cell r="N2154">
            <v>390104</v>
          </cell>
        </row>
        <row r="2155">
          <cell r="A2155">
            <v>35266</v>
          </cell>
          <cell r="B2155">
            <v>2149</v>
          </cell>
          <cell r="C2155" t="str">
            <v>IASWD2407001310</v>
          </cell>
          <cell r="D2155">
            <v>45491</v>
          </cell>
          <cell r="E2155">
            <v>46416</v>
          </cell>
          <cell r="F2155" t="str">
            <v>35266</v>
          </cell>
          <cell r="G2155" t="str">
            <v>凡甲六</v>
          </cell>
          <cell r="H2155">
            <v>100000</v>
          </cell>
          <cell r="I2155">
            <v>3.5</v>
          </cell>
          <cell r="J2155">
            <v>46416</v>
          </cell>
          <cell r="K2155">
            <v>100</v>
          </cell>
          <cell r="L2155">
            <v>46398</v>
          </cell>
          <cell r="M2155">
            <v>-2886</v>
          </cell>
          <cell r="N2155">
            <v>97114</v>
          </cell>
        </row>
        <row r="2156">
          <cell r="A2156">
            <v>89964</v>
          </cell>
          <cell r="B2156">
            <v>2150</v>
          </cell>
          <cell r="C2156" t="str">
            <v>IASWD2407001311</v>
          </cell>
          <cell r="D2156">
            <v>45491</v>
          </cell>
          <cell r="E2156">
            <v>46362</v>
          </cell>
          <cell r="F2156" t="str">
            <v>89964</v>
          </cell>
          <cell r="G2156" t="str">
            <v>高力四</v>
          </cell>
          <cell r="H2156">
            <v>100000</v>
          </cell>
          <cell r="I2156">
            <v>3.5</v>
          </cell>
          <cell r="J2156">
            <v>46362</v>
          </cell>
          <cell r="K2156">
            <v>100.75190000000001</v>
          </cell>
          <cell r="L2156">
            <v>46343</v>
          </cell>
          <cell r="M2156">
            <v>-2886</v>
          </cell>
          <cell r="N2156">
            <v>97114</v>
          </cell>
        </row>
        <row r="2157">
          <cell r="A2157">
            <v>33121</v>
          </cell>
          <cell r="B2157">
            <v>2151</v>
          </cell>
          <cell r="C2157" t="str">
            <v>IASWD2407001312</v>
          </cell>
          <cell r="D2157">
            <v>45491</v>
          </cell>
          <cell r="E2157">
            <v>46563</v>
          </cell>
          <cell r="F2157" t="str">
            <v>33121</v>
          </cell>
          <cell r="G2157" t="str">
            <v>弘憶股一</v>
          </cell>
          <cell r="H2157">
            <v>100000</v>
          </cell>
          <cell r="I2157">
            <v>3.5</v>
          </cell>
          <cell r="J2157">
            <v>46563</v>
          </cell>
          <cell r="K2157">
            <v>100</v>
          </cell>
          <cell r="L2157">
            <v>46545</v>
          </cell>
          <cell r="M2157">
            <v>-2886</v>
          </cell>
          <cell r="N2157">
            <v>97114</v>
          </cell>
        </row>
        <row r="2158">
          <cell r="A2158">
            <v>61906</v>
          </cell>
          <cell r="B2158">
            <v>2152</v>
          </cell>
          <cell r="C2158" t="str">
            <v>IASWD2407001313</v>
          </cell>
          <cell r="D2158">
            <v>45491</v>
          </cell>
          <cell r="E2158">
            <v>45961</v>
          </cell>
          <cell r="F2158" t="str">
            <v>61906</v>
          </cell>
          <cell r="G2158" t="str">
            <v>萬泰科六</v>
          </cell>
          <cell r="H2158">
            <v>100000</v>
          </cell>
          <cell r="I2158">
            <v>4</v>
          </cell>
          <cell r="J2158">
            <v>45961</v>
          </cell>
          <cell r="K2158">
            <v>100</v>
          </cell>
          <cell r="L2158">
            <v>45943</v>
          </cell>
          <cell r="M2158">
            <v>-3299</v>
          </cell>
          <cell r="N2158">
            <v>96701</v>
          </cell>
        </row>
        <row r="2159">
          <cell r="A2159">
            <v>35482</v>
          </cell>
          <cell r="B2159">
            <v>2153</v>
          </cell>
          <cell r="C2159" t="str">
            <v>IASWD2407001315</v>
          </cell>
          <cell r="D2159">
            <v>45491</v>
          </cell>
          <cell r="E2159">
            <v>46395</v>
          </cell>
          <cell r="F2159" t="str">
            <v>35482</v>
          </cell>
          <cell r="G2159" t="str">
            <v>兆利二</v>
          </cell>
          <cell r="H2159">
            <v>100000</v>
          </cell>
          <cell r="I2159">
            <v>3</v>
          </cell>
          <cell r="J2159">
            <v>46395</v>
          </cell>
          <cell r="K2159">
            <v>100</v>
          </cell>
          <cell r="L2159">
            <v>46377</v>
          </cell>
          <cell r="M2159">
            <v>-2474</v>
          </cell>
          <cell r="N2159">
            <v>97526</v>
          </cell>
        </row>
        <row r="2160">
          <cell r="A2160">
            <v>64145</v>
          </cell>
          <cell r="B2160">
            <v>2154</v>
          </cell>
          <cell r="C2160" t="str">
            <v>IASWD2407001316</v>
          </cell>
          <cell r="D2160">
            <v>45491</v>
          </cell>
          <cell r="E2160">
            <v>46250</v>
          </cell>
          <cell r="F2160" t="str">
            <v>64145</v>
          </cell>
          <cell r="G2160" t="str">
            <v>樺漢五</v>
          </cell>
          <cell r="H2160">
            <v>200000</v>
          </cell>
          <cell r="I2160">
            <v>3</v>
          </cell>
          <cell r="J2160">
            <v>46250</v>
          </cell>
          <cell r="K2160">
            <v>100</v>
          </cell>
          <cell r="L2160">
            <v>46231</v>
          </cell>
          <cell r="M2160">
            <v>-4948</v>
          </cell>
          <cell r="N2160">
            <v>195052</v>
          </cell>
        </row>
        <row r="2161">
          <cell r="A2161">
            <v>36804</v>
          </cell>
          <cell r="B2161">
            <v>2155</v>
          </cell>
          <cell r="C2161" t="str">
            <v>IASWD2407001319</v>
          </cell>
          <cell r="D2161">
            <v>45491</v>
          </cell>
          <cell r="E2161">
            <v>45948</v>
          </cell>
          <cell r="F2161" t="str">
            <v>36804</v>
          </cell>
          <cell r="G2161" t="str">
            <v>家登四</v>
          </cell>
          <cell r="H2161">
            <v>100000</v>
          </cell>
          <cell r="I2161">
            <v>3.2</v>
          </cell>
          <cell r="J2161">
            <v>45948</v>
          </cell>
          <cell r="K2161">
            <v>100</v>
          </cell>
          <cell r="L2161">
            <v>45926</v>
          </cell>
          <cell r="M2161">
            <v>-2639</v>
          </cell>
          <cell r="N2161">
            <v>97361</v>
          </cell>
        </row>
        <row r="2162">
          <cell r="A2162">
            <v>61965</v>
          </cell>
          <cell r="B2162">
            <v>2156</v>
          </cell>
          <cell r="C2162" t="str">
            <v>IASWD2407001323</v>
          </cell>
          <cell r="D2162">
            <v>45491</v>
          </cell>
          <cell r="E2162">
            <v>46200</v>
          </cell>
          <cell r="F2162" t="str">
            <v>61965</v>
          </cell>
          <cell r="G2162" t="str">
            <v>帆宣五</v>
          </cell>
          <cell r="H2162">
            <v>600000</v>
          </cell>
          <cell r="I2162">
            <v>3</v>
          </cell>
          <cell r="J2162">
            <v>46200</v>
          </cell>
          <cell r="K2162">
            <v>100</v>
          </cell>
          <cell r="L2162">
            <v>46182</v>
          </cell>
          <cell r="M2162">
            <v>-14844</v>
          </cell>
          <cell r="N2162">
            <v>585156</v>
          </cell>
        </row>
        <row r="2163">
          <cell r="A2163">
            <v>64145</v>
          </cell>
          <cell r="B2163">
            <v>2157</v>
          </cell>
          <cell r="C2163" t="str">
            <v>IASWD2407001325</v>
          </cell>
          <cell r="D2163">
            <v>45491</v>
          </cell>
          <cell r="E2163">
            <v>46250</v>
          </cell>
          <cell r="F2163" t="str">
            <v>64145</v>
          </cell>
          <cell r="G2163" t="str">
            <v>樺漢五</v>
          </cell>
          <cell r="H2163">
            <v>200000</v>
          </cell>
          <cell r="I2163">
            <v>3</v>
          </cell>
          <cell r="J2163">
            <v>46250</v>
          </cell>
          <cell r="K2163">
            <v>100</v>
          </cell>
          <cell r="L2163">
            <v>46231</v>
          </cell>
          <cell r="M2163">
            <v>-4948</v>
          </cell>
          <cell r="N2163">
            <v>195052</v>
          </cell>
        </row>
        <row r="2164">
          <cell r="A2164">
            <v>34843</v>
          </cell>
          <cell r="B2164">
            <v>2158</v>
          </cell>
          <cell r="C2164" t="str">
            <v>IASWD2407001327</v>
          </cell>
          <cell r="D2164">
            <v>45491</v>
          </cell>
          <cell r="E2164">
            <v>46136</v>
          </cell>
          <cell r="F2164" t="str">
            <v>34843</v>
          </cell>
          <cell r="G2164" t="str">
            <v>崧騰三</v>
          </cell>
          <cell r="H2164">
            <v>100000</v>
          </cell>
          <cell r="I2164">
            <v>3.5</v>
          </cell>
          <cell r="J2164">
            <v>46136</v>
          </cell>
          <cell r="K2164">
            <v>100.75</v>
          </cell>
          <cell r="L2164">
            <v>46118</v>
          </cell>
          <cell r="M2164">
            <v>-2886</v>
          </cell>
          <cell r="N2164">
            <v>97114</v>
          </cell>
        </row>
        <row r="2165">
          <cell r="A2165">
            <v>61965</v>
          </cell>
          <cell r="B2165">
            <v>2159</v>
          </cell>
          <cell r="C2165" t="str">
            <v>IASWD2407001328</v>
          </cell>
          <cell r="D2165">
            <v>45491</v>
          </cell>
          <cell r="E2165">
            <v>46200</v>
          </cell>
          <cell r="F2165" t="str">
            <v>61965</v>
          </cell>
          <cell r="G2165" t="str">
            <v>帆宣五</v>
          </cell>
          <cell r="H2165">
            <v>100000</v>
          </cell>
          <cell r="I2165">
            <v>3</v>
          </cell>
          <cell r="J2165">
            <v>46200</v>
          </cell>
          <cell r="K2165">
            <v>100</v>
          </cell>
          <cell r="L2165">
            <v>46182</v>
          </cell>
          <cell r="M2165">
            <v>-2474</v>
          </cell>
          <cell r="N2165">
            <v>97526</v>
          </cell>
        </row>
        <row r="2166">
          <cell r="A2166">
            <v>61965</v>
          </cell>
          <cell r="B2166">
            <v>2160</v>
          </cell>
          <cell r="C2166" t="str">
            <v>IASWD2407001331</v>
          </cell>
          <cell r="D2166">
            <v>45491</v>
          </cell>
          <cell r="E2166">
            <v>46200</v>
          </cell>
          <cell r="F2166" t="str">
            <v>61965</v>
          </cell>
          <cell r="G2166" t="str">
            <v>帆宣五</v>
          </cell>
          <cell r="H2166">
            <v>100000</v>
          </cell>
          <cell r="I2166">
            <v>3</v>
          </cell>
          <cell r="J2166">
            <v>46200</v>
          </cell>
          <cell r="K2166">
            <v>100</v>
          </cell>
          <cell r="L2166">
            <v>46182</v>
          </cell>
          <cell r="M2166">
            <v>-2474</v>
          </cell>
          <cell r="N2166">
            <v>97526</v>
          </cell>
        </row>
        <row r="2167">
          <cell r="A2167">
            <v>61965</v>
          </cell>
          <cell r="B2167">
            <v>2161</v>
          </cell>
          <cell r="C2167" t="str">
            <v>IASWD2407001332</v>
          </cell>
          <cell r="D2167">
            <v>45491</v>
          </cell>
          <cell r="E2167">
            <v>46200</v>
          </cell>
          <cell r="F2167" t="str">
            <v>61965</v>
          </cell>
          <cell r="G2167" t="str">
            <v>帆宣五</v>
          </cell>
          <cell r="H2167">
            <v>100000</v>
          </cell>
          <cell r="I2167">
            <v>3</v>
          </cell>
          <cell r="J2167">
            <v>46200</v>
          </cell>
          <cell r="K2167">
            <v>100</v>
          </cell>
          <cell r="L2167">
            <v>46182</v>
          </cell>
          <cell r="M2167">
            <v>-2474</v>
          </cell>
          <cell r="N2167">
            <v>97526</v>
          </cell>
        </row>
        <row r="2168">
          <cell r="A2168">
            <v>33121</v>
          </cell>
          <cell r="B2168">
            <v>2162</v>
          </cell>
          <cell r="C2168" t="str">
            <v>IASWD2407001335</v>
          </cell>
          <cell r="D2168">
            <v>45491</v>
          </cell>
          <cell r="E2168">
            <v>46563</v>
          </cell>
          <cell r="F2168" t="str">
            <v>33121</v>
          </cell>
          <cell r="G2168" t="str">
            <v>弘憶股一</v>
          </cell>
          <cell r="H2168">
            <v>100000</v>
          </cell>
          <cell r="I2168">
            <v>3.5</v>
          </cell>
          <cell r="J2168">
            <v>46563</v>
          </cell>
          <cell r="K2168">
            <v>100</v>
          </cell>
          <cell r="L2168">
            <v>46545</v>
          </cell>
          <cell r="M2168">
            <v>-2886</v>
          </cell>
          <cell r="N2168">
            <v>97114</v>
          </cell>
        </row>
        <row r="2169">
          <cell r="A2169">
            <v>64145</v>
          </cell>
          <cell r="B2169">
            <v>2163</v>
          </cell>
          <cell r="C2169" t="str">
            <v>IASWD2407001336</v>
          </cell>
          <cell r="D2169">
            <v>45491</v>
          </cell>
          <cell r="E2169">
            <v>46250</v>
          </cell>
          <cell r="F2169" t="str">
            <v>64145</v>
          </cell>
          <cell r="G2169" t="str">
            <v>樺漢五</v>
          </cell>
          <cell r="H2169">
            <v>200000</v>
          </cell>
          <cell r="I2169">
            <v>3</v>
          </cell>
          <cell r="J2169">
            <v>46250</v>
          </cell>
          <cell r="K2169">
            <v>100</v>
          </cell>
          <cell r="L2169">
            <v>46231</v>
          </cell>
          <cell r="M2169">
            <v>-4948</v>
          </cell>
          <cell r="N2169">
            <v>195052</v>
          </cell>
        </row>
        <row r="2170">
          <cell r="A2170">
            <v>64145</v>
          </cell>
          <cell r="B2170">
            <v>2164</v>
          </cell>
          <cell r="C2170" t="str">
            <v>IASWD2407001338</v>
          </cell>
          <cell r="D2170">
            <v>45491</v>
          </cell>
          <cell r="E2170">
            <v>46250</v>
          </cell>
          <cell r="F2170" t="str">
            <v>64145</v>
          </cell>
          <cell r="G2170" t="str">
            <v>樺漢五</v>
          </cell>
          <cell r="H2170">
            <v>100000</v>
          </cell>
          <cell r="I2170">
            <v>3</v>
          </cell>
          <cell r="J2170">
            <v>46250</v>
          </cell>
          <cell r="K2170">
            <v>100</v>
          </cell>
          <cell r="L2170">
            <v>46231</v>
          </cell>
          <cell r="M2170">
            <v>-2474</v>
          </cell>
          <cell r="N2170">
            <v>97526</v>
          </cell>
        </row>
        <row r="2171">
          <cell r="A2171">
            <v>61965</v>
          </cell>
          <cell r="B2171">
            <v>2165</v>
          </cell>
          <cell r="C2171" t="str">
            <v>IASWD2407001339</v>
          </cell>
          <cell r="D2171">
            <v>45491</v>
          </cell>
          <cell r="E2171">
            <v>46200</v>
          </cell>
          <cell r="F2171" t="str">
            <v>61965</v>
          </cell>
          <cell r="G2171" t="str">
            <v>帆宣五</v>
          </cell>
          <cell r="H2171">
            <v>900000</v>
          </cell>
          <cell r="I2171">
            <v>3</v>
          </cell>
          <cell r="J2171">
            <v>46200</v>
          </cell>
          <cell r="K2171">
            <v>100</v>
          </cell>
          <cell r="L2171">
            <v>46182</v>
          </cell>
          <cell r="M2171">
            <v>-22266</v>
          </cell>
          <cell r="N2171">
            <v>877734</v>
          </cell>
        </row>
        <row r="2172">
          <cell r="A2172">
            <v>35482</v>
          </cell>
          <cell r="B2172">
            <v>2166</v>
          </cell>
          <cell r="C2172" t="str">
            <v>IASWD2407001340</v>
          </cell>
          <cell r="D2172">
            <v>45491</v>
          </cell>
          <cell r="E2172">
            <v>46395</v>
          </cell>
          <cell r="F2172" t="str">
            <v>35482</v>
          </cell>
          <cell r="G2172" t="str">
            <v>兆利二</v>
          </cell>
          <cell r="H2172">
            <v>100000</v>
          </cell>
          <cell r="I2172">
            <v>3</v>
          </cell>
          <cell r="J2172">
            <v>46395</v>
          </cell>
          <cell r="K2172">
            <v>100</v>
          </cell>
          <cell r="L2172">
            <v>46377</v>
          </cell>
          <cell r="M2172">
            <v>-2474</v>
          </cell>
          <cell r="N2172">
            <v>97526</v>
          </cell>
        </row>
        <row r="2173">
          <cell r="A2173">
            <v>36804</v>
          </cell>
          <cell r="B2173">
            <v>2167</v>
          </cell>
          <cell r="C2173" t="str">
            <v>IASWD2407001344</v>
          </cell>
          <cell r="D2173">
            <v>45491</v>
          </cell>
          <cell r="E2173">
            <v>45948</v>
          </cell>
          <cell r="F2173" t="str">
            <v>36804</v>
          </cell>
          <cell r="G2173" t="str">
            <v>家登四</v>
          </cell>
          <cell r="H2173">
            <v>100000</v>
          </cell>
          <cell r="I2173">
            <v>3.2</v>
          </cell>
          <cell r="J2173">
            <v>45948</v>
          </cell>
          <cell r="K2173">
            <v>100</v>
          </cell>
          <cell r="L2173">
            <v>45926</v>
          </cell>
          <cell r="M2173">
            <v>-2639</v>
          </cell>
          <cell r="N2173">
            <v>97361</v>
          </cell>
        </row>
        <row r="2174">
          <cell r="A2174">
            <v>33121</v>
          </cell>
          <cell r="B2174">
            <v>2168</v>
          </cell>
          <cell r="C2174" t="str">
            <v>IASWD2407001348</v>
          </cell>
          <cell r="D2174">
            <v>45491</v>
          </cell>
          <cell r="E2174">
            <v>46563</v>
          </cell>
          <cell r="F2174" t="str">
            <v>33121</v>
          </cell>
          <cell r="G2174" t="str">
            <v>弘憶股一</v>
          </cell>
          <cell r="H2174">
            <v>200000</v>
          </cell>
          <cell r="I2174">
            <v>3.5</v>
          </cell>
          <cell r="J2174">
            <v>46563</v>
          </cell>
          <cell r="K2174">
            <v>100</v>
          </cell>
          <cell r="L2174">
            <v>46545</v>
          </cell>
          <cell r="M2174">
            <v>-5773</v>
          </cell>
          <cell r="N2174">
            <v>194227</v>
          </cell>
        </row>
        <row r="2175">
          <cell r="A2175">
            <v>64145</v>
          </cell>
          <cell r="B2175">
            <v>2169</v>
          </cell>
          <cell r="C2175" t="str">
            <v>IASWD2407001349</v>
          </cell>
          <cell r="D2175">
            <v>45491</v>
          </cell>
          <cell r="E2175">
            <v>46250</v>
          </cell>
          <cell r="F2175" t="str">
            <v>64145</v>
          </cell>
          <cell r="G2175" t="str">
            <v>樺漢五</v>
          </cell>
          <cell r="H2175">
            <v>100000</v>
          </cell>
          <cell r="I2175">
            <v>3</v>
          </cell>
          <cell r="J2175">
            <v>46250</v>
          </cell>
          <cell r="K2175">
            <v>100</v>
          </cell>
          <cell r="L2175">
            <v>46231</v>
          </cell>
          <cell r="M2175">
            <v>-2474</v>
          </cell>
          <cell r="N2175">
            <v>97526</v>
          </cell>
        </row>
        <row r="2176">
          <cell r="A2176">
            <v>36804</v>
          </cell>
          <cell r="B2176">
            <v>2170</v>
          </cell>
          <cell r="C2176" t="str">
            <v>IASWD2407001354</v>
          </cell>
          <cell r="D2176">
            <v>45491</v>
          </cell>
          <cell r="E2176">
            <v>45948</v>
          </cell>
          <cell r="F2176" t="str">
            <v>36804</v>
          </cell>
          <cell r="G2176" t="str">
            <v>家登四</v>
          </cell>
          <cell r="H2176">
            <v>100000</v>
          </cell>
          <cell r="I2176">
            <v>3.2</v>
          </cell>
          <cell r="J2176">
            <v>45948</v>
          </cell>
          <cell r="K2176">
            <v>100</v>
          </cell>
          <cell r="L2176">
            <v>45926</v>
          </cell>
          <cell r="M2176">
            <v>-2639</v>
          </cell>
          <cell r="N2176">
            <v>97361</v>
          </cell>
        </row>
        <row r="2177">
          <cell r="A2177">
            <v>36804</v>
          </cell>
          <cell r="B2177">
            <v>2171</v>
          </cell>
          <cell r="C2177" t="str">
            <v>IASWD2407001355</v>
          </cell>
          <cell r="D2177">
            <v>45491</v>
          </cell>
          <cell r="E2177">
            <v>45948</v>
          </cell>
          <cell r="F2177" t="str">
            <v>36804</v>
          </cell>
          <cell r="G2177" t="str">
            <v>家登四</v>
          </cell>
          <cell r="H2177">
            <v>100000</v>
          </cell>
          <cell r="I2177">
            <v>3.2</v>
          </cell>
          <cell r="J2177">
            <v>45948</v>
          </cell>
          <cell r="K2177">
            <v>100</v>
          </cell>
          <cell r="L2177">
            <v>45926</v>
          </cell>
          <cell r="M2177">
            <v>-2639</v>
          </cell>
          <cell r="N2177">
            <v>97361</v>
          </cell>
        </row>
        <row r="2178">
          <cell r="A2178">
            <v>36804</v>
          </cell>
          <cell r="B2178">
            <v>2172</v>
          </cell>
          <cell r="C2178" t="str">
            <v>IASWD2407001358</v>
          </cell>
          <cell r="D2178">
            <v>45491</v>
          </cell>
          <cell r="E2178">
            <v>45948</v>
          </cell>
          <cell r="F2178" t="str">
            <v>36804</v>
          </cell>
          <cell r="G2178" t="str">
            <v>家登四</v>
          </cell>
          <cell r="H2178">
            <v>100000</v>
          </cell>
          <cell r="I2178">
            <v>3.2</v>
          </cell>
          <cell r="J2178">
            <v>45948</v>
          </cell>
          <cell r="K2178">
            <v>100</v>
          </cell>
          <cell r="L2178">
            <v>45926</v>
          </cell>
          <cell r="M2178">
            <v>-2639</v>
          </cell>
          <cell r="N2178">
            <v>97361</v>
          </cell>
        </row>
        <row r="2179">
          <cell r="A2179">
            <v>34163</v>
          </cell>
          <cell r="B2179">
            <v>2173</v>
          </cell>
          <cell r="C2179" t="str">
            <v>IASWD2407001362</v>
          </cell>
          <cell r="D2179">
            <v>45491</v>
          </cell>
          <cell r="E2179">
            <v>46047</v>
          </cell>
          <cell r="F2179" t="str">
            <v>34163</v>
          </cell>
          <cell r="G2179" t="str">
            <v>融程電三</v>
          </cell>
          <cell r="H2179">
            <v>100000</v>
          </cell>
          <cell r="I2179">
            <v>3</v>
          </cell>
          <cell r="J2179">
            <v>46047</v>
          </cell>
          <cell r="K2179">
            <v>100.5</v>
          </cell>
          <cell r="L2179">
            <v>46028</v>
          </cell>
          <cell r="M2179">
            <v>-2474</v>
          </cell>
          <cell r="N2179">
            <v>97526</v>
          </cell>
        </row>
        <row r="2180">
          <cell r="A2180">
            <v>36804</v>
          </cell>
          <cell r="B2180">
            <v>2174</v>
          </cell>
          <cell r="C2180" t="str">
            <v>IASWD2407001364</v>
          </cell>
          <cell r="D2180">
            <v>45491</v>
          </cell>
          <cell r="E2180">
            <v>45948</v>
          </cell>
          <cell r="F2180" t="str">
            <v>36804</v>
          </cell>
          <cell r="G2180" t="str">
            <v>家登四</v>
          </cell>
          <cell r="H2180">
            <v>300000</v>
          </cell>
          <cell r="I2180">
            <v>3.2</v>
          </cell>
          <cell r="J2180">
            <v>45948</v>
          </cell>
          <cell r="K2180">
            <v>100</v>
          </cell>
          <cell r="L2180">
            <v>45926</v>
          </cell>
          <cell r="M2180">
            <v>-7917</v>
          </cell>
          <cell r="N2180">
            <v>292083</v>
          </cell>
        </row>
        <row r="2181">
          <cell r="A2181">
            <v>35482</v>
          </cell>
          <cell r="B2181">
            <v>2175</v>
          </cell>
          <cell r="C2181" t="str">
            <v>IASWD2407001366</v>
          </cell>
          <cell r="D2181">
            <v>45491</v>
          </cell>
          <cell r="E2181">
            <v>46395</v>
          </cell>
          <cell r="F2181" t="str">
            <v>35482</v>
          </cell>
          <cell r="G2181" t="str">
            <v>兆利二</v>
          </cell>
          <cell r="H2181">
            <v>100000</v>
          </cell>
          <cell r="I2181">
            <v>3</v>
          </cell>
          <cell r="J2181">
            <v>46395</v>
          </cell>
          <cell r="K2181">
            <v>100</v>
          </cell>
          <cell r="L2181">
            <v>46377</v>
          </cell>
          <cell r="M2181">
            <v>-2474</v>
          </cell>
          <cell r="N2181">
            <v>97526</v>
          </cell>
        </row>
        <row r="2182">
          <cell r="A2182">
            <v>34793</v>
          </cell>
          <cell r="B2182">
            <v>2176</v>
          </cell>
          <cell r="C2182" t="str">
            <v>IASWD2407001369</v>
          </cell>
          <cell r="D2182">
            <v>45491</v>
          </cell>
          <cell r="E2182">
            <v>46409</v>
          </cell>
          <cell r="F2182" t="str">
            <v>34793</v>
          </cell>
          <cell r="G2182" t="str">
            <v>安勤三</v>
          </cell>
          <cell r="H2182">
            <v>100000</v>
          </cell>
          <cell r="I2182">
            <v>3</v>
          </cell>
          <cell r="J2182">
            <v>46409</v>
          </cell>
          <cell r="K2182">
            <v>100</v>
          </cell>
          <cell r="L2182">
            <v>46391</v>
          </cell>
          <cell r="M2182">
            <v>-2474</v>
          </cell>
          <cell r="N2182">
            <v>97526</v>
          </cell>
        </row>
        <row r="2183">
          <cell r="A2183">
            <v>65096</v>
          </cell>
          <cell r="B2183">
            <v>2177</v>
          </cell>
          <cell r="C2183" t="str">
            <v>IASWD2407001370</v>
          </cell>
          <cell r="D2183">
            <v>45491</v>
          </cell>
          <cell r="E2183">
            <v>46206</v>
          </cell>
          <cell r="F2183" t="str">
            <v>65096</v>
          </cell>
          <cell r="G2183" t="str">
            <v>聚和六</v>
          </cell>
          <cell r="H2183">
            <v>100000</v>
          </cell>
          <cell r="I2183">
            <v>3.1</v>
          </cell>
          <cell r="J2183">
            <v>46206</v>
          </cell>
          <cell r="K2183">
            <v>100</v>
          </cell>
          <cell r="L2183">
            <v>46188</v>
          </cell>
          <cell r="M2183">
            <v>-2556</v>
          </cell>
          <cell r="N2183">
            <v>97444</v>
          </cell>
        </row>
        <row r="2184">
          <cell r="A2184">
            <v>64145</v>
          </cell>
          <cell r="B2184">
            <v>2178</v>
          </cell>
          <cell r="C2184" t="str">
            <v>IASWD2407001371</v>
          </cell>
          <cell r="D2184">
            <v>45491</v>
          </cell>
          <cell r="E2184">
            <v>46250</v>
          </cell>
          <cell r="F2184" t="str">
            <v>64145</v>
          </cell>
          <cell r="G2184" t="str">
            <v>樺漢五</v>
          </cell>
          <cell r="H2184">
            <v>200000</v>
          </cell>
          <cell r="I2184">
            <v>3</v>
          </cell>
          <cell r="J2184">
            <v>46250</v>
          </cell>
          <cell r="K2184">
            <v>100</v>
          </cell>
          <cell r="L2184">
            <v>46231</v>
          </cell>
          <cell r="M2184">
            <v>-4948</v>
          </cell>
          <cell r="N2184">
            <v>195052</v>
          </cell>
        </row>
        <row r="2185">
          <cell r="A2185">
            <v>34843</v>
          </cell>
          <cell r="B2185">
            <v>2179</v>
          </cell>
          <cell r="C2185" t="str">
            <v>IASWD2407001372</v>
          </cell>
          <cell r="D2185">
            <v>45491</v>
          </cell>
          <cell r="E2185">
            <v>46136</v>
          </cell>
          <cell r="F2185" t="str">
            <v>34843</v>
          </cell>
          <cell r="G2185" t="str">
            <v>崧騰三</v>
          </cell>
          <cell r="H2185">
            <v>500000</v>
          </cell>
          <cell r="I2185">
            <v>3.5</v>
          </cell>
          <cell r="J2185">
            <v>46136</v>
          </cell>
          <cell r="K2185">
            <v>100.75</v>
          </cell>
          <cell r="L2185">
            <v>46118</v>
          </cell>
          <cell r="M2185">
            <v>-14432</v>
          </cell>
          <cell r="N2185">
            <v>485568</v>
          </cell>
        </row>
        <row r="2186">
          <cell r="A2186">
            <v>61965</v>
          </cell>
          <cell r="B2186">
            <v>2180</v>
          </cell>
          <cell r="C2186" t="str">
            <v>IASWD2407001373</v>
          </cell>
          <cell r="D2186">
            <v>45491</v>
          </cell>
          <cell r="E2186">
            <v>46200</v>
          </cell>
          <cell r="F2186" t="str">
            <v>61965</v>
          </cell>
          <cell r="G2186" t="str">
            <v>帆宣五</v>
          </cell>
          <cell r="H2186">
            <v>100000</v>
          </cell>
          <cell r="I2186">
            <v>3</v>
          </cell>
          <cell r="J2186">
            <v>46200</v>
          </cell>
          <cell r="K2186">
            <v>100</v>
          </cell>
          <cell r="L2186">
            <v>46182</v>
          </cell>
          <cell r="M2186">
            <v>-2474</v>
          </cell>
          <cell r="N2186">
            <v>97526</v>
          </cell>
        </row>
        <row r="2187">
          <cell r="A2187">
            <v>34793</v>
          </cell>
          <cell r="B2187">
            <v>2181</v>
          </cell>
          <cell r="C2187" t="str">
            <v>IASWD2407001375</v>
          </cell>
          <cell r="D2187">
            <v>45491</v>
          </cell>
          <cell r="E2187">
            <v>46409</v>
          </cell>
          <cell r="F2187" t="str">
            <v>34793</v>
          </cell>
          <cell r="G2187" t="str">
            <v>安勤三</v>
          </cell>
          <cell r="H2187">
            <v>100000</v>
          </cell>
          <cell r="I2187">
            <v>3</v>
          </cell>
          <cell r="J2187">
            <v>46409</v>
          </cell>
          <cell r="K2187">
            <v>100</v>
          </cell>
          <cell r="L2187">
            <v>46391</v>
          </cell>
          <cell r="M2187">
            <v>-2474</v>
          </cell>
          <cell r="N2187">
            <v>97526</v>
          </cell>
        </row>
        <row r="2188">
          <cell r="A2188">
            <v>33121</v>
          </cell>
          <cell r="B2188">
            <v>2182</v>
          </cell>
          <cell r="C2188" t="str">
            <v>IASWD2407001376</v>
          </cell>
          <cell r="D2188">
            <v>45491</v>
          </cell>
          <cell r="E2188">
            <v>46563</v>
          </cell>
          <cell r="F2188" t="str">
            <v>33121</v>
          </cell>
          <cell r="G2188" t="str">
            <v>弘憶股一</v>
          </cell>
          <cell r="H2188">
            <v>100000</v>
          </cell>
          <cell r="I2188">
            <v>3.5</v>
          </cell>
          <cell r="J2188">
            <v>46563</v>
          </cell>
          <cell r="K2188">
            <v>100</v>
          </cell>
          <cell r="L2188">
            <v>46545</v>
          </cell>
          <cell r="M2188">
            <v>-2886</v>
          </cell>
          <cell r="N2188">
            <v>97114</v>
          </cell>
        </row>
        <row r="2189">
          <cell r="A2189">
            <v>34793</v>
          </cell>
          <cell r="B2189">
            <v>2183</v>
          </cell>
          <cell r="C2189" t="str">
            <v>IASWD2407001377</v>
          </cell>
          <cell r="D2189">
            <v>45491</v>
          </cell>
          <cell r="E2189">
            <v>46409</v>
          </cell>
          <cell r="F2189" t="str">
            <v>34793</v>
          </cell>
          <cell r="G2189" t="str">
            <v>安勤三</v>
          </cell>
          <cell r="H2189">
            <v>1000000</v>
          </cell>
          <cell r="I2189">
            <v>3</v>
          </cell>
          <cell r="J2189">
            <v>46409</v>
          </cell>
          <cell r="K2189">
            <v>100</v>
          </cell>
          <cell r="L2189">
            <v>46391</v>
          </cell>
          <cell r="M2189">
            <v>-24740</v>
          </cell>
          <cell r="N2189">
            <v>975260</v>
          </cell>
        </row>
        <row r="2190">
          <cell r="A2190">
            <v>65096</v>
          </cell>
          <cell r="B2190">
            <v>2184</v>
          </cell>
          <cell r="C2190" t="str">
            <v>IASWD2407001379</v>
          </cell>
          <cell r="D2190">
            <v>45491</v>
          </cell>
          <cell r="E2190">
            <v>46206</v>
          </cell>
          <cell r="F2190" t="str">
            <v>65096</v>
          </cell>
          <cell r="G2190" t="str">
            <v>聚和六</v>
          </cell>
          <cell r="H2190">
            <v>100000</v>
          </cell>
          <cell r="I2190">
            <v>3.1</v>
          </cell>
          <cell r="J2190">
            <v>46206</v>
          </cell>
          <cell r="K2190">
            <v>100</v>
          </cell>
          <cell r="L2190">
            <v>46188</v>
          </cell>
          <cell r="M2190">
            <v>-2556</v>
          </cell>
          <cell r="N2190">
            <v>97444</v>
          </cell>
        </row>
        <row r="2191">
          <cell r="A2191">
            <v>61965</v>
          </cell>
          <cell r="B2191">
            <v>2185</v>
          </cell>
          <cell r="C2191" t="str">
            <v>IASWD2407001470</v>
          </cell>
          <cell r="D2191">
            <v>45492</v>
          </cell>
          <cell r="E2191">
            <v>46200</v>
          </cell>
          <cell r="F2191" t="str">
            <v>61965</v>
          </cell>
          <cell r="G2191" t="str">
            <v>帆宣五</v>
          </cell>
          <cell r="H2191">
            <v>200000</v>
          </cell>
          <cell r="I2191">
            <v>3</v>
          </cell>
          <cell r="J2191">
            <v>46200</v>
          </cell>
          <cell r="K2191">
            <v>100</v>
          </cell>
          <cell r="L2191">
            <v>46182</v>
          </cell>
          <cell r="M2191">
            <v>-4932</v>
          </cell>
          <cell r="N2191">
            <v>195068</v>
          </cell>
        </row>
        <row r="2192">
          <cell r="A2192">
            <v>61906</v>
          </cell>
          <cell r="B2192">
            <v>2186</v>
          </cell>
          <cell r="C2192" t="str">
            <v>IASWD2407001471</v>
          </cell>
          <cell r="D2192">
            <v>45492</v>
          </cell>
          <cell r="E2192">
            <v>45961</v>
          </cell>
          <cell r="F2192" t="str">
            <v>61906</v>
          </cell>
          <cell r="G2192" t="str">
            <v>萬泰科六</v>
          </cell>
          <cell r="H2192">
            <v>100000</v>
          </cell>
          <cell r="I2192">
            <v>4</v>
          </cell>
          <cell r="J2192">
            <v>45961</v>
          </cell>
          <cell r="K2192">
            <v>100</v>
          </cell>
          <cell r="L2192">
            <v>45943</v>
          </cell>
          <cell r="M2192">
            <v>-3288</v>
          </cell>
          <cell r="N2192">
            <v>96712</v>
          </cell>
        </row>
        <row r="2193">
          <cell r="A2193">
            <v>61965</v>
          </cell>
          <cell r="B2193">
            <v>2187</v>
          </cell>
          <cell r="C2193" t="str">
            <v>IASWD2407001473</v>
          </cell>
          <cell r="D2193">
            <v>45492</v>
          </cell>
          <cell r="E2193">
            <v>46200</v>
          </cell>
          <cell r="F2193" t="str">
            <v>61965</v>
          </cell>
          <cell r="G2193" t="str">
            <v>帆宣五</v>
          </cell>
          <cell r="H2193">
            <v>100000</v>
          </cell>
          <cell r="I2193">
            <v>3</v>
          </cell>
          <cell r="J2193">
            <v>46200</v>
          </cell>
          <cell r="K2193">
            <v>100</v>
          </cell>
          <cell r="L2193">
            <v>46182</v>
          </cell>
          <cell r="M2193">
            <v>-2466</v>
          </cell>
          <cell r="N2193">
            <v>97534</v>
          </cell>
        </row>
        <row r="2194">
          <cell r="A2194">
            <v>34834</v>
          </cell>
          <cell r="B2194">
            <v>2188</v>
          </cell>
          <cell r="C2194" t="str">
            <v>IASWD2407001474</v>
          </cell>
          <cell r="D2194">
            <v>45492</v>
          </cell>
          <cell r="E2194">
            <v>46529</v>
          </cell>
          <cell r="F2194" t="str">
            <v>34834</v>
          </cell>
          <cell r="G2194" t="str">
            <v>力致四</v>
          </cell>
          <cell r="H2194">
            <v>100000</v>
          </cell>
          <cell r="I2194">
            <v>3.75</v>
          </cell>
          <cell r="J2194">
            <v>46529</v>
          </cell>
          <cell r="K2194">
            <v>100</v>
          </cell>
          <cell r="L2194">
            <v>46511</v>
          </cell>
          <cell r="M2194">
            <v>-3082</v>
          </cell>
          <cell r="N2194">
            <v>96918</v>
          </cell>
        </row>
        <row r="2195">
          <cell r="A2195">
            <v>64145</v>
          </cell>
          <cell r="B2195">
            <v>2189</v>
          </cell>
          <cell r="C2195" t="str">
            <v>IASWD2407001475</v>
          </cell>
          <cell r="D2195">
            <v>45492</v>
          </cell>
          <cell r="E2195">
            <v>46250</v>
          </cell>
          <cell r="F2195" t="str">
            <v>64145</v>
          </cell>
          <cell r="G2195" t="str">
            <v>樺漢五</v>
          </cell>
          <cell r="H2195">
            <v>300000</v>
          </cell>
          <cell r="I2195">
            <v>3</v>
          </cell>
          <cell r="J2195">
            <v>46250</v>
          </cell>
          <cell r="K2195">
            <v>100</v>
          </cell>
          <cell r="L2195">
            <v>46231</v>
          </cell>
          <cell r="M2195">
            <v>-7397</v>
          </cell>
          <cell r="N2195">
            <v>292603</v>
          </cell>
        </row>
        <row r="2196">
          <cell r="A2196">
            <v>22013</v>
          </cell>
          <cell r="B2196">
            <v>2190</v>
          </cell>
          <cell r="C2196" t="str">
            <v>IASWD2407001477</v>
          </cell>
          <cell r="D2196">
            <v>45492</v>
          </cell>
          <cell r="E2196">
            <v>46167</v>
          </cell>
          <cell r="F2196" t="str">
            <v>22013</v>
          </cell>
          <cell r="G2196" t="str">
            <v>裕隆三</v>
          </cell>
          <cell r="H2196">
            <v>200000</v>
          </cell>
          <cell r="I2196">
            <v>3</v>
          </cell>
          <cell r="J2196">
            <v>46167</v>
          </cell>
          <cell r="K2196">
            <v>100.75190000000001</v>
          </cell>
          <cell r="L2196">
            <v>46147</v>
          </cell>
          <cell r="M2196">
            <v>-4932</v>
          </cell>
          <cell r="N2196">
            <v>195068</v>
          </cell>
        </row>
        <row r="2197">
          <cell r="A2197">
            <v>22013</v>
          </cell>
          <cell r="B2197">
            <v>2191</v>
          </cell>
          <cell r="C2197" t="str">
            <v>IASWD2407001483</v>
          </cell>
          <cell r="D2197">
            <v>45492</v>
          </cell>
          <cell r="E2197">
            <v>46167</v>
          </cell>
          <cell r="F2197" t="str">
            <v>22013</v>
          </cell>
          <cell r="G2197" t="str">
            <v>裕隆三</v>
          </cell>
          <cell r="H2197">
            <v>4000000</v>
          </cell>
          <cell r="I2197">
            <v>3</v>
          </cell>
          <cell r="J2197">
            <v>46167</v>
          </cell>
          <cell r="K2197">
            <v>100.75190000000001</v>
          </cell>
          <cell r="L2197">
            <v>46147</v>
          </cell>
          <cell r="M2197">
            <v>-98630</v>
          </cell>
          <cell r="N2197">
            <v>3901370</v>
          </cell>
        </row>
        <row r="2198">
          <cell r="A2198">
            <v>22013</v>
          </cell>
          <cell r="B2198">
            <v>2192</v>
          </cell>
          <cell r="C2198" t="str">
            <v>IASWD2407001484</v>
          </cell>
          <cell r="D2198">
            <v>45492</v>
          </cell>
          <cell r="E2198">
            <v>46167</v>
          </cell>
          <cell r="F2198" t="str">
            <v>22013</v>
          </cell>
          <cell r="G2198" t="str">
            <v>裕隆三</v>
          </cell>
          <cell r="H2198">
            <v>200000</v>
          </cell>
          <cell r="I2198">
            <v>3</v>
          </cell>
          <cell r="J2198">
            <v>46167</v>
          </cell>
          <cell r="K2198">
            <v>100.75190000000001</v>
          </cell>
          <cell r="L2198">
            <v>46147</v>
          </cell>
          <cell r="M2198">
            <v>-4932</v>
          </cell>
          <cell r="N2198">
            <v>195068</v>
          </cell>
        </row>
        <row r="2199">
          <cell r="A2199">
            <v>35482</v>
          </cell>
          <cell r="B2199">
            <v>2193</v>
          </cell>
          <cell r="C2199" t="str">
            <v>IASWD2407001486</v>
          </cell>
          <cell r="D2199">
            <v>45492</v>
          </cell>
          <cell r="E2199">
            <v>46395</v>
          </cell>
          <cell r="F2199" t="str">
            <v>35482</v>
          </cell>
          <cell r="G2199" t="str">
            <v>兆利二</v>
          </cell>
          <cell r="H2199">
            <v>100000</v>
          </cell>
          <cell r="I2199">
            <v>3</v>
          </cell>
          <cell r="J2199">
            <v>46395</v>
          </cell>
          <cell r="K2199">
            <v>100</v>
          </cell>
          <cell r="L2199">
            <v>46377</v>
          </cell>
          <cell r="M2199">
            <v>-2466</v>
          </cell>
          <cell r="N2199">
            <v>97534</v>
          </cell>
        </row>
        <row r="2200">
          <cell r="A2200">
            <v>61906</v>
          </cell>
          <cell r="B2200">
            <v>2194</v>
          </cell>
          <cell r="C2200" t="str">
            <v>IASWD2407001487</v>
          </cell>
          <cell r="D2200">
            <v>45492</v>
          </cell>
          <cell r="E2200">
            <v>45961</v>
          </cell>
          <cell r="F2200" t="str">
            <v>61906</v>
          </cell>
          <cell r="G2200" t="str">
            <v>萬泰科六</v>
          </cell>
          <cell r="H2200">
            <v>200000</v>
          </cell>
          <cell r="I2200">
            <v>4</v>
          </cell>
          <cell r="J2200">
            <v>45961</v>
          </cell>
          <cell r="K2200">
            <v>100</v>
          </cell>
          <cell r="L2200">
            <v>45943</v>
          </cell>
          <cell r="M2200">
            <v>-6575</v>
          </cell>
          <cell r="N2200">
            <v>193425</v>
          </cell>
        </row>
        <row r="2201">
          <cell r="A2201">
            <v>61906</v>
          </cell>
          <cell r="B2201">
            <v>2195</v>
          </cell>
          <cell r="C2201" t="str">
            <v>IASWD2407001489</v>
          </cell>
          <cell r="D2201">
            <v>45492</v>
          </cell>
          <cell r="E2201">
            <v>45961</v>
          </cell>
          <cell r="F2201" t="str">
            <v>61906</v>
          </cell>
          <cell r="G2201" t="str">
            <v>萬泰科六</v>
          </cell>
          <cell r="H2201">
            <v>200000</v>
          </cell>
          <cell r="I2201">
            <v>4</v>
          </cell>
          <cell r="J2201">
            <v>45961</v>
          </cell>
          <cell r="K2201">
            <v>100</v>
          </cell>
          <cell r="L2201">
            <v>45943</v>
          </cell>
          <cell r="M2201">
            <v>-6575</v>
          </cell>
          <cell r="N2201">
            <v>193425</v>
          </cell>
        </row>
        <row r="2202">
          <cell r="A2202">
            <v>33121</v>
          </cell>
          <cell r="B2202">
            <v>2196</v>
          </cell>
          <cell r="C2202" t="str">
            <v>IASWD2407001491</v>
          </cell>
          <cell r="D2202">
            <v>45492</v>
          </cell>
          <cell r="E2202">
            <v>46563</v>
          </cell>
          <cell r="F2202" t="str">
            <v>33121</v>
          </cell>
          <cell r="G2202" t="str">
            <v>弘憶股一</v>
          </cell>
          <cell r="H2202">
            <v>200000</v>
          </cell>
          <cell r="I2202">
            <v>3.5</v>
          </cell>
          <cell r="J2202">
            <v>46563</v>
          </cell>
          <cell r="K2202">
            <v>100</v>
          </cell>
          <cell r="L2202">
            <v>46545</v>
          </cell>
          <cell r="M2202">
            <v>-5753</v>
          </cell>
          <cell r="N2202">
            <v>194247</v>
          </cell>
        </row>
        <row r="2203">
          <cell r="A2203">
            <v>34843</v>
          </cell>
          <cell r="B2203">
            <v>2197</v>
          </cell>
          <cell r="C2203" t="str">
            <v>IASWD2407001493</v>
          </cell>
          <cell r="D2203">
            <v>45492</v>
          </cell>
          <cell r="E2203">
            <v>46136</v>
          </cell>
          <cell r="F2203" t="str">
            <v>34843</v>
          </cell>
          <cell r="G2203" t="str">
            <v>崧騰三</v>
          </cell>
          <cell r="H2203">
            <v>100000</v>
          </cell>
          <cell r="I2203">
            <v>3.5</v>
          </cell>
          <cell r="J2203">
            <v>46136</v>
          </cell>
          <cell r="K2203">
            <v>100.75</v>
          </cell>
          <cell r="L2203">
            <v>46118</v>
          </cell>
          <cell r="M2203">
            <v>-2877</v>
          </cell>
          <cell r="N2203">
            <v>97123</v>
          </cell>
        </row>
        <row r="2204">
          <cell r="A2204">
            <v>22013</v>
          </cell>
          <cell r="B2204">
            <v>2198</v>
          </cell>
          <cell r="C2204" t="str">
            <v>IASWD2407001494</v>
          </cell>
          <cell r="D2204">
            <v>45492</v>
          </cell>
          <cell r="E2204">
            <v>46167</v>
          </cell>
          <cell r="F2204" t="str">
            <v>22013</v>
          </cell>
          <cell r="G2204" t="str">
            <v>裕隆三</v>
          </cell>
          <cell r="H2204">
            <v>100000</v>
          </cell>
          <cell r="I2204">
            <v>3</v>
          </cell>
          <cell r="J2204">
            <v>46167</v>
          </cell>
          <cell r="K2204">
            <v>100.75190000000001</v>
          </cell>
          <cell r="L2204">
            <v>46147</v>
          </cell>
          <cell r="M2204">
            <v>-2466</v>
          </cell>
          <cell r="N2204">
            <v>97534</v>
          </cell>
        </row>
        <row r="2205">
          <cell r="A2205">
            <v>22013</v>
          </cell>
          <cell r="B2205">
            <v>2199</v>
          </cell>
          <cell r="C2205" t="str">
            <v>IASWD2407001498</v>
          </cell>
          <cell r="D2205">
            <v>45492</v>
          </cell>
          <cell r="E2205">
            <v>46167</v>
          </cell>
          <cell r="F2205" t="str">
            <v>22013</v>
          </cell>
          <cell r="G2205" t="str">
            <v>裕隆三</v>
          </cell>
          <cell r="H2205">
            <v>500000</v>
          </cell>
          <cell r="I2205">
            <v>3</v>
          </cell>
          <cell r="J2205">
            <v>46167</v>
          </cell>
          <cell r="K2205">
            <v>100.75190000000001</v>
          </cell>
          <cell r="L2205">
            <v>46147</v>
          </cell>
          <cell r="M2205">
            <v>-12329</v>
          </cell>
          <cell r="N2205">
            <v>487671</v>
          </cell>
        </row>
        <row r="2206">
          <cell r="A2206">
            <v>64145</v>
          </cell>
          <cell r="B2206">
            <v>2200</v>
          </cell>
          <cell r="C2206" t="str">
            <v>IASWD2407001501</v>
          </cell>
          <cell r="D2206">
            <v>45492</v>
          </cell>
          <cell r="E2206">
            <v>46250</v>
          </cell>
          <cell r="F2206" t="str">
            <v>64145</v>
          </cell>
          <cell r="G2206" t="str">
            <v>樺漢五</v>
          </cell>
          <cell r="H2206">
            <v>100000</v>
          </cell>
          <cell r="I2206">
            <v>3</v>
          </cell>
          <cell r="J2206">
            <v>46250</v>
          </cell>
          <cell r="K2206">
            <v>100</v>
          </cell>
          <cell r="L2206">
            <v>46231</v>
          </cell>
          <cell r="M2206">
            <v>-2466</v>
          </cell>
          <cell r="N2206">
            <v>97534</v>
          </cell>
        </row>
        <row r="2207">
          <cell r="A2207">
            <v>36804</v>
          </cell>
          <cell r="B2207">
            <v>2201</v>
          </cell>
          <cell r="C2207" t="str">
            <v>IASWD2407001506</v>
          </cell>
          <cell r="D2207">
            <v>45492</v>
          </cell>
          <cell r="E2207">
            <v>45948</v>
          </cell>
          <cell r="F2207" t="str">
            <v>36804</v>
          </cell>
          <cell r="G2207" t="str">
            <v>家登四</v>
          </cell>
          <cell r="H2207">
            <v>200000</v>
          </cell>
          <cell r="I2207">
            <v>3.2</v>
          </cell>
          <cell r="J2207">
            <v>45948</v>
          </cell>
          <cell r="K2207">
            <v>100</v>
          </cell>
          <cell r="L2207">
            <v>45926</v>
          </cell>
          <cell r="M2207">
            <v>-5260</v>
          </cell>
          <cell r="N2207">
            <v>194740</v>
          </cell>
        </row>
        <row r="2208">
          <cell r="A2208">
            <v>35482</v>
          </cell>
          <cell r="B2208">
            <v>2202</v>
          </cell>
          <cell r="C2208" t="str">
            <v>IASWD2407001508</v>
          </cell>
          <cell r="D2208">
            <v>45492</v>
          </cell>
          <cell r="E2208">
            <v>46395</v>
          </cell>
          <cell r="F2208" t="str">
            <v>35482</v>
          </cell>
          <cell r="G2208" t="str">
            <v>兆利二</v>
          </cell>
          <cell r="H2208">
            <v>100000</v>
          </cell>
          <cell r="I2208">
            <v>3</v>
          </cell>
          <cell r="J2208">
            <v>46395</v>
          </cell>
          <cell r="K2208">
            <v>100</v>
          </cell>
          <cell r="L2208">
            <v>46377</v>
          </cell>
          <cell r="M2208">
            <v>-2466</v>
          </cell>
          <cell r="N2208">
            <v>97534</v>
          </cell>
        </row>
        <row r="2209">
          <cell r="A2209">
            <v>65096</v>
          </cell>
          <cell r="B2209">
            <v>2203</v>
          </cell>
          <cell r="C2209" t="str">
            <v>IASWD2407001509</v>
          </cell>
          <cell r="D2209">
            <v>45492</v>
          </cell>
          <cell r="E2209">
            <v>46206</v>
          </cell>
          <cell r="F2209" t="str">
            <v>65096</v>
          </cell>
          <cell r="G2209" t="str">
            <v>聚和六</v>
          </cell>
          <cell r="H2209">
            <v>100000</v>
          </cell>
          <cell r="I2209">
            <v>3.1</v>
          </cell>
          <cell r="J2209">
            <v>46206</v>
          </cell>
          <cell r="K2209">
            <v>100</v>
          </cell>
          <cell r="L2209">
            <v>46188</v>
          </cell>
          <cell r="M2209">
            <v>-2548</v>
          </cell>
          <cell r="N2209">
            <v>97452</v>
          </cell>
        </row>
        <row r="2210">
          <cell r="A2210">
            <v>22013</v>
          </cell>
          <cell r="B2210">
            <v>2204</v>
          </cell>
          <cell r="C2210" t="str">
            <v>IASWD2407001511</v>
          </cell>
          <cell r="D2210">
            <v>45492</v>
          </cell>
          <cell r="E2210">
            <v>46167</v>
          </cell>
          <cell r="F2210" t="str">
            <v>22013</v>
          </cell>
          <cell r="G2210" t="str">
            <v>裕隆三</v>
          </cell>
          <cell r="H2210">
            <v>300000</v>
          </cell>
          <cell r="I2210">
            <v>3</v>
          </cell>
          <cell r="J2210">
            <v>46167</v>
          </cell>
          <cell r="K2210">
            <v>100.75190000000001</v>
          </cell>
          <cell r="L2210">
            <v>46147</v>
          </cell>
          <cell r="M2210">
            <v>-7397</v>
          </cell>
          <cell r="N2210">
            <v>292603</v>
          </cell>
        </row>
        <row r="2211">
          <cell r="A2211">
            <v>34843</v>
          </cell>
          <cell r="B2211">
            <v>2205</v>
          </cell>
          <cell r="C2211" t="str">
            <v>IASWD2407001512</v>
          </cell>
          <cell r="D2211">
            <v>45492</v>
          </cell>
          <cell r="E2211">
            <v>46136</v>
          </cell>
          <cell r="F2211" t="str">
            <v>34843</v>
          </cell>
          <cell r="G2211" t="str">
            <v>崧騰三</v>
          </cell>
          <cell r="H2211">
            <v>100000</v>
          </cell>
          <cell r="I2211">
            <v>3.5</v>
          </cell>
          <cell r="J2211">
            <v>46136</v>
          </cell>
          <cell r="K2211">
            <v>100.75</v>
          </cell>
          <cell r="L2211">
            <v>46118</v>
          </cell>
          <cell r="M2211">
            <v>-2877</v>
          </cell>
          <cell r="N2211">
            <v>97123</v>
          </cell>
        </row>
        <row r="2212">
          <cell r="A2212">
            <v>33121</v>
          </cell>
          <cell r="B2212">
            <v>2206</v>
          </cell>
          <cell r="C2212" t="str">
            <v>IASWD2407001513</v>
          </cell>
          <cell r="D2212">
            <v>45492</v>
          </cell>
          <cell r="E2212">
            <v>46563</v>
          </cell>
          <cell r="F2212" t="str">
            <v>33121</v>
          </cell>
          <cell r="G2212" t="str">
            <v>弘憶股一</v>
          </cell>
          <cell r="H2212">
            <v>100000</v>
          </cell>
          <cell r="I2212">
            <v>3.5</v>
          </cell>
          <cell r="J2212">
            <v>46563</v>
          </cell>
          <cell r="K2212">
            <v>100</v>
          </cell>
          <cell r="L2212">
            <v>46545</v>
          </cell>
          <cell r="M2212">
            <v>-2877</v>
          </cell>
          <cell r="N2212">
            <v>97123</v>
          </cell>
        </row>
        <row r="2213">
          <cell r="A2213">
            <v>56086</v>
          </cell>
          <cell r="B2213">
            <v>2207</v>
          </cell>
          <cell r="C2213" t="str">
            <v>IASWD2407001514</v>
          </cell>
          <cell r="D2213">
            <v>45492</v>
          </cell>
          <cell r="E2213">
            <v>46194</v>
          </cell>
          <cell r="F2213" t="str">
            <v>56086</v>
          </cell>
          <cell r="G2213" t="str">
            <v>四維航六</v>
          </cell>
          <cell r="H2213">
            <v>200000</v>
          </cell>
          <cell r="I2213">
            <v>2.35</v>
          </cell>
          <cell r="J2213">
            <v>46194</v>
          </cell>
          <cell r="K2213">
            <v>100</v>
          </cell>
          <cell r="L2213">
            <v>46175</v>
          </cell>
          <cell r="M2213">
            <v>-3863</v>
          </cell>
          <cell r="N2213">
            <v>196137</v>
          </cell>
        </row>
        <row r="2214">
          <cell r="A2214">
            <v>56086</v>
          </cell>
          <cell r="B2214">
            <v>2208</v>
          </cell>
          <cell r="C2214" t="str">
            <v>IASWD2407001516</v>
          </cell>
          <cell r="D2214">
            <v>45492</v>
          </cell>
          <cell r="E2214">
            <v>46194</v>
          </cell>
          <cell r="F2214" t="str">
            <v>56086</v>
          </cell>
          <cell r="G2214" t="str">
            <v>四維航六</v>
          </cell>
          <cell r="H2214">
            <v>100000</v>
          </cell>
          <cell r="I2214">
            <v>2.35</v>
          </cell>
          <cell r="J2214">
            <v>46194</v>
          </cell>
          <cell r="K2214">
            <v>100</v>
          </cell>
          <cell r="L2214">
            <v>46175</v>
          </cell>
          <cell r="M2214">
            <v>-1932</v>
          </cell>
          <cell r="N2214">
            <v>98068</v>
          </cell>
        </row>
        <row r="2215">
          <cell r="A2215">
            <v>34163</v>
          </cell>
          <cell r="B2215">
            <v>2209</v>
          </cell>
          <cell r="C2215" t="str">
            <v>IASWD2407001519</v>
          </cell>
          <cell r="D2215">
            <v>45492</v>
          </cell>
          <cell r="E2215">
            <v>46047</v>
          </cell>
          <cell r="F2215" t="str">
            <v>34163</v>
          </cell>
          <cell r="G2215" t="str">
            <v>融程電三</v>
          </cell>
          <cell r="H2215">
            <v>100000</v>
          </cell>
          <cell r="I2215">
            <v>3</v>
          </cell>
          <cell r="J2215">
            <v>46047</v>
          </cell>
          <cell r="K2215">
            <v>100.5</v>
          </cell>
          <cell r="L2215">
            <v>46028</v>
          </cell>
          <cell r="M2215">
            <v>-2466</v>
          </cell>
          <cell r="N2215">
            <v>97534</v>
          </cell>
        </row>
        <row r="2216">
          <cell r="A2216">
            <v>34843</v>
          </cell>
          <cell r="B2216">
            <v>2210</v>
          </cell>
          <cell r="C2216" t="str">
            <v>IASWD2407001520</v>
          </cell>
          <cell r="D2216">
            <v>45492</v>
          </cell>
          <cell r="E2216">
            <v>46136</v>
          </cell>
          <cell r="F2216" t="str">
            <v>34843</v>
          </cell>
          <cell r="G2216" t="str">
            <v>崧騰三</v>
          </cell>
          <cell r="H2216">
            <v>100000</v>
          </cell>
          <cell r="I2216">
            <v>3.5</v>
          </cell>
          <cell r="J2216">
            <v>46136</v>
          </cell>
          <cell r="K2216">
            <v>100.75</v>
          </cell>
          <cell r="L2216">
            <v>46118</v>
          </cell>
          <cell r="M2216">
            <v>-2877</v>
          </cell>
          <cell r="N2216">
            <v>97123</v>
          </cell>
        </row>
        <row r="2217">
          <cell r="A2217">
            <v>64145</v>
          </cell>
          <cell r="B2217">
            <v>2211</v>
          </cell>
          <cell r="C2217" t="str">
            <v>IASWD2407001525</v>
          </cell>
          <cell r="D2217">
            <v>45492</v>
          </cell>
          <cell r="E2217">
            <v>46250</v>
          </cell>
          <cell r="F2217" t="str">
            <v>64145</v>
          </cell>
          <cell r="G2217" t="str">
            <v>樺漢五</v>
          </cell>
          <cell r="H2217">
            <v>100000</v>
          </cell>
          <cell r="I2217">
            <v>3</v>
          </cell>
          <cell r="J2217">
            <v>46250</v>
          </cell>
          <cell r="K2217">
            <v>100</v>
          </cell>
          <cell r="L2217">
            <v>46231</v>
          </cell>
          <cell r="M2217">
            <v>-2466</v>
          </cell>
          <cell r="N2217">
            <v>97534</v>
          </cell>
        </row>
        <row r="2218">
          <cell r="A2218">
            <v>61906</v>
          </cell>
          <cell r="B2218">
            <v>2212</v>
          </cell>
          <cell r="C2218" t="str">
            <v>IASWD2407001528</v>
          </cell>
          <cell r="D2218">
            <v>45492</v>
          </cell>
          <cell r="E2218">
            <v>45961</v>
          </cell>
          <cell r="F2218" t="str">
            <v>61906</v>
          </cell>
          <cell r="G2218" t="str">
            <v>萬泰科六</v>
          </cell>
          <cell r="H2218">
            <v>100000</v>
          </cell>
          <cell r="I2218">
            <v>4</v>
          </cell>
          <cell r="J2218">
            <v>45961</v>
          </cell>
          <cell r="K2218">
            <v>100</v>
          </cell>
          <cell r="L2218">
            <v>45943</v>
          </cell>
          <cell r="M2218">
            <v>-3288</v>
          </cell>
          <cell r="N2218">
            <v>96712</v>
          </cell>
        </row>
        <row r="2219">
          <cell r="A2219">
            <v>33121</v>
          </cell>
          <cell r="B2219">
            <v>2213</v>
          </cell>
          <cell r="C2219" t="str">
            <v>IASWD2407001530</v>
          </cell>
          <cell r="D2219">
            <v>45492</v>
          </cell>
          <cell r="E2219">
            <v>46563</v>
          </cell>
          <cell r="F2219" t="str">
            <v>33121</v>
          </cell>
          <cell r="G2219" t="str">
            <v>弘憶股一</v>
          </cell>
          <cell r="H2219">
            <v>100000</v>
          </cell>
          <cell r="I2219">
            <v>3.5</v>
          </cell>
          <cell r="J2219">
            <v>46563</v>
          </cell>
          <cell r="K2219">
            <v>100</v>
          </cell>
          <cell r="L2219">
            <v>46545</v>
          </cell>
          <cell r="M2219">
            <v>-2877</v>
          </cell>
          <cell r="N2219">
            <v>97123</v>
          </cell>
        </row>
        <row r="2220">
          <cell r="A2220">
            <v>34163</v>
          </cell>
          <cell r="B2220">
            <v>2214</v>
          </cell>
          <cell r="C2220" t="str">
            <v>IASWD2407001532</v>
          </cell>
          <cell r="D2220">
            <v>45492</v>
          </cell>
          <cell r="E2220">
            <v>46047</v>
          </cell>
          <cell r="F2220" t="str">
            <v>34163</v>
          </cell>
          <cell r="G2220" t="str">
            <v>融程電三</v>
          </cell>
          <cell r="H2220">
            <v>100000</v>
          </cell>
          <cell r="I2220">
            <v>3</v>
          </cell>
          <cell r="J2220">
            <v>46047</v>
          </cell>
          <cell r="K2220">
            <v>100.5</v>
          </cell>
          <cell r="L2220">
            <v>46028</v>
          </cell>
          <cell r="M2220">
            <v>-2466</v>
          </cell>
          <cell r="N2220">
            <v>97534</v>
          </cell>
        </row>
        <row r="2221">
          <cell r="A2221">
            <v>22013</v>
          </cell>
          <cell r="B2221">
            <v>2215</v>
          </cell>
          <cell r="C2221" t="str">
            <v>IASWD2407001533</v>
          </cell>
          <cell r="D2221">
            <v>45492</v>
          </cell>
          <cell r="E2221">
            <v>46167</v>
          </cell>
          <cell r="F2221" t="str">
            <v>22013</v>
          </cell>
          <cell r="G2221" t="str">
            <v>裕隆三</v>
          </cell>
          <cell r="H2221">
            <v>100000</v>
          </cell>
          <cell r="I2221">
            <v>3</v>
          </cell>
          <cell r="J2221">
            <v>46167</v>
          </cell>
          <cell r="K2221">
            <v>100.75190000000001</v>
          </cell>
          <cell r="L2221">
            <v>46147</v>
          </cell>
          <cell r="M2221">
            <v>-2466</v>
          </cell>
          <cell r="N2221">
            <v>97534</v>
          </cell>
        </row>
        <row r="2222">
          <cell r="A2222">
            <v>64145</v>
          </cell>
          <cell r="B2222">
            <v>2216</v>
          </cell>
          <cell r="C2222" t="str">
            <v>IASWD2407001536</v>
          </cell>
          <cell r="D2222">
            <v>45492</v>
          </cell>
          <cell r="E2222">
            <v>46250</v>
          </cell>
          <cell r="F2222" t="str">
            <v>64145</v>
          </cell>
          <cell r="G2222" t="str">
            <v>樺漢五</v>
          </cell>
          <cell r="H2222">
            <v>100000</v>
          </cell>
          <cell r="I2222">
            <v>3</v>
          </cell>
          <cell r="J2222">
            <v>46250</v>
          </cell>
          <cell r="K2222">
            <v>100</v>
          </cell>
          <cell r="L2222">
            <v>46231</v>
          </cell>
          <cell r="M2222">
            <v>-2466</v>
          </cell>
          <cell r="N2222">
            <v>97534</v>
          </cell>
        </row>
        <row r="2223">
          <cell r="A2223">
            <v>33121</v>
          </cell>
          <cell r="B2223">
            <v>2217</v>
          </cell>
          <cell r="C2223" t="str">
            <v>IASWD2407001538</v>
          </cell>
          <cell r="D2223">
            <v>45492</v>
          </cell>
          <cell r="E2223">
            <v>46563</v>
          </cell>
          <cell r="F2223" t="str">
            <v>33121</v>
          </cell>
          <cell r="G2223" t="str">
            <v>弘憶股一</v>
          </cell>
          <cell r="H2223">
            <v>100000</v>
          </cell>
          <cell r="I2223">
            <v>3.5</v>
          </cell>
          <cell r="J2223">
            <v>46563</v>
          </cell>
          <cell r="K2223">
            <v>100</v>
          </cell>
          <cell r="L2223">
            <v>46545</v>
          </cell>
          <cell r="M2223">
            <v>-2877</v>
          </cell>
          <cell r="N2223">
            <v>97123</v>
          </cell>
        </row>
        <row r="2224">
          <cell r="A2224">
            <v>35482</v>
          </cell>
          <cell r="B2224">
            <v>2218</v>
          </cell>
          <cell r="C2224" t="str">
            <v>IASWD2407001539</v>
          </cell>
          <cell r="D2224">
            <v>45492</v>
          </cell>
          <cell r="E2224">
            <v>46395</v>
          </cell>
          <cell r="F2224" t="str">
            <v>35482</v>
          </cell>
          <cell r="G2224" t="str">
            <v>兆利二</v>
          </cell>
          <cell r="H2224">
            <v>300000</v>
          </cell>
          <cell r="I2224">
            <v>3</v>
          </cell>
          <cell r="J2224">
            <v>46395</v>
          </cell>
          <cell r="K2224">
            <v>100</v>
          </cell>
          <cell r="L2224">
            <v>46377</v>
          </cell>
          <cell r="M2224">
            <v>-7397</v>
          </cell>
          <cell r="N2224">
            <v>292603</v>
          </cell>
        </row>
        <row r="2225">
          <cell r="A2225">
            <v>34843</v>
          </cell>
          <cell r="B2225">
            <v>2219</v>
          </cell>
          <cell r="C2225" t="str">
            <v>IASWD2407001540</v>
          </cell>
          <cell r="D2225">
            <v>45492</v>
          </cell>
          <cell r="E2225">
            <v>46136</v>
          </cell>
          <cell r="F2225" t="str">
            <v>34843</v>
          </cell>
          <cell r="G2225" t="str">
            <v>崧騰三</v>
          </cell>
          <cell r="H2225">
            <v>200000</v>
          </cell>
          <cell r="I2225">
            <v>3.5</v>
          </cell>
          <cell r="J2225">
            <v>46136</v>
          </cell>
          <cell r="K2225">
            <v>100.75</v>
          </cell>
          <cell r="L2225">
            <v>46118</v>
          </cell>
          <cell r="M2225">
            <v>-5753</v>
          </cell>
          <cell r="N2225">
            <v>194247</v>
          </cell>
        </row>
        <row r="2226">
          <cell r="A2226">
            <v>64145</v>
          </cell>
          <cell r="B2226">
            <v>2220</v>
          </cell>
          <cell r="C2226" t="str">
            <v>IASWD2407001543</v>
          </cell>
          <cell r="D2226">
            <v>45492</v>
          </cell>
          <cell r="E2226">
            <v>46250</v>
          </cell>
          <cell r="F2226" t="str">
            <v>64145</v>
          </cell>
          <cell r="G2226" t="str">
            <v>樺漢五</v>
          </cell>
          <cell r="H2226">
            <v>1000000</v>
          </cell>
          <cell r="I2226">
            <v>3</v>
          </cell>
          <cell r="J2226">
            <v>46250</v>
          </cell>
          <cell r="K2226">
            <v>100</v>
          </cell>
          <cell r="L2226">
            <v>46231</v>
          </cell>
          <cell r="M2226">
            <v>-24658</v>
          </cell>
          <cell r="N2226">
            <v>975342</v>
          </cell>
        </row>
        <row r="2227">
          <cell r="A2227">
            <v>33121</v>
          </cell>
          <cell r="B2227">
            <v>2221</v>
          </cell>
          <cell r="C2227" t="str">
            <v>IASWD2407001547</v>
          </cell>
          <cell r="D2227">
            <v>45492</v>
          </cell>
          <cell r="E2227">
            <v>46563</v>
          </cell>
          <cell r="F2227" t="str">
            <v>33121</v>
          </cell>
          <cell r="G2227" t="str">
            <v>弘憶股一</v>
          </cell>
          <cell r="H2227">
            <v>100000</v>
          </cell>
          <cell r="I2227">
            <v>3.5</v>
          </cell>
          <cell r="J2227">
            <v>46563</v>
          </cell>
          <cell r="K2227">
            <v>100</v>
          </cell>
          <cell r="L2227">
            <v>46545</v>
          </cell>
          <cell r="M2227">
            <v>-2877</v>
          </cell>
          <cell r="N2227">
            <v>97123</v>
          </cell>
        </row>
        <row r="2228">
          <cell r="A2228">
            <v>65096</v>
          </cell>
          <cell r="B2228">
            <v>2222</v>
          </cell>
          <cell r="C2228" t="str">
            <v>IASWD2407001549</v>
          </cell>
          <cell r="D2228">
            <v>45492</v>
          </cell>
          <cell r="E2228">
            <v>46206</v>
          </cell>
          <cell r="F2228" t="str">
            <v>65096</v>
          </cell>
          <cell r="G2228" t="str">
            <v>聚和六</v>
          </cell>
          <cell r="H2228">
            <v>100000</v>
          </cell>
          <cell r="I2228">
            <v>3.1</v>
          </cell>
          <cell r="J2228">
            <v>46206</v>
          </cell>
          <cell r="K2228">
            <v>100</v>
          </cell>
          <cell r="L2228">
            <v>46188</v>
          </cell>
          <cell r="M2228">
            <v>-2548</v>
          </cell>
          <cell r="N2228">
            <v>97452</v>
          </cell>
        </row>
        <row r="2229">
          <cell r="A2229">
            <v>34843</v>
          </cell>
          <cell r="B2229">
            <v>2223</v>
          </cell>
          <cell r="C2229" t="str">
            <v>IASWD2407001552</v>
          </cell>
          <cell r="D2229">
            <v>45492</v>
          </cell>
          <cell r="E2229">
            <v>46136</v>
          </cell>
          <cell r="F2229" t="str">
            <v>34843</v>
          </cell>
          <cell r="G2229" t="str">
            <v>崧騰三</v>
          </cell>
          <cell r="H2229">
            <v>200000</v>
          </cell>
          <cell r="I2229">
            <v>3.5</v>
          </cell>
          <cell r="J2229">
            <v>46136</v>
          </cell>
          <cell r="K2229">
            <v>100.75</v>
          </cell>
          <cell r="L2229">
            <v>46118</v>
          </cell>
          <cell r="M2229">
            <v>-5753</v>
          </cell>
          <cell r="N2229">
            <v>194247</v>
          </cell>
        </row>
        <row r="2230">
          <cell r="A2230">
            <v>35482</v>
          </cell>
          <cell r="B2230">
            <v>2224</v>
          </cell>
          <cell r="C2230" t="str">
            <v>IASWD2407001554</v>
          </cell>
          <cell r="D2230">
            <v>45492</v>
          </cell>
          <cell r="E2230">
            <v>46395</v>
          </cell>
          <cell r="F2230" t="str">
            <v>35482</v>
          </cell>
          <cell r="G2230" t="str">
            <v>兆利二</v>
          </cell>
          <cell r="H2230">
            <v>100000</v>
          </cell>
          <cell r="I2230">
            <v>3</v>
          </cell>
          <cell r="J2230">
            <v>46395</v>
          </cell>
          <cell r="K2230">
            <v>100</v>
          </cell>
          <cell r="L2230">
            <v>46377</v>
          </cell>
          <cell r="M2230">
            <v>-2466</v>
          </cell>
          <cell r="N2230">
            <v>97534</v>
          </cell>
        </row>
        <row r="2231">
          <cell r="A2231">
            <v>82551</v>
          </cell>
          <cell r="B2231">
            <v>2225</v>
          </cell>
          <cell r="C2231" t="str">
            <v>IASWD2407001555</v>
          </cell>
          <cell r="D2231">
            <v>45492</v>
          </cell>
          <cell r="E2231">
            <v>46243</v>
          </cell>
          <cell r="F2231" t="str">
            <v>82551</v>
          </cell>
          <cell r="G2231" t="str">
            <v>朋程一</v>
          </cell>
          <cell r="H2231">
            <v>100000</v>
          </cell>
          <cell r="I2231">
            <v>2.6</v>
          </cell>
          <cell r="J2231">
            <v>46243</v>
          </cell>
          <cell r="K2231">
            <v>100</v>
          </cell>
          <cell r="L2231">
            <v>46224</v>
          </cell>
          <cell r="M2231">
            <v>-2137</v>
          </cell>
          <cell r="N2231">
            <v>97863</v>
          </cell>
        </row>
        <row r="2232">
          <cell r="A2232">
            <v>64145</v>
          </cell>
          <cell r="B2232">
            <v>2226</v>
          </cell>
          <cell r="C2232" t="str">
            <v>IASWD2407001556</v>
          </cell>
          <cell r="D2232">
            <v>45492</v>
          </cell>
          <cell r="E2232">
            <v>46250</v>
          </cell>
          <cell r="F2232" t="str">
            <v>64145</v>
          </cell>
          <cell r="G2232" t="str">
            <v>樺漢五</v>
          </cell>
          <cell r="H2232">
            <v>200000</v>
          </cell>
          <cell r="I2232">
            <v>3</v>
          </cell>
          <cell r="J2232">
            <v>46250</v>
          </cell>
          <cell r="K2232">
            <v>100</v>
          </cell>
          <cell r="L2232">
            <v>46231</v>
          </cell>
          <cell r="M2232">
            <v>-4932</v>
          </cell>
          <cell r="N2232">
            <v>195068</v>
          </cell>
        </row>
        <row r="2233">
          <cell r="A2233">
            <v>61906</v>
          </cell>
          <cell r="B2233">
            <v>2227</v>
          </cell>
          <cell r="C2233" t="str">
            <v>IASWD2407001557</v>
          </cell>
          <cell r="D2233">
            <v>45492</v>
          </cell>
          <cell r="E2233">
            <v>45961</v>
          </cell>
          <cell r="F2233" t="str">
            <v>61906</v>
          </cell>
          <cell r="G2233" t="str">
            <v>萬泰科六</v>
          </cell>
          <cell r="H2233">
            <v>100000</v>
          </cell>
          <cell r="I2233">
            <v>4</v>
          </cell>
          <cell r="J2233">
            <v>45961</v>
          </cell>
          <cell r="K2233">
            <v>100</v>
          </cell>
          <cell r="L2233">
            <v>45943</v>
          </cell>
          <cell r="M2233">
            <v>-3288</v>
          </cell>
          <cell r="N2233">
            <v>96712</v>
          </cell>
        </row>
        <row r="2234">
          <cell r="A2234">
            <v>64145</v>
          </cell>
          <cell r="B2234">
            <v>2228</v>
          </cell>
          <cell r="C2234" t="str">
            <v>IASWD2407001559</v>
          </cell>
          <cell r="D2234">
            <v>45492</v>
          </cell>
          <cell r="E2234">
            <v>46250</v>
          </cell>
          <cell r="F2234" t="str">
            <v>64145</v>
          </cell>
          <cell r="G2234" t="str">
            <v>樺漢五</v>
          </cell>
          <cell r="H2234">
            <v>100000</v>
          </cell>
          <cell r="I2234">
            <v>3</v>
          </cell>
          <cell r="J2234">
            <v>46250</v>
          </cell>
          <cell r="K2234">
            <v>100</v>
          </cell>
          <cell r="L2234">
            <v>46231</v>
          </cell>
          <cell r="M2234">
            <v>-2466</v>
          </cell>
          <cell r="N2234">
            <v>97534</v>
          </cell>
        </row>
        <row r="2235">
          <cell r="A2235">
            <v>33121</v>
          </cell>
          <cell r="B2235">
            <v>2229</v>
          </cell>
          <cell r="C2235" t="str">
            <v>IASWD2407001677</v>
          </cell>
          <cell r="D2235">
            <v>45495</v>
          </cell>
          <cell r="E2235">
            <v>46563</v>
          </cell>
          <cell r="F2235" t="str">
            <v>33121</v>
          </cell>
          <cell r="G2235" t="str">
            <v>弘憶股一</v>
          </cell>
          <cell r="H2235">
            <v>100000</v>
          </cell>
          <cell r="I2235">
            <v>3.5</v>
          </cell>
          <cell r="J2235">
            <v>46563</v>
          </cell>
          <cell r="K2235">
            <v>100</v>
          </cell>
          <cell r="L2235">
            <v>46545</v>
          </cell>
          <cell r="M2235">
            <v>-2848</v>
          </cell>
          <cell r="N2235">
            <v>97152</v>
          </cell>
        </row>
        <row r="2236">
          <cell r="A2236">
            <v>64145</v>
          </cell>
          <cell r="B2236">
            <v>2230</v>
          </cell>
          <cell r="C2236" t="str">
            <v>IASWD2407001679</v>
          </cell>
          <cell r="D2236">
            <v>45495</v>
          </cell>
          <cell r="E2236">
            <v>46250</v>
          </cell>
          <cell r="F2236" t="str">
            <v>64145</v>
          </cell>
          <cell r="G2236" t="str">
            <v>樺漢五</v>
          </cell>
          <cell r="H2236">
            <v>200000</v>
          </cell>
          <cell r="I2236">
            <v>3</v>
          </cell>
          <cell r="J2236">
            <v>46250</v>
          </cell>
          <cell r="K2236">
            <v>100</v>
          </cell>
          <cell r="L2236">
            <v>46231</v>
          </cell>
          <cell r="M2236">
            <v>-4882</v>
          </cell>
          <cell r="N2236">
            <v>195118</v>
          </cell>
        </row>
        <row r="2237">
          <cell r="A2237">
            <v>64145</v>
          </cell>
          <cell r="B2237">
            <v>2231</v>
          </cell>
          <cell r="C2237" t="str">
            <v>IASWD2407001682</v>
          </cell>
          <cell r="D2237">
            <v>45495</v>
          </cell>
          <cell r="E2237">
            <v>46250</v>
          </cell>
          <cell r="F2237" t="str">
            <v>64145</v>
          </cell>
          <cell r="G2237" t="str">
            <v>樺漢五</v>
          </cell>
          <cell r="H2237">
            <v>100000</v>
          </cell>
          <cell r="I2237">
            <v>3</v>
          </cell>
          <cell r="J2237">
            <v>46250</v>
          </cell>
          <cell r="K2237">
            <v>100</v>
          </cell>
          <cell r="L2237">
            <v>46231</v>
          </cell>
          <cell r="M2237">
            <v>-2441</v>
          </cell>
          <cell r="N2237">
            <v>97559</v>
          </cell>
        </row>
        <row r="2238">
          <cell r="A2238">
            <v>64145</v>
          </cell>
          <cell r="B2238">
            <v>2232</v>
          </cell>
          <cell r="C2238" t="str">
            <v>IASWD2407001684</v>
          </cell>
          <cell r="D2238">
            <v>45495</v>
          </cell>
          <cell r="E2238">
            <v>46250</v>
          </cell>
          <cell r="F2238" t="str">
            <v>64145</v>
          </cell>
          <cell r="G2238" t="str">
            <v>樺漢五</v>
          </cell>
          <cell r="H2238">
            <v>100000</v>
          </cell>
          <cell r="I2238">
            <v>3</v>
          </cell>
          <cell r="J2238">
            <v>46250</v>
          </cell>
          <cell r="K2238">
            <v>100</v>
          </cell>
          <cell r="L2238">
            <v>46231</v>
          </cell>
          <cell r="M2238">
            <v>-2441</v>
          </cell>
          <cell r="N2238">
            <v>97559</v>
          </cell>
        </row>
        <row r="2239">
          <cell r="A2239">
            <v>61906</v>
          </cell>
          <cell r="B2239">
            <v>2233</v>
          </cell>
          <cell r="C2239" t="str">
            <v>IASWD2407001685</v>
          </cell>
          <cell r="D2239">
            <v>45495</v>
          </cell>
          <cell r="E2239">
            <v>45961</v>
          </cell>
          <cell r="F2239" t="str">
            <v>61906</v>
          </cell>
          <cell r="G2239" t="str">
            <v>萬泰科六</v>
          </cell>
          <cell r="H2239">
            <v>100000</v>
          </cell>
          <cell r="I2239">
            <v>4</v>
          </cell>
          <cell r="J2239">
            <v>45961</v>
          </cell>
          <cell r="K2239">
            <v>100</v>
          </cell>
          <cell r="L2239">
            <v>45943</v>
          </cell>
          <cell r="M2239">
            <v>-3255</v>
          </cell>
          <cell r="N2239">
            <v>96745</v>
          </cell>
        </row>
        <row r="2240">
          <cell r="A2240">
            <v>22013</v>
          </cell>
          <cell r="B2240">
            <v>2234</v>
          </cell>
          <cell r="C2240" t="str">
            <v>IASWD2407001687</v>
          </cell>
          <cell r="D2240">
            <v>45495</v>
          </cell>
          <cell r="E2240">
            <v>46167</v>
          </cell>
          <cell r="F2240" t="str">
            <v>22013</v>
          </cell>
          <cell r="G2240" t="str">
            <v>裕隆三</v>
          </cell>
          <cell r="H2240">
            <v>100000</v>
          </cell>
          <cell r="I2240">
            <v>3</v>
          </cell>
          <cell r="J2240">
            <v>46167</v>
          </cell>
          <cell r="K2240">
            <v>100.75190000000001</v>
          </cell>
          <cell r="L2240">
            <v>46147</v>
          </cell>
          <cell r="M2240">
            <v>-2441</v>
          </cell>
          <cell r="N2240">
            <v>97559</v>
          </cell>
        </row>
        <row r="2241">
          <cell r="A2241">
            <v>22013</v>
          </cell>
          <cell r="B2241">
            <v>2235</v>
          </cell>
          <cell r="C2241" t="str">
            <v>IASWD2407001688</v>
          </cell>
          <cell r="D2241">
            <v>45495</v>
          </cell>
          <cell r="E2241">
            <v>46167</v>
          </cell>
          <cell r="F2241" t="str">
            <v>22013</v>
          </cell>
          <cell r="G2241" t="str">
            <v>裕隆三</v>
          </cell>
          <cell r="H2241">
            <v>1000000</v>
          </cell>
          <cell r="I2241">
            <v>3</v>
          </cell>
          <cell r="J2241">
            <v>46167</v>
          </cell>
          <cell r="K2241">
            <v>100.75190000000001</v>
          </cell>
          <cell r="L2241">
            <v>46147</v>
          </cell>
          <cell r="M2241">
            <v>-24411</v>
          </cell>
          <cell r="N2241">
            <v>975589</v>
          </cell>
        </row>
        <row r="2242">
          <cell r="A2242">
            <v>35266</v>
          </cell>
          <cell r="B2242">
            <v>2236</v>
          </cell>
          <cell r="C2242" t="str">
            <v>IASWD2407001689</v>
          </cell>
          <cell r="D2242">
            <v>45495</v>
          </cell>
          <cell r="E2242">
            <v>46416</v>
          </cell>
          <cell r="F2242" t="str">
            <v>35266</v>
          </cell>
          <cell r="G2242" t="str">
            <v>凡甲六</v>
          </cell>
          <cell r="H2242">
            <v>100000</v>
          </cell>
          <cell r="I2242">
            <v>3.5</v>
          </cell>
          <cell r="J2242">
            <v>46416</v>
          </cell>
          <cell r="K2242">
            <v>100</v>
          </cell>
          <cell r="L2242">
            <v>46398</v>
          </cell>
          <cell r="M2242">
            <v>-2848</v>
          </cell>
          <cell r="N2242">
            <v>97152</v>
          </cell>
        </row>
        <row r="2243">
          <cell r="A2243">
            <v>33121</v>
          </cell>
          <cell r="B2243">
            <v>2237</v>
          </cell>
          <cell r="C2243" t="str">
            <v>IASWD2407001690</v>
          </cell>
          <cell r="D2243">
            <v>45495</v>
          </cell>
          <cell r="E2243">
            <v>46563</v>
          </cell>
          <cell r="F2243" t="str">
            <v>33121</v>
          </cell>
          <cell r="G2243" t="str">
            <v>弘憶股一</v>
          </cell>
          <cell r="H2243">
            <v>100000</v>
          </cell>
          <cell r="I2243">
            <v>3.5</v>
          </cell>
          <cell r="J2243">
            <v>46563</v>
          </cell>
          <cell r="K2243">
            <v>100</v>
          </cell>
          <cell r="L2243">
            <v>46545</v>
          </cell>
          <cell r="M2243">
            <v>-2848</v>
          </cell>
          <cell r="N2243">
            <v>97152</v>
          </cell>
        </row>
        <row r="2244">
          <cell r="A2244">
            <v>36804</v>
          </cell>
          <cell r="B2244">
            <v>2238</v>
          </cell>
          <cell r="C2244" t="str">
            <v>IASWD2407001691</v>
          </cell>
          <cell r="D2244">
            <v>45495</v>
          </cell>
          <cell r="E2244">
            <v>45948</v>
          </cell>
          <cell r="F2244" t="str">
            <v>36804</v>
          </cell>
          <cell r="G2244" t="str">
            <v>家登四</v>
          </cell>
          <cell r="H2244">
            <v>100000</v>
          </cell>
          <cell r="I2244">
            <v>3.2</v>
          </cell>
          <cell r="J2244">
            <v>45948</v>
          </cell>
          <cell r="K2244">
            <v>100</v>
          </cell>
          <cell r="L2244">
            <v>45926</v>
          </cell>
          <cell r="M2244">
            <v>-2604</v>
          </cell>
          <cell r="N2244">
            <v>97396</v>
          </cell>
        </row>
        <row r="2245">
          <cell r="A2245">
            <v>35832</v>
          </cell>
          <cell r="B2245">
            <v>2239</v>
          </cell>
          <cell r="C2245" t="str">
            <v>IASWD2407001696</v>
          </cell>
          <cell r="D2245">
            <v>45495</v>
          </cell>
          <cell r="E2245">
            <v>46192</v>
          </cell>
          <cell r="F2245" t="str">
            <v>35832</v>
          </cell>
          <cell r="G2245" t="str">
            <v>辛耘二</v>
          </cell>
          <cell r="H2245">
            <v>100000</v>
          </cell>
          <cell r="I2245">
            <v>3</v>
          </cell>
          <cell r="J2245">
            <v>46192</v>
          </cell>
          <cell r="K2245">
            <v>100</v>
          </cell>
          <cell r="L2245">
            <v>46174</v>
          </cell>
          <cell r="M2245">
            <v>-2441</v>
          </cell>
          <cell r="N2245">
            <v>97559</v>
          </cell>
        </row>
        <row r="2246">
          <cell r="A2246">
            <v>22013</v>
          </cell>
          <cell r="B2246">
            <v>2240</v>
          </cell>
          <cell r="C2246" t="str">
            <v>IASWD2407001697</v>
          </cell>
          <cell r="D2246">
            <v>45495</v>
          </cell>
          <cell r="E2246">
            <v>46167</v>
          </cell>
          <cell r="F2246" t="str">
            <v>22013</v>
          </cell>
          <cell r="G2246" t="str">
            <v>裕隆三</v>
          </cell>
          <cell r="H2246">
            <v>100000</v>
          </cell>
          <cell r="I2246">
            <v>3</v>
          </cell>
          <cell r="J2246">
            <v>46167</v>
          </cell>
          <cell r="K2246">
            <v>100.75190000000001</v>
          </cell>
          <cell r="L2246">
            <v>46147</v>
          </cell>
          <cell r="M2246">
            <v>-2441</v>
          </cell>
          <cell r="N2246">
            <v>97559</v>
          </cell>
        </row>
        <row r="2247">
          <cell r="A2247">
            <v>22013</v>
          </cell>
          <cell r="B2247">
            <v>2241</v>
          </cell>
          <cell r="C2247" t="str">
            <v>IASWD2407001699</v>
          </cell>
          <cell r="D2247">
            <v>45495</v>
          </cell>
          <cell r="E2247">
            <v>46167</v>
          </cell>
          <cell r="F2247" t="str">
            <v>22013</v>
          </cell>
          <cell r="G2247" t="str">
            <v>裕隆三</v>
          </cell>
          <cell r="H2247">
            <v>100000</v>
          </cell>
          <cell r="I2247">
            <v>3</v>
          </cell>
          <cell r="J2247">
            <v>46167</v>
          </cell>
          <cell r="K2247">
            <v>100.75190000000001</v>
          </cell>
          <cell r="L2247">
            <v>46147</v>
          </cell>
          <cell r="M2247">
            <v>-2441</v>
          </cell>
          <cell r="N2247">
            <v>97559</v>
          </cell>
        </row>
        <row r="2248">
          <cell r="A2248">
            <v>64145</v>
          </cell>
          <cell r="B2248">
            <v>2242</v>
          </cell>
          <cell r="C2248" t="str">
            <v>IASWD2407001702</v>
          </cell>
          <cell r="D2248">
            <v>45495</v>
          </cell>
          <cell r="E2248">
            <v>46250</v>
          </cell>
          <cell r="F2248" t="str">
            <v>64145</v>
          </cell>
          <cell r="G2248" t="str">
            <v>樺漢五</v>
          </cell>
          <cell r="H2248">
            <v>100000</v>
          </cell>
          <cell r="I2248">
            <v>3</v>
          </cell>
          <cell r="J2248">
            <v>46250</v>
          </cell>
          <cell r="K2248">
            <v>100</v>
          </cell>
          <cell r="L2248">
            <v>46231</v>
          </cell>
          <cell r="M2248">
            <v>-2441</v>
          </cell>
          <cell r="N2248">
            <v>97559</v>
          </cell>
        </row>
        <row r="2249">
          <cell r="A2249">
            <v>35482</v>
          </cell>
          <cell r="B2249">
            <v>2243</v>
          </cell>
          <cell r="C2249" t="str">
            <v>IASWD2407001703</v>
          </cell>
          <cell r="D2249">
            <v>45495</v>
          </cell>
          <cell r="E2249">
            <v>46395</v>
          </cell>
          <cell r="F2249" t="str">
            <v>35482</v>
          </cell>
          <cell r="G2249" t="str">
            <v>兆利二</v>
          </cell>
          <cell r="H2249">
            <v>100000</v>
          </cell>
          <cell r="I2249">
            <v>3</v>
          </cell>
          <cell r="J2249">
            <v>46395</v>
          </cell>
          <cell r="K2249">
            <v>100</v>
          </cell>
          <cell r="L2249">
            <v>46377</v>
          </cell>
          <cell r="M2249">
            <v>-2441</v>
          </cell>
          <cell r="N2249">
            <v>97559</v>
          </cell>
        </row>
        <row r="2250">
          <cell r="A2250">
            <v>61906</v>
          </cell>
          <cell r="B2250">
            <v>2244</v>
          </cell>
          <cell r="C2250" t="str">
            <v>IASWD2407001706</v>
          </cell>
          <cell r="D2250">
            <v>45495</v>
          </cell>
          <cell r="E2250">
            <v>45961</v>
          </cell>
          <cell r="F2250" t="str">
            <v>61906</v>
          </cell>
          <cell r="G2250" t="str">
            <v>萬泰科六</v>
          </cell>
          <cell r="H2250">
            <v>100000</v>
          </cell>
          <cell r="I2250">
            <v>4</v>
          </cell>
          <cell r="J2250">
            <v>45961</v>
          </cell>
          <cell r="K2250">
            <v>100</v>
          </cell>
          <cell r="L2250">
            <v>45943</v>
          </cell>
          <cell r="M2250">
            <v>-3255</v>
          </cell>
          <cell r="N2250">
            <v>96745</v>
          </cell>
        </row>
        <row r="2251">
          <cell r="A2251">
            <v>22013</v>
          </cell>
          <cell r="B2251">
            <v>2245</v>
          </cell>
          <cell r="C2251" t="str">
            <v>IASWD2407001709</v>
          </cell>
          <cell r="D2251">
            <v>45495</v>
          </cell>
          <cell r="E2251">
            <v>46167</v>
          </cell>
          <cell r="F2251" t="str">
            <v>22013</v>
          </cell>
          <cell r="G2251" t="str">
            <v>裕隆三</v>
          </cell>
          <cell r="H2251">
            <v>200000</v>
          </cell>
          <cell r="I2251">
            <v>3</v>
          </cell>
          <cell r="J2251">
            <v>46167</v>
          </cell>
          <cell r="K2251">
            <v>100.75190000000001</v>
          </cell>
          <cell r="L2251">
            <v>46147</v>
          </cell>
          <cell r="M2251">
            <v>-4882</v>
          </cell>
          <cell r="N2251">
            <v>195118</v>
          </cell>
        </row>
        <row r="2252">
          <cell r="A2252">
            <v>22013</v>
          </cell>
          <cell r="B2252">
            <v>2246</v>
          </cell>
          <cell r="C2252" t="str">
            <v>IASWD2407001712</v>
          </cell>
          <cell r="D2252">
            <v>45495</v>
          </cell>
          <cell r="E2252">
            <v>46167</v>
          </cell>
          <cell r="F2252" t="str">
            <v>22013</v>
          </cell>
          <cell r="G2252" t="str">
            <v>裕隆三</v>
          </cell>
          <cell r="H2252">
            <v>600000</v>
          </cell>
          <cell r="I2252">
            <v>3</v>
          </cell>
          <cell r="J2252">
            <v>46167</v>
          </cell>
          <cell r="K2252">
            <v>100.75190000000001</v>
          </cell>
          <cell r="L2252">
            <v>46147</v>
          </cell>
          <cell r="M2252">
            <v>-14647</v>
          </cell>
          <cell r="N2252">
            <v>585353</v>
          </cell>
        </row>
        <row r="2253">
          <cell r="A2253">
            <v>35482</v>
          </cell>
          <cell r="B2253">
            <v>2247</v>
          </cell>
          <cell r="C2253" t="str">
            <v>IASWD2407001713</v>
          </cell>
          <cell r="D2253">
            <v>45495</v>
          </cell>
          <cell r="E2253">
            <v>46395</v>
          </cell>
          <cell r="F2253" t="str">
            <v>35482</v>
          </cell>
          <cell r="G2253" t="str">
            <v>兆利二</v>
          </cell>
          <cell r="H2253">
            <v>200000</v>
          </cell>
          <cell r="I2253">
            <v>3</v>
          </cell>
          <cell r="J2253">
            <v>46395</v>
          </cell>
          <cell r="K2253">
            <v>100</v>
          </cell>
          <cell r="L2253">
            <v>46377</v>
          </cell>
          <cell r="M2253">
            <v>-4882</v>
          </cell>
          <cell r="N2253">
            <v>195118</v>
          </cell>
        </row>
        <row r="2254">
          <cell r="A2254">
            <v>64145</v>
          </cell>
          <cell r="B2254">
            <v>2248</v>
          </cell>
          <cell r="C2254" t="str">
            <v>IASWD2407001717</v>
          </cell>
          <cell r="D2254">
            <v>45495</v>
          </cell>
          <cell r="E2254">
            <v>46250</v>
          </cell>
          <cell r="F2254" t="str">
            <v>64145</v>
          </cell>
          <cell r="G2254" t="str">
            <v>樺漢五</v>
          </cell>
          <cell r="H2254">
            <v>500000</v>
          </cell>
          <cell r="I2254">
            <v>3</v>
          </cell>
          <cell r="J2254">
            <v>46250</v>
          </cell>
          <cell r="K2254">
            <v>100</v>
          </cell>
          <cell r="L2254">
            <v>46231</v>
          </cell>
          <cell r="M2254">
            <v>-12205</v>
          </cell>
          <cell r="N2254">
            <v>487795</v>
          </cell>
        </row>
        <row r="2255">
          <cell r="A2255">
            <v>34793</v>
          </cell>
          <cell r="B2255">
            <v>2249</v>
          </cell>
          <cell r="C2255" t="str">
            <v>IASWD2407001721</v>
          </cell>
          <cell r="D2255">
            <v>45495</v>
          </cell>
          <cell r="E2255">
            <v>46409</v>
          </cell>
          <cell r="F2255" t="str">
            <v>34793</v>
          </cell>
          <cell r="G2255" t="str">
            <v>安勤三</v>
          </cell>
          <cell r="H2255">
            <v>300000</v>
          </cell>
          <cell r="I2255">
            <v>3</v>
          </cell>
          <cell r="J2255">
            <v>46409</v>
          </cell>
          <cell r="K2255">
            <v>100</v>
          </cell>
          <cell r="L2255">
            <v>46391</v>
          </cell>
          <cell r="M2255">
            <v>-7323</v>
          </cell>
          <cell r="N2255">
            <v>292677</v>
          </cell>
        </row>
        <row r="2256">
          <cell r="A2256">
            <v>35832</v>
          </cell>
          <cell r="B2256">
            <v>2250</v>
          </cell>
          <cell r="C2256" t="str">
            <v>IASWD2407001722</v>
          </cell>
          <cell r="D2256">
            <v>45495</v>
          </cell>
          <cell r="E2256">
            <v>46192</v>
          </cell>
          <cell r="F2256" t="str">
            <v>35832</v>
          </cell>
          <cell r="G2256" t="str">
            <v>辛耘二</v>
          </cell>
          <cell r="H2256">
            <v>200000</v>
          </cell>
          <cell r="I2256">
            <v>3</v>
          </cell>
          <cell r="J2256">
            <v>46192</v>
          </cell>
          <cell r="K2256">
            <v>100</v>
          </cell>
          <cell r="L2256">
            <v>46174</v>
          </cell>
          <cell r="M2256">
            <v>-4882</v>
          </cell>
          <cell r="N2256">
            <v>195118</v>
          </cell>
        </row>
        <row r="2257">
          <cell r="A2257">
            <v>65096</v>
          </cell>
          <cell r="B2257">
            <v>2251</v>
          </cell>
          <cell r="C2257" t="str">
            <v>IASWD2407001723</v>
          </cell>
          <cell r="D2257">
            <v>45495</v>
          </cell>
          <cell r="E2257">
            <v>46206</v>
          </cell>
          <cell r="F2257" t="str">
            <v>65096</v>
          </cell>
          <cell r="G2257" t="str">
            <v>聚和六</v>
          </cell>
          <cell r="H2257">
            <v>100000</v>
          </cell>
          <cell r="I2257">
            <v>3.1</v>
          </cell>
          <cell r="J2257">
            <v>46206</v>
          </cell>
          <cell r="K2257">
            <v>100</v>
          </cell>
          <cell r="L2257">
            <v>46188</v>
          </cell>
          <cell r="M2257">
            <v>-2522</v>
          </cell>
          <cell r="N2257">
            <v>97478</v>
          </cell>
        </row>
        <row r="2258">
          <cell r="A2258">
            <v>84781</v>
          </cell>
          <cell r="B2258">
            <v>2252</v>
          </cell>
          <cell r="C2258" t="str">
            <v>IASWD2407001726</v>
          </cell>
          <cell r="D2258">
            <v>45495</v>
          </cell>
          <cell r="E2258">
            <v>46583</v>
          </cell>
          <cell r="F2258" t="str">
            <v>84781</v>
          </cell>
          <cell r="G2258" t="str">
            <v>東哥遊艇一</v>
          </cell>
          <cell r="H2258">
            <v>100000</v>
          </cell>
          <cell r="I2258">
            <v>3.1</v>
          </cell>
          <cell r="J2258">
            <v>46583</v>
          </cell>
          <cell r="K2258">
            <v>100</v>
          </cell>
          <cell r="L2258">
            <v>46563</v>
          </cell>
          <cell r="M2258">
            <v>-2522</v>
          </cell>
          <cell r="N2258">
            <v>97478</v>
          </cell>
        </row>
        <row r="2259">
          <cell r="A2259">
            <v>84781</v>
          </cell>
          <cell r="B2259">
            <v>2253</v>
          </cell>
          <cell r="C2259" t="str">
            <v>IASWD2407001728</v>
          </cell>
          <cell r="D2259">
            <v>45495</v>
          </cell>
          <cell r="E2259">
            <v>46583</v>
          </cell>
          <cell r="F2259" t="str">
            <v>84781</v>
          </cell>
          <cell r="G2259" t="str">
            <v>東哥遊艇一</v>
          </cell>
          <cell r="H2259">
            <v>100000</v>
          </cell>
          <cell r="I2259">
            <v>3.1</v>
          </cell>
          <cell r="J2259">
            <v>46583</v>
          </cell>
          <cell r="K2259">
            <v>100</v>
          </cell>
          <cell r="L2259">
            <v>46563</v>
          </cell>
          <cell r="M2259">
            <v>-2522</v>
          </cell>
          <cell r="N2259">
            <v>97478</v>
          </cell>
        </row>
        <row r="2260">
          <cell r="A2260">
            <v>84781</v>
          </cell>
          <cell r="B2260">
            <v>2254</v>
          </cell>
          <cell r="C2260" t="str">
            <v>IASWD2407001729</v>
          </cell>
          <cell r="D2260">
            <v>45495</v>
          </cell>
          <cell r="E2260">
            <v>46583</v>
          </cell>
          <cell r="F2260" t="str">
            <v>84781</v>
          </cell>
          <cell r="G2260" t="str">
            <v>東哥遊艇一</v>
          </cell>
          <cell r="H2260">
            <v>100000</v>
          </cell>
          <cell r="I2260">
            <v>3.1</v>
          </cell>
          <cell r="J2260">
            <v>46583</v>
          </cell>
          <cell r="K2260">
            <v>100</v>
          </cell>
          <cell r="L2260">
            <v>46563</v>
          </cell>
          <cell r="M2260">
            <v>-2522</v>
          </cell>
          <cell r="N2260">
            <v>97478</v>
          </cell>
        </row>
        <row r="2261">
          <cell r="A2261">
            <v>22013</v>
          </cell>
          <cell r="B2261">
            <v>2255</v>
          </cell>
          <cell r="C2261" t="str">
            <v>IASWD2407001730</v>
          </cell>
          <cell r="D2261">
            <v>45495</v>
          </cell>
          <cell r="E2261">
            <v>46167</v>
          </cell>
          <cell r="F2261" t="str">
            <v>22013</v>
          </cell>
          <cell r="G2261" t="str">
            <v>裕隆三</v>
          </cell>
          <cell r="H2261">
            <v>300000</v>
          </cell>
          <cell r="I2261">
            <v>3</v>
          </cell>
          <cell r="J2261">
            <v>46167</v>
          </cell>
          <cell r="K2261">
            <v>100.75190000000001</v>
          </cell>
          <cell r="L2261">
            <v>46147</v>
          </cell>
          <cell r="M2261">
            <v>-7323</v>
          </cell>
          <cell r="N2261">
            <v>292677</v>
          </cell>
        </row>
        <row r="2262">
          <cell r="A2262">
            <v>34793</v>
          </cell>
          <cell r="B2262">
            <v>2256</v>
          </cell>
          <cell r="C2262" t="str">
            <v>IASWD2407001732</v>
          </cell>
          <cell r="D2262">
            <v>45495</v>
          </cell>
          <cell r="E2262">
            <v>46409</v>
          </cell>
          <cell r="F2262" t="str">
            <v>34793</v>
          </cell>
          <cell r="G2262" t="str">
            <v>安勤三</v>
          </cell>
          <cell r="H2262">
            <v>200000</v>
          </cell>
          <cell r="I2262">
            <v>3</v>
          </cell>
          <cell r="J2262">
            <v>46409</v>
          </cell>
          <cell r="K2262">
            <v>100</v>
          </cell>
          <cell r="L2262">
            <v>46391</v>
          </cell>
          <cell r="M2262">
            <v>-4882</v>
          </cell>
          <cell r="N2262">
            <v>195118</v>
          </cell>
        </row>
        <row r="2263">
          <cell r="A2263">
            <v>64145</v>
          </cell>
          <cell r="B2263">
            <v>2257</v>
          </cell>
          <cell r="C2263" t="str">
            <v>IASWD2407001733</v>
          </cell>
          <cell r="D2263">
            <v>45495</v>
          </cell>
          <cell r="E2263">
            <v>46250</v>
          </cell>
          <cell r="F2263" t="str">
            <v>64145</v>
          </cell>
          <cell r="G2263" t="str">
            <v>樺漢五</v>
          </cell>
          <cell r="H2263">
            <v>600000</v>
          </cell>
          <cell r="I2263">
            <v>3</v>
          </cell>
          <cell r="J2263">
            <v>46250</v>
          </cell>
          <cell r="K2263">
            <v>100</v>
          </cell>
          <cell r="L2263">
            <v>46231</v>
          </cell>
          <cell r="M2263">
            <v>-14647</v>
          </cell>
          <cell r="N2263">
            <v>585353</v>
          </cell>
        </row>
        <row r="2264">
          <cell r="A2264">
            <v>64145</v>
          </cell>
          <cell r="B2264">
            <v>2258</v>
          </cell>
          <cell r="C2264" t="str">
            <v>IASWD2407001734</v>
          </cell>
          <cell r="D2264">
            <v>45495</v>
          </cell>
          <cell r="E2264">
            <v>46250</v>
          </cell>
          <cell r="F2264" t="str">
            <v>64145</v>
          </cell>
          <cell r="G2264" t="str">
            <v>樺漢五</v>
          </cell>
          <cell r="H2264">
            <v>200000</v>
          </cell>
          <cell r="I2264">
            <v>3</v>
          </cell>
          <cell r="J2264">
            <v>46250</v>
          </cell>
          <cell r="K2264">
            <v>100</v>
          </cell>
          <cell r="L2264">
            <v>46231</v>
          </cell>
          <cell r="M2264">
            <v>-4882</v>
          </cell>
          <cell r="N2264">
            <v>195118</v>
          </cell>
        </row>
        <row r="2265">
          <cell r="A2265">
            <v>35482</v>
          </cell>
          <cell r="B2265">
            <v>2259</v>
          </cell>
          <cell r="C2265" t="str">
            <v>IASWD2407001736</v>
          </cell>
          <cell r="D2265">
            <v>45495</v>
          </cell>
          <cell r="E2265">
            <v>46395</v>
          </cell>
          <cell r="F2265" t="str">
            <v>35482</v>
          </cell>
          <cell r="G2265" t="str">
            <v>兆利二</v>
          </cell>
          <cell r="H2265">
            <v>100000</v>
          </cell>
          <cell r="I2265">
            <v>3</v>
          </cell>
          <cell r="J2265">
            <v>46395</v>
          </cell>
          <cell r="K2265">
            <v>100</v>
          </cell>
          <cell r="L2265">
            <v>46377</v>
          </cell>
          <cell r="M2265">
            <v>-2441</v>
          </cell>
          <cell r="N2265">
            <v>97559</v>
          </cell>
        </row>
        <row r="2266">
          <cell r="A2266">
            <v>35482</v>
          </cell>
          <cell r="B2266">
            <v>2260</v>
          </cell>
          <cell r="C2266" t="str">
            <v>IASWD2407001737</v>
          </cell>
          <cell r="D2266">
            <v>45495</v>
          </cell>
          <cell r="E2266">
            <v>46395</v>
          </cell>
          <cell r="F2266" t="str">
            <v>35482</v>
          </cell>
          <cell r="G2266" t="str">
            <v>兆利二</v>
          </cell>
          <cell r="H2266">
            <v>100000</v>
          </cell>
          <cell r="I2266">
            <v>3</v>
          </cell>
          <cell r="J2266">
            <v>46395</v>
          </cell>
          <cell r="K2266">
            <v>100</v>
          </cell>
          <cell r="L2266">
            <v>46377</v>
          </cell>
          <cell r="M2266">
            <v>-2441</v>
          </cell>
          <cell r="N2266">
            <v>97559</v>
          </cell>
        </row>
        <row r="2267">
          <cell r="A2267">
            <v>84781</v>
          </cell>
          <cell r="B2267">
            <v>2261</v>
          </cell>
          <cell r="C2267" t="str">
            <v>IASWD2407001738</v>
          </cell>
          <cell r="D2267">
            <v>45495</v>
          </cell>
          <cell r="E2267">
            <v>46583</v>
          </cell>
          <cell r="F2267" t="str">
            <v>84781</v>
          </cell>
          <cell r="G2267" t="str">
            <v>東哥遊艇一</v>
          </cell>
          <cell r="H2267">
            <v>1600000</v>
          </cell>
          <cell r="I2267">
            <v>3.1</v>
          </cell>
          <cell r="J2267">
            <v>46583</v>
          </cell>
          <cell r="K2267">
            <v>100</v>
          </cell>
          <cell r="L2267">
            <v>46563</v>
          </cell>
          <cell r="M2267">
            <v>-40359</v>
          </cell>
          <cell r="N2267">
            <v>1559641</v>
          </cell>
        </row>
        <row r="2268">
          <cell r="A2268">
            <v>64145</v>
          </cell>
          <cell r="B2268">
            <v>2262</v>
          </cell>
          <cell r="C2268" t="str">
            <v>IASWD2407001739</v>
          </cell>
          <cell r="D2268">
            <v>45495</v>
          </cell>
          <cell r="E2268">
            <v>46250</v>
          </cell>
          <cell r="F2268" t="str">
            <v>64145</v>
          </cell>
          <cell r="G2268" t="str">
            <v>樺漢五</v>
          </cell>
          <cell r="H2268">
            <v>500000</v>
          </cell>
          <cell r="I2268">
            <v>3</v>
          </cell>
          <cell r="J2268">
            <v>46250</v>
          </cell>
          <cell r="K2268">
            <v>100</v>
          </cell>
          <cell r="L2268">
            <v>46231</v>
          </cell>
          <cell r="M2268">
            <v>-12205</v>
          </cell>
          <cell r="N2268">
            <v>487795</v>
          </cell>
        </row>
        <row r="2269">
          <cell r="A2269">
            <v>41683</v>
          </cell>
          <cell r="B2269">
            <v>2263</v>
          </cell>
          <cell r="C2269" t="str">
            <v>IASWD2407001740</v>
          </cell>
          <cell r="D2269">
            <v>45495</v>
          </cell>
          <cell r="E2269">
            <v>45835</v>
          </cell>
          <cell r="F2269" t="str">
            <v>41683</v>
          </cell>
          <cell r="G2269" t="str">
            <v>醣聯三</v>
          </cell>
          <cell r="H2269">
            <v>200000</v>
          </cell>
          <cell r="I2269">
            <v>2.2000000000000002</v>
          </cell>
          <cell r="J2269">
            <v>45835</v>
          </cell>
          <cell r="K2269">
            <v>100</v>
          </cell>
          <cell r="L2269">
            <v>45817</v>
          </cell>
          <cell r="M2269">
            <v>-3580</v>
          </cell>
          <cell r="N2269">
            <v>196420</v>
          </cell>
        </row>
        <row r="2270">
          <cell r="A2270">
            <v>36804</v>
          </cell>
          <cell r="B2270">
            <v>2264</v>
          </cell>
          <cell r="C2270" t="str">
            <v>IASWD2407001742</v>
          </cell>
          <cell r="D2270">
            <v>45495</v>
          </cell>
          <cell r="E2270">
            <v>45948</v>
          </cell>
          <cell r="F2270" t="str">
            <v>36804</v>
          </cell>
          <cell r="G2270" t="str">
            <v>家登四</v>
          </cell>
          <cell r="H2270">
            <v>100000</v>
          </cell>
          <cell r="I2270">
            <v>3.2</v>
          </cell>
          <cell r="J2270">
            <v>45948</v>
          </cell>
          <cell r="K2270">
            <v>100</v>
          </cell>
          <cell r="L2270">
            <v>45926</v>
          </cell>
          <cell r="M2270">
            <v>-2604</v>
          </cell>
          <cell r="N2270">
            <v>97396</v>
          </cell>
        </row>
        <row r="2271">
          <cell r="A2271">
            <v>35832</v>
          </cell>
          <cell r="B2271">
            <v>2265</v>
          </cell>
          <cell r="C2271" t="str">
            <v>IASWD2407001743</v>
          </cell>
          <cell r="D2271">
            <v>45495</v>
          </cell>
          <cell r="E2271">
            <v>46192</v>
          </cell>
          <cell r="F2271" t="str">
            <v>35832</v>
          </cell>
          <cell r="G2271" t="str">
            <v>辛耘二</v>
          </cell>
          <cell r="H2271">
            <v>600000</v>
          </cell>
          <cell r="I2271">
            <v>3</v>
          </cell>
          <cell r="J2271">
            <v>46192</v>
          </cell>
          <cell r="K2271">
            <v>100</v>
          </cell>
          <cell r="L2271">
            <v>46174</v>
          </cell>
          <cell r="M2271">
            <v>-14647</v>
          </cell>
          <cell r="N2271">
            <v>585353</v>
          </cell>
        </row>
        <row r="2272">
          <cell r="A2272">
            <v>64145</v>
          </cell>
          <cell r="B2272">
            <v>2266</v>
          </cell>
          <cell r="C2272" t="str">
            <v>IASWD2407001745</v>
          </cell>
          <cell r="D2272">
            <v>45495</v>
          </cell>
          <cell r="E2272">
            <v>46250</v>
          </cell>
          <cell r="F2272" t="str">
            <v>64145</v>
          </cell>
          <cell r="G2272" t="str">
            <v>樺漢五</v>
          </cell>
          <cell r="H2272">
            <v>100000</v>
          </cell>
          <cell r="I2272">
            <v>3</v>
          </cell>
          <cell r="J2272">
            <v>46250</v>
          </cell>
          <cell r="K2272">
            <v>100</v>
          </cell>
          <cell r="L2272">
            <v>46231</v>
          </cell>
          <cell r="M2272">
            <v>-2441</v>
          </cell>
          <cell r="N2272">
            <v>97559</v>
          </cell>
        </row>
        <row r="2273">
          <cell r="A2273">
            <v>35482</v>
          </cell>
          <cell r="B2273">
            <v>2267</v>
          </cell>
          <cell r="C2273" t="str">
            <v>IASWD2407001747</v>
          </cell>
          <cell r="D2273">
            <v>45495</v>
          </cell>
          <cell r="E2273">
            <v>46395</v>
          </cell>
          <cell r="F2273" t="str">
            <v>35482</v>
          </cell>
          <cell r="G2273" t="str">
            <v>兆利二</v>
          </cell>
          <cell r="H2273">
            <v>100000</v>
          </cell>
          <cell r="I2273">
            <v>3</v>
          </cell>
          <cell r="J2273">
            <v>46395</v>
          </cell>
          <cell r="K2273">
            <v>100</v>
          </cell>
          <cell r="L2273">
            <v>46377</v>
          </cell>
          <cell r="M2273">
            <v>-2441</v>
          </cell>
          <cell r="N2273">
            <v>97559</v>
          </cell>
        </row>
        <row r="2274">
          <cell r="A2274">
            <v>61906</v>
          </cell>
          <cell r="B2274">
            <v>2268</v>
          </cell>
          <cell r="C2274" t="str">
            <v>IASWD2407001748</v>
          </cell>
          <cell r="D2274">
            <v>45495</v>
          </cell>
          <cell r="E2274">
            <v>45961</v>
          </cell>
          <cell r="F2274" t="str">
            <v>61906</v>
          </cell>
          <cell r="G2274" t="str">
            <v>萬泰科六</v>
          </cell>
          <cell r="H2274">
            <v>100000</v>
          </cell>
          <cell r="I2274">
            <v>4</v>
          </cell>
          <cell r="J2274">
            <v>45961</v>
          </cell>
          <cell r="K2274">
            <v>100</v>
          </cell>
          <cell r="L2274">
            <v>45943</v>
          </cell>
          <cell r="M2274">
            <v>-3255</v>
          </cell>
          <cell r="N2274">
            <v>96745</v>
          </cell>
        </row>
        <row r="2275">
          <cell r="A2275">
            <v>22013</v>
          </cell>
          <cell r="B2275">
            <v>2269</v>
          </cell>
          <cell r="C2275" t="str">
            <v>IASWD2407001749</v>
          </cell>
          <cell r="D2275">
            <v>45495</v>
          </cell>
          <cell r="E2275">
            <v>46167</v>
          </cell>
          <cell r="F2275" t="str">
            <v>22013</v>
          </cell>
          <cell r="G2275" t="str">
            <v>裕隆三</v>
          </cell>
          <cell r="H2275">
            <v>100000</v>
          </cell>
          <cell r="I2275">
            <v>3</v>
          </cell>
          <cell r="J2275">
            <v>46167</v>
          </cell>
          <cell r="K2275">
            <v>100.75190000000001</v>
          </cell>
          <cell r="L2275">
            <v>46147</v>
          </cell>
          <cell r="M2275">
            <v>-2441</v>
          </cell>
          <cell r="N2275">
            <v>97559</v>
          </cell>
        </row>
        <row r="2276">
          <cell r="A2276">
            <v>22013</v>
          </cell>
          <cell r="B2276">
            <v>2270</v>
          </cell>
          <cell r="C2276" t="str">
            <v>IASWD2407001750</v>
          </cell>
          <cell r="D2276">
            <v>45495</v>
          </cell>
          <cell r="E2276">
            <v>46167</v>
          </cell>
          <cell r="F2276" t="str">
            <v>22013</v>
          </cell>
          <cell r="G2276" t="str">
            <v>裕隆三</v>
          </cell>
          <cell r="H2276">
            <v>100000</v>
          </cell>
          <cell r="I2276">
            <v>3</v>
          </cell>
          <cell r="J2276">
            <v>46167</v>
          </cell>
          <cell r="K2276">
            <v>100.75190000000001</v>
          </cell>
          <cell r="L2276">
            <v>46147</v>
          </cell>
          <cell r="M2276">
            <v>-2441</v>
          </cell>
          <cell r="N2276">
            <v>97559</v>
          </cell>
        </row>
        <row r="2277">
          <cell r="A2277">
            <v>61906</v>
          </cell>
          <cell r="B2277">
            <v>2271</v>
          </cell>
          <cell r="C2277" t="str">
            <v>IASWD2407001752</v>
          </cell>
          <cell r="D2277">
            <v>45495</v>
          </cell>
          <cell r="E2277">
            <v>45961</v>
          </cell>
          <cell r="F2277" t="str">
            <v>61906</v>
          </cell>
          <cell r="G2277" t="str">
            <v>萬泰科六</v>
          </cell>
          <cell r="H2277">
            <v>1100000</v>
          </cell>
          <cell r="I2277">
            <v>4</v>
          </cell>
          <cell r="J2277">
            <v>45961</v>
          </cell>
          <cell r="K2277">
            <v>100</v>
          </cell>
          <cell r="L2277">
            <v>45943</v>
          </cell>
          <cell r="M2277">
            <v>-35803</v>
          </cell>
          <cell r="N2277">
            <v>1064197</v>
          </cell>
        </row>
        <row r="2278">
          <cell r="A2278">
            <v>64145</v>
          </cell>
          <cell r="B2278">
            <v>2272</v>
          </cell>
          <cell r="C2278" t="str">
            <v>IASWD2407001753</v>
          </cell>
          <cell r="D2278">
            <v>45495</v>
          </cell>
          <cell r="E2278">
            <v>46250</v>
          </cell>
          <cell r="F2278" t="str">
            <v>64145</v>
          </cell>
          <cell r="G2278" t="str">
            <v>樺漢五</v>
          </cell>
          <cell r="H2278">
            <v>300000</v>
          </cell>
          <cell r="I2278">
            <v>3</v>
          </cell>
          <cell r="J2278">
            <v>46250</v>
          </cell>
          <cell r="K2278">
            <v>100</v>
          </cell>
          <cell r="L2278">
            <v>46231</v>
          </cell>
          <cell r="M2278">
            <v>-7323</v>
          </cell>
          <cell r="N2278">
            <v>292677</v>
          </cell>
        </row>
        <row r="2279">
          <cell r="A2279">
            <v>35482</v>
          </cell>
          <cell r="B2279">
            <v>2273</v>
          </cell>
          <cell r="C2279" t="str">
            <v>IASWD2407001754</v>
          </cell>
          <cell r="D2279">
            <v>45495</v>
          </cell>
          <cell r="E2279">
            <v>46395</v>
          </cell>
          <cell r="F2279" t="str">
            <v>35482</v>
          </cell>
          <cell r="G2279" t="str">
            <v>兆利二</v>
          </cell>
          <cell r="H2279">
            <v>100000</v>
          </cell>
          <cell r="I2279">
            <v>3</v>
          </cell>
          <cell r="J2279">
            <v>46395</v>
          </cell>
          <cell r="K2279">
            <v>100</v>
          </cell>
          <cell r="L2279">
            <v>46377</v>
          </cell>
          <cell r="M2279">
            <v>-2441</v>
          </cell>
          <cell r="N2279">
            <v>97559</v>
          </cell>
        </row>
        <row r="2280">
          <cell r="A2280">
            <v>84781</v>
          </cell>
          <cell r="B2280">
            <v>2274</v>
          </cell>
          <cell r="C2280" t="str">
            <v>IASWD2407001755</v>
          </cell>
          <cell r="D2280">
            <v>45495</v>
          </cell>
          <cell r="E2280">
            <v>46583</v>
          </cell>
          <cell r="F2280" t="str">
            <v>84781</v>
          </cell>
          <cell r="G2280" t="str">
            <v>東哥遊艇一</v>
          </cell>
          <cell r="H2280">
            <v>200000</v>
          </cell>
          <cell r="I2280">
            <v>3.1</v>
          </cell>
          <cell r="J2280">
            <v>46583</v>
          </cell>
          <cell r="K2280">
            <v>100</v>
          </cell>
          <cell r="L2280">
            <v>46563</v>
          </cell>
          <cell r="M2280">
            <v>-5045</v>
          </cell>
          <cell r="N2280">
            <v>194955</v>
          </cell>
        </row>
        <row r="2281">
          <cell r="A2281">
            <v>84781</v>
          </cell>
          <cell r="B2281">
            <v>2275</v>
          </cell>
          <cell r="C2281" t="str">
            <v>IASWD2407001756</v>
          </cell>
          <cell r="D2281">
            <v>45495</v>
          </cell>
          <cell r="E2281">
            <v>46583</v>
          </cell>
          <cell r="F2281" t="str">
            <v>84781</v>
          </cell>
          <cell r="G2281" t="str">
            <v>東哥遊艇一</v>
          </cell>
          <cell r="H2281">
            <v>400000</v>
          </cell>
          <cell r="I2281">
            <v>3.1</v>
          </cell>
          <cell r="J2281">
            <v>46583</v>
          </cell>
          <cell r="K2281">
            <v>100</v>
          </cell>
          <cell r="L2281">
            <v>46563</v>
          </cell>
          <cell r="M2281">
            <v>-10090</v>
          </cell>
          <cell r="N2281">
            <v>389910</v>
          </cell>
        </row>
        <row r="2282">
          <cell r="A2282">
            <v>33121</v>
          </cell>
          <cell r="B2282">
            <v>2276</v>
          </cell>
          <cell r="C2282" t="str">
            <v>IASWD2407001757</v>
          </cell>
          <cell r="D2282">
            <v>45495</v>
          </cell>
          <cell r="E2282">
            <v>46563</v>
          </cell>
          <cell r="F2282" t="str">
            <v>33121</v>
          </cell>
          <cell r="G2282" t="str">
            <v>弘憶股一</v>
          </cell>
          <cell r="H2282">
            <v>700000</v>
          </cell>
          <cell r="I2282">
            <v>3.5</v>
          </cell>
          <cell r="J2282">
            <v>46563</v>
          </cell>
          <cell r="K2282">
            <v>100</v>
          </cell>
          <cell r="L2282">
            <v>46545</v>
          </cell>
          <cell r="M2282">
            <v>-19936</v>
          </cell>
          <cell r="N2282">
            <v>680064</v>
          </cell>
        </row>
        <row r="2283">
          <cell r="A2283">
            <v>22013</v>
          </cell>
          <cell r="B2283">
            <v>2277</v>
          </cell>
          <cell r="C2283" t="str">
            <v>IASWD2407001760</v>
          </cell>
          <cell r="D2283">
            <v>45495</v>
          </cell>
          <cell r="E2283">
            <v>46167</v>
          </cell>
          <cell r="F2283" t="str">
            <v>22013</v>
          </cell>
          <cell r="G2283" t="str">
            <v>裕隆三</v>
          </cell>
          <cell r="H2283">
            <v>300000</v>
          </cell>
          <cell r="I2283">
            <v>3</v>
          </cell>
          <cell r="J2283">
            <v>46167</v>
          </cell>
          <cell r="K2283">
            <v>100.75190000000001</v>
          </cell>
          <cell r="L2283">
            <v>46147</v>
          </cell>
          <cell r="M2283">
            <v>-7323</v>
          </cell>
          <cell r="N2283">
            <v>292677</v>
          </cell>
        </row>
        <row r="2284">
          <cell r="A2284">
            <v>84781</v>
          </cell>
          <cell r="B2284">
            <v>2278</v>
          </cell>
          <cell r="C2284" t="str">
            <v>IASWD2407001762</v>
          </cell>
          <cell r="D2284">
            <v>45495</v>
          </cell>
          <cell r="E2284">
            <v>46583</v>
          </cell>
          <cell r="F2284" t="str">
            <v>84781</v>
          </cell>
          <cell r="G2284" t="str">
            <v>東哥遊艇一</v>
          </cell>
          <cell r="H2284">
            <v>100000</v>
          </cell>
          <cell r="I2284">
            <v>3.1</v>
          </cell>
          <cell r="J2284">
            <v>46583</v>
          </cell>
          <cell r="K2284">
            <v>100</v>
          </cell>
          <cell r="L2284">
            <v>46563</v>
          </cell>
          <cell r="M2284">
            <v>-2522</v>
          </cell>
          <cell r="N2284">
            <v>97478</v>
          </cell>
        </row>
        <row r="2285">
          <cell r="A2285">
            <v>84781</v>
          </cell>
          <cell r="B2285">
            <v>2279</v>
          </cell>
          <cell r="C2285" t="str">
            <v>IASWD2407001763</v>
          </cell>
          <cell r="D2285">
            <v>45495</v>
          </cell>
          <cell r="E2285">
            <v>46583</v>
          </cell>
          <cell r="F2285" t="str">
            <v>84781</v>
          </cell>
          <cell r="G2285" t="str">
            <v>東哥遊艇一</v>
          </cell>
          <cell r="H2285">
            <v>200000</v>
          </cell>
          <cell r="I2285">
            <v>3.1</v>
          </cell>
          <cell r="J2285">
            <v>46583</v>
          </cell>
          <cell r="K2285">
            <v>100</v>
          </cell>
          <cell r="L2285">
            <v>46563</v>
          </cell>
          <cell r="M2285">
            <v>-5045</v>
          </cell>
          <cell r="N2285">
            <v>194955</v>
          </cell>
        </row>
        <row r="2286">
          <cell r="A2286">
            <v>64145</v>
          </cell>
          <cell r="B2286">
            <v>2280</v>
          </cell>
          <cell r="C2286" t="str">
            <v>IASWD2407001766</v>
          </cell>
          <cell r="D2286">
            <v>45495</v>
          </cell>
          <cell r="E2286">
            <v>46250</v>
          </cell>
          <cell r="F2286" t="str">
            <v>64145</v>
          </cell>
          <cell r="G2286" t="str">
            <v>樺漢五</v>
          </cell>
          <cell r="H2286">
            <v>200000</v>
          </cell>
          <cell r="I2286">
            <v>3</v>
          </cell>
          <cell r="J2286">
            <v>46250</v>
          </cell>
          <cell r="K2286">
            <v>100</v>
          </cell>
          <cell r="L2286">
            <v>46231</v>
          </cell>
          <cell r="M2286">
            <v>-4882</v>
          </cell>
          <cell r="N2286">
            <v>195118</v>
          </cell>
        </row>
        <row r="2287">
          <cell r="A2287">
            <v>64145</v>
          </cell>
          <cell r="B2287">
            <v>2281</v>
          </cell>
          <cell r="C2287" t="str">
            <v>IASWD2407001768</v>
          </cell>
          <cell r="D2287">
            <v>45495</v>
          </cell>
          <cell r="E2287">
            <v>46250</v>
          </cell>
          <cell r="F2287" t="str">
            <v>64145</v>
          </cell>
          <cell r="G2287" t="str">
            <v>樺漢五</v>
          </cell>
          <cell r="H2287">
            <v>600000</v>
          </cell>
          <cell r="I2287">
            <v>3</v>
          </cell>
          <cell r="J2287">
            <v>46250</v>
          </cell>
          <cell r="K2287">
            <v>100</v>
          </cell>
          <cell r="L2287">
            <v>46231</v>
          </cell>
          <cell r="M2287">
            <v>-14647</v>
          </cell>
          <cell r="N2287">
            <v>585353</v>
          </cell>
        </row>
        <row r="2288">
          <cell r="A2288">
            <v>22313</v>
          </cell>
          <cell r="B2288">
            <v>2282</v>
          </cell>
          <cell r="C2288" t="str">
            <v>IASWD2407001769</v>
          </cell>
          <cell r="D2288">
            <v>45495</v>
          </cell>
          <cell r="E2288">
            <v>45898</v>
          </cell>
          <cell r="F2288" t="str">
            <v>22313</v>
          </cell>
          <cell r="G2288" t="str">
            <v>為升三</v>
          </cell>
          <cell r="H2288">
            <v>100000</v>
          </cell>
          <cell r="I2288">
            <v>3.5</v>
          </cell>
          <cell r="J2288">
            <v>45898</v>
          </cell>
          <cell r="K2288">
            <v>101.50749999999999</v>
          </cell>
          <cell r="L2288">
            <v>45880</v>
          </cell>
          <cell r="M2288">
            <v>-2848</v>
          </cell>
          <cell r="N2288">
            <v>97152</v>
          </cell>
        </row>
        <row r="2289">
          <cell r="A2289">
            <v>36804</v>
          </cell>
          <cell r="B2289">
            <v>2283</v>
          </cell>
          <cell r="C2289" t="str">
            <v>IASWD2407001770</v>
          </cell>
          <cell r="D2289">
            <v>45495</v>
          </cell>
          <cell r="E2289">
            <v>45948</v>
          </cell>
          <cell r="F2289" t="str">
            <v>36804</v>
          </cell>
          <cell r="G2289" t="str">
            <v>家登四</v>
          </cell>
          <cell r="H2289">
            <v>100000</v>
          </cell>
          <cell r="I2289">
            <v>3.2</v>
          </cell>
          <cell r="J2289">
            <v>45948</v>
          </cell>
          <cell r="K2289">
            <v>100</v>
          </cell>
          <cell r="L2289">
            <v>45926</v>
          </cell>
          <cell r="M2289">
            <v>-2604</v>
          </cell>
          <cell r="N2289">
            <v>97396</v>
          </cell>
        </row>
        <row r="2290">
          <cell r="A2290">
            <v>65096</v>
          </cell>
          <cell r="B2290">
            <v>2284</v>
          </cell>
          <cell r="C2290" t="str">
            <v>IASWD2407001771</v>
          </cell>
          <cell r="D2290">
            <v>45495</v>
          </cell>
          <cell r="E2290">
            <v>46206</v>
          </cell>
          <cell r="F2290" t="str">
            <v>65096</v>
          </cell>
          <cell r="G2290" t="str">
            <v>聚和六</v>
          </cell>
          <cell r="H2290">
            <v>400000</v>
          </cell>
          <cell r="I2290">
            <v>3.1</v>
          </cell>
          <cell r="J2290">
            <v>46206</v>
          </cell>
          <cell r="K2290">
            <v>100</v>
          </cell>
          <cell r="L2290">
            <v>46188</v>
          </cell>
          <cell r="M2290">
            <v>-10090</v>
          </cell>
          <cell r="N2290">
            <v>389910</v>
          </cell>
        </row>
        <row r="2291">
          <cell r="A2291">
            <v>61906</v>
          </cell>
          <cell r="B2291">
            <v>2285</v>
          </cell>
          <cell r="C2291" t="str">
            <v>IASWD2407001772</v>
          </cell>
          <cell r="D2291">
            <v>45495</v>
          </cell>
          <cell r="E2291">
            <v>45961</v>
          </cell>
          <cell r="F2291" t="str">
            <v>61906</v>
          </cell>
          <cell r="G2291" t="str">
            <v>萬泰科六</v>
          </cell>
          <cell r="H2291">
            <v>200000</v>
          </cell>
          <cell r="I2291">
            <v>4</v>
          </cell>
          <cell r="J2291">
            <v>45961</v>
          </cell>
          <cell r="K2291">
            <v>100</v>
          </cell>
          <cell r="L2291">
            <v>45943</v>
          </cell>
          <cell r="M2291">
            <v>-6510</v>
          </cell>
          <cell r="N2291">
            <v>193490</v>
          </cell>
        </row>
        <row r="2292">
          <cell r="A2292">
            <v>84781</v>
          </cell>
          <cell r="B2292">
            <v>2286</v>
          </cell>
          <cell r="C2292" t="str">
            <v>IASWD2407001773</v>
          </cell>
          <cell r="D2292">
            <v>45495</v>
          </cell>
          <cell r="E2292">
            <v>46583</v>
          </cell>
          <cell r="F2292" t="str">
            <v>84781</v>
          </cell>
          <cell r="G2292" t="str">
            <v>東哥遊艇一</v>
          </cell>
          <cell r="H2292">
            <v>600000</v>
          </cell>
          <cell r="I2292">
            <v>3.1</v>
          </cell>
          <cell r="J2292">
            <v>46583</v>
          </cell>
          <cell r="K2292">
            <v>100</v>
          </cell>
          <cell r="L2292">
            <v>46563</v>
          </cell>
          <cell r="M2292">
            <v>-15135</v>
          </cell>
          <cell r="N2292">
            <v>584865</v>
          </cell>
        </row>
        <row r="2293">
          <cell r="A2293">
            <v>36804</v>
          </cell>
          <cell r="B2293">
            <v>2287</v>
          </cell>
          <cell r="C2293" t="str">
            <v>IASWD2407001775</v>
          </cell>
          <cell r="D2293">
            <v>45495</v>
          </cell>
          <cell r="E2293">
            <v>45948</v>
          </cell>
          <cell r="F2293" t="str">
            <v>36804</v>
          </cell>
          <cell r="G2293" t="str">
            <v>家登四</v>
          </cell>
          <cell r="H2293">
            <v>100000</v>
          </cell>
          <cell r="I2293">
            <v>3.2</v>
          </cell>
          <cell r="J2293">
            <v>45948</v>
          </cell>
          <cell r="K2293">
            <v>100</v>
          </cell>
          <cell r="L2293">
            <v>45926</v>
          </cell>
          <cell r="M2293">
            <v>-2604</v>
          </cell>
          <cell r="N2293">
            <v>97396</v>
          </cell>
        </row>
        <row r="2294">
          <cell r="A2294">
            <v>82551</v>
          </cell>
          <cell r="B2294">
            <v>2288</v>
          </cell>
          <cell r="C2294" t="str">
            <v>IASWD2407001777</v>
          </cell>
          <cell r="D2294">
            <v>45495</v>
          </cell>
          <cell r="E2294">
            <v>46243</v>
          </cell>
          <cell r="F2294" t="str">
            <v>82551</v>
          </cell>
          <cell r="G2294" t="str">
            <v>朋程一</v>
          </cell>
          <cell r="H2294">
            <v>100000</v>
          </cell>
          <cell r="I2294">
            <v>2.6</v>
          </cell>
          <cell r="J2294">
            <v>46243</v>
          </cell>
          <cell r="K2294">
            <v>100</v>
          </cell>
          <cell r="L2294">
            <v>46224</v>
          </cell>
          <cell r="M2294">
            <v>-2116</v>
          </cell>
          <cell r="N2294">
            <v>97884</v>
          </cell>
        </row>
        <row r="2295">
          <cell r="A2295">
            <v>35482</v>
          </cell>
          <cell r="B2295">
            <v>2289</v>
          </cell>
          <cell r="C2295" t="str">
            <v>IASWD2407001780</v>
          </cell>
          <cell r="D2295">
            <v>45495</v>
          </cell>
          <cell r="E2295">
            <v>46395</v>
          </cell>
          <cell r="F2295" t="str">
            <v>35482</v>
          </cell>
          <cell r="G2295" t="str">
            <v>兆利二</v>
          </cell>
          <cell r="H2295">
            <v>100000</v>
          </cell>
          <cell r="I2295">
            <v>3</v>
          </cell>
          <cell r="J2295">
            <v>46395</v>
          </cell>
          <cell r="K2295">
            <v>100</v>
          </cell>
          <cell r="L2295">
            <v>46377</v>
          </cell>
          <cell r="M2295">
            <v>-2441</v>
          </cell>
          <cell r="N2295">
            <v>97559</v>
          </cell>
        </row>
        <row r="2296">
          <cell r="A2296">
            <v>35832</v>
          </cell>
          <cell r="B2296">
            <v>2290</v>
          </cell>
          <cell r="C2296" t="str">
            <v>IASWD2407001781</v>
          </cell>
          <cell r="D2296">
            <v>45495</v>
          </cell>
          <cell r="E2296">
            <v>46192</v>
          </cell>
          <cell r="F2296" t="str">
            <v>35832</v>
          </cell>
          <cell r="G2296" t="str">
            <v>辛耘二</v>
          </cell>
          <cell r="H2296">
            <v>100000</v>
          </cell>
          <cell r="I2296">
            <v>3</v>
          </cell>
          <cell r="J2296">
            <v>46192</v>
          </cell>
          <cell r="K2296">
            <v>100</v>
          </cell>
          <cell r="L2296">
            <v>46174</v>
          </cell>
          <cell r="M2296">
            <v>-2441</v>
          </cell>
          <cell r="N2296">
            <v>97559</v>
          </cell>
        </row>
        <row r="2297">
          <cell r="A2297">
            <v>35482</v>
          </cell>
          <cell r="B2297">
            <v>2291</v>
          </cell>
          <cell r="C2297" t="str">
            <v>IASWD2407001782</v>
          </cell>
          <cell r="D2297">
            <v>45495</v>
          </cell>
          <cell r="E2297">
            <v>46395</v>
          </cell>
          <cell r="F2297" t="str">
            <v>35482</v>
          </cell>
          <cell r="G2297" t="str">
            <v>兆利二</v>
          </cell>
          <cell r="H2297">
            <v>2000000</v>
          </cell>
          <cell r="I2297">
            <v>3</v>
          </cell>
          <cell r="J2297">
            <v>46395</v>
          </cell>
          <cell r="K2297">
            <v>100</v>
          </cell>
          <cell r="L2297">
            <v>46377</v>
          </cell>
          <cell r="M2297">
            <v>-48822</v>
          </cell>
          <cell r="N2297">
            <v>1951178</v>
          </cell>
        </row>
        <row r="2298">
          <cell r="A2298">
            <v>35482</v>
          </cell>
          <cell r="B2298">
            <v>2292</v>
          </cell>
          <cell r="C2298" t="str">
            <v>IASWD2407001783</v>
          </cell>
          <cell r="D2298">
            <v>45495</v>
          </cell>
          <cell r="E2298">
            <v>46395</v>
          </cell>
          <cell r="F2298" t="str">
            <v>35482</v>
          </cell>
          <cell r="G2298" t="str">
            <v>兆利二</v>
          </cell>
          <cell r="H2298">
            <v>500000</v>
          </cell>
          <cell r="I2298">
            <v>3</v>
          </cell>
          <cell r="J2298">
            <v>46395</v>
          </cell>
          <cell r="K2298">
            <v>100</v>
          </cell>
          <cell r="L2298">
            <v>46377</v>
          </cell>
          <cell r="M2298">
            <v>-12205</v>
          </cell>
          <cell r="N2298">
            <v>487795</v>
          </cell>
        </row>
        <row r="2299">
          <cell r="A2299">
            <v>35482</v>
          </cell>
          <cell r="B2299">
            <v>2293</v>
          </cell>
          <cell r="C2299" t="str">
            <v>IASWD2407001785</v>
          </cell>
          <cell r="D2299">
            <v>45495</v>
          </cell>
          <cell r="E2299">
            <v>46395</v>
          </cell>
          <cell r="F2299" t="str">
            <v>35482</v>
          </cell>
          <cell r="G2299" t="str">
            <v>兆利二</v>
          </cell>
          <cell r="H2299">
            <v>100000</v>
          </cell>
          <cell r="I2299">
            <v>3</v>
          </cell>
          <cell r="J2299">
            <v>46395</v>
          </cell>
          <cell r="K2299">
            <v>100</v>
          </cell>
          <cell r="L2299">
            <v>46377</v>
          </cell>
          <cell r="M2299">
            <v>-2441</v>
          </cell>
          <cell r="N2299">
            <v>97559</v>
          </cell>
        </row>
        <row r="2300">
          <cell r="A2300">
            <v>64145</v>
          </cell>
          <cell r="B2300">
            <v>2294</v>
          </cell>
          <cell r="C2300" t="str">
            <v>IASWD2407001787</v>
          </cell>
          <cell r="D2300">
            <v>45495</v>
          </cell>
          <cell r="E2300">
            <v>46250</v>
          </cell>
          <cell r="F2300" t="str">
            <v>64145</v>
          </cell>
          <cell r="G2300" t="str">
            <v>樺漢五</v>
          </cell>
          <cell r="H2300">
            <v>1000000</v>
          </cell>
          <cell r="I2300">
            <v>3</v>
          </cell>
          <cell r="J2300">
            <v>46250</v>
          </cell>
          <cell r="K2300">
            <v>100</v>
          </cell>
          <cell r="L2300">
            <v>46231</v>
          </cell>
          <cell r="M2300">
            <v>-24411</v>
          </cell>
          <cell r="N2300">
            <v>975589</v>
          </cell>
        </row>
        <row r="2301">
          <cell r="A2301">
            <v>61394</v>
          </cell>
          <cell r="B2301">
            <v>2295</v>
          </cell>
          <cell r="C2301" t="str">
            <v>IASWD2407001788</v>
          </cell>
          <cell r="D2301">
            <v>45496</v>
          </cell>
          <cell r="E2301">
            <v>46047</v>
          </cell>
          <cell r="F2301" t="str">
            <v>61394</v>
          </cell>
          <cell r="G2301" t="str">
            <v>亞翔四</v>
          </cell>
          <cell r="H2301">
            <v>900000</v>
          </cell>
          <cell r="I2301">
            <v>3</v>
          </cell>
          <cell r="J2301">
            <v>46047</v>
          </cell>
          <cell r="K2301">
            <v>101.0025</v>
          </cell>
          <cell r="L2301">
            <v>46028</v>
          </cell>
          <cell r="M2301">
            <v>-21896</v>
          </cell>
          <cell r="N2301">
            <v>878104</v>
          </cell>
        </row>
        <row r="2302">
          <cell r="A2302">
            <v>61965</v>
          </cell>
          <cell r="B2302">
            <v>2296</v>
          </cell>
          <cell r="C2302" t="str">
            <v>IASWD2407001789</v>
          </cell>
          <cell r="D2302">
            <v>45496</v>
          </cell>
          <cell r="E2302">
            <v>46200</v>
          </cell>
          <cell r="F2302" t="str">
            <v>61965</v>
          </cell>
          <cell r="G2302" t="str">
            <v>帆宣五</v>
          </cell>
          <cell r="H2302">
            <v>100000</v>
          </cell>
          <cell r="I2302">
            <v>3</v>
          </cell>
          <cell r="J2302">
            <v>46200</v>
          </cell>
          <cell r="K2302">
            <v>100</v>
          </cell>
          <cell r="L2302">
            <v>46182</v>
          </cell>
          <cell r="M2302">
            <v>-2433</v>
          </cell>
          <cell r="N2302">
            <v>97567</v>
          </cell>
        </row>
        <row r="2303">
          <cell r="A2303">
            <v>22013</v>
          </cell>
          <cell r="B2303">
            <v>2297</v>
          </cell>
          <cell r="C2303" t="str">
            <v>IASWD2407001794</v>
          </cell>
          <cell r="D2303">
            <v>45496</v>
          </cell>
          <cell r="E2303">
            <v>46167</v>
          </cell>
          <cell r="F2303" t="str">
            <v>22013</v>
          </cell>
          <cell r="G2303" t="str">
            <v>裕隆三</v>
          </cell>
          <cell r="H2303">
            <v>1000000</v>
          </cell>
          <cell r="I2303">
            <v>3</v>
          </cell>
          <cell r="J2303">
            <v>46167</v>
          </cell>
          <cell r="K2303">
            <v>100.75190000000001</v>
          </cell>
          <cell r="L2303">
            <v>46147</v>
          </cell>
          <cell r="M2303">
            <v>-24329</v>
          </cell>
          <cell r="N2303">
            <v>975671</v>
          </cell>
        </row>
        <row r="2304">
          <cell r="A2304">
            <v>84781</v>
          </cell>
          <cell r="B2304">
            <v>2298</v>
          </cell>
          <cell r="C2304" t="str">
            <v>IASWD2407001795</v>
          </cell>
          <cell r="D2304">
            <v>45496</v>
          </cell>
          <cell r="E2304">
            <v>46583</v>
          </cell>
          <cell r="F2304" t="str">
            <v>84781</v>
          </cell>
          <cell r="G2304" t="str">
            <v>東哥遊艇一</v>
          </cell>
          <cell r="H2304">
            <v>100000</v>
          </cell>
          <cell r="I2304">
            <v>3.1</v>
          </cell>
          <cell r="J2304">
            <v>46583</v>
          </cell>
          <cell r="K2304">
            <v>100</v>
          </cell>
          <cell r="L2304">
            <v>46563</v>
          </cell>
          <cell r="M2304">
            <v>-2514</v>
          </cell>
          <cell r="N2304">
            <v>97486</v>
          </cell>
        </row>
        <row r="2305">
          <cell r="A2305">
            <v>33121</v>
          </cell>
          <cell r="B2305">
            <v>2299</v>
          </cell>
          <cell r="C2305" t="str">
            <v>IASWD2407001797</v>
          </cell>
          <cell r="D2305">
            <v>45496</v>
          </cell>
          <cell r="E2305">
            <v>46563</v>
          </cell>
          <cell r="F2305" t="str">
            <v>33121</v>
          </cell>
          <cell r="G2305" t="str">
            <v>弘憶股一</v>
          </cell>
          <cell r="H2305">
            <v>100000</v>
          </cell>
          <cell r="I2305">
            <v>3.5</v>
          </cell>
          <cell r="J2305">
            <v>46563</v>
          </cell>
          <cell r="K2305">
            <v>100</v>
          </cell>
          <cell r="L2305">
            <v>46545</v>
          </cell>
          <cell r="M2305">
            <v>-2838</v>
          </cell>
          <cell r="N2305">
            <v>97162</v>
          </cell>
        </row>
        <row r="2306">
          <cell r="A2306">
            <v>22013</v>
          </cell>
          <cell r="B2306">
            <v>2300</v>
          </cell>
          <cell r="C2306" t="str">
            <v>IASWD2407001798</v>
          </cell>
          <cell r="D2306">
            <v>45496</v>
          </cell>
          <cell r="E2306">
            <v>46167</v>
          </cell>
          <cell r="F2306" t="str">
            <v>22013</v>
          </cell>
          <cell r="G2306" t="str">
            <v>裕隆三</v>
          </cell>
          <cell r="H2306">
            <v>300000</v>
          </cell>
          <cell r="I2306">
            <v>3</v>
          </cell>
          <cell r="J2306">
            <v>46167</v>
          </cell>
          <cell r="K2306">
            <v>100.75190000000001</v>
          </cell>
          <cell r="L2306">
            <v>46147</v>
          </cell>
          <cell r="M2306">
            <v>-7299</v>
          </cell>
          <cell r="N2306">
            <v>292701</v>
          </cell>
        </row>
        <row r="2307">
          <cell r="A2307">
            <v>64145</v>
          </cell>
          <cell r="B2307">
            <v>2301</v>
          </cell>
          <cell r="C2307" t="str">
            <v>IASWD2407001799</v>
          </cell>
          <cell r="D2307">
            <v>45496</v>
          </cell>
          <cell r="E2307">
            <v>46250</v>
          </cell>
          <cell r="F2307" t="str">
            <v>64145</v>
          </cell>
          <cell r="G2307" t="str">
            <v>樺漢五</v>
          </cell>
          <cell r="H2307">
            <v>100000</v>
          </cell>
          <cell r="I2307">
            <v>3</v>
          </cell>
          <cell r="J2307">
            <v>46250</v>
          </cell>
          <cell r="K2307">
            <v>100</v>
          </cell>
          <cell r="L2307">
            <v>46231</v>
          </cell>
          <cell r="M2307">
            <v>-2433</v>
          </cell>
          <cell r="N2307">
            <v>97567</v>
          </cell>
        </row>
        <row r="2308">
          <cell r="A2308">
            <v>64145</v>
          </cell>
          <cell r="B2308">
            <v>2302</v>
          </cell>
          <cell r="C2308" t="str">
            <v>IASWD2407001800</v>
          </cell>
          <cell r="D2308">
            <v>45496</v>
          </cell>
          <cell r="E2308">
            <v>46250</v>
          </cell>
          <cell r="F2308" t="str">
            <v>64145</v>
          </cell>
          <cell r="G2308" t="str">
            <v>樺漢五</v>
          </cell>
          <cell r="H2308">
            <v>100000</v>
          </cell>
          <cell r="I2308">
            <v>3</v>
          </cell>
          <cell r="J2308">
            <v>46250</v>
          </cell>
          <cell r="K2308">
            <v>100</v>
          </cell>
          <cell r="L2308">
            <v>46231</v>
          </cell>
          <cell r="M2308">
            <v>-2433</v>
          </cell>
          <cell r="N2308">
            <v>97567</v>
          </cell>
        </row>
        <row r="2309">
          <cell r="A2309">
            <v>84781</v>
          </cell>
          <cell r="B2309">
            <v>2303</v>
          </cell>
          <cell r="C2309" t="str">
            <v>IASWD2407001801</v>
          </cell>
          <cell r="D2309">
            <v>45496</v>
          </cell>
          <cell r="E2309">
            <v>46583</v>
          </cell>
          <cell r="F2309" t="str">
            <v>84781</v>
          </cell>
          <cell r="G2309" t="str">
            <v>東哥遊艇一</v>
          </cell>
          <cell r="H2309">
            <v>100000</v>
          </cell>
          <cell r="I2309">
            <v>3.1</v>
          </cell>
          <cell r="J2309">
            <v>46583</v>
          </cell>
          <cell r="K2309">
            <v>100</v>
          </cell>
          <cell r="L2309">
            <v>46563</v>
          </cell>
          <cell r="M2309">
            <v>-2514</v>
          </cell>
          <cell r="N2309">
            <v>97486</v>
          </cell>
        </row>
        <row r="2310">
          <cell r="A2310">
            <v>64145</v>
          </cell>
          <cell r="B2310">
            <v>2304</v>
          </cell>
          <cell r="C2310" t="str">
            <v>IASWD2407001802</v>
          </cell>
          <cell r="D2310">
            <v>45496</v>
          </cell>
          <cell r="E2310">
            <v>46250</v>
          </cell>
          <cell r="F2310" t="str">
            <v>64145</v>
          </cell>
          <cell r="G2310" t="str">
            <v>樺漢五</v>
          </cell>
          <cell r="H2310">
            <v>100000</v>
          </cell>
          <cell r="I2310">
            <v>3</v>
          </cell>
          <cell r="J2310">
            <v>46250</v>
          </cell>
          <cell r="K2310">
            <v>100</v>
          </cell>
          <cell r="L2310">
            <v>46231</v>
          </cell>
          <cell r="M2310">
            <v>-2433</v>
          </cell>
          <cell r="N2310">
            <v>97567</v>
          </cell>
        </row>
        <row r="2311">
          <cell r="A2311">
            <v>64145</v>
          </cell>
          <cell r="B2311">
            <v>2305</v>
          </cell>
          <cell r="C2311" t="str">
            <v>IASWD2407001803</v>
          </cell>
          <cell r="D2311">
            <v>45496</v>
          </cell>
          <cell r="E2311">
            <v>46250</v>
          </cell>
          <cell r="F2311" t="str">
            <v>64145</v>
          </cell>
          <cell r="G2311" t="str">
            <v>樺漢五</v>
          </cell>
          <cell r="H2311">
            <v>100000</v>
          </cell>
          <cell r="I2311">
            <v>3</v>
          </cell>
          <cell r="J2311">
            <v>46250</v>
          </cell>
          <cell r="K2311">
            <v>100</v>
          </cell>
          <cell r="L2311">
            <v>46231</v>
          </cell>
          <cell r="M2311">
            <v>-2433</v>
          </cell>
          <cell r="N2311">
            <v>97567</v>
          </cell>
        </row>
        <row r="2312">
          <cell r="A2312">
            <v>20632</v>
          </cell>
          <cell r="B2312">
            <v>2306</v>
          </cell>
          <cell r="C2312" t="str">
            <v>IASWD2407001804</v>
          </cell>
          <cell r="D2312">
            <v>45496</v>
          </cell>
          <cell r="E2312">
            <v>45971</v>
          </cell>
          <cell r="F2312" t="str">
            <v>20632</v>
          </cell>
          <cell r="G2312" t="str">
            <v>世鎧二</v>
          </cell>
          <cell r="H2312">
            <v>500000</v>
          </cell>
          <cell r="I2312">
            <v>3.25</v>
          </cell>
          <cell r="J2312">
            <v>45971</v>
          </cell>
          <cell r="K2312">
            <v>100</v>
          </cell>
          <cell r="L2312">
            <v>45951</v>
          </cell>
          <cell r="M2312">
            <v>-13178</v>
          </cell>
          <cell r="N2312">
            <v>486822</v>
          </cell>
        </row>
        <row r="2313">
          <cell r="A2313">
            <v>33121</v>
          </cell>
          <cell r="B2313">
            <v>2307</v>
          </cell>
          <cell r="C2313" t="str">
            <v>IASWD2407001806</v>
          </cell>
          <cell r="D2313">
            <v>45496</v>
          </cell>
          <cell r="E2313">
            <v>46563</v>
          </cell>
          <cell r="F2313" t="str">
            <v>33121</v>
          </cell>
          <cell r="G2313" t="str">
            <v>弘憶股一</v>
          </cell>
          <cell r="H2313">
            <v>500000</v>
          </cell>
          <cell r="I2313">
            <v>3.5</v>
          </cell>
          <cell r="J2313">
            <v>46563</v>
          </cell>
          <cell r="K2313">
            <v>100</v>
          </cell>
          <cell r="L2313">
            <v>46545</v>
          </cell>
          <cell r="M2313">
            <v>-14192</v>
          </cell>
          <cell r="N2313">
            <v>485808</v>
          </cell>
        </row>
        <row r="2314">
          <cell r="A2314">
            <v>84781</v>
          </cell>
          <cell r="B2314">
            <v>2308</v>
          </cell>
          <cell r="C2314" t="str">
            <v>IASWD2407001807</v>
          </cell>
          <cell r="D2314">
            <v>45496</v>
          </cell>
          <cell r="E2314">
            <v>46583</v>
          </cell>
          <cell r="F2314" t="str">
            <v>84781</v>
          </cell>
          <cell r="G2314" t="str">
            <v>東哥遊艇一</v>
          </cell>
          <cell r="H2314">
            <v>100000</v>
          </cell>
          <cell r="I2314">
            <v>3.1</v>
          </cell>
          <cell r="J2314">
            <v>46583</v>
          </cell>
          <cell r="K2314">
            <v>100</v>
          </cell>
          <cell r="L2314">
            <v>46563</v>
          </cell>
          <cell r="M2314">
            <v>-2514</v>
          </cell>
          <cell r="N2314">
            <v>97486</v>
          </cell>
        </row>
        <row r="2315">
          <cell r="A2315">
            <v>35482</v>
          </cell>
          <cell r="B2315">
            <v>2309</v>
          </cell>
          <cell r="C2315" t="str">
            <v>IASWD2407001808</v>
          </cell>
          <cell r="D2315">
            <v>45496</v>
          </cell>
          <cell r="E2315">
            <v>46395</v>
          </cell>
          <cell r="F2315" t="str">
            <v>35482</v>
          </cell>
          <cell r="G2315" t="str">
            <v>兆利二</v>
          </cell>
          <cell r="H2315">
            <v>200000</v>
          </cell>
          <cell r="I2315">
            <v>3</v>
          </cell>
          <cell r="J2315">
            <v>46395</v>
          </cell>
          <cell r="K2315">
            <v>100</v>
          </cell>
          <cell r="L2315">
            <v>46377</v>
          </cell>
          <cell r="M2315">
            <v>-4866</v>
          </cell>
          <cell r="N2315">
            <v>195134</v>
          </cell>
        </row>
        <row r="2316">
          <cell r="A2316">
            <v>65096</v>
          </cell>
          <cell r="B2316">
            <v>2310</v>
          </cell>
          <cell r="C2316" t="str">
            <v>IASWD2407001809</v>
          </cell>
          <cell r="D2316">
            <v>45496</v>
          </cell>
          <cell r="E2316">
            <v>46206</v>
          </cell>
          <cell r="F2316" t="str">
            <v>65096</v>
          </cell>
          <cell r="G2316" t="str">
            <v>聚和六</v>
          </cell>
          <cell r="H2316">
            <v>100000</v>
          </cell>
          <cell r="I2316">
            <v>3.1</v>
          </cell>
          <cell r="J2316">
            <v>46206</v>
          </cell>
          <cell r="K2316">
            <v>100</v>
          </cell>
          <cell r="L2316">
            <v>46188</v>
          </cell>
          <cell r="M2316">
            <v>-2514</v>
          </cell>
          <cell r="N2316">
            <v>97486</v>
          </cell>
        </row>
        <row r="2317">
          <cell r="A2317">
            <v>64145</v>
          </cell>
          <cell r="B2317">
            <v>2311</v>
          </cell>
          <cell r="C2317" t="str">
            <v>IASWD2407001810</v>
          </cell>
          <cell r="D2317">
            <v>45496</v>
          </cell>
          <cell r="E2317">
            <v>46250</v>
          </cell>
          <cell r="F2317" t="str">
            <v>64145</v>
          </cell>
          <cell r="G2317" t="str">
            <v>樺漢五</v>
          </cell>
          <cell r="H2317">
            <v>100000</v>
          </cell>
          <cell r="I2317">
            <v>3</v>
          </cell>
          <cell r="J2317">
            <v>46250</v>
          </cell>
          <cell r="K2317">
            <v>100</v>
          </cell>
          <cell r="L2317">
            <v>46231</v>
          </cell>
          <cell r="M2317">
            <v>-2433</v>
          </cell>
          <cell r="N2317">
            <v>97567</v>
          </cell>
        </row>
        <row r="2318">
          <cell r="A2318">
            <v>84781</v>
          </cell>
          <cell r="B2318">
            <v>2312</v>
          </cell>
          <cell r="C2318" t="str">
            <v>IASWD2407001811</v>
          </cell>
          <cell r="D2318">
            <v>45496</v>
          </cell>
          <cell r="E2318">
            <v>46583</v>
          </cell>
          <cell r="F2318" t="str">
            <v>84781</v>
          </cell>
          <cell r="G2318" t="str">
            <v>東哥遊艇一</v>
          </cell>
          <cell r="H2318">
            <v>100000</v>
          </cell>
          <cell r="I2318">
            <v>3.1</v>
          </cell>
          <cell r="J2318">
            <v>46583</v>
          </cell>
          <cell r="K2318">
            <v>100</v>
          </cell>
          <cell r="L2318">
            <v>46563</v>
          </cell>
          <cell r="M2318">
            <v>-2514</v>
          </cell>
          <cell r="N2318">
            <v>97486</v>
          </cell>
        </row>
        <row r="2319">
          <cell r="A2319">
            <v>84781</v>
          </cell>
          <cell r="B2319">
            <v>2313</v>
          </cell>
          <cell r="C2319" t="str">
            <v>IASWD2407001813</v>
          </cell>
          <cell r="D2319">
            <v>45496</v>
          </cell>
          <cell r="E2319">
            <v>46583</v>
          </cell>
          <cell r="F2319" t="str">
            <v>84781</v>
          </cell>
          <cell r="G2319" t="str">
            <v>東哥遊艇一</v>
          </cell>
          <cell r="H2319">
            <v>200000</v>
          </cell>
          <cell r="I2319">
            <v>3.1</v>
          </cell>
          <cell r="J2319">
            <v>46583</v>
          </cell>
          <cell r="K2319">
            <v>100</v>
          </cell>
          <cell r="L2319">
            <v>46563</v>
          </cell>
          <cell r="M2319">
            <v>-5028</v>
          </cell>
          <cell r="N2319">
            <v>194972</v>
          </cell>
        </row>
        <row r="2320">
          <cell r="A2320">
            <v>33121</v>
          </cell>
          <cell r="B2320">
            <v>2314</v>
          </cell>
          <cell r="C2320" t="str">
            <v>IASWD2407001814</v>
          </cell>
          <cell r="D2320">
            <v>45496</v>
          </cell>
          <cell r="E2320">
            <v>46563</v>
          </cell>
          <cell r="F2320" t="str">
            <v>33121</v>
          </cell>
          <cell r="G2320" t="str">
            <v>弘憶股一</v>
          </cell>
          <cell r="H2320">
            <v>100000</v>
          </cell>
          <cell r="I2320">
            <v>3.5</v>
          </cell>
          <cell r="J2320">
            <v>46563</v>
          </cell>
          <cell r="K2320">
            <v>100</v>
          </cell>
          <cell r="L2320">
            <v>46545</v>
          </cell>
          <cell r="M2320">
            <v>-2838</v>
          </cell>
          <cell r="N2320">
            <v>97162</v>
          </cell>
        </row>
        <row r="2321">
          <cell r="A2321">
            <v>35482</v>
          </cell>
          <cell r="B2321">
            <v>2315</v>
          </cell>
          <cell r="C2321" t="str">
            <v>IASWD2407001815</v>
          </cell>
          <cell r="D2321">
            <v>45496</v>
          </cell>
          <cell r="E2321">
            <v>46395</v>
          </cell>
          <cell r="F2321" t="str">
            <v>35482</v>
          </cell>
          <cell r="G2321" t="str">
            <v>兆利二</v>
          </cell>
          <cell r="H2321">
            <v>200000</v>
          </cell>
          <cell r="I2321">
            <v>3</v>
          </cell>
          <cell r="J2321">
            <v>46395</v>
          </cell>
          <cell r="K2321">
            <v>100</v>
          </cell>
          <cell r="L2321">
            <v>46377</v>
          </cell>
          <cell r="M2321">
            <v>-4866</v>
          </cell>
          <cell r="N2321">
            <v>195134</v>
          </cell>
        </row>
        <row r="2322">
          <cell r="A2322">
            <v>65096</v>
          </cell>
          <cell r="B2322">
            <v>2316</v>
          </cell>
          <cell r="C2322" t="str">
            <v>IASWD2407001820</v>
          </cell>
          <cell r="D2322">
            <v>45496</v>
          </cell>
          <cell r="E2322">
            <v>46206</v>
          </cell>
          <cell r="F2322" t="str">
            <v>65096</v>
          </cell>
          <cell r="G2322" t="str">
            <v>聚和六</v>
          </cell>
          <cell r="H2322">
            <v>500000</v>
          </cell>
          <cell r="I2322">
            <v>3.1</v>
          </cell>
          <cell r="J2322">
            <v>46206</v>
          </cell>
          <cell r="K2322">
            <v>100</v>
          </cell>
          <cell r="L2322">
            <v>46188</v>
          </cell>
          <cell r="M2322">
            <v>-12570</v>
          </cell>
          <cell r="N2322">
            <v>487430</v>
          </cell>
        </row>
        <row r="2323">
          <cell r="A2323">
            <v>22013</v>
          </cell>
          <cell r="B2323">
            <v>2317</v>
          </cell>
          <cell r="C2323" t="str">
            <v>IASWD2407001822</v>
          </cell>
          <cell r="D2323">
            <v>45496</v>
          </cell>
          <cell r="E2323">
            <v>46167</v>
          </cell>
          <cell r="F2323" t="str">
            <v>22013</v>
          </cell>
          <cell r="G2323" t="str">
            <v>裕隆三</v>
          </cell>
          <cell r="H2323">
            <v>100000</v>
          </cell>
          <cell r="I2323">
            <v>3</v>
          </cell>
          <cell r="J2323">
            <v>46167</v>
          </cell>
          <cell r="K2323">
            <v>100.75190000000001</v>
          </cell>
          <cell r="L2323">
            <v>46147</v>
          </cell>
          <cell r="M2323">
            <v>-2433</v>
          </cell>
          <cell r="N2323">
            <v>97567</v>
          </cell>
        </row>
        <row r="2324">
          <cell r="A2324">
            <v>34843</v>
          </cell>
          <cell r="B2324">
            <v>2318</v>
          </cell>
          <cell r="C2324" t="str">
            <v>IASWD2407001824</v>
          </cell>
          <cell r="D2324">
            <v>45496</v>
          </cell>
          <cell r="E2324">
            <v>46136</v>
          </cell>
          <cell r="F2324" t="str">
            <v>34843</v>
          </cell>
          <cell r="G2324" t="str">
            <v>崧騰三</v>
          </cell>
          <cell r="H2324">
            <v>100000</v>
          </cell>
          <cell r="I2324">
            <v>3.5</v>
          </cell>
          <cell r="J2324">
            <v>46136</v>
          </cell>
          <cell r="K2324">
            <v>100.75</v>
          </cell>
          <cell r="L2324">
            <v>46118</v>
          </cell>
          <cell r="M2324">
            <v>-2838</v>
          </cell>
          <cell r="N2324">
            <v>97162</v>
          </cell>
        </row>
        <row r="2325">
          <cell r="A2325">
            <v>64145</v>
          </cell>
          <cell r="B2325">
            <v>2319</v>
          </cell>
          <cell r="C2325" t="str">
            <v>IASWD2407001825</v>
          </cell>
          <cell r="D2325">
            <v>45496</v>
          </cell>
          <cell r="E2325">
            <v>46250</v>
          </cell>
          <cell r="F2325" t="str">
            <v>64145</v>
          </cell>
          <cell r="G2325" t="str">
            <v>樺漢五</v>
          </cell>
          <cell r="H2325">
            <v>100000</v>
          </cell>
          <cell r="I2325">
            <v>3</v>
          </cell>
          <cell r="J2325">
            <v>46250</v>
          </cell>
          <cell r="K2325">
            <v>100</v>
          </cell>
          <cell r="L2325">
            <v>46231</v>
          </cell>
          <cell r="M2325">
            <v>-2433</v>
          </cell>
          <cell r="N2325">
            <v>97567</v>
          </cell>
        </row>
        <row r="2326">
          <cell r="A2326">
            <v>41683</v>
          </cell>
          <cell r="B2326">
            <v>2320</v>
          </cell>
          <cell r="C2326" t="str">
            <v>IASWD2407001826</v>
          </cell>
          <cell r="D2326">
            <v>45496</v>
          </cell>
          <cell r="E2326">
            <v>45835</v>
          </cell>
          <cell r="F2326" t="str">
            <v>41683</v>
          </cell>
          <cell r="G2326" t="str">
            <v>醣聯三</v>
          </cell>
          <cell r="H2326">
            <v>100000</v>
          </cell>
          <cell r="I2326">
            <v>2.2000000000000002</v>
          </cell>
          <cell r="J2326">
            <v>45835</v>
          </cell>
          <cell r="K2326">
            <v>100</v>
          </cell>
          <cell r="L2326">
            <v>45817</v>
          </cell>
          <cell r="M2326">
            <v>-1784</v>
          </cell>
          <cell r="N2326">
            <v>98216</v>
          </cell>
        </row>
        <row r="2327">
          <cell r="A2327">
            <v>33121</v>
          </cell>
          <cell r="B2327">
            <v>2321</v>
          </cell>
          <cell r="C2327" t="str">
            <v>IASWD2407001827</v>
          </cell>
          <cell r="D2327">
            <v>45496</v>
          </cell>
          <cell r="E2327">
            <v>46563</v>
          </cell>
          <cell r="F2327" t="str">
            <v>33121</v>
          </cell>
          <cell r="G2327" t="str">
            <v>弘憶股一</v>
          </cell>
          <cell r="H2327">
            <v>100000</v>
          </cell>
          <cell r="I2327">
            <v>3.5</v>
          </cell>
          <cell r="J2327">
            <v>46563</v>
          </cell>
          <cell r="K2327">
            <v>100</v>
          </cell>
          <cell r="L2327">
            <v>46545</v>
          </cell>
          <cell r="M2327">
            <v>-2838</v>
          </cell>
          <cell r="N2327">
            <v>97162</v>
          </cell>
        </row>
        <row r="2328">
          <cell r="A2328">
            <v>84781</v>
          </cell>
          <cell r="B2328">
            <v>2322</v>
          </cell>
          <cell r="C2328" t="str">
            <v>IASWD2407001828</v>
          </cell>
          <cell r="D2328">
            <v>45496</v>
          </cell>
          <cell r="E2328">
            <v>46583</v>
          </cell>
          <cell r="F2328" t="str">
            <v>84781</v>
          </cell>
          <cell r="G2328" t="str">
            <v>東哥遊艇一</v>
          </cell>
          <cell r="H2328">
            <v>1200000</v>
          </cell>
          <cell r="I2328">
            <v>3.1</v>
          </cell>
          <cell r="J2328">
            <v>46583</v>
          </cell>
          <cell r="K2328">
            <v>100</v>
          </cell>
          <cell r="L2328">
            <v>46563</v>
          </cell>
          <cell r="M2328">
            <v>-30168</v>
          </cell>
          <cell r="N2328">
            <v>1169832</v>
          </cell>
        </row>
        <row r="2329">
          <cell r="A2329">
            <v>84781</v>
          </cell>
          <cell r="B2329">
            <v>2323</v>
          </cell>
          <cell r="C2329" t="str">
            <v>IASWD2407001830</v>
          </cell>
          <cell r="D2329">
            <v>45496</v>
          </cell>
          <cell r="E2329">
            <v>46583</v>
          </cell>
          <cell r="F2329" t="str">
            <v>84781</v>
          </cell>
          <cell r="G2329" t="str">
            <v>東哥遊艇一</v>
          </cell>
          <cell r="H2329">
            <v>1000000</v>
          </cell>
          <cell r="I2329">
            <v>3.1</v>
          </cell>
          <cell r="J2329">
            <v>46583</v>
          </cell>
          <cell r="K2329">
            <v>100</v>
          </cell>
          <cell r="L2329">
            <v>46563</v>
          </cell>
          <cell r="M2329">
            <v>-25140</v>
          </cell>
          <cell r="N2329">
            <v>974860</v>
          </cell>
        </row>
        <row r="2330">
          <cell r="A2330">
            <v>35482</v>
          </cell>
          <cell r="B2330">
            <v>2324</v>
          </cell>
          <cell r="C2330" t="str">
            <v>IASWD2407001832</v>
          </cell>
          <cell r="D2330">
            <v>45496</v>
          </cell>
          <cell r="E2330">
            <v>46395</v>
          </cell>
          <cell r="F2330" t="str">
            <v>35482</v>
          </cell>
          <cell r="G2330" t="str">
            <v>兆利二</v>
          </cell>
          <cell r="H2330">
            <v>200000</v>
          </cell>
          <cell r="I2330">
            <v>3</v>
          </cell>
          <cell r="J2330">
            <v>46395</v>
          </cell>
          <cell r="K2330">
            <v>100</v>
          </cell>
          <cell r="L2330">
            <v>46377</v>
          </cell>
          <cell r="M2330">
            <v>-4866</v>
          </cell>
          <cell r="N2330">
            <v>195134</v>
          </cell>
        </row>
        <row r="2331">
          <cell r="A2331">
            <v>64145</v>
          </cell>
          <cell r="B2331">
            <v>2325</v>
          </cell>
          <cell r="C2331" t="str">
            <v>IASWD2407001834</v>
          </cell>
          <cell r="D2331">
            <v>45496</v>
          </cell>
          <cell r="E2331">
            <v>46250</v>
          </cell>
          <cell r="F2331" t="str">
            <v>64145</v>
          </cell>
          <cell r="G2331" t="str">
            <v>樺漢五</v>
          </cell>
          <cell r="H2331">
            <v>100000</v>
          </cell>
          <cell r="I2331">
            <v>3</v>
          </cell>
          <cell r="J2331">
            <v>46250</v>
          </cell>
          <cell r="K2331">
            <v>100</v>
          </cell>
          <cell r="L2331">
            <v>46231</v>
          </cell>
          <cell r="M2331">
            <v>-2433</v>
          </cell>
          <cell r="N2331">
            <v>97567</v>
          </cell>
        </row>
        <row r="2332">
          <cell r="A2332">
            <v>27323</v>
          </cell>
          <cell r="B2332">
            <v>2326</v>
          </cell>
          <cell r="C2332" t="str">
            <v>IASWD2407001838</v>
          </cell>
          <cell r="D2332">
            <v>45496</v>
          </cell>
          <cell r="E2332">
            <v>46048</v>
          </cell>
          <cell r="F2332" t="str">
            <v>27323</v>
          </cell>
          <cell r="G2332" t="str">
            <v>六角三</v>
          </cell>
          <cell r="H2332">
            <v>100000</v>
          </cell>
          <cell r="I2332">
            <v>3</v>
          </cell>
          <cell r="J2332">
            <v>46048</v>
          </cell>
          <cell r="K2332">
            <v>101</v>
          </cell>
          <cell r="L2332">
            <v>46028</v>
          </cell>
          <cell r="M2332">
            <v>-2433</v>
          </cell>
          <cell r="N2332">
            <v>97567</v>
          </cell>
        </row>
        <row r="2333">
          <cell r="A2333">
            <v>33121</v>
          </cell>
          <cell r="B2333">
            <v>2327</v>
          </cell>
          <cell r="C2333" t="str">
            <v>IASWD2407001839</v>
          </cell>
          <cell r="D2333">
            <v>45496</v>
          </cell>
          <cell r="E2333">
            <v>46563</v>
          </cell>
          <cell r="F2333" t="str">
            <v>33121</v>
          </cell>
          <cell r="G2333" t="str">
            <v>弘憶股一</v>
          </cell>
          <cell r="H2333">
            <v>100000</v>
          </cell>
          <cell r="I2333">
            <v>3.5</v>
          </cell>
          <cell r="J2333">
            <v>46563</v>
          </cell>
          <cell r="K2333">
            <v>100</v>
          </cell>
          <cell r="L2333">
            <v>46545</v>
          </cell>
          <cell r="M2333">
            <v>-2838</v>
          </cell>
          <cell r="N2333">
            <v>97162</v>
          </cell>
        </row>
        <row r="2334">
          <cell r="A2334">
            <v>82551</v>
          </cell>
          <cell r="B2334">
            <v>2328</v>
          </cell>
          <cell r="C2334" t="str">
            <v>IASWD2407001840</v>
          </cell>
          <cell r="D2334">
            <v>45496</v>
          </cell>
          <cell r="E2334">
            <v>46243</v>
          </cell>
          <cell r="F2334" t="str">
            <v>82551</v>
          </cell>
          <cell r="G2334" t="str">
            <v>朋程一</v>
          </cell>
          <cell r="H2334">
            <v>100000</v>
          </cell>
          <cell r="I2334">
            <v>2.6</v>
          </cell>
          <cell r="J2334">
            <v>46243</v>
          </cell>
          <cell r="K2334">
            <v>100</v>
          </cell>
          <cell r="L2334">
            <v>46224</v>
          </cell>
          <cell r="M2334">
            <v>-2108</v>
          </cell>
          <cell r="N2334">
            <v>97892</v>
          </cell>
        </row>
        <row r="2335">
          <cell r="A2335">
            <v>82551</v>
          </cell>
          <cell r="B2335">
            <v>2329</v>
          </cell>
          <cell r="C2335" t="str">
            <v>IASWD2407001842</v>
          </cell>
          <cell r="D2335">
            <v>45496</v>
          </cell>
          <cell r="E2335">
            <v>46243</v>
          </cell>
          <cell r="F2335" t="str">
            <v>82551</v>
          </cell>
          <cell r="G2335" t="str">
            <v>朋程一</v>
          </cell>
          <cell r="H2335">
            <v>100000</v>
          </cell>
          <cell r="I2335">
            <v>2.6</v>
          </cell>
          <cell r="J2335">
            <v>46243</v>
          </cell>
          <cell r="K2335">
            <v>100</v>
          </cell>
          <cell r="L2335">
            <v>46224</v>
          </cell>
          <cell r="M2335">
            <v>-2108</v>
          </cell>
          <cell r="N2335">
            <v>97892</v>
          </cell>
        </row>
        <row r="2336">
          <cell r="A2336">
            <v>50097</v>
          </cell>
          <cell r="B2336">
            <v>2330</v>
          </cell>
          <cell r="C2336" t="str">
            <v>IASWD2407001844</v>
          </cell>
          <cell r="D2336">
            <v>45496</v>
          </cell>
          <cell r="E2336">
            <v>46234</v>
          </cell>
          <cell r="F2336" t="str">
            <v>50097</v>
          </cell>
          <cell r="G2336" t="str">
            <v>榮剛七</v>
          </cell>
          <cell r="H2336">
            <v>100000</v>
          </cell>
          <cell r="I2336">
            <v>4.2</v>
          </cell>
          <cell r="J2336">
            <v>46234</v>
          </cell>
          <cell r="K2336">
            <v>101.51</v>
          </cell>
          <cell r="L2336">
            <v>46216</v>
          </cell>
          <cell r="M2336">
            <v>-3406</v>
          </cell>
          <cell r="N2336">
            <v>96594</v>
          </cell>
        </row>
        <row r="2337">
          <cell r="A2337">
            <v>64145</v>
          </cell>
          <cell r="B2337">
            <v>2331</v>
          </cell>
          <cell r="C2337" t="str">
            <v>IASWD2407001846</v>
          </cell>
          <cell r="D2337">
            <v>45496</v>
          </cell>
          <cell r="E2337">
            <v>46250</v>
          </cell>
          <cell r="F2337" t="str">
            <v>64145</v>
          </cell>
          <cell r="G2337" t="str">
            <v>樺漢五</v>
          </cell>
          <cell r="H2337">
            <v>200000</v>
          </cell>
          <cell r="I2337">
            <v>3</v>
          </cell>
          <cell r="J2337">
            <v>46250</v>
          </cell>
          <cell r="K2337">
            <v>100</v>
          </cell>
          <cell r="L2337">
            <v>46231</v>
          </cell>
          <cell r="M2337">
            <v>-4866</v>
          </cell>
          <cell r="N2337">
            <v>195134</v>
          </cell>
        </row>
        <row r="2338">
          <cell r="A2338">
            <v>64145</v>
          </cell>
          <cell r="B2338">
            <v>2332</v>
          </cell>
          <cell r="C2338" t="str">
            <v>IASWD2407001847</v>
          </cell>
          <cell r="D2338">
            <v>45496</v>
          </cell>
          <cell r="E2338">
            <v>46250</v>
          </cell>
          <cell r="F2338" t="str">
            <v>64145</v>
          </cell>
          <cell r="G2338" t="str">
            <v>樺漢五</v>
          </cell>
          <cell r="H2338">
            <v>100000</v>
          </cell>
          <cell r="I2338">
            <v>3</v>
          </cell>
          <cell r="J2338">
            <v>46250</v>
          </cell>
          <cell r="K2338">
            <v>100</v>
          </cell>
          <cell r="L2338">
            <v>46231</v>
          </cell>
          <cell r="M2338">
            <v>-2433</v>
          </cell>
          <cell r="N2338">
            <v>97567</v>
          </cell>
        </row>
        <row r="2339">
          <cell r="A2339">
            <v>35266</v>
          </cell>
          <cell r="B2339">
            <v>2333</v>
          </cell>
          <cell r="C2339" t="str">
            <v>IASWD2407001848</v>
          </cell>
          <cell r="D2339">
            <v>45496</v>
          </cell>
          <cell r="E2339">
            <v>46416</v>
          </cell>
          <cell r="F2339" t="str">
            <v>35266</v>
          </cell>
          <cell r="G2339" t="str">
            <v>凡甲六</v>
          </cell>
          <cell r="H2339">
            <v>100000</v>
          </cell>
          <cell r="I2339">
            <v>3.5</v>
          </cell>
          <cell r="J2339">
            <v>46416</v>
          </cell>
          <cell r="K2339">
            <v>100</v>
          </cell>
          <cell r="L2339">
            <v>46398</v>
          </cell>
          <cell r="M2339">
            <v>-2838</v>
          </cell>
          <cell r="N2339">
            <v>97162</v>
          </cell>
        </row>
        <row r="2340">
          <cell r="A2340">
            <v>64145</v>
          </cell>
          <cell r="B2340">
            <v>2334</v>
          </cell>
          <cell r="C2340" t="str">
            <v>IASWD2407001849</v>
          </cell>
          <cell r="D2340">
            <v>45496</v>
          </cell>
          <cell r="E2340">
            <v>46250</v>
          </cell>
          <cell r="F2340" t="str">
            <v>64145</v>
          </cell>
          <cell r="G2340" t="str">
            <v>樺漢五</v>
          </cell>
          <cell r="H2340">
            <v>100000</v>
          </cell>
          <cell r="I2340">
            <v>3</v>
          </cell>
          <cell r="J2340">
            <v>46250</v>
          </cell>
          <cell r="K2340">
            <v>100</v>
          </cell>
          <cell r="L2340">
            <v>46231</v>
          </cell>
          <cell r="M2340">
            <v>-2433</v>
          </cell>
          <cell r="N2340">
            <v>97567</v>
          </cell>
        </row>
        <row r="2341">
          <cell r="A2341">
            <v>64145</v>
          </cell>
          <cell r="B2341">
            <v>2335</v>
          </cell>
          <cell r="C2341" t="str">
            <v>IASWD2407001855</v>
          </cell>
          <cell r="D2341">
            <v>45496</v>
          </cell>
          <cell r="E2341">
            <v>46250</v>
          </cell>
          <cell r="F2341" t="str">
            <v>64145</v>
          </cell>
          <cell r="G2341" t="str">
            <v>樺漢五</v>
          </cell>
          <cell r="H2341">
            <v>600000</v>
          </cell>
          <cell r="I2341">
            <v>3</v>
          </cell>
          <cell r="J2341">
            <v>46250</v>
          </cell>
          <cell r="K2341">
            <v>100</v>
          </cell>
          <cell r="L2341">
            <v>46231</v>
          </cell>
          <cell r="M2341">
            <v>-14597</v>
          </cell>
          <cell r="N2341">
            <v>585403</v>
          </cell>
        </row>
        <row r="2342">
          <cell r="A2342">
            <v>64145</v>
          </cell>
          <cell r="B2342">
            <v>2336</v>
          </cell>
          <cell r="C2342" t="str">
            <v>IASWD2407001856</v>
          </cell>
          <cell r="D2342">
            <v>45496</v>
          </cell>
          <cell r="E2342">
            <v>46250</v>
          </cell>
          <cell r="F2342" t="str">
            <v>64145</v>
          </cell>
          <cell r="G2342" t="str">
            <v>樺漢五</v>
          </cell>
          <cell r="H2342">
            <v>100000</v>
          </cell>
          <cell r="I2342">
            <v>3</v>
          </cell>
          <cell r="J2342">
            <v>46250</v>
          </cell>
          <cell r="K2342">
            <v>100</v>
          </cell>
          <cell r="L2342">
            <v>46231</v>
          </cell>
          <cell r="M2342">
            <v>-2433</v>
          </cell>
          <cell r="N2342">
            <v>97567</v>
          </cell>
        </row>
        <row r="2343">
          <cell r="A2343">
            <v>84781</v>
          </cell>
          <cell r="B2343">
            <v>2337</v>
          </cell>
          <cell r="C2343" t="str">
            <v>IASWD2407001857</v>
          </cell>
          <cell r="D2343">
            <v>45496</v>
          </cell>
          <cell r="E2343">
            <v>46583</v>
          </cell>
          <cell r="F2343" t="str">
            <v>84781</v>
          </cell>
          <cell r="G2343" t="str">
            <v>東哥遊艇一</v>
          </cell>
          <cell r="H2343">
            <v>300000</v>
          </cell>
          <cell r="I2343">
            <v>3.1</v>
          </cell>
          <cell r="J2343">
            <v>46583</v>
          </cell>
          <cell r="K2343">
            <v>100</v>
          </cell>
          <cell r="L2343">
            <v>46563</v>
          </cell>
          <cell r="M2343">
            <v>-7542</v>
          </cell>
          <cell r="N2343">
            <v>292458</v>
          </cell>
        </row>
        <row r="2344">
          <cell r="A2344">
            <v>84781</v>
          </cell>
          <cell r="B2344">
            <v>2338</v>
          </cell>
          <cell r="C2344" t="str">
            <v>IASWD2407001858</v>
          </cell>
          <cell r="D2344">
            <v>45496</v>
          </cell>
          <cell r="E2344">
            <v>46583</v>
          </cell>
          <cell r="F2344" t="str">
            <v>84781</v>
          </cell>
          <cell r="G2344" t="str">
            <v>東哥遊艇一</v>
          </cell>
          <cell r="H2344">
            <v>100000</v>
          </cell>
          <cell r="I2344">
            <v>3.1</v>
          </cell>
          <cell r="J2344">
            <v>46583</v>
          </cell>
          <cell r="K2344">
            <v>100</v>
          </cell>
          <cell r="L2344">
            <v>46563</v>
          </cell>
          <cell r="M2344">
            <v>-2514</v>
          </cell>
          <cell r="N2344">
            <v>97486</v>
          </cell>
        </row>
        <row r="2345">
          <cell r="A2345">
            <v>61965</v>
          </cell>
          <cell r="B2345">
            <v>2339</v>
          </cell>
          <cell r="C2345" t="str">
            <v>IASWD2407001861</v>
          </cell>
          <cell r="D2345">
            <v>45499</v>
          </cell>
          <cell r="E2345">
            <v>46200</v>
          </cell>
          <cell r="F2345" t="str">
            <v>61965</v>
          </cell>
          <cell r="G2345" t="str">
            <v>帆宣五</v>
          </cell>
          <cell r="H2345">
            <v>100000</v>
          </cell>
          <cell r="I2345">
            <v>3</v>
          </cell>
          <cell r="J2345">
            <v>46200</v>
          </cell>
          <cell r="K2345">
            <v>100</v>
          </cell>
          <cell r="L2345">
            <v>46182</v>
          </cell>
          <cell r="M2345">
            <v>-2408</v>
          </cell>
          <cell r="N2345">
            <v>97592</v>
          </cell>
        </row>
        <row r="2346">
          <cell r="A2346">
            <v>82551</v>
          </cell>
          <cell r="B2346">
            <v>2340</v>
          </cell>
          <cell r="C2346" t="str">
            <v>IASWD2407001862</v>
          </cell>
          <cell r="D2346">
            <v>45499</v>
          </cell>
          <cell r="E2346">
            <v>46243</v>
          </cell>
          <cell r="F2346" t="str">
            <v>82551</v>
          </cell>
          <cell r="G2346" t="str">
            <v>朋程一</v>
          </cell>
          <cell r="H2346">
            <v>100000</v>
          </cell>
          <cell r="I2346">
            <v>2.6</v>
          </cell>
          <cell r="J2346">
            <v>46243</v>
          </cell>
          <cell r="K2346">
            <v>100</v>
          </cell>
          <cell r="L2346">
            <v>46224</v>
          </cell>
          <cell r="M2346">
            <v>-2087</v>
          </cell>
          <cell r="N2346">
            <v>97913</v>
          </cell>
        </row>
        <row r="2347">
          <cell r="A2347">
            <v>64145</v>
          </cell>
          <cell r="B2347">
            <v>2341</v>
          </cell>
          <cell r="C2347" t="str">
            <v>IASWD2407001863</v>
          </cell>
          <cell r="D2347">
            <v>45499</v>
          </cell>
          <cell r="E2347">
            <v>46250</v>
          </cell>
          <cell r="F2347" t="str">
            <v>64145</v>
          </cell>
          <cell r="G2347" t="str">
            <v>樺漢五</v>
          </cell>
          <cell r="H2347">
            <v>300000</v>
          </cell>
          <cell r="I2347">
            <v>3</v>
          </cell>
          <cell r="J2347">
            <v>46250</v>
          </cell>
          <cell r="K2347">
            <v>100</v>
          </cell>
          <cell r="L2347">
            <v>46231</v>
          </cell>
          <cell r="M2347">
            <v>-7225</v>
          </cell>
          <cell r="N2347">
            <v>292775</v>
          </cell>
        </row>
        <row r="2348">
          <cell r="A2348">
            <v>84781</v>
          </cell>
          <cell r="B2348">
            <v>2342</v>
          </cell>
          <cell r="C2348" t="str">
            <v>IASWD2407001865</v>
          </cell>
          <cell r="D2348">
            <v>45499</v>
          </cell>
          <cell r="E2348">
            <v>46583</v>
          </cell>
          <cell r="F2348" t="str">
            <v>84781</v>
          </cell>
          <cell r="G2348" t="str">
            <v>東哥遊艇一</v>
          </cell>
          <cell r="H2348">
            <v>100000</v>
          </cell>
          <cell r="I2348">
            <v>3.1</v>
          </cell>
          <cell r="J2348">
            <v>46583</v>
          </cell>
          <cell r="K2348">
            <v>100</v>
          </cell>
          <cell r="L2348">
            <v>46563</v>
          </cell>
          <cell r="M2348">
            <v>-2488</v>
          </cell>
          <cell r="N2348">
            <v>97512</v>
          </cell>
        </row>
        <row r="2349">
          <cell r="A2349">
            <v>64145</v>
          </cell>
          <cell r="B2349">
            <v>2343</v>
          </cell>
          <cell r="C2349" t="str">
            <v>IASWD2407001867</v>
          </cell>
          <cell r="D2349">
            <v>45499</v>
          </cell>
          <cell r="E2349">
            <v>46250</v>
          </cell>
          <cell r="F2349" t="str">
            <v>64145</v>
          </cell>
          <cell r="G2349" t="str">
            <v>樺漢五</v>
          </cell>
          <cell r="H2349">
            <v>100000</v>
          </cell>
          <cell r="I2349">
            <v>3</v>
          </cell>
          <cell r="J2349">
            <v>46250</v>
          </cell>
          <cell r="K2349">
            <v>100</v>
          </cell>
          <cell r="L2349">
            <v>46231</v>
          </cell>
          <cell r="M2349">
            <v>-2408</v>
          </cell>
          <cell r="N2349">
            <v>97592</v>
          </cell>
        </row>
        <row r="2350">
          <cell r="A2350">
            <v>64145</v>
          </cell>
          <cell r="B2350">
            <v>2344</v>
          </cell>
          <cell r="C2350" t="str">
            <v>IASWD2407001871</v>
          </cell>
          <cell r="D2350">
            <v>45499</v>
          </cell>
          <cell r="E2350">
            <v>46250</v>
          </cell>
          <cell r="F2350" t="str">
            <v>64145</v>
          </cell>
          <cell r="G2350" t="str">
            <v>樺漢五</v>
          </cell>
          <cell r="H2350">
            <v>100000</v>
          </cell>
          <cell r="I2350">
            <v>3</v>
          </cell>
          <cell r="J2350">
            <v>46250</v>
          </cell>
          <cell r="K2350">
            <v>100</v>
          </cell>
          <cell r="L2350">
            <v>46231</v>
          </cell>
          <cell r="M2350">
            <v>-2408</v>
          </cell>
          <cell r="N2350">
            <v>97592</v>
          </cell>
        </row>
        <row r="2351">
          <cell r="A2351">
            <v>84781</v>
          </cell>
          <cell r="B2351">
            <v>2345</v>
          </cell>
          <cell r="C2351" t="str">
            <v>IASWD2407001872</v>
          </cell>
          <cell r="D2351">
            <v>45499</v>
          </cell>
          <cell r="E2351">
            <v>46583</v>
          </cell>
          <cell r="F2351" t="str">
            <v>84781</v>
          </cell>
          <cell r="G2351" t="str">
            <v>東哥遊艇一</v>
          </cell>
          <cell r="H2351">
            <v>400000</v>
          </cell>
          <cell r="I2351">
            <v>3.1</v>
          </cell>
          <cell r="J2351">
            <v>46583</v>
          </cell>
          <cell r="K2351">
            <v>100</v>
          </cell>
          <cell r="L2351">
            <v>46563</v>
          </cell>
          <cell r="M2351">
            <v>-9954</v>
          </cell>
          <cell r="N2351">
            <v>390046</v>
          </cell>
        </row>
        <row r="2352">
          <cell r="A2352">
            <v>64145</v>
          </cell>
          <cell r="B2352">
            <v>2346</v>
          </cell>
          <cell r="C2352" t="str">
            <v>IASWD2407001873</v>
          </cell>
          <cell r="D2352">
            <v>45499</v>
          </cell>
          <cell r="E2352">
            <v>46250</v>
          </cell>
          <cell r="F2352" t="str">
            <v>64145</v>
          </cell>
          <cell r="G2352" t="str">
            <v>樺漢五</v>
          </cell>
          <cell r="H2352">
            <v>300000</v>
          </cell>
          <cell r="I2352">
            <v>3</v>
          </cell>
          <cell r="J2352">
            <v>46250</v>
          </cell>
          <cell r="K2352">
            <v>100</v>
          </cell>
          <cell r="L2352">
            <v>46231</v>
          </cell>
          <cell r="M2352">
            <v>-7225</v>
          </cell>
          <cell r="N2352">
            <v>292775</v>
          </cell>
        </row>
        <row r="2353">
          <cell r="A2353">
            <v>61965</v>
          </cell>
          <cell r="B2353">
            <v>2347</v>
          </cell>
          <cell r="C2353" t="str">
            <v>IASWD2407001875</v>
          </cell>
          <cell r="D2353">
            <v>45499</v>
          </cell>
          <cell r="E2353">
            <v>46200</v>
          </cell>
          <cell r="F2353" t="str">
            <v>61965</v>
          </cell>
          <cell r="G2353" t="str">
            <v>帆宣五</v>
          </cell>
          <cell r="H2353">
            <v>100000</v>
          </cell>
          <cell r="I2353">
            <v>3</v>
          </cell>
          <cell r="J2353">
            <v>46200</v>
          </cell>
          <cell r="K2353">
            <v>100</v>
          </cell>
          <cell r="L2353">
            <v>46182</v>
          </cell>
          <cell r="M2353">
            <v>-2408</v>
          </cell>
          <cell r="N2353">
            <v>97592</v>
          </cell>
        </row>
        <row r="2354">
          <cell r="A2354">
            <v>64145</v>
          </cell>
          <cell r="B2354">
            <v>2348</v>
          </cell>
          <cell r="C2354" t="str">
            <v>IASWD2407001877</v>
          </cell>
          <cell r="D2354">
            <v>45499</v>
          </cell>
          <cell r="E2354">
            <v>46250</v>
          </cell>
          <cell r="F2354" t="str">
            <v>64145</v>
          </cell>
          <cell r="G2354" t="str">
            <v>樺漢五</v>
          </cell>
          <cell r="H2354">
            <v>600000</v>
          </cell>
          <cell r="I2354">
            <v>3</v>
          </cell>
          <cell r="J2354">
            <v>46250</v>
          </cell>
          <cell r="K2354">
            <v>100</v>
          </cell>
          <cell r="L2354">
            <v>46231</v>
          </cell>
          <cell r="M2354">
            <v>-14449</v>
          </cell>
          <cell r="N2354">
            <v>585551</v>
          </cell>
        </row>
        <row r="2355">
          <cell r="A2355">
            <v>84781</v>
          </cell>
          <cell r="B2355">
            <v>2349</v>
          </cell>
          <cell r="C2355" t="str">
            <v>IASWD2407001878</v>
          </cell>
          <cell r="D2355">
            <v>45499</v>
          </cell>
          <cell r="E2355">
            <v>46583</v>
          </cell>
          <cell r="F2355" t="str">
            <v>84781</v>
          </cell>
          <cell r="G2355" t="str">
            <v>東哥遊艇一</v>
          </cell>
          <cell r="H2355">
            <v>300000</v>
          </cell>
          <cell r="I2355">
            <v>3.1</v>
          </cell>
          <cell r="J2355">
            <v>46583</v>
          </cell>
          <cell r="K2355">
            <v>100</v>
          </cell>
          <cell r="L2355">
            <v>46563</v>
          </cell>
          <cell r="M2355">
            <v>-7465</v>
          </cell>
          <cell r="N2355">
            <v>292535</v>
          </cell>
        </row>
        <row r="2356">
          <cell r="A2356">
            <v>64145</v>
          </cell>
          <cell r="B2356">
            <v>2350</v>
          </cell>
          <cell r="C2356" t="str">
            <v>IASWD2407001880</v>
          </cell>
          <cell r="D2356">
            <v>45499</v>
          </cell>
          <cell r="E2356">
            <v>46250</v>
          </cell>
          <cell r="F2356" t="str">
            <v>64145</v>
          </cell>
          <cell r="G2356" t="str">
            <v>樺漢五</v>
          </cell>
          <cell r="H2356">
            <v>100000</v>
          </cell>
          <cell r="I2356">
            <v>3</v>
          </cell>
          <cell r="J2356">
            <v>46250</v>
          </cell>
          <cell r="K2356">
            <v>100</v>
          </cell>
          <cell r="L2356">
            <v>46231</v>
          </cell>
          <cell r="M2356">
            <v>-2408</v>
          </cell>
          <cell r="N2356">
            <v>97592</v>
          </cell>
        </row>
        <row r="2357">
          <cell r="A2357">
            <v>65096</v>
          </cell>
          <cell r="B2357">
            <v>2351</v>
          </cell>
          <cell r="C2357" t="str">
            <v>IASWD2407001881</v>
          </cell>
          <cell r="D2357">
            <v>45499</v>
          </cell>
          <cell r="E2357">
            <v>46206</v>
          </cell>
          <cell r="F2357" t="str">
            <v>65096</v>
          </cell>
          <cell r="G2357" t="str">
            <v>聚和六</v>
          </cell>
          <cell r="H2357">
            <v>400000</v>
          </cell>
          <cell r="I2357">
            <v>3.1</v>
          </cell>
          <cell r="J2357">
            <v>46206</v>
          </cell>
          <cell r="K2357">
            <v>100</v>
          </cell>
          <cell r="L2357">
            <v>46188</v>
          </cell>
          <cell r="M2357">
            <v>-9954</v>
          </cell>
          <cell r="N2357">
            <v>390046</v>
          </cell>
        </row>
        <row r="2358">
          <cell r="A2358">
            <v>64145</v>
          </cell>
          <cell r="B2358">
            <v>2352</v>
          </cell>
          <cell r="C2358" t="str">
            <v>IASWD2407001883</v>
          </cell>
          <cell r="D2358">
            <v>45499</v>
          </cell>
          <cell r="E2358">
            <v>46250</v>
          </cell>
          <cell r="F2358" t="str">
            <v>64145</v>
          </cell>
          <cell r="G2358" t="str">
            <v>樺漢五</v>
          </cell>
          <cell r="H2358">
            <v>300000</v>
          </cell>
          <cell r="I2358">
            <v>3</v>
          </cell>
          <cell r="J2358">
            <v>46250</v>
          </cell>
          <cell r="K2358">
            <v>100</v>
          </cell>
          <cell r="L2358">
            <v>46231</v>
          </cell>
          <cell r="M2358">
            <v>-7225</v>
          </cell>
          <cell r="N2358">
            <v>292775</v>
          </cell>
        </row>
        <row r="2359">
          <cell r="A2359">
            <v>22013</v>
          </cell>
          <cell r="B2359">
            <v>2353</v>
          </cell>
          <cell r="C2359" t="str">
            <v>IASWD2407001885</v>
          </cell>
          <cell r="D2359">
            <v>45499</v>
          </cell>
          <cell r="E2359">
            <v>46167</v>
          </cell>
          <cell r="F2359" t="str">
            <v>22013</v>
          </cell>
          <cell r="G2359" t="str">
            <v>裕隆三</v>
          </cell>
          <cell r="H2359">
            <v>200000</v>
          </cell>
          <cell r="I2359">
            <v>3</v>
          </cell>
          <cell r="J2359">
            <v>46167</v>
          </cell>
          <cell r="K2359">
            <v>100.75190000000001</v>
          </cell>
          <cell r="L2359">
            <v>46147</v>
          </cell>
          <cell r="M2359">
            <v>-4816</v>
          </cell>
          <cell r="N2359">
            <v>195184</v>
          </cell>
        </row>
        <row r="2360">
          <cell r="A2360">
            <v>22013</v>
          </cell>
          <cell r="B2360">
            <v>2354</v>
          </cell>
          <cell r="C2360" t="str">
            <v>IASWD2407001887</v>
          </cell>
          <cell r="D2360">
            <v>45499</v>
          </cell>
          <cell r="E2360">
            <v>46167</v>
          </cell>
          <cell r="F2360" t="str">
            <v>22013</v>
          </cell>
          <cell r="G2360" t="str">
            <v>裕隆三</v>
          </cell>
          <cell r="H2360">
            <v>200000</v>
          </cell>
          <cell r="I2360">
            <v>3</v>
          </cell>
          <cell r="J2360">
            <v>46167</v>
          </cell>
          <cell r="K2360">
            <v>100.75190000000001</v>
          </cell>
          <cell r="L2360">
            <v>46147</v>
          </cell>
          <cell r="M2360">
            <v>-4816</v>
          </cell>
          <cell r="N2360">
            <v>195184</v>
          </cell>
        </row>
        <row r="2361">
          <cell r="A2361">
            <v>34843</v>
          </cell>
          <cell r="B2361">
            <v>2355</v>
          </cell>
          <cell r="C2361" t="str">
            <v>IASWD2407001888</v>
          </cell>
          <cell r="D2361">
            <v>45499</v>
          </cell>
          <cell r="E2361">
            <v>46136</v>
          </cell>
          <cell r="F2361" t="str">
            <v>34843</v>
          </cell>
          <cell r="G2361" t="str">
            <v>崧騰三</v>
          </cell>
          <cell r="H2361">
            <v>200000</v>
          </cell>
          <cell r="I2361">
            <v>3.5</v>
          </cell>
          <cell r="J2361">
            <v>46136</v>
          </cell>
          <cell r="K2361">
            <v>100.75</v>
          </cell>
          <cell r="L2361">
            <v>46118</v>
          </cell>
          <cell r="M2361">
            <v>-5619</v>
          </cell>
          <cell r="N2361">
            <v>194381</v>
          </cell>
        </row>
        <row r="2362">
          <cell r="A2362">
            <v>64145</v>
          </cell>
          <cell r="B2362">
            <v>2356</v>
          </cell>
          <cell r="C2362" t="str">
            <v>IASWD2407001889</v>
          </cell>
          <cell r="D2362">
            <v>45499</v>
          </cell>
          <cell r="E2362">
            <v>46250</v>
          </cell>
          <cell r="F2362" t="str">
            <v>64145</v>
          </cell>
          <cell r="G2362" t="str">
            <v>樺漢五</v>
          </cell>
          <cell r="H2362">
            <v>100000</v>
          </cell>
          <cell r="I2362">
            <v>3</v>
          </cell>
          <cell r="J2362">
            <v>46250</v>
          </cell>
          <cell r="K2362">
            <v>100</v>
          </cell>
          <cell r="L2362">
            <v>46231</v>
          </cell>
          <cell r="M2362">
            <v>-2408</v>
          </cell>
          <cell r="N2362">
            <v>97592</v>
          </cell>
        </row>
        <row r="2363">
          <cell r="A2363">
            <v>61906</v>
          </cell>
          <cell r="B2363">
            <v>2357</v>
          </cell>
          <cell r="C2363" t="str">
            <v>IASWD2407001891</v>
          </cell>
          <cell r="D2363">
            <v>45499</v>
          </cell>
          <cell r="E2363">
            <v>45961</v>
          </cell>
          <cell r="F2363" t="str">
            <v>61906</v>
          </cell>
          <cell r="G2363" t="str">
            <v>萬泰科六</v>
          </cell>
          <cell r="H2363">
            <v>100000</v>
          </cell>
          <cell r="I2363">
            <v>4</v>
          </cell>
          <cell r="J2363">
            <v>45961</v>
          </cell>
          <cell r="K2363">
            <v>100</v>
          </cell>
          <cell r="L2363">
            <v>45943</v>
          </cell>
          <cell r="M2363">
            <v>-3211</v>
          </cell>
          <cell r="N2363">
            <v>96789</v>
          </cell>
        </row>
        <row r="2364">
          <cell r="A2364">
            <v>64145</v>
          </cell>
          <cell r="B2364">
            <v>2358</v>
          </cell>
          <cell r="C2364" t="str">
            <v>IASWD2407001892</v>
          </cell>
          <cell r="D2364">
            <v>45499</v>
          </cell>
          <cell r="E2364">
            <v>46250</v>
          </cell>
          <cell r="F2364" t="str">
            <v>64145</v>
          </cell>
          <cell r="G2364" t="str">
            <v>樺漢五</v>
          </cell>
          <cell r="H2364">
            <v>100000</v>
          </cell>
          <cell r="I2364">
            <v>3</v>
          </cell>
          <cell r="J2364">
            <v>46250</v>
          </cell>
          <cell r="K2364">
            <v>100</v>
          </cell>
          <cell r="L2364">
            <v>46231</v>
          </cell>
          <cell r="M2364">
            <v>-2408</v>
          </cell>
          <cell r="N2364">
            <v>97592</v>
          </cell>
        </row>
        <row r="2365">
          <cell r="A2365">
            <v>64145</v>
          </cell>
          <cell r="B2365">
            <v>2359</v>
          </cell>
          <cell r="C2365" t="str">
            <v>IASWD2407001894</v>
          </cell>
          <cell r="D2365">
            <v>45499</v>
          </cell>
          <cell r="E2365">
            <v>46250</v>
          </cell>
          <cell r="F2365" t="str">
            <v>64145</v>
          </cell>
          <cell r="G2365" t="str">
            <v>樺漢五</v>
          </cell>
          <cell r="H2365">
            <v>500000</v>
          </cell>
          <cell r="I2365">
            <v>3</v>
          </cell>
          <cell r="J2365">
            <v>46250</v>
          </cell>
          <cell r="K2365">
            <v>100</v>
          </cell>
          <cell r="L2365">
            <v>46231</v>
          </cell>
          <cell r="M2365">
            <v>-12041</v>
          </cell>
          <cell r="N2365">
            <v>487959</v>
          </cell>
        </row>
        <row r="2366">
          <cell r="A2366">
            <v>36804</v>
          </cell>
          <cell r="B2366">
            <v>2360</v>
          </cell>
          <cell r="C2366" t="str">
            <v>IASWD2407001895</v>
          </cell>
          <cell r="D2366">
            <v>45499</v>
          </cell>
          <cell r="E2366">
            <v>45948</v>
          </cell>
          <cell r="F2366" t="str">
            <v>36804</v>
          </cell>
          <cell r="G2366" t="str">
            <v>家登四</v>
          </cell>
          <cell r="H2366">
            <v>700000</v>
          </cell>
          <cell r="I2366">
            <v>3.2</v>
          </cell>
          <cell r="J2366">
            <v>45948</v>
          </cell>
          <cell r="K2366">
            <v>100</v>
          </cell>
          <cell r="L2366">
            <v>45926</v>
          </cell>
          <cell r="M2366">
            <v>-17981</v>
          </cell>
          <cell r="N2366">
            <v>682019</v>
          </cell>
        </row>
        <row r="2367">
          <cell r="A2367">
            <v>33121</v>
          </cell>
          <cell r="B2367">
            <v>2361</v>
          </cell>
          <cell r="C2367" t="str">
            <v>IASWD2407001898</v>
          </cell>
          <cell r="D2367">
            <v>45499</v>
          </cell>
          <cell r="E2367">
            <v>46563</v>
          </cell>
          <cell r="F2367" t="str">
            <v>33121</v>
          </cell>
          <cell r="G2367" t="str">
            <v>弘憶股一</v>
          </cell>
          <cell r="H2367">
            <v>100000</v>
          </cell>
          <cell r="I2367">
            <v>3.5</v>
          </cell>
          <cell r="J2367">
            <v>46563</v>
          </cell>
          <cell r="K2367">
            <v>100</v>
          </cell>
          <cell r="L2367">
            <v>46545</v>
          </cell>
          <cell r="M2367">
            <v>-2810</v>
          </cell>
          <cell r="N2367">
            <v>97190</v>
          </cell>
        </row>
        <row r="2368">
          <cell r="A2368">
            <v>64145</v>
          </cell>
          <cell r="B2368">
            <v>2362</v>
          </cell>
          <cell r="C2368" t="str">
            <v>IASWD2407001901</v>
          </cell>
          <cell r="D2368">
            <v>45499</v>
          </cell>
          <cell r="E2368">
            <v>46250</v>
          </cell>
          <cell r="F2368" t="str">
            <v>64145</v>
          </cell>
          <cell r="G2368" t="str">
            <v>樺漢五</v>
          </cell>
          <cell r="H2368">
            <v>100000</v>
          </cell>
          <cell r="I2368">
            <v>3</v>
          </cell>
          <cell r="J2368">
            <v>46250</v>
          </cell>
          <cell r="K2368">
            <v>100</v>
          </cell>
          <cell r="L2368">
            <v>46231</v>
          </cell>
          <cell r="M2368">
            <v>-2408</v>
          </cell>
          <cell r="N2368">
            <v>97592</v>
          </cell>
        </row>
        <row r="2369">
          <cell r="A2369">
            <v>61906</v>
          </cell>
          <cell r="B2369">
            <v>2363</v>
          </cell>
          <cell r="C2369" t="str">
            <v>IASWD2407001902</v>
          </cell>
          <cell r="D2369">
            <v>45499</v>
          </cell>
          <cell r="E2369">
            <v>45961</v>
          </cell>
          <cell r="F2369" t="str">
            <v>61906</v>
          </cell>
          <cell r="G2369" t="str">
            <v>萬泰科六</v>
          </cell>
          <cell r="H2369">
            <v>100000</v>
          </cell>
          <cell r="I2369">
            <v>4</v>
          </cell>
          <cell r="J2369">
            <v>45961</v>
          </cell>
          <cell r="K2369">
            <v>100</v>
          </cell>
          <cell r="L2369">
            <v>45943</v>
          </cell>
          <cell r="M2369">
            <v>-3211</v>
          </cell>
          <cell r="N2369">
            <v>96789</v>
          </cell>
        </row>
        <row r="2370">
          <cell r="A2370">
            <v>61965</v>
          </cell>
          <cell r="B2370">
            <v>2364</v>
          </cell>
          <cell r="C2370" t="str">
            <v>IASWD2407001903</v>
          </cell>
          <cell r="D2370">
            <v>45499</v>
          </cell>
          <cell r="E2370">
            <v>46200</v>
          </cell>
          <cell r="F2370" t="str">
            <v>61965</v>
          </cell>
          <cell r="G2370" t="str">
            <v>帆宣五</v>
          </cell>
          <cell r="H2370">
            <v>100000</v>
          </cell>
          <cell r="I2370">
            <v>3</v>
          </cell>
          <cell r="J2370">
            <v>46200</v>
          </cell>
          <cell r="K2370">
            <v>100</v>
          </cell>
          <cell r="L2370">
            <v>46182</v>
          </cell>
          <cell r="M2370">
            <v>-2408</v>
          </cell>
          <cell r="N2370">
            <v>97592</v>
          </cell>
        </row>
        <row r="2371">
          <cell r="A2371">
            <v>56086</v>
          </cell>
          <cell r="B2371">
            <v>2365</v>
          </cell>
          <cell r="C2371" t="str">
            <v>IASWD2407001904</v>
          </cell>
          <cell r="D2371">
            <v>45499</v>
          </cell>
          <cell r="E2371">
            <v>46194</v>
          </cell>
          <cell r="F2371" t="str">
            <v>56086</v>
          </cell>
          <cell r="G2371" t="str">
            <v>四維航六</v>
          </cell>
          <cell r="H2371">
            <v>300000</v>
          </cell>
          <cell r="I2371">
            <v>2.35</v>
          </cell>
          <cell r="J2371">
            <v>46194</v>
          </cell>
          <cell r="K2371">
            <v>100</v>
          </cell>
          <cell r="L2371">
            <v>46175</v>
          </cell>
          <cell r="M2371">
            <v>-5659</v>
          </cell>
          <cell r="N2371">
            <v>294341</v>
          </cell>
        </row>
        <row r="2372">
          <cell r="A2372">
            <v>64145</v>
          </cell>
          <cell r="B2372">
            <v>2366</v>
          </cell>
          <cell r="C2372" t="str">
            <v>IASWD2407001905</v>
          </cell>
          <cell r="D2372">
            <v>45499</v>
          </cell>
          <cell r="E2372">
            <v>46250</v>
          </cell>
          <cell r="F2372" t="str">
            <v>64145</v>
          </cell>
          <cell r="G2372" t="str">
            <v>樺漢五</v>
          </cell>
          <cell r="H2372">
            <v>200000</v>
          </cell>
          <cell r="I2372">
            <v>3</v>
          </cell>
          <cell r="J2372">
            <v>46250</v>
          </cell>
          <cell r="K2372">
            <v>100</v>
          </cell>
          <cell r="L2372">
            <v>46231</v>
          </cell>
          <cell r="M2372">
            <v>-4816</v>
          </cell>
          <cell r="N2372">
            <v>195184</v>
          </cell>
        </row>
        <row r="2373">
          <cell r="A2373">
            <v>33121</v>
          </cell>
          <cell r="B2373">
            <v>2367</v>
          </cell>
          <cell r="C2373" t="str">
            <v>IASWD2407001908</v>
          </cell>
          <cell r="D2373">
            <v>45499</v>
          </cell>
          <cell r="E2373">
            <v>46563</v>
          </cell>
          <cell r="F2373" t="str">
            <v>33121</v>
          </cell>
          <cell r="G2373" t="str">
            <v>弘憶股一</v>
          </cell>
          <cell r="H2373">
            <v>300000</v>
          </cell>
          <cell r="I2373">
            <v>3.5</v>
          </cell>
          <cell r="J2373">
            <v>46563</v>
          </cell>
          <cell r="K2373">
            <v>100</v>
          </cell>
          <cell r="L2373">
            <v>46545</v>
          </cell>
          <cell r="M2373">
            <v>-8429</v>
          </cell>
          <cell r="N2373">
            <v>291571</v>
          </cell>
        </row>
        <row r="2374">
          <cell r="A2374">
            <v>64145</v>
          </cell>
          <cell r="B2374">
            <v>2368</v>
          </cell>
          <cell r="C2374" t="str">
            <v>IASWD2407001909</v>
          </cell>
          <cell r="D2374">
            <v>45499</v>
          </cell>
          <cell r="E2374">
            <v>46250</v>
          </cell>
          <cell r="F2374" t="str">
            <v>64145</v>
          </cell>
          <cell r="G2374" t="str">
            <v>樺漢五</v>
          </cell>
          <cell r="H2374">
            <v>100000</v>
          </cell>
          <cell r="I2374">
            <v>3</v>
          </cell>
          <cell r="J2374">
            <v>46250</v>
          </cell>
          <cell r="K2374">
            <v>100</v>
          </cell>
          <cell r="L2374">
            <v>46231</v>
          </cell>
          <cell r="M2374">
            <v>-2408</v>
          </cell>
          <cell r="N2374">
            <v>97592</v>
          </cell>
        </row>
        <row r="2375">
          <cell r="A2375">
            <v>22013</v>
          </cell>
          <cell r="B2375">
            <v>2369</v>
          </cell>
          <cell r="C2375" t="str">
            <v>IASWD2407001912</v>
          </cell>
          <cell r="D2375">
            <v>45499</v>
          </cell>
          <cell r="E2375">
            <v>46167</v>
          </cell>
          <cell r="F2375" t="str">
            <v>22013</v>
          </cell>
          <cell r="G2375" t="str">
            <v>裕隆三</v>
          </cell>
          <cell r="H2375">
            <v>200000</v>
          </cell>
          <cell r="I2375">
            <v>3</v>
          </cell>
          <cell r="J2375">
            <v>46167</v>
          </cell>
          <cell r="K2375">
            <v>100.75190000000001</v>
          </cell>
          <cell r="L2375">
            <v>46147</v>
          </cell>
          <cell r="M2375">
            <v>-4816</v>
          </cell>
          <cell r="N2375">
            <v>195184</v>
          </cell>
        </row>
        <row r="2376">
          <cell r="A2376">
            <v>84781</v>
          </cell>
          <cell r="B2376">
            <v>2370</v>
          </cell>
          <cell r="C2376" t="str">
            <v>IASWD2407001913</v>
          </cell>
          <cell r="D2376">
            <v>45499</v>
          </cell>
          <cell r="E2376">
            <v>46583</v>
          </cell>
          <cell r="F2376" t="str">
            <v>84781</v>
          </cell>
          <cell r="G2376" t="str">
            <v>東哥遊艇一</v>
          </cell>
          <cell r="H2376">
            <v>200000</v>
          </cell>
          <cell r="I2376">
            <v>3.1</v>
          </cell>
          <cell r="J2376">
            <v>46583</v>
          </cell>
          <cell r="K2376">
            <v>100</v>
          </cell>
          <cell r="L2376">
            <v>46563</v>
          </cell>
          <cell r="M2376">
            <v>-4977</v>
          </cell>
          <cell r="N2376">
            <v>195023</v>
          </cell>
        </row>
        <row r="2377">
          <cell r="A2377">
            <v>64145</v>
          </cell>
          <cell r="B2377">
            <v>2371</v>
          </cell>
          <cell r="C2377" t="str">
            <v>IASWD2407001914</v>
          </cell>
          <cell r="D2377">
            <v>45499</v>
          </cell>
          <cell r="E2377">
            <v>46250</v>
          </cell>
          <cell r="F2377" t="str">
            <v>64145</v>
          </cell>
          <cell r="G2377" t="str">
            <v>樺漢五</v>
          </cell>
          <cell r="H2377">
            <v>200000</v>
          </cell>
          <cell r="I2377">
            <v>3</v>
          </cell>
          <cell r="J2377">
            <v>46250</v>
          </cell>
          <cell r="K2377">
            <v>100</v>
          </cell>
          <cell r="L2377">
            <v>46231</v>
          </cell>
          <cell r="M2377">
            <v>-4816</v>
          </cell>
          <cell r="N2377">
            <v>195184</v>
          </cell>
        </row>
        <row r="2378">
          <cell r="A2378">
            <v>64145</v>
          </cell>
          <cell r="B2378">
            <v>2372</v>
          </cell>
          <cell r="C2378" t="str">
            <v>IASWD2407001915</v>
          </cell>
          <cell r="D2378">
            <v>45499</v>
          </cell>
          <cell r="E2378">
            <v>46250</v>
          </cell>
          <cell r="F2378" t="str">
            <v>64145</v>
          </cell>
          <cell r="G2378" t="str">
            <v>樺漢五</v>
          </cell>
          <cell r="H2378">
            <v>200000</v>
          </cell>
          <cell r="I2378">
            <v>3</v>
          </cell>
          <cell r="J2378">
            <v>46250</v>
          </cell>
          <cell r="K2378">
            <v>100</v>
          </cell>
          <cell r="L2378">
            <v>46231</v>
          </cell>
          <cell r="M2378">
            <v>-4816</v>
          </cell>
          <cell r="N2378">
            <v>195184</v>
          </cell>
        </row>
        <row r="2379">
          <cell r="A2379">
            <v>64145</v>
          </cell>
          <cell r="B2379">
            <v>2373</v>
          </cell>
          <cell r="C2379" t="str">
            <v>IASWD2407001916</v>
          </cell>
          <cell r="D2379">
            <v>45499</v>
          </cell>
          <cell r="E2379">
            <v>46250</v>
          </cell>
          <cell r="F2379" t="str">
            <v>64145</v>
          </cell>
          <cell r="G2379" t="str">
            <v>樺漢五</v>
          </cell>
          <cell r="H2379">
            <v>100000</v>
          </cell>
          <cell r="I2379">
            <v>3</v>
          </cell>
          <cell r="J2379">
            <v>46250</v>
          </cell>
          <cell r="K2379">
            <v>100</v>
          </cell>
          <cell r="L2379">
            <v>46231</v>
          </cell>
          <cell r="M2379">
            <v>-2408</v>
          </cell>
          <cell r="N2379">
            <v>97592</v>
          </cell>
        </row>
        <row r="2380">
          <cell r="A2380">
            <v>64145</v>
          </cell>
          <cell r="B2380">
            <v>2374</v>
          </cell>
          <cell r="C2380" t="str">
            <v>IASWD2407001917</v>
          </cell>
          <cell r="D2380">
            <v>45499</v>
          </cell>
          <cell r="E2380">
            <v>46250</v>
          </cell>
          <cell r="F2380" t="str">
            <v>64145</v>
          </cell>
          <cell r="G2380" t="str">
            <v>樺漢五</v>
          </cell>
          <cell r="H2380">
            <v>100000</v>
          </cell>
          <cell r="I2380">
            <v>3</v>
          </cell>
          <cell r="J2380">
            <v>46250</v>
          </cell>
          <cell r="K2380">
            <v>100</v>
          </cell>
          <cell r="L2380">
            <v>46231</v>
          </cell>
          <cell r="M2380">
            <v>-2408</v>
          </cell>
          <cell r="N2380">
            <v>97592</v>
          </cell>
        </row>
        <row r="2381">
          <cell r="A2381">
            <v>61965</v>
          </cell>
          <cell r="B2381">
            <v>2375</v>
          </cell>
          <cell r="C2381" t="str">
            <v>IASWD2407001919</v>
          </cell>
          <cell r="D2381">
            <v>45499</v>
          </cell>
          <cell r="E2381">
            <v>46200</v>
          </cell>
          <cell r="F2381" t="str">
            <v>61965</v>
          </cell>
          <cell r="G2381" t="str">
            <v>帆宣五</v>
          </cell>
          <cell r="H2381">
            <v>100000</v>
          </cell>
          <cell r="I2381">
            <v>3</v>
          </cell>
          <cell r="J2381">
            <v>46200</v>
          </cell>
          <cell r="K2381">
            <v>100</v>
          </cell>
          <cell r="L2381">
            <v>46182</v>
          </cell>
          <cell r="M2381">
            <v>-2408</v>
          </cell>
          <cell r="N2381">
            <v>97592</v>
          </cell>
        </row>
        <row r="2382">
          <cell r="A2382">
            <v>64145</v>
          </cell>
          <cell r="B2382">
            <v>2376</v>
          </cell>
          <cell r="C2382" t="str">
            <v>IASWD2407001920</v>
          </cell>
          <cell r="D2382">
            <v>45499</v>
          </cell>
          <cell r="E2382">
            <v>46250</v>
          </cell>
          <cell r="F2382" t="str">
            <v>64145</v>
          </cell>
          <cell r="G2382" t="str">
            <v>樺漢五</v>
          </cell>
          <cell r="H2382">
            <v>100000</v>
          </cell>
          <cell r="I2382">
            <v>3</v>
          </cell>
          <cell r="J2382">
            <v>46250</v>
          </cell>
          <cell r="K2382">
            <v>100</v>
          </cell>
          <cell r="L2382">
            <v>46231</v>
          </cell>
          <cell r="M2382">
            <v>-2408</v>
          </cell>
          <cell r="N2382">
            <v>97592</v>
          </cell>
        </row>
        <row r="2383">
          <cell r="A2383">
            <v>35266</v>
          </cell>
          <cell r="B2383">
            <v>2377</v>
          </cell>
          <cell r="C2383" t="str">
            <v>IASWD2407001922</v>
          </cell>
          <cell r="D2383">
            <v>45499</v>
          </cell>
          <cell r="E2383">
            <v>46416</v>
          </cell>
          <cell r="F2383" t="str">
            <v>35266</v>
          </cell>
          <cell r="G2383" t="str">
            <v>凡甲六</v>
          </cell>
          <cell r="H2383">
            <v>100000</v>
          </cell>
          <cell r="I2383">
            <v>3.5</v>
          </cell>
          <cell r="J2383">
            <v>46416</v>
          </cell>
          <cell r="K2383">
            <v>100</v>
          </cell>
          <cell r="L2383">
            <v>46398</v>
          </cell>
          <cell r="M2383">
            <v>-2810</v>
          </cell>
          <cell r="N2383">
            <v>97190</v>
          </cell>
        </row>
        <row r="2384">
          <cell r="A2384">
            <v>61906</v>
          </cell>
          <cell r="B2384">
            <v>2378</v>
          </cell>
          <cell r="C2384" t="str">
            <v>IASWD2407001923</v>
          </cell>
          <cell r="D2384">
            <v>45499</v>
          </cell>
          <cell r="E2384">
            <v>45961</v>
          </cell>
          <cell r="F2384" t="str">
            <v>61906</v>
          </cell>
          <cell r="G2384" t="str">
            <v>萬泰科六</v>
          </cell>
          <cell r="H2384">
            <v>400000</v>
          </cell>
          <cell r="I2384">
            <v>4</v>
          </cell>
          <cell r="J2384">
            <v>45961</v>
          </cell>
          <cell r="K2384">
            <v>100</v>
          </cell>
          <cell r="L2384">
            <v>45943</v>
          </cell>
          <cell r="M2384">
            <v>-12844</v>
          </cell>
          <cell r="N2384">
            <v>387156</v>
          </cell>
        </row>
        <row r="2385">
          <cell r="A2385">
            <v>64145</v>
          </cell>
          <cell r="B2385">
            <v>2379</v>
          </cell>
          <cell r="C2385" t="str">
            <v>IASWD2407001926</v>
          </cell>
          <cell r="D2385">
            <v>45499</v>
          </cell>
          <cell r="E2385">
            <v>46250</v>
          </cell>
          <cell r="F2385" t="str">
            <v>64145</v>
          </cell>
          <cell r="G2385" t="str">
            <v>樺漢五</v>
          </cell>
          <cell r="H2385">
            <v>100000</v>
          </cell>
          <cell r="I2385">
            <v>3</v>
          </cell>
          <cell r="J2385">
            <v>46250</v>
          </cell>
          <cell r="K2385">
            <v>100</v>
          </cell>
          <cell r="L2385">
            <v>46231</v>
          </cell>
          <cell r="M2385">
            <v>-2408</v>
          </cell>
          <cell r="N2385">
            <v>97592</v>
          </cell>
        </row>
        <row r="2386">
          <cell r="A2386">
            <v>61906</v>
          </cell>
          <cell r="B2386">
            <v>2380</v>
          </cell>
          <cell r="C2386" t="str">
            <v>IASWD2407001927</v>
          </cell>
          <cell r="D2386">
            <v>45499</v>
          </cell>
          <cell r="E2386">
            <v>45961</v>
          </cell>
          <cell r="F2386" t="str">
            <v>61906</v>
          </cell>
          <cell r="G2386" t="str">
            <v>萬泰科六</v>
          </cell>
          <cell r="H2386">
            <v>100000</v>
          </cell>
          <cell r="I2386">
            <v>4</v>
          </cell>
          <cell r="J2386">
            <v>45961</v>
          </cell>
          <cell r="K2386">
            <v>100</v>
          </cell>
          <cell r="L2386">
            <v>45943</v>
          </cell>
          <cell r="M2386">
            <v>-3211</v>
          </cell>
          <cell r="N2386">
            <v>96789</v>
          </cell>
        </row>
        <row r="2387">
          <cell r="A2387">
            <v>64145</v>
          </cell>
          <cell r="B2387">
            <v>2381</v>
          </cell>
          <cell r="C2387" t="str">
            <v>IASWD2407001928</v>
          </cell>
          <cell r="D2387">
            <v>45499</v>
          </cell>
          <cell r="E2387">
            <v>46250</v>
          </cell>
          <cell r="F2387" t="str">
            <v>64145</v>
          </cell>
          <cell r="G2387" t="str">
            <v>樺漢五</v>
          </cell>
          <cell r="H2387">
            <v>100000</v>
          </cell>
          <cell r="I2387">
            <v>3</v>
          </cell>
          <cell r="J2387">
            <v>46250</v>
          </cell>
          <cell r="K2387">
            <v>100</v>
          </cell>
          <cell r="L2387">
            <v>46231</v>
          </cell>
          <cell r="M2387">
            <v>-2408</v>
          </cell>
          <cell r="N2387">
            <v>97592</v>
          </cell>
        </row>
        <row r="2388">
          <cell r="A2388">
            <v>64145</v>
          </cell>
          <cell r="B2388">
            <v>2382</v>
          </cell>
          <cell r="C2388" t="str">
            <v>IASWD2407001929</v>
          </cell>
          <cell r="D2388">
            <v>45499</v>
          </cell>
          <cell r="E2388">
            <v>46250</v>
          </cell>
          <cell r="F2388" t="str">
            <v>64145</v>
          </cell>
          <cell r="G2388" t="str">
            <v>樺漢五</v>
          </cell>
          <cell r="H2388">
            <v>200000</v>
          </cell>
          <cell r="I2388">
            <v>3</v>
          </cell>
          <cell r="J2388">
            <v>46250</v>
          </cell>
          <cell r="K2388">
            <v>100</v>
          </cell>
          <cell r="L2388">
            <v>46231</v>
          </cell>
          <cell r="M2388">
            <v>-4816</v>
          </cell>
          <cell r="N2388">
            <v>195184</v>
          </cell>
        </row>
        <row r="2389">
          <cell r="A2389">
            <v>61906</v>
          </cell>
          <cell r="B2389">
            <v>2383</v>
          </cell>
          <cell r="C2389" t="str">
            <v>IASWD2407001930</v>
          </cell>
          <cell r="D2389">
            <v>45499</v>
          </cell>
          <cell r="E2389">
            <v>45961</v>
          </cell>
          <cell r="F2389" t="str">
            <v>61906</v>
          </cell>
          <cell r="G2389" t="str">
            <v>萬泰科六</v>
          </cell>
          <cell r="H2389">
            <v>300000</v>
          </cell>
          <cell r="I2389">
            <v>4</v>
          </cell>
          <cell r="J2389">
            <v>45961</v>
          </cell>
          <cell r="K2389">
            <v>100</v>
          </cell>
          <cell r="L2389">
            <v>45943</v>
          </cell>
          <cell r="M2389">
            <v>-9633</v>
          </cell>
          <cell r="N2389">
            <v>290367</v>
          </cell>
        </row>
        <row r="2390">
          <cell r="A2390">
            <v>22013</v>
          </cell>
          <cell r="B2390">
            <v>2384</v>
          </cell>
          <cell r="C2390" t="str">
            <v>IASWD2407001931</v>
          </cell>
          <cell r="D2390">
            <v>45499</v>
          </cell>
          <cell r="E2390">
            <v>46167</v>
          </cell>
          <cell r="F2390" t="str">
            <v>22013</v>
          </cell>
          <cell r="G2390" t="str">
            <v>裕隆三</v>
          </cell>
          <cell r="H2390">
            <v>100000</v>
          </cell>
          <cell r="I2390">
            <v>3</v>
          </cell>
          <cell r="J2390">
            <v>46167</v>
          </cell>
          <cell r="K2390">
            <v>100.75190000000001</v>
          </cell>
          <cell r="L2390">
            <v>46147</v>
          </cell>
          <cell r="M2390">
            <v>-2408</v>
          </cell>
          <cell r="N2390">
            <v>97592</v>
          </cell>
        </row>
        <row r="2391">
          <cell r="A2391">
            <v>65096</v>
          </cell>
          <cell r="B2391">
            <v>2385</v>
          </cell>
          <cell r="C2391" t="str">
            <v>IASWD2407001932</v>
          </cell>
          <cell r="D2391">
            <v>45499</v>
          </cell>
          <cell r="E2391">
            <v>46206</v>
          </cell>
          <cell r="F2391" t="str">
            <v>65096</v>
          </cell>
          <cell r="G2391" t="str">
            <v>聚和六</v>
          </cell>
          <cell r="H2391">
            <v>100000</v>
          </cell>
          <cell r="I2391">
            <v>3.1</v>
          </cell>
          <cell r="J2391">
            <v>46206</v>
          </cell>
          <cell r="K2391">
            <v>100</v>
          </cell>
          <cell r="L2391">
            <v>46188</v>
          </cell>
          <cell r="M2391">
            <v>-2488</v>
          </cell>
          <cell r="N2391">
            <v>97512</v>
          </cell>
        </row>
        <row r="2392">
          <cell r="A2392">
            <v>64145</v>
          </cell>
          <cell r="B2392">
            <v>2386</v>
          </cell>
          <cell r="C2392" t="str">
            <v>IASWD2407001933</v>
          </cell>
          <cell r="D2392">
            <v>45502</v>
          </cell>
          <cell r="E2392">
            <v>46250</v>
          </cell>
          <cell r="F2392" t="str">
            <v>64145</v>
          </cell>
          <cell r="G2392" t="str">
            <v>樺漢五</v>
          </cell>
          <cell r="H2392">
            <v>100000</v>
          </cell>
          <cell r="I2392">
            <v>3</v>
          </cell>
          <cell r="J2392">
            <v>46250</v>
          </cell>
          <cell r="K2392">
            <v>100</v>
          </cell>
          <cell r="L2392">
            <v>46231</v>
          </cell>
          <cell r="M2392">
            <v>-2384</v>
          </cell>
          <cell r="N2392">
            <v>97616</v>
          </cell>
        </row>
        <row r="2393">
          <cell r="A2393">
            <v>84781</v>
          </cell>
          <cell r="B2393">
            <v>2387</v>
          </cell>
          <cell r="C2393" t="str">
            <v>IASWD2407001937</v>
          </cell>
          <cell r="D2393">
            <v>45502</v>
          </cell>
          <cell r="E2393">
            <v>46583</v>
          </cell>
          <cell r="F2393" t="str">
            <v>84781</v>
          </cell>
          <cell r="G2393" t="str">
            <v>東哥遊艇一</v>
          </cell>
          <cell r="H2393">
            <v>3000000</v>
          </cell>
          <cell r="I2393">
            <v>3.1</v>
          </cell>
          <cell r="J2393">
            <v>46583</v>
          </cell>
          <cell r="K2393">
            <v>100</v>
          </cell>
          <cell r="L2393">
            <v>46563</v>
          </cell>
          <cell r="M2393">
            <v>-73890</v>
          </cell>
          <cell r="N2393">
            <v>2926110</v>
          </cell>
        </row>
        <row r="2394">
          <cell r="A2394">
            <v>50097</v>
          </cell>
          <cell r="B2394">
            <v>2388</v>
          </cell>
          <cell r="C2394" t="str">
            <v>IASWD2407001938</v>
          </cell>
          <cell r="D2394">
            <v>45502</v>
          </cell>
          <cell r="E2394">
            <v>46234</v>
          </cell>
          <cell r="F2394" t="str">
            <v>50097</v>
          </cell>
          <cell r="G2394" t="str">
            <v>榮剛七</v>
          </cell>
          <cell r="H2394">
            <v>100000</v>
          </cell>
          <cell r="I2394">
            <v>4.2</v>
          </cell>
          <cell r="J2394">
            <v>46234</v>
          </cell>
          <cell r="K2394">
            <v>101.51</v>
          </cell>
          <cell r="L2394">
            <v>46216</v>
          </cell>
          <cell r="M2394">
            <v>-3337</v>
          </cell>
          <cell r="N2394">
            <v>96663</v>
          </cell>
        </row>
        <row r="2395">
          <cell r="A2395">
            <v>64145</v>
          </cell>
          <cell r="B2395">
            <v>2389</v>
          </cell>
          <cell r="C2395" t="str">
            <v>IASWD2407001940</v>
          </cell>
          <cell r="D2395">
            <v>45502</v>
          </cell>
          <cell r="E2395">
            <v>46250</v>
          </cell>
          <cell r="F2395" t="str">
            <v>64145</v>
          </cell>
          <cell r="G2395" t="str">
            <v>樺漢五</v>
          </cell>
          <cell r="H2395">
            <v>100000</v>
          </cell>
          <cell r="I2395">
            <v>3</v>
          </cell>
          <cell r="J2395">
            <v>46250</v>
          </cell>
          <cell r="K2395">
            <v>100</v>
          </cell>
          <cell r="L2395">
            <v>46231</v>
          </cell>
          <cell r="M2395">
            <v>-2384</v>
          </cell>
          <cell r="N2395">
            <v>97616</v>
          </cell>
        </row>
        <row r="2396">
          <cell r="A2396">
            <v>64145</v>
          </cell>
          <cell r="B2396">
            <v>2390</v>
          </cell>
          <cell r="C2396" t="str">
            <v>IASWD2407001942</v>
          </cell>
          <cell r="D2396">
            <v>45502</v>
          </cell>
          <cell r="E2396">
            <v>46250</v>
          </cell>
          <cell r="F2396" t="str">
            <v>64145</v>
          </cell>
          <cell r="G2396" t="str">
            <v>樺漢五</v>
          </cell>
          <cell r="H2396">
            <v>500000</v>
          </cell>
          <cell r="I2396">
            <v>3</v>
          </cell>
          <cell r="J2396">
            <v>46250</v>
          </cell>
          <cell r="K2396">
            <v>100</v>
          </cell>
          <cell r="L2396">
            <v>46231</v>
          </cell>
          <cell r="M2396">
            <v>-11918</v>
          </cell>
          <cell r="N2396">
            <v>488082</v>
          </cell>
        </row>
        <row r="2397">
          <cell r="A2397">
            <v>56086</v>
          </cell>
          <cell r="B2397">
            <v>2391</v>
          </cell>
          <cell r="C2397" t="str">
            <v>IASWD2407001943</v>
          </cell>
          <cell r="D2397">
            <v>45502</v>
          </cell>
          <cell r="E2397">
            <v>46194</v>
          </cell>
          <cell r="F2397" t="str">
            <v>56086</v>
          </cell>
          <cell r="G2397" t="str">
            <v>四維航六</v>
          </cell>
          <cell r="H2397">
            <v>600000</v>
          </cell>
          <cell r="I2397">
            <v>2.35</v>
          </cell>
          <cell r="J2397">
            <v>46194</v>
          </cell>
          <cell r="K2397">
            <v>100</v>
          </cell>
          <cell r="L2397">
            <v>46175</v>
          </cell>
          <cell r="M2397">
            <v>-11203</v>
          </cell>
          <cell r="N2397">
            <v>588797</v>
          </cell>
        </row>
        <row r="2398">
          <cell r="A2398">
            <v>64145</v>
          </cell>
          <cell r="B2398">
            <v>2392</v>
          </cell>
          <cell r="C2398" t="str">
            <v>IASWD2407001944</v>
          </cell>
          <cell r="D2398">
            <v>45502</v>
          </cell>
          <cell r="E2398">
            <v>46250</v>
          </cell>
          <cell r="F2398" t="str">
            <v>64145</v>
          </cell>
          <cell r="G2398" t="str">
            <v>樺漢五</v>
          </cell>
          <cell r="H2398">
            <v>200000</v>
          </cell>
          <cell r="I2398">
            <v>3</v>
          </cell>
          <cell r="J2398">
            <v>46250</v>
          </cell>
          <cell r="K2398">
            <v>100</v>
          </cell>
          <cell r="L2398">
            <v>46231</v>
          </cell>
          <cell r="M2398">
            <v>-4767</v>
          </cell>
          <cell r="N2398">
            <v>195233</v>
          </cell>
        </row>
        <row r="2399">
          <cell r="A2399">
            <v>35266</v>
          </cell>
          <cell r="B2399">
            <v>2393</v>
          </cell>
          <cell r="C2399" t="str">
            <v>IASWD2407001945</v>
          </cell>
          <cell r="D2399">
            <v>45502</v>
          </cell>
          <cell r="E2399">
            <v>46416</v>
          </cell>
          <cell r="F2399" t="str">
            <v>35266</v>
          </cell>
          <cell r="G2399" t="str">
            <v>凡甲六</v>
          </cell>
          <cell r="H2399">
            <v>200000</v>
          </cell>
          <cell r="I2399">
            <v>3.5</v>
          </cell>
          <cell r="J2399">
            <v>46416</v>
          </cell>
          <cell r="K2399">
            <v>100</v>
          </cell>
          <cell r="L2399">
            <v>46398</v>
          </cell>
          <cell r="M2399">
            <v>-5562</v>
          </cell>
          <cell r="N2399">
            <v>194438</v>
          </cell>
        </row>
        <row r="2400">
          <cell r="A2400">
            <v>64145</v>
          </cell>
          <cell r="B2400">
            <v>2394</v>
          </cell>
          <cell r="C2400" t="str">
            <v>IASWD2407001946</v>
          </cell>
          <cell r="D2400">
            <v>45502</v>
          </cell>
          <cell r="E2400">
            <v>46250</v>
          </cell>
          <cell r="F2400" t="str">
            <v>64145</v>
          </cell>
          <cell r="G2400" t="str">
            <v>樺漢五</v>
          </cell>
          <cell r="H2400">
            <v>100000</v>
          </cell>
          <cell r="I2400">
            <v>3</v>
          </cell>
          <cell r="J2400">
            <v>46250</v>
          </cell>
          <cell r="K2400">
            <v>100</v>
          </cell>
          <cell r="L2400">
            <v>46231</v>
          </cell>
          <cell r="M2400">
            <v>-2384</v>
          </cell>
          <cell r="N2400">
            <v>97616</v>
          </cell>
        </row>
        <row r="2401">
          <cell r="A2401">
            <v>33121</v>
          </cell>
          <cell r="B2401">
            <v>2395</v>
          </cell>
          <cell r="C2401" t="str">
            <v>IASWD2407001948</v>
          </cell>
          <cell r="D2401">
            <v>45502</v>
          </cell>
          <cell r="E2401">
            <v>46563</v>
          </cell>
          <cell r="F2401" t="str">
            <v>33121</v>
          </cell>
          <cell r="G2401" t="str">
            <v>弘憶股一</v>
          </cell>
          <cell r="H2401">
            <v>500000</v>
          </cell>
          <cell r="I2401">
            <v>3.5</v>
          </cell>
          <cell r="J2401">
            <v>46563</v>
          </cell>
          <cell r="K2401">
            <v>100</v>
          </cell>
          <cell r="L2401">
            <v>46545</v>
          </cell>
          <cell r="M2401">
            <v>-13904</v>
          </cell>
          <cell r="N2401">
            <v>486096</v>
          </cell>
        </row>
        <row r="2402">
          <cell r="A2402">
            <v>84781</v>
          </cell>
          <cell r="B2402">
            <v>2396</v>
          </cell>
          <cell r="C2402" t="str">
            <v>IASWD2407001949</v>
          </cell>
          <cell r="D2402">
            <v>45502</v>
          </cell>
          <cell r="E2402">
            <v>46583</v>
          </cell>
          <cell r="F2402" t="str">
            <v>84781</v>
          </cell>
          <cell r="G2402" t="str">
            <v>東哥遊艇一</v>
          </cell>
          <cell r="H2402">
            <v>100000</v>
          </cell>
          <cell r="I2402">
            <v>3.1</v>
          </cell>
          <cell r="J2402">
            <v>46583</v>
          </cell>
          <cell r="K2402">
            <v>100</v>
          </cell>
          <cell r="L2402">
            <v>46563</v>
          </cell>
          <cell r="M2402">
            <v>-2463</v>
          </cell>
          <cell r="N2402">
            <v>97537</v>
          </cell>
        </row>
        <row r="2403">
          <cell r="A2403">
            <v>64145</v>
          </cell>
          <cell r="B2403">
            <v>2397</v>
          </cell>
          <cell r="C2403" t="str">
            <v>IASWD2407001950</v>
          </cell>
          <cell r="D2403">
            <v>45502</v>
          </cell>
          <cell r="E2403">
            <v>46250</v>
          </cell>
          <cell r="F2403" t="str">
            <v>64145</v>
          </cell>
          <cell r="G2403" t="str">
            <v>樺漢五</v>
          </cell>
          <cell r="H2403">
            <v>100000</v>
          </cell>
          <cell r="I2403">
            <v>3</v>
          </cell>
          <cell r="J2403">
            <v>46250</v>
          </cell>
          <cell r="K2403">
            <v>100</v>
          </cell>
          <cell r="L2403">
            <v>46231</v>
          </cell>
          <cell r="M2403">
            <v>-2384</v>
          </cell>
          <cell r="N2403">
            <v>97616</v>
          </cell>
        </row>
        <row r="2404">
          <cell r="A2404">
            <v>33121</v>
          </cell>
          <cell r="B2404">
            <v>2398</v>
          </cell>
          <cell r="C2404" t="str">
            <v>IASWD2407001951</v>
          </cell>
          <cell r="D2404">
            <v>45502</v>
          </cell>
          <cell r="E2404">
            <v>46563</v>
          </cell>
          <cell r="F2404" t="str">
            <v>33121</v>
          </cell>
          <cell r="G2404" t="str">
            <v>弘憶股一</v>
          </cell>
          <cell r="H2404">
            <v>100000</v>
          </cell>
          <cell r="I2404">
            <v>3.5</v>
          </cell>
          <cell r="J2404">
            <v>46563</v>
          </cell>
          <cell r="K2404">
            <v>100</v>
          </cell>
          <cell r="L2404">
            <v>46545</v>
          </cell>
          <cell r="M2404">
            <v>-2781</v>
          </cell>
          <cell r="N2404">
            <v>97219</v>
          </cell>
        </row>
        <row r="2405">
          <cell r="A2405">
            <v>35482</v>
          </cell>
          <cell r="B2405">
            <v>2399</v>
          </cell>
          <cell r="C2405" t="str">
            <v>IASWD2407001953</v>
          </cell>
          <cell r="D2405">
            <v>45502</v>
          </cell>
          <cell r="E2405">
            <v>46395</v>
          </cell>
          <cell r="F2405" t="str">
            <v>35482</v>
          </cell>
          <cell r="G2405" t="str">
            <v>兆利二</v>
          </cell>
          <cell r="H2405">
            <v>100000</v>
          </cell>
          <cell r="I2405">
            <v>3</v>
          </cell>
          <cell r="J2405">
            <v>46395</v>
          </cell>
          <cell r="K2405">
            <v>100</v>
          </cell>
          <cell r="L2405">
            <v>46377</v>
          </cell>
          <cell r="M2405">
            <v>-2384</v>
          </cell>
          <cell r="N2405">
            <v>97616</v>
          </cell>
        </row>
        <row r="2406">
          <cell r="A2406">
            <v>84781</v>
          </cell>
          <cell r="B2406">
            <v>2400</v>
          </cell>
          <cell r="C2406" t="str">
            <v>IASWD2407001958</v>
          </cell>
          <cell r="D2406">
            <v>45502</v>
          </cell>
          <cell r="E2406">
            <v>46583</v>
          </cell>
          <cell r="F2406" t="str">
            <v>84781</v>
          </cell>
          <cell r="G2406" t="str">
            <v>東哥遊艇一</v>
          </cell>
          <cell r="H2406">
            <v>100000</v>
          </cell>
          <cell r="I2406">
            <v>3.1</v>
          </cell>
          <cell r="J2406">
            <v>46583</v>
          </cell>
          <cell r="K2406">
            <v>100</v>
          </cell>
          <cell r="L2406">
            <v>46563</v>
          </cell>
          <cell r="M2406">
            <v>-2463</v>
          </cell>
          <cell r="N2406">
            <v>97537</v>
          </cell>
        </row>
        <row r="2407">
          <cell r="A2407">
            <v>84781</v>
          </cell>
          <cell r="B2407">
            <v>2401</v>
          </cell>
          <cell r="C2407" t="str">
            <v>IASWD2407001959</v>
          </cell>
          <cell r="D2407">
            <v>45502</v>
          </cell>
          <cell r="E2407">
            <v>46583</v>
          </cell>
          <cell r="F2407" t="str">
            <v>84781</v>
          </cell>
          <cell r="G2407" t="str">
            <v>東哥遊艇一</v>
          </cell>
          <cell r="H2407">
            <v>100000</v>
          </cell>
          <cell r="I2407">
            <v>3.1</v>
          </cell>
          <cell r="J2407">
            <v>46583</v>
          </cell>
          <cell r="K2407">
            <v>100</v>
          </cell>
          <cell r="L2407">
            <v>46563</v>
          </cell>
          <cell r="M2407">
            <v>-2463</v>
          </cell>
          <cell r="N2407">
            <v>97537</v>
          </cell>
        </row>
        <row r="2408">
          <cell r="A2408">
            <v>50097</v>
          </cell>
          <cell r="B2408">
            <v>2402</v>
          </cell>
          <cell r="C2408" t="str">
            <v>IASWD2407001960</v>
          </cell>
          <cell r="D2408">
            <v>45502</v>
          </cell>
          <cell r="E2408">
            <v>46234</v>
          </cell>
          <cell r="F2408" t="str">
            <v>50097</v>
          </cell>
          <cell r="G2408" t="str">
            <v>榮剛七</v>
          </cell>
          <cell r="H2408">
            <v>300000</v>
          </cell>
          <cell r="I2408">
            <v>4.2</v>
          </cell>
          <cell r="J2408">
            <v>46234</v>
          </cell>
          <cell r="K2408">
            <v>101.51</v>
          </cell>
          <cell r="L2408">
            <v>46216</v>
          </cell>
          <cell r="M2408">
            <v>-10011</v>
          </cell>
          <cell r="N2408">
            <v>289989</v>
          </cell>
        </row>
        <row r="2409">
          <cell r="A2409">
            <v>64145</v>
          </cell>
          <cell r="B2409">
            <v>2403</v>
          </cell>
          <cell r="C2409" t="str">
            <v>IASWD2407001962</v>
          </cell>
          <cell r="D2409">
            <v>45502</v>
          </cell>
          <cell r="E2409">
            <v>46250</v>
          </cell>
          <cell r="F2409" t="str">
            <v>64145</v>
          </cell>
          <cell r="G2409" t="str">
            <v>樺漢五</v>
          </cell>
          <cell r="H2409">
            <v>100000</v>
          </cell>
          <cell r="I2409">
            <v>3</v>
          </cell>
          <cell r="J2409">
            <v>46250</v>
          </cell>
          <cell r="K2409">
            <v>100</v>
          </cell>
          <cell r="L2409">
            <v>46231</v>
          </cell>
          <cell r="M2409">
            <v>-2384</v>
          </cell>
          <cell r="N2409">
            <v>97616</v>
          </cell>
        </row>
        <row r="2410">
          <cell r="A2410">
            <v>84781</v>
          </cell>
          <cell r="B2410">
            <v>2404</v>
          </cell>
          <cell r="C2410" t="str">
            <v>IASWD2407001964</v>
          </cell>
          <cell r="D2410">
            <v>45502</v>
          </cell>
          <cell r="E2410">
            <v>46583</v>
          </cell>
          <cell r="F2410" t="str">
            <v>84781</v>
          </cell>
          <cell r="G2410" t="str">
            <v>東哥遊艇一</v>
          </cell>
          <cell r="H2410">
            <v>100000</v>
          </cell>
          <cell r="I2410">
            <v>3.1</v>
          </cell>
          <cell r="J2410">
            <v>46583</v>
          </cell>
          <cell r="K2410">
            <v>100</v>
          </cell>
          <cell r="L2410">
            <v>46563</v>
          </cell>
          <cell r="M2410">
            <v>-2463</v>
          </cell>
          <cell r="N2410">
            <v>97537</v>
          </cell>
        </row>
        <row r="2411">
          <cell r="A2411">
            <v>64145</v>
          </cell>
          <cell r="B2411">
            <v>2405</v>
          </cell>
          <cell r="C2411" t="str">
            <v>IASWD2407001965</v>
          </cell>
          <cell r="D2411">
            <v>45502</v>
          </cell>
          <cell r="E2411">
            <v>46250</v>
          </cell>
          <cell r="F2411" t="str">
            <v>64145</v>
          </cell>
          <cell r="G2411" t="str">
            <v>樺漢五</v>
          </cell>
          <cell r="H2411">
            <v>700000</v>
          </cell>
          <cell r="I2411">
            <v>3</v>
          </cell>
          <cell r="J2411">
            <v>46250</v>
          </cell>
          <cell r="K2411">
            <v>100</v>
          </cell>
          <cell r="L2411">
            <v>46231</v>
          </cell>
          <cell r="M2411">
            <v>-16685</v>
          </cell>
          <cell r="N2411">
            <v>683315</v>
          </cell>
        </row>
        <row r="2412">
          <cell r="A2412">
            <v>84781</v>
          </cell>
          <cell r="B2412">
            <v>2406</v>
          </cell>
          <cell r="C2412" t="str">
            <v>IASWD2407001967</v>
          </cell>
          <cell r="D2412">
            <v>45502</v>
          </cell>
          <cell r="E2412">
            <v>46583</v>
          </cell>
          <cell r="F2412" t="str">
            <v>84781</v>
          </cell>
          <cell r="G2412" t="str">
            <v>東哥遊艇一</v>
          </cell>
          <cell r="H2412">
            <v>200000</v>
          </cell>
          <cell r="I2412">
            <v>3.1</v>
          </cell>
          <cell r="J2412">
            <v>46583</v>
          </cell>
          <cell r="K2412">
            <v>100</v>
          </cell>
          <cell r="L2412">
            <v>46563</v>
          </cell>
          <cell r="M2412">
            <v>-4926</v>
          </cell>
          <cell r="N2412">
            <v>195074</v>
          </cell>
        </row>
        <row r="2413">
          <cell r="A2413">
            <v>84781</v>
          </cell>
          <cell r="B2413">
            <v>2407</v>
          </cell>
          <cell r="C2413" t="str">
            <v>IASWD2407001968</v>
          </cell>
          <cell r="D2413">
            <v>45502</v>
          </cell>
          <cell r="E2413">
            <v>46583</v>
          </cell>
          <cell r="F2413" t="str">
            <v>84781</v>
          </cell>
          <cell r="G2413" t="str">
            <v>東哥遊艇一</v>
          </cell>
          <cell r="H2413">
            <v>100000</v>
          </cell>
          <cell r="I2413">
            <v>3.1</v>
          </cell>
          <cell r="J2413">
            <v>46583</v>
          </cell>
          <cell r="K2413">
            <v>100</v>
          </cell>
          <cell r="L2413">
            <v>46563</v>
          </cell>
          <cell r="M2413">
            <v>-2463</v>
          </cell>
          <cell r="N2413">
            <v>97537</v>
          </cell>
        </row>
        <row r="2414">
          <cell r="A2414">
            <v>33121</v>
          </cell>
          <cell r="B2414">
            <v>2408</v>
          </cell>
          <cell r="C2414" t="str">
            <v>IASWD2407001969</v>
          </cell>
          <cell r="D2414">
            <v>45502</v>
          </cell>
          <cell r="E2414">
            <v>46563</v>
          </cell>
          <cell r="F2414" t="str">
            <v>33121</v>
          </cell>
          <cell r="G2414" t="str">
            <v>弘憶股一</v>
          </cell>
          <cell r="H2414">
            <v>200000</v>
          </cell>
          <cell r="I2414">
            <v>3.5</v>
          </cell>
          <cell r="J2414">
            <v>46563</v>
          </cell>
          <cell r="K2414">
            <v>100</v>
          </cell>
          <cell r="L2414">
            <v>46545</v>
          </cell>
          <cell r="M2414">
            <v>-5562</v>
          </cell>
          <cell r="N2414">
            <v>194438</v>
          </cell>
        </row>
        <row r="2415">
          <cell r="A2415">
            <v>64145</v>
          </cell>
          <cell r="B2415">
            <v>2409</v>
          </cell>
          <cell r="C2415" t="str">
            <v>IASWD2407001970</v>
          </cell>
          <cell r="D2415">
            <v>45502</v>
          </cell>
          <cell r="E2415">
            <v>46250</v>
          </cell>
          <cell r="F2415" t="str">
            <v>64145</v>
          </cell>
          <cell r="G2415" t="str">
            <v>樺漢五</v>
          </cell>
          <cell r="H2415">
            <v>100000</v>
          </cell>
          <cell r="I2415">
            <v>3</v>
          </cell>
          <cell r="J2415">
            <v>46250</v>
          </cell>
          <cell r="K2415">
            <v>100</v>
          </cell>
          <cell r="L2415">
            <v>46231</v>
          </cell>
          <cell r="M2415">
            <v>-2384</v>
          </cell>
          <cell r="N2415">
            <v>97616</v>
          </cell>
        </row>
        <row r="2416">
          <cell r="A2416">
            <v>82551</v>
          </cell>
          <cell r="B2416">
            <v>2410</v>
          </cell>
          <cell r="C2416" t="str">
            <v>IASWD2407001971</v>
          </cell>
          <cell r="D2416">
            <v>45502</v>
          </cell>
          <cell r="E2416">
            <v>46243</v>
          </cell>
          <cell r="F2416" t="str">
            <v>82551</v>
          </cell>
          <cell r="G2416" t="str">
            <v>朋程一</v>
          </cell>
          <cell r="H2416">
            <v>100000</v>
          </cell>
          <cell r="I2416">
            <v>2.6</v>
          </cell>
          <cell r="J2416">
            <v>46243</v>
          </cell>
          <cell r="K2416">
            <v>100</v>
          </cell>
          <cell r="L2416">
            <v>46224</v>
          </cell>
          <cell r="M2416">
            <v>-2066</v>
          </cell>
          <cell r="N2416">
            <v>97934</v>
          </cell>
        </row>
        <row r="2417">
          <cell r="A2417">
            <v>64145</v>
          </cell>
          <cell r="B2417">
            <v>2411</v>
          </cell>
          <cell r="C2417" t="str">
            <v>IASWD2407001972</v>
          </cell>
          <cell r="D2417">
            <v>45502</v>
          </cell>
          <cell r="E2417">
            <v>46250</v>
          </cell>
          <cell r="F2417" t="str">
            <v>64145</v>
          </cell>
          <cell r="G2417" t="str">
            <v>樺漢五</v>
          </cell>
          <cell r="H2417">
            <v>100000</v>
          </cell>
          <cell r="I2417">
            <v>3</v>
          </cell>
          <cell r="J2417">
            <v>46250</v>
          </cell>
          <cell r="K2417">
            <v>100</v>
          </cell>
          <cell r="L2417">
            <v>46231</v>
          </cell>
          <cell r="M2417">
            <v>-2384</v>
          </cell>
          <cell r="N2417">
            <v>97616</v>
          </cell>
        </row>
        <row r="2418">
          <cell r="A2418">
            <v>61906</v>
          </cell>
          <cell r="B2418">
            <v>2412</v>
          </cell>
          <cell r="C2418" t="str">
            <v>IASWD2407001974</v>
          </cell>
          <cell r="D2418">
            <v>45502</v>
          </cell>
          <cell r="E2418">
            <v>45961</v>
          </cell>
          <cell r="F2418" t="str">
            <v>61906</v>
          </cell>
          <cell r="G2418" t="str">
            <v>萬泰科六</v>
          </cell>
          <cell r="H2418">
            <v>100000</v>
          </cell>
          <cell r="I2418">
            <v>4</v>
          </cell>
          <cell r="J2418">
            <v>45961</v>
          </cell>
          <cell r="K2418">
            <v>100</v>
          </cell>
          <cell r="L2418">
            <v>45943</v>
          </cell>
          <cell r="M2418">
            <v>-3178</v>
          </cell>
          <cell r="N2418">
            <v>96822</v>
          </cell>
        </row>
        <row r="2419">
          <cell r="A2419">
            <v>36804</v>
          </cell>
          <cell r="B2419">
            <v>2413</v>
          </cell>
          <cell r="C2419" t="str">
            <v>IASWD2407001977</v>
          </cell>
          <cell r="D2419">
            <v>45502</v>
          </cell>
          <cell r="E2419">
            <v>45948</v>
          </cell>
          <cell r="F2419" t="str">
            <v>36804</v>
          </cell>
          <cell r="G2419" t="str">
            <v>家登四</v>
          </cell>
          <cell r="H2419">
            <v>500000</v>
          </cell>
          <cell r="I2419">
            <v>3.2</v>
          </cell>
          <cell r="J2419">
            <v>45948</v>
          </cell>
          <cell r="K2419">
            <v>100</v>
          </cell>
          <cell r="L2419">
            <v>45926</v>
          </cell>
          <cell r="M2419">
            <v>-12712</v>
          </cell>
          <cell r="N2419">
            <v>487288</v>
          </cell>
        </row>
        <row r="2420">
          <cell r="A2420">
            <v>84781</v>
          </cell>
          <cell r="B2420">
            <v>2414</v>
          </cell>
          <cell r="C2420" t="str">
            <v>IASWD2407001978</v>
          </cell>
          <cell r="D2420">
            <v>45502</v>
          </cell>
          <cell r="E2420">
            <v>46583</v>
          </cell>
          <cell r="F2420" t="str">
            <v>84781</v>
          </cell>
          <cell r="G2420" t="str">
            <v>東哥遊艇一</v>
          </cell>
          <cell r="H2420">
            <v>100000</v>
          </cell>
          <cell r="I2420">
            <v>3.1</v>
          </cell>
          <cell r="J2420">
            <v>46583</v>
          </cell>
          <cell r="K2420">
            <v>100</v>
          </cell>
          <cell r="L2420">
            <v>46563</v>
          </cell>
          <cell r="M2420">
            <v>-2463</v>
          </cell>
          <cell r="N2420">
            <v>97537</v>
          </cell>
        </row>
        <row r="2421">
          <cell r="A2421">
            <v>33121</v>
          </cell>
          <cell r="B2421">
            <v>2415</v>
          </cell>
          <cell r="C2421" t="str">
            <v>IASWD2407001979</v>
          </cell>
          <cell r="D2421">
            <v>45502</v>
          </cell>
          <cell r="E2421">
            <v>46563</v>
          </cell>
          <cell r="F2421" t="str">
            <v>33121</v>
          </cell>
          <cell r="G2421" t="str">
            <v>弘憶股一</v>
          </cell>
          <cell r="H2421">
            <v>200000</v>
          </cell>
          <cell r="I2421">
            <v>3.5</v>
          </cell>
          <cell r="J2421">
            <v>46563</v>
          </cell>
          <cell r="K2421">
            <v>100</v>
          </cell>
          <cell r="L2421">
            <v>46545</v>
          </cell>
          <cell r="M2421">
            <v>-5562</v>
          </cell>
          <cell r="N2421">
            <v>194438</v>
          </cell>
        </row>
        <row r="2422">
          <cell r="A2422">
            <v>84781</v>
          </cell>
          <cell r="B2422">
            <v>2416</v>
          </cell>
          <cell r="C2422" t="str">
            <v>IASWD2407001980</v>
          </cell>
          <cell r="D2422">
            <v>45502</v>
          </cell>
          <cell r="E2422">
            <v>46583</v>
          </cell>
          <cell r="F2422" t="str">
            <v>84781</v>
          </cell>
          <cell r="G2422" t="str">
            <v>東哥遊艇一</v>
          </cell>
          <cell r="H2422">
            <v>100000</v>
          </cell>
          <cell r="I2422">
            <v>3.1</v>
          </cell>
          <cell r="J2422">
            <v>46583</v>
          </cell>
          <cell r="K2422">
            <v>100</v>
          </cell>
          <cell r="L2422">
            <v>46563</v>
          </cell>
          <cell r="M2422">
            <v>-2463</v>
          </cell>
          <cell r="N2422">
            <v>97537</v>
          </cell>
        </row>
        <row r="2423">
          <cell r="A2423">
            <v>64145</v>
          </cell>
          <cell r="B2423">
            <v>2417</v>
          </cell>
          <cell r="C2423" t="str">
            <v>IASWD2407001981</v>
          </cell>
          <cell r="D2423">
            <v>45502</v>
          </cell>
          <cell r="E2423">
            <v>46250</v>
          </cell>
          <cell r="F2423" t="str">
            <v>64145</v>
          </cell>
          <cell r="G2423" t="str">
            <v>樺漢五</v>
          </cell>
          <cell r="H2423">
            <v>100000</v>
          </cell>
          <cell r="I2423">
            <v>3</v>
          </cell>
          <cell r="J2423">
            <v>46250</v>
          </cell>
          <cell r="K2423">
            <v>100</v>
          </cell>
          <cell r="L2423">
            <v>46231</v>
          </cell>
          <cell r="M2423">
            <v>-2384</v>
          </cell>
          <cell r="N2423">
            <v>97616</v>
          </cell>
        </row>
        <row r="2424">
          <cell r="A2424">
            <v>36804</v>
          </cell>
          <cell r="B2424">
            <v>2418</v>
          </cell>
          <cell r="C2424" t="str">
            <v>IASWD2407001982</v>
          </cell>
          <cell r="D2424">
            <v>45502</v>
          </cell>
          <cell r="E2424">
            <v>45948</v>
          </cell>
          <cell r="F2424" t="str">
            <v>36804</v>
          </cell>
          <cell r="G2424" t="str">
            <v>家登四</v>
          </cell>
          <cell r="H2424">
            <v>1300000</v>
          </cell>
          <cell r="I2424">
            <v>3.2</v>
          </cell>
          <cell r="J2424">
            <v>45948</v>
          </cell>
          <cell r="K2424">
            <v>100</v>
          </cell>
          <cell r="L2424">
            <v>45926</v>
          </cell>
          <cell r="M2424">
            <v>-33052</v>
          </cell>
          <cell r="N2424">
            <v>1266948</v>
          </cell>
        </row>
        <row r="2425">
          <cell r="A2425">
            <v>84781</v>
          </cell>
          <cell r="B2425">
            <v>2419</v>
          </cell>
          <cell r="C2425" t="str">
            <v>IASWD2407001984</v>
          </cell>
          <cell r="D2425">
            <v>45502</v>
          </cell>
          <cell r="E2425">
            <v>46583</v>
          </cell>
          <cell r="F2425" t="str">
            <v>84781</v>
          </cell>
          <cell r="G2425" t="str">
            <v>東哥遊艇一</v>
          </cell>
          <cell r="H2425">
            <v>200000</v>
          </cell>
          <cell r="I2425">
            <v>3.1</v>
          </cell>
          <cell r="J2425">
            <v>46583</v>
          </cell>
          <cell r="K2425">
            <v>100</v>
          </cell>
          <cell r="L2425">
            <v>46563</v>
          </cell>
          <cell r="M2425">
            <v>-4926</v>
          </cell>
          <cell r="N2425">
            <v>195074</v>
          </cell>
        </row>
        <row r="2426">
          <cell r="A2426">
            <v>65096</v>
          </cell>
          <cell r="B2426">
            <v>2420</v>
          </cell>
          <cell r="C2426" t="str">
            <v>IASWD2407001986</v>
          </cell>
          <cell r="D2426">
            <v>45502</v>
          </cell>
          <cell r="E2426">
            <v>46206</v>
          </cell>
          <cell r="F2426" t="str">
            <v>65096</v>
          </cell>
          <cell r="G2426" t="str">
            <v>聚和六</v>
          </cell>
          <cell r="H2426">
            <v>100000</v>
          </cell>
          <cell r="I2426">
            <v>3.1</v>
          </cell>
          <cell r="J2426">
            <v>46206</v>
          </cell>
          <cell r="K2426">
            <v>100</v>
          </cell>
          <cell r="L2426">
            <v>46188</v>
          </cell>
          <cell r="M2426">
            <v>-2463</v>
          </cell>
          <cell r="N2426">
            <v>97537</v>
          </cell>
        </row>
        <row r="2427">
          <cell r="A2427">
            <v>64145</v>
          </cell>
          <cell r="B2427">
            <v>2421</v>
          </cell>
          <cell r="C2427" t="str">
            <v>IASWD2407001987</v>
          </cell>
          <cell r="D2427">
            <v>45502</v>
          </cell>
          <cell r="E2427">
            <v>46250</v>
          </cell>
          <cell r="F2427" t="str">
            <v>64145</v>
          </cell>
          <cell r="G2427" t="str">
            <v>樺漢五</v>
          </cell>
          <cell r="H2427">
            <v>100000</v>
          </cell>
          <cell r="I2427">
            <v>3</v>
          </cell>
          <cell r="J2427">
            <v>46250</v>
          </cell>
          <cell r="K2427">
            <v>100</v>
          </cell>
          <cell r="L2427">
            <v>46231</v>
          </cell>
          <cell r="M2427">
            <v>-2384</v>
          </cell>
          <cell r="N2427">
            <v>97616</v>
          </cell>
        </row>
        <row r="2428">
          <cell r="A2428">
            <v>65096</v>
          </cell>
          <cell r="B2428">
            <v>2422</v>
          </cell>
          <cell r="C2428" t="str">
            <v>IASWD2407001991</v>
          </cell>
          <cell r="D2428">
            <v>45502</v>
          </cell>
          <cell r="E2428">
            <v>46206</v>
          </cell>
          <cell r="F2428" t="str">
            <v>65096</v>
          </cell>
          <cell r="G2428" t="str">
            <v>聚和六</v>
          </cell>
          <cell r="H2428">
            <v>200000</v>
          </cell>
          <cell r="I2428">
            <v>3.1</v>
          </cell>
          <cell r="J2428">
            <v>46206</v>
          </cell>
          <cell r="K2428">
            <v>100</v>
          </cell>
          <cell r="L2428">
            <v>46188</v>
          </cell>
          <cell r="M2428">
            <v>-4926</v>
          </cell>
          <cell r="N2428">
            <v>195074</v>
          </cell>
        </row>
        <row r="2429">
          <cell r="A2429">
            <v>64145</v>
          </cell>
          <cell r="B2429">
            <v>2423</v>
          </cell>
          <cell r="C2429" t="str">
            <v>IASWD2407001992</v>
          </cell>
          <cell r="D2429">
            <v>45502</v>
          </cell>
          <cell r="E2429">
            <v>46250</v>
          </cell>
          <cell r="F2429" t="str">
            <v>64145</v>
          </cell>
          <cell r="G2429" t="str">
            <v>樺漢五</v>
          </cell>
          <cell r="H2429">
            <v>200000</v>
          </cell>
          <cell r="I2429">
            <v>3</v>
          </cell>
          <cell r="J2429">
            <v>46250</v>
          </cell>
          <cell r="K2429">
            <v>100</v>
          </cell>
          <cell r="L2429">
            <v>46231</v>
          </cell>
          <cell r="M2429">
            <v>-4767</v>
          </cell>
          <cell r="N2429">
            <v>195233</v>
          </cell>
        </row>
        <row r="2430">
          <cell r="A2430">
            <v>84781</v>
          </cell>
          <cell r="B2430">
            <v>2424</v>
          </cell>
          <cell r="C2430" t="str">
            <v>IASWD2407001994</v>
          </cell>
          <cell r="D2430">
            <v>45502</v>
          </cell>
          <cell r="E2430">
            <v>46583</v>
          </cell>
          <cell r="F2430" t="str">
            <v>84781</v>
          </cell>
          <cell r="G2430" t="str">
            <v>東哥遊艇一</v>
          </cell>
          <cell r="H2430">
            <v>100000</v>
          </cell>
          <cell r="I2430">
            <v>3.1</v>
          </cell>
          <cell r="J2430">
            <v>46583</v>
          </cell>
          <cell r="K2430">
            <v>100</v>
          </cell>
          <cell r="L2430">
            <v>46563</v>
          </cell>
          <cell r="M2430">
            <v>-2463</v>
          </cell>
          <cell r="N2430">
            <v>97537</v>
          </cell>
        </row>
        <row r="2431">
          <cell r="A2431">
            <v>34834</v>
          </cell>
          <cell r="B2431">
            <v>2425</v>
          </cell>
          <cell r="C2431" t="str">
            <v>IASWD2407001995</v>
          </cell>
          <cell r="D2431">
            <v>45502</v>
          </cell>
          <cell r="E2431">
            <v>46529</v>
          </cell>
          <cell r="F2431" t="str">
            <v>34834</v>
          </cell>
          <cell r="G2431" t="str">
            <v>力致四</v>
          </cell>
          <cell r="H2431">
            <v>100000</v>
          </cell>
          <cell r="I2431">
            <v>3.75</v>
          </cell>
          <cell r="J2431">
            <v>46529</v>
          </cell>
          <cell r="K2431">
            <v>100</v>
          </cell>
          <cell r="L2431">
            <v>46511</v>
          </cell>
          <cell r="M2431">
            <v>-2979</v>
          </cell>
          <cell r="N2431">
            <v>97021</v>
          </cell>
        </row>
        <row r="2432">
          <cell r="A2432">
            <v>64145</v>
          </cell>
          <cell r="B2432">
            <v>2426</v>
          </cell>
          <cell r="C2432" t="str">
            <v>IASWD2407001996</v>
          </cell>
          <cell r="D2432">
            <v>45502</v>
          </cell>
          <cell r="E2432">
            <v>46250</v>
          </cell>
          <cell r="F2432" t="str">
            <v>64145</v>
          </cell>
          <cell r="G2432" t="str">
            <v>樺漢五</v>
          </cell>
          <cell r="H2432">
            <v>400000</v>
          </cell>
          <cell r="I2432">
            <v>3</v>
          </cell>
          <cell r="J2432">
            <v>46250</v>
          </cell>
          <cell r="K2432">
            <v>100</v>
          </cell>
          <cell r="L2432">
            <v>46231</v>
          </cell>
          <cell r="M2432">
            <v>-9534</v>
          </cell>
          <cell r="N2432">
            <v>390466</v>
          </cell>
        </row>
        <row r="2433">
          <cell r="A2433">
            <v>84781</v>
          </cell>
          <cell r="B2433">
            <v>2427</v>
          </cell>
          <cell r="C2433" t="str">
            <v>IASWD2407001998</v>
          </cell>
          <cell r="D2433">
            <v>45502</v>
          </cell>
          <cell r="E2433">
            <v>46583</v>
          </cell>
          <cell r="F2433" t="str">
            <v>84781</v>
          </cell>
          <cell r="G2433" t="str">
            <v>東哥遊艇一</v>
          </cell>
          <cell r="H2433">
            <v>200000</v>
          </cell>
          <cell r="I2433">
            <v>3.1</v>
          </cell>
          <cell r="J2433">
            <v>46583</v>
          </cell>
          <cell r="K2433">
            <v>100</v>
          </cell>
          <cell r="L2433">
            <v>46563</v>
          </cell>
          <cell r="M2433">
            <v>-4926</v>
          </cell>
          <cell r="N2433">
            <v>195074</v>
          </cell>
        </row>
        <row r="2434">
          <cell r="A2434">
            <v>84781</v>
          </cell>
          <cell r="B2434">
            <v>2428</v>
          </cell>
          <cell r="C2434" t="str">
            <v>IASWD2407001999</v>
          </cell>
          <cell r="D2434">
            <v>45502</v>
          </cell>
          <cell r="E2434">
            <v>46583</v>
          </cell>
          <cell r="F2434" t="str">
            <v>84781</v>
          </cell>
          <cell r="G2434" t="str">
            <v>東哥遊艇一</v>
          </cell>
          <cell r="H2434">
            <v>100000</v>
          </cell>
          <cell r="I2434">
            <v>3.1</v>
          </cell>
          <cell r="J2434">
            <v>46583</v>
          </cell>
          <cell r="K2434">
            <v>100</v>
          </cell>
          <cell r="L2434">
            <v>46563</v>
          </cell>
          <cell r="M2434">
            <v>-2463</v>
          </cell>
          <cell r="N2434">
            <v>97537</v>
          </cell>
        </row>
        <row r="2435">
          <cell r="A2435">
            <v>64145</v>
          </cell>
          <cell r="B2435">
            <v>2429</v>
          </cell>
          <cell r="C2435" t="str">
            <v>IASWD2407002002</v>
          </cell>
          <cell r="D2435">
            <v>45502</v>
          </cell>
          <cell r="E2435">
            <v>46250</v>
          </cell>
          <cell r="F2435" t="str">
            <v>64145</v>
          </cell>
          <cell r="G2435" t="str">
            <v>樺漢五</v>
          </cell>
          <cell r="H2435">
            <v>100000</v>
          </cell>
          <cell r="I2435">
            <v>3</v>
          </cell>
          <cell r="J2435">
            <v>46250</v>
          </cell>
          <cell r="K2435">
            <v>100</v>
          </cell>
          <cell r="L2435">
            <v>46231</v>
          </cell>
          <cell r="M2435">
            <v>-2384</v>
          </cell>
          <cell r="N2435">
            <v>97616</v>
          </cell>
        </row>
        <row r="2436">
          <cell r="A2436">
            <v>64145</v>
          </cell>
          <cell r="B2436">
            <v>2430</v>
          </cell>
          <cell r="C2436" t="str">
            <v>IASWD2407002004</v>
          </cell>
          <cell r="D2436">
            <v>45502</v>
          </cell>
          <cell r="E2436">
            <v>46250</v>
          </cell>
          <cell r="F2436" t="str">
            <v>64145</v>
          </cell>
          <cell r="G2436" t="str">
            <v>樺漢五</v>
          </cell>
          <cell r="H2436">
            <v>300000</v>
          </cell>
          <cell r="I2436">
            <v>3</v>
          </cell>
          <cell r="J2436">
            <v>46250</v>
          </cell>
          <cell r="K2436">
            <v>100</v>
          </cell>
          <cell r="L2436">
            <v>46231</v>
          </cell>
          <cell r="M2436">
            <v>-7151</v>
          </cell>
          <cell r="N2436">
            <v>292849</v>
          </cell>
        </row>
        <row r="2437">
          <cell r="A2437">
            <v>65096</v>
          </cell>
          <cell r="B2437">
            <v>2431</v>
          </cell>
          <cell r="C2437" t="str">
            <v>IASWD2407002006</v>
          </cell>
          <cell r="D2437">
            <v>45502</v>
          </cell>
          <cell r="E2437">
            <v>46206</v>
          </cell>
          <cell r="F2437" t="str">
            <v>65096</v>
          </cell>
          <cell r="G2437" t="str">
            <v>聚和六</v>
          </cell>
          <cell r="H2437">
            <v>200000</v>
          </cell>
          <cell r="I2437">
            <v>3.1</v>
          </cell>
          <cell r="J2437">
            <v>46206</v>
          </cell>
          <cell r="K2437">
            <v>100</v>
          </cell>
          <cell r="L2437">
            <v>46188</v>
          </cell>
          <cell r="M2437">
            <v>-4926</v>
          </cell>
          <cell r="N2437">
            <v>195074</v>
          </cell>
        </row>
        <row r="2438">
          <cell r="A2438">
            <v>33121</v>
          </cell>
          <cell r="B2438">
            <v>2432</v>
          </cell>
          <cell r="C2438" t="str">
            <v>IASWD2407002007</v>
          </cell>
          <cell r="D2438">
            <v>45502</v>
          </cell>
          <cell r="E2438">
            <v>46563</v>
          </cell>
          <cell r="F2438" t="str">
            <v>33121</v>
          </cell>
          <cell r="G2438" t="str">
            <v>弘憶股一</v>
          </cell>
          <cell r="H2438">
            <v>1500000</v>
          </cell>
          <cell r="I2438">
            <v>3.5</v>
          </cell>
          <cell r="J2438">
            <v>46563</v>
          </cell>
          <cell r="K2438">
            <v>100</v>
          </cell>
          <cell r="L2438">
            <v>46545</v>
          </cell>
          <cell r="M2438">
            <v>-41712</v>
          </cell>
          <cell r="N2438">
            <v>1458288</v>
          </cell>
        </row>
        <row r="2439">
          <cell r="A2439">
            <v>35266</v>
          </cell>
          <cell r="B2439">
            <v>2433</v>
          </cell>
          <cell r="C2439" t="str">
            <v>IASWD2407002008</v>
          </cell>
          <cell r="D2439">
            <v>45502</v>
          </cell>
          <cell r="E2439">
            <v>46416</v>
          </cell>
          <cell r="F2439" t="str">
            <v>35266</v>
          </cell>
          <cell r="G2439" t="str">
            <v>凡甲六</v>
          </cell>
          <cell r="H2439">
            <v>100000</v>
          </cell>
          <cell r="I2439">
            <v>3.5</v>
          </cell>
          <cell r="J2439">
            <v>46416</v>
          </cell>
          <cell r="K2439">
            <v>100</v>
          </cell>
          <cell r="L2439">
            <v>46398</v>
          </cell>
          <cell r="M2439">
            <v>-2781</v>
          </cell>
          <cell r="N2439">
            <v>97219</v>
          </cell>
        </row>
        <row r="2440">
          <cell r="A2440">
            <v>22313</v>
          </cell>
          <cell r="B2440">
            <v>2434</v>
          </cell>
          <cell r="C2440" t="str">
            <v>IASWD2407002009</v>
          </cell>
          <cell r="D2440">
            <v>45503</v>
          </cell>
          <cell r="E2440">
            <v>45898</v>
          </cell>
          <cell r="F2440" t="str">
            <v>22313</v>
          </cell>
          <cell r="G2440" t="str">
            <v>為升三</v>
          </cell>
          <cell r="H2440">
            <v>100000</v>
          </cell>
          <cell r="I2440">
            <v>3.5</v>
          </cell>
          <cell r="J2440">
            <v>45898</v>
          </cell>
          <cell r="K2440">
            <v>101.50749999999999</v>
          </cell>
          <cell r="L2440">
            <v>45880</v>
          </cell>
          <cell r="M2440">
            <v>-2771</v>
          </cell>
          <cell r="N2440">
            <v>97229</v>
          </cell>
        </row>
        <row r="2441">
          <cell r="A2441">
            <v>35266</v>
          </cell>
          <cell r="B2441">
            <v>2435</v>
          </cell>
          <cell r="C2441" t="str">
            <v>IASWD2407002016</v>
          </cell>
          <cell r="D2441">
            <v>45503</v>
          </cell>
          <cell r="E2441">
            <v>46416</v>
          </cell>
          <cell r="F2441" t="str">
            <v>35266</v>
          </cell>
          <cell r="G2441" t="str">
            <v>凡甲六</v>
          </cell>
          <cell r="H2441">
            <v>400000</v>
          </cell>
          <cell r="I2441">
            <v>3.5</v>
          </cell>
          <cell r="J2441">
            <v>46416</v>
          </cell>
          <cell r="K2441">
            <v>100</v>
          </cell>
          <cell r="L2441">
            <v>46398</v>
          </cell>
          <cell r="M2441">
            <v>-11085</v>
          </cell>
          <cell r="N2441">
            <v>388915</v>
          </cell>
        </row>
        <row r="2442">
          <cell r="A2442">
            <v>27323</v>
          </cell>
          <cell r="B2442">
            <v>2436</v>
          </cell>
          <cell r="C2442" t="str">
            <v>IASWD2407002017</v>
          </cell>
          <cell r="D2442">
            <v>45503</v>
          </cell>
          <cell r="E2442">
            <v>46048</v>
          </cell>
          <cell r="F2442" t="str">
            <v>27323</v>
          </cell>
          <cell r="G2442" t="str">
            <v>六角三</v>
          </cell>
          <cell r="H2442">
            <v>100000</v>
          </cell>
          <cell r="I2442">
            <v>3</v>
          </cell>
          <cell r="J2442">
            <v>46048</v>
          </cell>
          <cell r="K2442">
            <v>101</v>
          </cell>
          <cell r="L2442">
            <v>46028</v>
          </cell>
          <cell r="M2442">
            <v>-2375</v>
          </cell>
          <cell r="N2442">
            <v>97625</v>
          </cell>
        </row>
        <row r="2443">
          <cell r="A2443">
            <v>65096</v>
          </cell>
          <cell r="B2443">
            <v>2437</v>
          </cell>
          <cell r="C2443" t="str">
            <v>IASWD2407002018</v>
          </cell>
          <cell r="D2443">
            <v>45503</v>
          </cell>
          <cell r="E2443">
            <v>46206</v>
          </cell>
          <cell r="F2443" t="str">
            <v>65096</v>
          </cell>
          <cell r="G2443" t="str">
            <v>聚和六</v>
          </cell>
          <cell r="H2443">
            <v>100000</v>
          </cell>
          <cell r="I2443">
            <v>3.1</v>
          </cell>
          <cell r="J2443">
            <v>46206</v>
          </cell>
          <cell r="K2443">
            <v>100</v>
          </cell>
          <cell r="L2443">
            <v>46188</v>
          </cell>
          <cell r="M2443">
            <v>-2455</v>
          </cell>
          <cell r="N2443">
            <v>97545</v>
          </cell>
        </row>
        <row r="2444">
          <cell r="A2444">
            <v>22013</v>
          </cell>
          <cell r="B2444">
            <v>2438</v>
          </cell>
          <cell r="C2444" t="str">
            <v>IASWD2407002025</v>
          </cell>
          <cell r="D2444">
            <v>45503</v>
          </cell>
          <cell r="E2444">
            <v>46167</v>
          </cell>
          <cell r="F2444" t="str">
            <v>22013</v>
          </cell>
          <cell r="G2444" t="str">
            <v>裕隆三</v>
          </cell>
          <cell r="H2444">
            <v>300000</v>
          </cell>
          <cell r="I2444">
            <v>3</v>
          </cell>
          <cell r="J2444">
            <v>46167</v>
          </cell>
          <cell r="K2444">
            <v>100.75190000000001</v>
          </cell>
          <cell r="L2444">
            <v>46147</v>
          </cell>
          <cell r="M2444">
            <v>-7126</v>
          </cell>
          <cell r="N2444">
            <v>292874</v>
          </cell>
        </row>
        <row r="2445">
          <cell r="A2445">
            <v>65096</v>
          </cell>
          <cell r="B2445">
            <v>2439</v>
          </cell>
          <cell r="C2445" t="str">
            <v>IASWD2407002026</v>
          </cell>
          <cell r="D2445">
            <v>45503</v>
          </cell>
          <cell r="E2445">
            <v>46206</v>
          </cell>
          <cell r="F2445" t="str">
            <v>65096</v>
          </cell>
          <cell r="G2445" t="str">
            <v>聚和六</v>
          </cell>
          <cell r="H2445">
            <v>1000000</v>
          </cell>
          <cell r="I2445">
            <v>3.1</v>
          </cell>
          <cell r="J2445">
            <v>46206</v>
          </cell>
          <cell r="K2445">
            <v>100</v>
          </cell>
          <cell r="L2445">
            <v>46188</v>
          </cell>
          <cell r="M2445">
            <v>-24545</v>
          </cell>
          <cell r="N2445">
            <v>975455</v>
          </cell>
        </row>
        <row r="2446">
          <cell r="A2446">
            <v>89964</v>
          </cell>
          <cell r="B2446">
            <v>2440</v>
          </cell>
          <cell r="C2446" t="str">
            <v>IASWD2407002028</v>
          </cell>
          <cell r="D2446">
            <v>45503</v>
          </cell>
          <cell r="E2446">
            <v>46362</v>
          </cell>
          <cell r="F2446" t="str">
            <v>89964</v>
          </cell>
          <cell r="G2446" t="str">
            <v>高力四</v>
          </cell>
          <cell r="H2446">
            <v>400000</v>
          </cell>
          <cell r="I2446">
            <v>3.5</v>
          </cell>
          <cell r="J2446">
            <v>46362</v>
          </cell>
          <cell r="K2446">
            <v>100.75190000000001</v>
          </cell>
          <cell r="L2446">
            <v>46343</v>
          </cell>
          <cell r="M2446">
            <v>-11085</v>
          </cell>
          <cell r="N2446">
            <v>388915</v>
          </cell>
        </row>
        <row r="2447">
          <cell r="A2447">
            <v>33121</v>
          </cell>
          <cell r="B2447">
            <v>2441</v>
          </cell>
          <cell r="C2447" t="str">
            <v>IASWD2407002030</v>
          </cell>
          <cell r="D2447">
            <v>45503</v>
          </cell>
          <cell r="E2447">
            <v>46563</v>
          </cell>
          <cell r="F2447" t="str">
            <v>33121</v>
          </cell>
          <cell r="G2447" t="str">
            <v>弘憶股一</v>
          </cell>
          <cell r="H2447">
            <v>200000</v>
          </cell>
          <cell r="I2447">
            <v>3.5</v>
          </cell>
          <cell r="J2447">
            <v>46563</v>
          </cell>
          <cell r="K2447">
            <v>100</v>
          </cell>
          <cell r="L2447">
            <v>46545</v>
          </cell>
          <cell r="M2447">
            <v>-5542</v>
          </cell>
          <cell r="N2447">
            <v>194458</v>
          </cell>
        </row>
        <row r="2448">
          <cell r="A2448">
            <v>36804</v>
          </cell>
          <cell r="B2448">
            <v>2442</v>
          </cell>
          <cell r="C2448" t="str">
            <v>IASWD2407002035</v>
          </cell>
          <cell r="D2448">
            <v>45503</v>
          </cell>
          <cell r="E2448">
            <v>45948</v>
          </cell>
          <cell r="F2448" t="str">
            <v>36804</v>
          </cell>
          <cell r="G2448" t="str">
            <v>家登四</v>
          </cell>
          <cell r="H2448">
            <v>200000</v>
          </cell>
          <cell r="I2448">
            <v>3.2</v>
          </cell>
          <cell r="J2448">
            <v>45948</v>
          </cell>
          <cell r="K2448">
            <v>100</v>
          </cell>
          <cell r="L2448">
            <v>45926</v>
          </cell>
          <cell r="M2448">
            <v>-5067</v>
          </cell>
          <cell r="N2448">
            <v>194933</v>
          </cell>
        </row>
        <row r="2449">
          <cell r="A2449">
            <v>33121</v>
          </cell>
          <cell r="B2449">
            <v>2443</v>
          </cell>
          <cell r="C2449" t="str">
            <v>IASWD2407002037</v>
          </cell>
          <cell r="D2449">
            <v>45503</v>
          </cell>
          <cell r="E2449">
            <v>46563</v>
          </cell>
          <cell r="F2449" t="str">
            <v>33121</v>
          </cell>
          <cell r="G2449" t="str">
            <v>弘憶股一</v>
          </cell>
          <cell r="H2449">
            <v>100000</v>
          </cell>
          <cell r="I2449">
            <v>3.5</v>
          </cell>
          <cell r="J2449">
            <v>46563</v>
          </cell>
          <cell r="K2449">
            <v>100</v>
          </cell>
          <cell r="L2449">
            <v>46545</v>
          </cell>
          <cell r="M2449">
            <v>-2771</v>
          </cell>
          <cell r="N2449">
            <v>97229</v>
          </cell>
        </row>
        <row r="2450">
          <cell r="A2450">
            <v>84781</v>
          </cell>
          <cell r="B2450">
            <v>2444</v>
          </cell>
          <cell r="C2450" t="str">
            <v>IASWD2407002043</v>
          </cell>
          <cell r="D2450">
            <v>45503</v>
          </cell>
          <cell r="E2450">
            <v>46583</v>
          </cell>
          <cell r="F2450" t="str">
            <v>84781</v>
          </cell>
          <cell r="G2450" t="str">
            <v>東哥遊艇一</v>
          </cell>
          <cell r="H2450">
            <v>100000</v>
          </cell>
          <cell r="I2450">
            <v>3.1</v>
          </cell>
          <cell r="J2450">
            <v>46583</v>
          </cell>
          <cell r="K2450">
            <v>100</v>
          </cell>
          <cell r="L2450">
            <v>46563</v>
          </cell>
          <cell r="M2450">
            <v>-2455</v>
          </cell>
          <cell r="N2450">
            <v>97545</v>
          </cell>
        </row>
        <row r="2451">
          <cell r="A2451">
            <v>64145</v>
          </cell>
          <cell r="B2451">
            <v>2445</v>
          </cell>
          <cell r="C2451" t="str">
            <v>IASWD2407002044</v>
          </cell>
          <cell r="D2451">
            <v>45503</v>
          </cell>
          <cell r="E2451">
            <v>46250</v>
          </cell>
          <cell r="F2451" t="str">
            <v>64145</v>
          </cell>
          <cell r="G2451" t="str">
            <v>樺漢五</v>
          </cell>
          <cell r="H2451">
            <v>100000</v>
          </cell>
          <cell r="I2451">
            <v>3</v>
          </cell>
          <cell r="J2451">
            <v>46250</v>
          </cell>
          <cell r="K2451">
            <v>100</v>
          </cell>
          <cell r="L2451">
            <v>46231</v>
          </cell>
          <cell r="M2451">
            <v>-2375</v>
          </cell>
          <cell r="N2451">
            <v>97625</v>
          </cell>
        </row>
        <row r="2452">
          <cell r="A2452">
            <v>50097</v>
          </cell>
          <cell r="B2452">
            <v>2446</v>
          </cell>
          <cell r="C2452" t="str">
            <v>IASWD2407002047</v>
          </cell>
          <cell r="D2452">
            <v>45503</v>
          </cell>
          <cell r="E2452">
            <v>46234</v>
          </cell>
          <cell r="F2452" t="str">
            <v>50097</v>
          </cell>
          <cell r="G2452" t="str">
            <v>榮剛七</v>
          </cell>
          <cell r="H2452">
            <v>100000</v>
          </cell>
          <cell r="I2452">
            <v>4.2</v>
          </cell>
          <cell r="J2452">
            <v>46234</v>
          </cell>
          <cell r="K2452">
            <v>101.51</v>
          </cell>
          <cell r="L2452">
            <v>46216</v>
          </cell>
          <cell r="M2452">
            <v>-3325</v>
          </cell>
          <cell r="N2452">
            <v>96675</v>
          </cell>
        </row>
        <row r="2453">
          <cell r="A2453">
            <v>84781</v>
          </cell>
          <cell r="B2453">
            <v>2447</v>
          </cell>
          <cell r="C2453" t="str">
            <v>IASWD2407002049</v>
          </cell>
          <cell r="D2453">
            <v>45503</v>
          </cell>
          <cell r="E2453">
            <v>46583</v>
          </cell>
          <cell r="F2453" t="str">
            <v>84781</v>
          </cell>
          <cell r="G2453" t="str">
            <v>東哥遊艇一</v>
          </cell>
          <cell r="H2453">
            <v>100000</v>
          </cell>
          <cell r="I2453">
            <v>3.1</v>
          </cell>
          <cell r="J2453">
            <v>46583</v>
          </cell>
          <cell r="K2453">
            <v>100</v>
          </cell>
          <cell r="L2453">
            <v>46563</v>
          </cell>
          <cell r="M2453">
            <v>-2455</v>
          </cell>
          <cell r="N2453">
            <v>97545</v>
          </cell>
        </row>
        <row r="2454">
          <cell r="A2454">
            <v>82551</v>
          </cell>
          <cell r="B2454">
            <v>2448</v>
          </cell>
          <cell r="C2454" t="str">
            <v>IASWD2407002051</v>
          </cell>
          <cell r="D2454">
            <v>45503</v>
          </cell>
          <cell r="E2454">
            <v>46243</v>
          </cell>
          <cell r="F2454" t="str">
            <v>82551</v>
          </cell>
          <cell r="G2454" t="str">
            <v>朋程一</v>
          </cell>
          <cell r="H2454">
            <v>100000</v>
          </cell>
          <cell r="I2454">
            <v>2.6</v>
          </cell>
          <cell r="J2454">
            <v>46243</v>
          </cell>
          <cell r="K2454">
            <v>100</v>
          </cell>
          <cell r="L2454">
            <v>46224</v>
          </cell>
          <cell r="M2454">
            <v>-2059</v>
          </cell>
          <cell r="N2454">
            <v>97941</v>
          </cell>
        </row>
        <row r="2455">
          <cell r="A2455">
            <v>64145</v>
          </cell>
          <cell r="B2455">
            <v>2449</v>
          </cell>
          <cell r="C2455" t="str">
            <v>IASWD2407002053</v>
          </cell>
          <cell r="D2455">
            <v>45503</v>
          </cell>
          <cell r="E2455">
            <v>46250</v>
          </cell>
          <cell r="F2455" t="str">
            <v>64145</v>
          </cell>
          <cell r="G2455" t="str">
            <v>樺漢五</v>
          </cell>
          <cell r="H2455">
            <v>100000</v>
          </cell>
          <cell r="I2455">
            <v>3</v>
          </cell>
          <cell r="J2455">
            <v>46250</v>
          </cell>
          <cell r="K2455">
            <v>100</v>
          </cell>
          <cell r="L2455">
            <v>46231</v>
          </cell>
          <cell r="M2455">
            <v>-2375</v>
          </cell>
          <cell r="N2455">
            <v>97625</v>
          </cell>
        </row>
        <row r="2456">
          <cell r="A2456">
            <v>84781</v>
          </cell>
          <cell r="B2456">
            <v>2450</v>
          </cell>
          <cell r="C2456" t="str">
            <v>IASWD2407002054</v>
          </cell>
          <cell r="D2456">
            <v>45503</v>
          </cell>
          <cell r="E2456">
            <v>46583</v>
          </cell>
          <cell r="F2456" t="str">
            <v>84781</v>
          </cell>
          <cell r="G2456" t="str">
            <v>東哥遊艇一</v>
          </cell>
          <cell r="H2456">
            <v>100000</v>
          </cell>
          <cell r="I2456">
            <v>3.1</v>
          </cell>
          <cell r="J2456">
            <v>46583</v>
          </cell>
          <cell r="K2456">
            <v>100</v>
          </cell>
          <cell r="L2456">
            <v>46563</v>
          </cell>
          <cell r="M2456">
            <v>-2455</v>
          </cell>
          <cell r="N2456">
            <v>97545</v>
          </cell>
        </row>
        <row r="2457">
          <cell r="A2457">
            <v>61965</v>
          </cell>
          <cell r="B2457">
            <v>2451</v>
          </cell>
          <cell r="C2457" t="str">
            <v>IASWD2407002055</v>
          </cell>
          <cell r="D2457">
            <v>45503</v>
          </cell>
          <cell r="E2457">
            <v>46200</v>
          </cell>
          <cell r="F2457" t="str">
            <v>61965</v>
          </cell>
          <cell r="G2457" t="str">
            <v>帆宣五</v>
          </cell>
          <cell r="H2457">
            <v>100000</v>
          </cell>
          <cell r="I2457">
            <v>3</v>
          </cell>
          <cell r="J2457">
            <v>46200</v>
          </cell>
          <cell r="K2457">
            <v>100</v>
          </cell>
          <cell r="L2457">
            <v>46182</v>
          </cell>
          <cell r="M2457">
            <v>-2375</v>
          </cell>
          <cell r="N2457">
            <v>97625</v>
          </cell>
        </row>
        <row r="2458">
          <cell r="A2458">
            <v>50097</v>
          </cell>
          <cell r="B2458">
            <v>2452</v>
          </cell>
          <cell r="C2458" t="str">
            <v>IASWD2407002056</v>
          </cell>
          <cell r="D2458">
            <v>45503</v>
          </cell>
          <cell r="E2458">
            <v>46234</v>
          </cell>
          <cell r="F2458" t="str">
            <v>50097</v>
          </cell>
          <cell r="G2458" t="str">
            <v>榮剛七</v>
          </cell>
          <cell r="H2458">
            <v>500000</v>
          </cell>
          <cell r="I2458">
            <v>4.2</v>
          </cell>
          <cell r="J2458">
            <v>46234</v>
          </cell>
          <cell r="K2458">
            <v>101.51</v>
          </cell>
          <cell r="L2458">
            <v>46216</v>
          </cell>
          <cell r="M2458">
            <v>-16627</v>
          </cell>
          <cell r="N2458">
            <v>483373</v>
          </cell>
        </row>
        <row r="2459">
          <cell r="A2459">
            <v>35266</v>
          </cell>
          <cell r="B2459">
            <v>2453</v>
          </cell>
          <cell r="C2459" t="str">
            <v>IASWD2407002057</v>
          </cell>
          <cell r="D2459">
            <v>45503</v>
          </cell>
          <cell r="E2459">
            <v>46416</v>
          </cell>
          <cell r="F2459" t="str">
            <v>35266</v>
          </cell>
          <cell r="G2459" t="str">
            <v>凡甲六</v>
          </cell>
          <cell r="H2459">
            <v>100000</v>
          </cell>
          <cell r="I2459">
            <v>3.5</v>
          </cell>
          <cell r="J2459">
            <v>46416</v>
          </cell>
          <cell r="K2459">
            <v>100</v>
          </cell>
          <cell r="L2459">
            <v>46398</v>
          </cell>
          <cell r="M2459">
            <v>-2771</v>
          </cell>
          <cell r="N2459">
            <v>97229</v>
          </cell>
        </row>
        <row r="2460">
          <cell r="A2460">
            <v>64145</v>
          </cell>
          <cell r="B2460">
            <v>2454</v>
          </cell>
          <cell r="C2460" t="str">
            <v>IASWD2407002059</v>
          </cell>
          <cell r="D2460">
            <v>45503</v>
          </cell>
          <cell r="E2460">
            <v>46250</v>
          </cell>
          <cell r="F2460" t="str">
            <v>64145</v>
          </cell>
          <cell r="G2460" t="str">
            <v>樺漢五</v>
          </cell>
          <cell r="H2460">
            <v>400000</v>
          </cell>
          <cell r="I2460">
            <v>3</v>
          </cell>
          <cell r="J2460">
            <v>46250</v>
          </cell>
          <cell r="K2460">
            <v>100</v>
          </cell>
          <cell r="L2460">
            <v>46231</v>
          </cell>
          <cell r="M2460">
            <v>-9501</v>
          </cell>
          <cell r="N2460">
            <v>390499</v>
          </cell>
        </row>
        <row r="2461">
          <cell r="A2461">
            <v>84781</v>
          </cell>
          <cell r="B2461">
            <v>2455</v>
          </cell>
          <cell r="C2461" t="str">
            <v>IASWD2407002060</v>
          </cell>
          <cell r="D2461">
            <v>45503</v>
          </cell>
          <cell r="E2461">
            <v>46583</v>
          </cell>
          <cell r="F2461" t="str">
            <v>84781</v>
          </cell>
          <cell r="G2461" t="str">
            <v>東哥遊艇一</v>
          </cell>
          <cell r="H2461">
            <v>100000</v>
          </cell>
          <cell r="I2461">
            <v>3.1</v>
          </cell>
          <cell r="J2461">
            <v>46583</v>
          </cell>
          <cell r="K2461">
            <v>100</v>
          </cell>
          <cell r="L2461">
            <v>46563</v>
          </cell>
          <cell r="M2461">
            <v>-2455</v>
          </cell>
          <cell r="N2461">
            <v>97545</v>
          </cell>
        </row>
        <row r="2462">
          <cell r="A2462">
            <v>35482</v>
          </cell>
          <cell r="B2462">
            <v>2456</v>
          </cell>
          <cell r="C2462" t="str">
            <v>IASWD2407002061</v>
          </cell>
          <cell r="D2462">
            <v>45503</v>
          </cell>
          <cell r="E2462">
            <v>46395</v>
          </cell>
          <cell r="F2462" t="str">
            <v>35482</v>
          </cell>
          <cell r="G2462" t="str">
            <v>兆利二</v>
          </cell>
          <cell r="H2462">
            <v>100000</v>
          </cell>
          <cell r="I2462">
            <v>3</v>
          </cell>
          <cell r="J2462">
            <v>46395</v>
          </cell>
          <cell r="K2462">
            <v>100</v>
          </cell>
          <cell r="L2462">
            <v>46377</v>
          </cell>
          <cell r="M2462">
            <v>-2375</v>
          </cell>
          <cell r="N2462">
            <v>97625</v>
          </cell>
        </row>
        <row r="2463">
          <cell r="A2463">
            <v>82551</v>
          </cell>
          <cell r="B2463">
            <v>2457</v>
          </cell>
          <cell r="C2463" t="str">
            <v>IASWD2407002064</v>
          </cell>
          <cell r="D2463">
            <v>45503</v>
          </cell>
          <cell r="E2463">
            <v>46243</v>
          </cell>
          <cell r="F2463" t="str">
            <v>82551</v>
          </cell>
          <cell r="G2463" t="str">
            <v>朋程一</v>
          </cell>
          <cell r="H2463">
            <v>500000</v>
          </cell>
          <cell r="I2463">
            <v>2.6</v>
          </cell>
          <cell r="J2463">
            <v>46243</v>
          </cell>
          <cell r="K2463">
            <v>100</v>
          </cell>
          <cell r="L2463">
            <v>46224</v>
          </cell>
          <cell r="M2463">
            <v>-10293</v>
          </cell>
          <cell r="N2463">
            <v>489707</v>
          </cell>
        </row>
        <row r="2464">
          <cell r="A2464">
            <v>35266</v>
          </cell>
          <cell r="B2464">
            <v>2458</v>
          </cell>
          <cell r="C2464" t="str">
            <v>IASWD2407002065</v>
          </cell>
          <cell r="D2464">
            <v>45503</v>
          </cell>
          <cell r="E2464">
            <v>46416</v>
          </cell>
          <cell r="F2464" t="str">
            <v>35266</v>
          </cell>
          <cell r="G2464" t="str">
            <v>凡甲六</v>
          </cell>
          <cell r="H2464">
            <v>100000</v>
          </cell>
          <cell r="I2464">
            <v>3.5</v>
          </cell>
          <cell r="J2464">
            <v>46416</v>
          </cell>
          <cell r="K2464">
            <v>100</v>
          </cell>
          <cell r="L2464">
            <v>46398</v>
          </cell>
          <cell r="M2464">
            <v>-2771</v>
          </cell>
          <cell r="N2464">
            <v>97229</v>
          </cell>
        </row>
        <row r="2465">
          <cell r="A2465">
            <v>33121</v>
          </cell>
          <cell r="B2465">
            <v>2459</v>
          </cell>
          <cell r="C2465" t="str">
            <v>IASWD2407002068</v>
          </cell>
          <cell r="D2465">
            <v>45503</v>
          </cell>
          <cell r="E2465">
            <v>46563</v>
          </cell>
          <cell r="F2465" t="str">
            <v>33121</v>
          </cell>
          <cell r="G2465" t="str">
            <v>弘憶股一</v>
          </cell>
          <cell r="H2465">
            <v>500000</v>
          </cell>
          <cell r="I2465">
            <v>3.5</v>
          </cell>
          <cell r="J2465">
            <v>46563</v>
          </cell>
          <cell r="K2465">
            <v>100</v>
          </cell>
          <cell r="L2465">
            <v>46545</v>
          </cell>
          <cell r="M2465">
            <v>-13856</v>
          </cell>
          <cell r="N2465">
            <v>486144</v>
          </cell>
        </row>
        <row r="2466">
          <cell r="A2466">
            <v>61965</v>
          </cell>
          <cell r="B2466">
            <v>2460</v>
          </cell>
          <cell r="C2466" t="str">
            <v>IASWD2407002069</v>
          </cell>
          <cell r="D2466">
            <v>45503</v>
          </cell>
          <cell r="E2466">
            <v>46200</v>
          </cell>
          <cell r="F2466" t="str">
            <v>61965</v>
          </cell>
          <cell r="G2466" t="str">
            <v>帆宣五</v>
          </cell>
          <cell r="H2466">
            <v>100000</v>
          </cell>
          <cell r="I2466">
            <v>3</v>
          </cell>
          <cell r="J2466">
            <v>46200</v>
          </cell>
          <cell r="K2466">
            <v>100</v>
          </cell>
          <cell r="L2466">
            <v>46182</v>
          </cell>
          <cell r="M2466">
            <v>-2375</v>
          </cell>
          <cell r="N2466">
            <v>97625</v>
          </cell>
        </row>
        <row r="2467">
          <cell r="A2467">
            <v>33121</v>
          </cell>
          <cell r="B2467">
            <v>2461</v>
          </cell>
          <cell r="C2467" t="str">
            <v>IASWD2407002070</v>
          </cell>
          <cell r="D2467">
            <v>45503</v>
          </cell>
          <cell r="E2467">
            <v>46563</v>
          </cell>
          <cell r="F2467" t="str">
            <v>33121</v>
          </cell>
          <cell r="G2467" t="str">
            <v>弘憶股一</v>
          </cell>
          <cell r="H2467">
            <v>100000</v>
          </cell>
          <cell r="I2467">
            <v>3.5</v>
          </cell>
          <cell r="J2467">
            <v>46563</v>
          </cell>
          <cell r="K2467">
            <v>100</v>
          </cell>
          <cell r="L2467">
            <v>46545</v>
          </cell>
          <cell r="M2467">
            <v>-2771</v>
          </cell>
          <cell r="N2467">
            <v>97229</v>
          </cell>
        </row>
        <row r="2468">
          <cell r="A2468">
            <v>84781</v>
          </cell>
          <cell r="B2468">
            <v>2462</v>
          </cell>
          <cell r="C2468" t="str">
            <v>IASWD2407002071</v>
          </cell>
          <cell r="D2468">
            <v>45503</v>
          </cell>
          <cell r="E2468">
            <v>46583</v>
          </cell>
          <cell r="F2468" t="str">
            <v>84781</v>
          </cell>
          <cell r="G2468" t="str">
            <v>東哥遊艇一</v>
          </cell>
          <cell r="H2468">
            <v>200000</v>
          </cell>
          <cell r="I2468">
            <v>3.1</v>
          </cell>
          <cell r="J2468">
            <v>46583</v>
          </cell>
          <cell r="K2468">
            <v>100</v>
          </cell>
          <cell r="L2468">
            <v>46563</v>
          </cell>
          <cell r="M2468">
            <v>-4909</v>
          </cell>
          <cell r="N2468">
            <v>195091</v>
          </cell>
        </row>
        <row r="2469">
          <cell r="A2469">
            <v>84781</v>
          </cell>
          <cell r="B2469">
            <v>2463</v>
          </cell>
          <cell r="C2469" t="str">
            <v>IASWD2407002077</v>
          </cell>
          <cell r="D2469">
            <v>45504</v>
          </cell>
          <cell r="E2469">
            <v>46583</v>
          </cell>
          <cell r="F2469" t="str">
            <v>84781</v>
          </cell>
          <cell r="G2469" t="str">
            <v>東哥遊艇一</v>
          </cell>
          <cell r="H2469">
            <v>100000</v>
          </cell>
          <cell r="I2469">
            <v>3.1</v>
          </cell>
          <cell r="J2469">
            <v>46583</v>
          </cell>
          <cell r="K2469">
            <v>100</v>
          </cell>
          <cell r="L2469">
            <v>46563</v>
          </cell>
          <cell r="M2469">
            <v>-2446</v>
          </cell>
          <cell r="N2469">
            <v>97554</v>
          </cell>
        </row>
        <row r="2470">
          <cell r="A2470">
            <v>64145</v>
          </cell>
          <cell r="B2470">
            <v>2464</v>
          </cell>
          <cell r="C2470" t="str">
            <v>IASWD2407002080</v>
          </cell>
          <cell r="D2470">
            <v>45504</v>
          </cell>
          <cell r="E2470">
            <v>46250</v>
          </cell>
          <cell r="F2470" t="str">
            <v>64145</v>
          </cell>
          <cell r="G2470" t="str">
            <v>樺漢五</v>
          </cell>
          <cell r="H2470">
            <v>100000</v>
          </cell>
          <cell r="I2470">
            <v>3</v>
          </cell>
          <cell r="J2470">
            <v>46250</v>
          </cell>
          <cell r="K2470">
            <v>100</v>
          </cell>
          <cell r="L2470">
            <v>46231</v>
          </cell>
          <cell r="M2470">
            <v>-2367</v>
          </cell>
          <cell r="N2470">
            <v>97633</v>
          </cell>
        </row>
        <row r="2471">
          <cell r="A2471">
            <v>64145</v>
          </cell>
          <cell r="B2471">
            <v>2465</v>
          </cell>
          <cell r="C2471" t="str">
            <v>IASWD2407002085</v>
          </cell>
          <cell r="D2471">
            <v>45504</v>
          </cell>
          <cell r="E2471">
            <v>46250</v>
          </cell>
          <cell r="F2471" t="str">
            <v>64145</v>
          </cell>
          <cell r="G2471" t="str">
            <v>樺漢五</v>
          </cell>
          <cell r="H2471">
            <v>100000</v>
          </cell>
          <cell r="I2471">
            <v>3</v>
          </cell>
          <cell r="J2471">
            <v>46250</v>
          </cell>
          <cell r="K2471">
            <v>100</v>
          </cell>
          <cell r="L2471">
            <v>46231</v>
          </cell>
          <cell r="M2471">
            <v>-2367</v>
          </cell>
          <cell r="N2471">
            <v>97633</v>
          </cell>
        </row>
        <row r="2472">
          <cell r="A2472">
            <v>33121</v>
          </cell>
          <cell r="B2472">
            <v>2466</v>
          </cell>
          <cell r="C2472" t="str">
            <v>IASWD2407002086</v>
          </cell>
          <cell r="D2472">
            <v>45504</v>
          </cell>
          <cell r="E2472">
            <v>46563</v>
          </cell>
          <cell r="F2472" t="str">
            <v>33121</v>
          </cell>
          <cell r="G2472" t="str">
            <v>弘憶股一</v>
          </cell>
          <cell r="H2472">
            <v>100000</v>
          </cell>
          <cell r="I2472">
            <v>3.5</v>
          </cell>
          <cell r="J2472">
            <v>46563</v>
          </cell>
          <cell r="K2472">
            <v>100</v>
          </cell>
          <cell r="L2472">
            <v>46545</v>
          </cell>
          <cell r="M2472">
            <v>-2762</v>
          </cell>
          <cell r="N2472">
            <v>97238</v>
          </cell>
        </row>
        <row r="2473">
          <cell r="A2473">
            <v>84781</v>
          </cell>
          <cell r="B2473">
            <v>2467</v>
          </cell>
          <cell r="C2473" t="str">
            <v>IASWD2407002090</v>
          </cell>
          <cell r="D2473">
            <v>45504</v>
          </cell>
          <cell r="E2473">
            <v>46583</v>
          </cell>
          <cell r="F2473" t="str">
            <v>84781</v>
          </cell>
          <cell r="G2473" t="str">
            <v>東哥遊艇一</v>
          </cell>
          <cell r="H2473">
            <v>100000</v>
          </cell>
          <cell r="I2473">
            <v>3.1</v>
          </cell>
          <cell r="J2473">
            <v>46583</v>
          </cell>
          <cell r="K2473">
            <v>100</v>
          </cell>
          <cell r="L2473">
            <v>46563</v>
          </cell>
          <cell r="M2473">
            <v>-2446</v>
          </cell>
          <cell r="N2473">
            <v>97554</v>
          </cell>
        </row>
        <row r="2474">
          <cell r="A2474">
            <v>22013</v>
          </cell>
          <cell r="B2474">
            <v>2468</v>
          </cell>
          <cell r="C2474" t="str">
            <v>IASWD2407002093</v>
          </cell>
          <cell r="D2474">
            <v>45504</v>
          </cell>
          <cell r="E2474">
            <v>46167</v>
          </cell>
          <cell r="F2474" t="str">
            <v>22013</v>
          </cell>
          <cell r="G2474" t="str">
            <v>裕隆三</v>
          </cell>
          <cell r="H2474">
            <v>100000</v>
          </cell>
          <cell r="I2474">
            <v>3</v>
          </cell>
          <cell r="J2474">
            <v>46167</v>
          </cell>
          <cell r="K2474">
            <v>100.75190000000001</v>
          </cell>
          <cell r="L2474">
            <v>46147</v>
          </cell>
          <cell r="M2474">
            <v>-2367</v>
          </cell>
          <cell r="N2474">
            <v>97633</v>
          </cell>
        </row>
        <row r="2475">
          <cell r="A2475">
            <v>33121</v>
          </cell>
          <cell r="B2475">
            <v>2469</v>
          </cell>
          <cell r="C2475" t="str">
            <v>IASWD2407002094</v>
          </cell>
          <cell r="D2475">
            <v>45504</v>
          </cell>
          <cell r="E2475">
            <v>46563</v>
          </cell>
          <cell r="F2475" t="str">
            <v>33121</v>
          </cell>
          <cell r="G2475" t="str">
            <v>弘憶股一</v>
          </cell>
          <cell r="H2475">
            <v>100000</v>
          </cell>
          <cell r="I2475">
            <v>3.5</v>
          </cell>
          <cell r="J2475">
            <v>46563</v>
          </cell>
          <cell r="K2475">
            <v>100</v>
          </cell>
          <cell r="L2475">
            <v>46545</v>
          </cell>
          <cell r="M2475">
            <v>-2762</v>
          </cell>
          <cell r="N2475">
            <v>97238</v>
          </cell>
        </row>
        <row r="2476">
          <cell r="A2476">
            <v>89964</v>
          </cell>
          <cell r="B2476">
            <v>2470</v>
          </cell>
          <cell r="C2476" t="str">
            <v>IASWD2407002095</v>
          </cell>
          <cell r="D2476">
            <v>45504</v>
          </cell>
          <cell r="E2476">
            <v>46362</v>
          </cell>
          <cell r="F2476" t="str">
            <v>89964</v>
          </cell>
          <cell r="G2476" t="str">
            <v>高力四</v>
          </cell>
          <cell r="H2476">
            <v>200000</v>
          </cell>
          <cell r="I2476">
            <v>3.5</v>
          </cell>
          <cell r="J2476">
            <v>46362</v>
          </cell>
          <cell r="K2476">
            <v>100.75190000000001</v>
          </cell>
          <cell r="L2476">
            <v>46343</v>
          </cell>
          <cell r="M2476">
            <v>-5523</v>
          </cell>
          <cell r="N2476">
            <v>194477</v>
          </cell>
        </row>
        <row r="2477">
          <cell r="A2477">
            <v>35266</v>
          </cell>
          <cell r="B2477">
            <v>2471</v>
          </cell>
          <cell r="C2477" t="str">
            <v>IASWD2407002097</v>
          </cell>
          <cell r="D2477">
            <v>45504</v>
          </cell>
          <cell r="E2477">
            <v>46416</v>
          </cell>
          <cell r="F2477" t="str">
            <v>35266</v>
          </cell>
          <cell r="G2477" t="str">
            <v>凡甲六</v>
          </cell>
          <cell r="H2477">
            <v>100000</v>
          </cell>
          <cell r="I2477">
            <v>3.5</v>
          </cell>
          <cell r="J2477">
            <v>46416</v>
          </cell>
          <cell r="K2477">
            <v>100</v>
          </cell>
          <cell r="L2477">
            <v>46398</v>
          </cell>
          <cell r="M2477">
            <v>-2762</v>
          </cell>
          <cell r="N2477">
            <v>97238</v>
          </cell>
        </row>
        <row r="2478">
          <cell r="A2478">
            <v>34834</v>
          </cell>
          <cell r="B2478">
            <v>2472</v>
          </cell>
          <cell r="C2478" t="str">
            <v>IASWD2407002099</v>
          </cell>
          <cell r="D2478">
            <v>45504</v>
          </cell>
          <cell r="E2478">
            <v>46529</v>
          </cell>
          <cell r="F2478" t="str">
            <v>34834</v>
          </cell>
          <cell r="G2478" t="str">
            <v>力致四</v>
          </cell>
          <cell r="H2478">
            <v>100000</v>
          </cell>
          <cell r="I2478">
            <v>3.75</v>
          </cell>
          <cell r="J2478">
            <v>46529</v>
          </cell>
          <cell r="K2478">
            <v>100</v>
          </cell>
          <cell r="L2478">
            <v>46511</v>
          </cell>
          <cell r="M2478">
            <v>-2959</v>
          </cell>
          <cell r="N2478">
            <v>97041</v>
          </cell>
        </row>
        <row r="2479">
          <cell r="A2479">
            <v>84781</v>
          </cell>
          <cell r="B2479">
            <v>2473</v>
          </cell>
          <cell r="C2479" t="str">
            <v>IASWD2407002100</v>
          </cell>
          <cell r="D2479">
            <v>45504</v>
          </cell>
          <cell r="E2479">
            <v>46583</v>
          </cell>
          <cell r="F2479" t="str">
            <v>84781</v>
          </cell>
          <cell r="G2479" t="str">
            <v>東哥遊艇一</v>
          </cell>
          <cell r="H2479">
            <v>100000</v>
          </cell>
          <cell r="I2479">
            <v>3.1</v>
          </cell>
          <cell r="J2479">
            <v>46583</v>
          </cell>
          <cell r="K2479">
            <v>100</v>
          </cell>
          <cell r="L2479">
            <v>46563</v>
          </cell>
          <cell r="M2479">
            <v>-2446</v>
          </cell>
          <cell r="N2479">
            <v>97554</v>
          </cell>
        </row>
        <row r="2480">
          <cell r="A2480">
            <v>84781</v>
          </cell>
          <cell r="B2480">
            <v>2474</v>
          </cell>
          <cell r="C2480" t="str">
            <v>IASWD2407002103</v>
          </cell>
          <cell r="D2480">
            <v>45504</v>
          </cell>
          <cell r="E2480">
            <v>46583</v>
          </cell>
          <cell r="F2480" t="str">
            <v>84781</v>
          </cell>
          <cell r="G2480" t="str">
            <v>東哥遊艇一</v>
          </cell>
          <cell r="H2480">
            <v>100000</v>
          </cell>
          <cell r="I2480">
            <v>3.1</v>
          </cell>
          <cell r="J2480">
            <v>46583</v>
          </cell>
          <cell r="K2480">
            <v>100</v>
          </cell>
          <cell r="L2480">
            <v>46563</v>
          </cell>
          <cell r="M2480">
            <v>-2446</v>
          </cell>
          <cell r="N2480">
            <v>97554</v>
          </cell>
        </row>
        <row r="2481">
          <cell r="A2481">
            <v>33121</v>
          </cell>
          <cell r="B2481">
            <v>2475</v>
          </cell>
          <cell r="C2481" t="str">
            <v>IASWD2407002104</v>
          </cell>
          <cell r="D2481">
            <v>45504</v>
          </cell>
          <cell r="E2481">
            <v>46563</v>
          </cell>
          <cell r="F2481" t="str">
            <v>33121</v>
          </cell>
          <cell r="G2481" t="str">
            <v>弘憶股一</v>
          </cell>
          <cell r="H2481">
            <v>500000</v>
          </cell>
          <cell r="I2481">
            <v>3.5</v>
          </cell>
          <cell r="J2481">
            <v>46563</v>
          </cell>
          <cell r="K2481">
            <v>100</v>
          </cell>
          <cell r="L2481">
            <v>46545</v>
          </cell>
          <cell r="M2481">
            <v>-13808</v>
          </cell>
          <cell r="N2481">
            <v>486192</v>
          </cell>
        </row>
        <row r="2482">
          <cell r="A2482">
            <v>84781</v>
          </cell>
          <cell r="B2482">
            <v>2476</v>
          </cell>
          <cell r="C2482" t="str">
            <v>IASWD2407002105</v>
          </cell>
          <cell r="D2482">
            <v>45504</v>
          </cell>
          <cell r="E2482">
            <v>46583</v>
          </cell>
          <cell r="F2482" t="str">
            <v>84781</v>
          </cell>
          <cell r="G2482" t="str">
            <v>東哥遊艇一</v>
          </cell>
          <cell r="H2482">
            <v>200000</v>
          </cell>
          <cell r="I2482">
            <v>3.1</v>
          </cell>
          <cell r="J2482">
            <v>46583</v>
          </cell>
          <cell r="K2482">
            <v>100</v>
          </cell>
          <cell r="L2482">
            <v>46563</v>
          </cell>
          <cell r="M2482">
            <v>-4892</v>
          </cell>
          <cell r="N2482">
            <v>195108</v>
          </cell>
        </row>
        <row r="2483">
          <cell r="A2483">
            <v>84781</v>
          </cell>
          <cell r="B2483">
            <v>2477</v>
          </cell>
          <cell r="C2483" t="str">
            <v>IASWD2407002106</v>
          </cell>
          <cell r="D2483">
            <v>45504</v>
          </cell>
          <cell r="E2483">
            <v>46583</v>
          </cell>
          <cell r="F2483" t="str">
            <v>84781</v>
          </cell>
          <cell r="G2483" t="str">
            <v>東哥遊艇一</v>
          </cell>
          <cell r="H2483">
            <v>200000</v>
          </cell>
          <cell r="I2483">
            <v>3.1</v>
          </cell>
          <cell r="J2483">
            <v>46583</v>
          </cell>
          <cell r="K2483">
            <v>100</v>
          </cell>
          <cell r="L2483">
            <v>46563</v>
          </cell>
          <cell r="M2483">
            <v>-4892</v>
          </cell>
          <cell r="N2483">
            <v>195108</v>
          </cell>
        </row>
        <row r="2484">
          <cell r="A2484">
            <v>35482</v>
          </cell>
          <cell r="B2484">
            <v>2478</v>
          </cell>
          <cell r="C2484" t="str">
            <v>IASWD2407002109</v>
          </cell>
          <cell r="D2484">
            <v>45504</v>
          </cell>
          <cell r="E2484">
            <v>46395</v>
          </cell>
          <cell r="F2484" t="str">
            <v>35482</v>
          </cell>
          <cell r="G2484" t="str">
            <v>兆利二</v>
          </cell>
          <cell r="H2484">
            <v>200000</v>
          </cell>
          <cell r="I2484">
            <v>3</v>
          </cell>
          <cell r="J2484">
            <v>46395</v>
          </cell>
          <cell r="K2484">
            <v>100</v>
          </cell>
          <cell r="L2484">
            <v>46377</v>
          </cell>
          <cell r="M2484">
            <v>-4734</v>
          </cell>
          <cell r="N2484">
            <v>195266</v>
          </cell>
        </row>
        <row r="2485">
          <cell r="A2485">
            <v>22013</v>
          </cell>
          <cell r="B2485">
            <v>2479</v>
          </cell>
          <cell r="C2485" t="str">
            <v>IASWD2407002110</v>
          </cell>
          <cell r="D2485">
            <v>45504</v>
          </cell>
          <cell r="E2485">
            <v>46167</v>
          </cell>
          <cell r="F2485" t="str">
            <v>22013</v>
          </cell>
          <cell r="G2485" t="str">
            <v>裕隆三</v>
          </cell>
          <cell r="H2485">
            <v>200000</v>
          </cell>
          <cell r="I2485">
            <v>3</v>
          </cell>
          <cell r="J2485">
            <v>46167</v>
          </cell>
          <cell r="K2485">
            <v>100.75190000000001</v>
          </cell>
          <cell r="L2485">
            <v>46147</v>
          </cell>
          <cell r="M2485">
            <v>-4734</v>
          </cell>
          <cell r="N2485">
            <v>195266</v>
          </cell>
        </row>
        <row r="2486">
          <cell r="A2486">
            <v>84781</v>
          </cell>
          <cell r="B2486">
            <v>2480</v>
          </cell>
          <cell r="C2486" t="str">
            <v>IASWD2407002112</v>
          </cell>
          <cell r="D2486">
            <v>45504</v>
          </cell>
          <cell r="E2486">
            <v>46583</v>
          </cell>
          <cell r="F2486" t="str">
            <v>84781</v>
          </cell>
          <cell r="G2486" t="str">
            <v>東哥遊艇一</v>
          </cell>
          <cell r="H2486">
            <v>200000</v>
          </cell>
          <cell r="I2486">
            <v>3.1</v>
          </cell>
          <cell r="J2486">
            <v>46583</v>
          </cell>
          <cell r="K2486">
            <v>100</v>
          </cell>
          <cell r="L2486">
            <v>46563</v>
          </cell>
          <cell r="M2486">
            <v>-4892</v>
          </cell>
          <cell r="N2486">
            <v>195108</v>
          </cell>
        </row>
        <row r="2487">
          <cell r="A2487">
            <v>22013</v>
          </cell>
          <cell r="B2487">
            <v>2481</v>
          </cell>
          <cell r="C2487" t="str">
            <v>IASWD2407002113</v>
          </cell>
          <cell r="D2487">
            <v>45504</v>
          </cell>
          <cell r="E2487">
            <v>46167</v>
          </cell>
          <cell r="F2487" t="str">
            <v>22013</v>
          </cell>
          <cell r="G2487" t="str">
            <v>裕隆三</v>
          </cell>
          <cell r="H2487">
            <v>200000</v>
          </cell>
          <cell r="I2487">
            <v>3</v>
          </cell>
          <cell r="J2487">
            <v>46167</v>
          </cell>
          <cell r="K2487">
            <v>100.75190000000001</v>
          </cell>
          <cell r="L2487">
            <v>46147</v>
          </cell>
          <cell r="M2487">
            <v>-4734</v>
          </cell>
          <cell r="N2487">
            <v>195266</v>
          </cell>
        </row>
        <row r="2488">
          <cell r="A2488">
            <v>34834</v>
          </cell>
          <cell r="B2488">
            <v>2482</v>
          </cell>
          <cell r="C2488" t="str">
            <v>IASWD2407002114</v>
          </cell>
          <cell r="D2488">
            <v>45504</v>
          </cell>
          <cell r="E2488">
            <v>46529</v>
          </cell>
          <cell r="F2488" t="str">
            <v>34834</v>
          </cell>
          <cell r="G2488" t="str">
            <v>力致四</v>
          </cell>
          <cell r="H2488">
            <v>100000</v>
          </cell>
          <cell r="I2488">
            <v>3.75</v>
          </cell>
          <cell r="J2488">
            <v>46529</v>
          </cell>
          <cell r="K2488">
            <v>100</v>
          </cell>
          <cell r="L2488">
            <v>46511</v>
          </cell>
          <cell r="M2488">
            <v>-2959</v>
          </cell>
          <cell r="N2488">
            <v>97041</v>
          </cell>
        </row>
        <row r="2489">
          <cell r="A2489">
            <v>22013</v>
          </cell>
          <cell r="B2489">
            <v>2483</v>
          </cell>
          <cell r="C2489" t="str">
            <v>IASWD2407002115</v>
          </cell>
          <cell r="D2489">
            <v>45504</v>
          </cell>
          <cell r="E2489">
            <v>46167</v>
          </cell>
          <cell r="F2489" t="str">
            <v>22013</v>
          </cell>
          <cell r="G2489" t="str">
            <v>裕隆三</v>
          </cell>
          <cell r="H2489">
            <v>100000</v>
          </cell>
          <cell r="I2489">
            <v>3</v>
          </cell>
          <cell r="J2489">
            <v>46167</v>
          </cell>
          <cell r="K2489">
            <v>100.75190000000001</v>
          </cell>
          <cell r="L2489">
            <v>46147</v>
          </cell>
          <cell r="M2489">
            <v>-2367</v>
          </cell>
          <cell r="N2489">
            <v>97633</v>
          </cell>
        </row>
        <row r="2490">
          <cell r="A2490">
            <v>50097</v>
          </cell>
          <cell r="B2490">
            <v>2484</v>
          </cell>
          <cell r="C2490" t="str">
            <v>IASWD2407002116</v>
          </cell>
          <cell r="D2490">
            <v>45504</v>
          </cell>
          <cell r="E2490">
            <v>46234</v>
          </cell>
          <cell r="F2490" t="str">
            <v>50097</v>
          </cell>
          <cell r="G2490" t="str">
            <v>榮剛七</v>
          </cell>
          <cell r="H2490">
            <v>100000</v>
          </cell>
          <cell r="I2490">
            <v>4.2</v>
          </cell>
          <cell r="J2490">
            <v>46234</v>
          </cell>
          <cell r="K2490">
            <v>101.51</v>
          </cell>
          <cell r="L2490">
            <v>46216</v>
          </cell>
          <cell r="M2490">
            <v>-3314</v>
          </cell>
          <cell r="N2490">
            <v>96686</v>
          </cell>
        </row>
        <row r="2491">
          <cell r="A2491">
            <v>67531</v>
          </cell>
          <cell r="B2491">
            <v>2485</v>
          </cell>
          <cell r="C2491" t="str">
            <v>IASWD2408000001</v>
          </cell>
          <cell r="D2491">
            <v>45505</v>
          </cell>
          <cell r="E2491">
            <v>46563</v>
          </cell>
          <cell r="F2491" t="str">
            <v>67531</v>
          </cell>
          <cell r="G2491" t="str">
            <v>龍德造船一</v>
          </cell>
          <cell r="H2491">
            <v>200000</v>
          </cell>
          <cell r="I2491">
            <v>3.5</v>
          </cell>
          <cell r="J2491">
            <v>46563</v>
          </cell>
          <cell r="K2491">
            <v>100</v>
          </cell>
          <cell r="L2491">
            <v>46545</v>
          </cell>
          <cell r="M2491">
            <v>-5504</v>
          </cell>
          <cell r="N2491">
            <v>194496</v>
          </cell>
        </row>
        <row r="2492">
          <cell r="A2492">
            <v>61965</v>
          </cell>
          <cell r="B2492">
            <v>2486</v>
          </cell>
          <cell r="C2492" t="str">
            <v>IASWD2408000005</v>
          </cell>
          <cell r="D2492">
            <v>45505</v>
          </cell>
          <cell r="E2492">
            <v>46200</v>
          </cell>
          <cell r="F2492" t="str">
            <v>61965</v>
          </cell>
          <cell r="G2492" t="str">
            <v>帆宣五</v>
          </cell>
          <cell r="H2492">
            <v>100000</v>
          </cell>
          <cell r="I2492">
            <v>3</v>
          </cell>
          <cell r="J2492">
            <v>46200</v>
          </cell>
          <cell r="K2492">
            <v>100</v>
          </cell>
          <cell r="L2492">
            <v>46182</v>
          </cell>
          <cell r="M2492">
            <v>-2359</v>
          </cell>
          <cell r="N2492">
            <v>97641</v>
          </cell>
        </row>
        <row r="2493">
          <cell r="A2493">
            <v>65096</v>
          </cell>
          <cell r="B2493">
            <v>2487</v>
          </cell>
          <cell r="C2493" t="str">
            <v>IASWD2408000006</v>
          </cell>
          <cell r="D2493">
            <v>45505</v>
          </cell>
          <cell r="E2493">
            <v>46206</v>
          </cell>
          <cell r="F2493" t="str">
            <v>65096</v>
          </cell>
          <cell r="G2493" t="str">
            <v>聚和六</v>
          </cell>
          <cell r="H2493">
            <v>200000</v>
          </cell>
          <cell r="I2493">
            <v>3.1</v>
          </cell>
          <cell r="J2493">
            <v>46206</v>
          </cell>
          <cell r="K2493">
            <v>100</v>
          </cell>
          <cell r="L2493">
            <v>46188</v>
          </cell>
          <cell r="M2493">
            <v>-4875</v>
          </cell>
          <cell r="N2493">
            <v>195125</v>
          </cell>
        </row>
        <row r="2494">
          <cell r="A2494">
            <v>64145</v>
          </cell>
          <cell r="B2494">
            <v>2488</v>
          </cell>
          <cell r="C2494" t="str">
            <v>IASWD2408000008</v>
          </cell>
          <cell r="D2494">
            <v>45505</v>
          </cell>
          <cell r="E2494">
            <v>46250</v>
          </cell>
          <cell r="F2494" t="str">
            <v>64145</v>
          </cell>
          <cell r="G2494" t="str">
            <v>樺漢五</v>
          </cell>
          <cell r="H2494">
            <v>500000</v>
          </cell>
          <cell r="I2494">
            <v>3</v>
          </cell>
          <cell r="J2494">
            <v>46250</v>
          </cell>
          <cell r="K2494">
            <v>100</v>
          </cell>
          <cell r="L2494">
            <v>46231</v>
          </cell>
          <cell r="M2494">
            <v>-11795</v>
          </cell>
          <cell r="N2494">
            <v>488205</v>
          </cell>
        </row>
        <row r="2495">
          <cell r="A2495">
            <v>56086</v>
          </cell>
          <cell r="B2495">
            <v>2489</v>
          </cell>
          <cell r="C2495" t="str">
            <v>IASWD2408000010</v>
          </cell>
          <cell r="D2495">
            <v>45505</v>
          </cell>
          <cell r="E2495">
            <v>46194</v>
          </cell>
          <cell r="F2495" t="str">
            <v>56086</v>
          </cell>
          <cell r="G2495" t="str">
            <v>四維航六</v>
          </cell>
          <cell r="H2495">
            <v>100000</v>
          </cell>
          <cell r="I2495">
            <v>2.35</v>
          </cell>
          <cell r="J2495">
            <v>46194</v>
          </cell>
          <cell r="K2495">
            <v>100</v>
          </cell>
          <cell r="L2495">
            <v>46175</v>
          </cell>
          <cell r="M2495">
            <v>-1848</v>
          </cell>
          <cell r="N2495">
            <v>98152</v>
          </cell>
        </row>
        <row r="2496">
          <cell r="A2496">
            <v>64145</v>
          </cell>
          <cell r="B2496">
            <v>2490</v>
          </cell>
          <cell r="C2496" t="str">
            <v>IASWD2408000011</v>
          </cell>
          <cell r="D2496">
            <v>45505</v>
          </cell>
          <cell r="E2496">
            <v>46250</v>
          </cell>
          <cell r="F2496" t="str">
            <v>64145</v>
          </cell>
          <cell r="G2496" t="str">
            <v>樺漢五</v>
          </cell>
          <cell r="H2496">
            <v>100000</v>
          </cell>
          <cell r="I2496">
            <v>3</v>
          </cell>
          <cell r="J2496">
            <v>46250</v>
          </cell>
          <cell r="K2496">
            <v>100</v>
          </cell>
          <cell r="L2496">
            <v>46231</v>
          </cell>
          <cell r="M2496">
            <v>-2359</v>
          </cell>
          <cell r="N2496">
            <v>97641</v>
          </cell>
        </row>
        <row r="2497">
          <cell r="A2497">
            <v>33121</v>
          </cell>
          <cell r="B2497">
            <v>2491</v>
          </cell>
          <cell r="C2497" t="str">
            <v>IASWD2408000016</v>
          </cell>
          <cell r="D2497">
            <v>45505</v>
          </cell>
          <cell r="E2497">
            <v>46563</v>
          </cell>
          <cell r="F2497" t="str">
            <v>33121</v>
          </cell>
          <cell r="G2497" t="str">
            <v>弘憶股一</v>
          </cell>
          <cell r="H2497">
            <v>100000</v>
          </cell>
          <cell r="I2497">
            <v>3.5</v>
          </cell>
          <cell r="J2497">
            <v>46563</v>
          </cell>
          <cell r="K2497">
            <v>100</v>
          </cell>
          <cell r="L2497">
            <v>46545</v>
          </cell>
          <cell r="M2497">
            <v>-2752</v>
          </cell>
          <cell r="N2497">
            <v>97248</v>
          </cell>
        </row>
        <row r="2498">
          <cell r="A2498">
            <v>84781</v>
          </cell>
          <cell r="B2498">
            <v>2492</v>
          </cell>
          <cell r="C2498" t="str">
            <v>IASWD2408000019</v>
          </cell>
          <cell r="D2498">
            <v>45505</v>
          </cell>
          <cell r="E2498">
            <v>46583</v>
          </cell>
          <cell r="F2498" t="str">
            <v>84781</v>
          </cell>
          <cell r="G2498" t="str">
            <v>東哥遊艇一</v>
          </cell>
          <cell r="H2498">
            <v>200000</v>
          </cell>
          <cell r="I2498">
            <v>3.1</v>
          </cell>
          <cell r="J2498">
            <v>46583</v>
          </cell>
          <cell r="K2498">
            <v>100</v>
          </cell>
          <cell r="L2498">
            <v>46563</v>
          </cell>
          <cell r="M2498">
            <v>-4875</v>
          </cell>
          <cell r="N2498">
            <v>195125</v>
          </cell>
        </row>
        <row r="2499">
          <cell r="A2499">
            <v>84781</v>
          </cell>
          <cell r="B2499">
            <v>2493</v>
          </cell>
          <cell r="C2499" t="str">
            <v>IASWD2408000024</v>
          </cell>
          <cell r="D2499">
            <v>45505</v>
          </cell>
          <cell r="E2499">
            <v>46583</v>
          </cell>
          <cell r="F2499" t="str">
            <v>84781</v>
          </cell>
          <cell r="G2499" t="str">
            <v>東哥遊艇一</v>
          </cell>
          <cell r="H2499">
            <v>100000</v>
          </cell>
          <cell r="I2499">
            <v>3.1</v>
          </cell>
          <cell r="J2499">
            <v>46583</v>
          </cell>
          <cell r="K2499">
            <v>100</v>
          </cell>
          <cell r="L2499">
            <v>46563</v>
          </cell>
          <cell r="M2499">
            <v>-2438</v>
          </cell>
          <cell r="N2499">
            <v>97562</v>
          </cell>
        </row>
        <row r="2500">
          <cell r="A2500">
            <v>61906</v>
          </cell>
          <cell r="B2500">
            <v>2494</v>
          </cell>
          <cell r="C2500" t="str">
            <v>IASWD2408000025</v>
          </cell>
          <cell r="D2500">
            <v>45505</v>
          </cell>
          <cell r="E2500">
            <v>45961</v>
          </cell>
          <cell r="F2500" t="str">
            <v>61906</v>
          </cell>
          <cell r="G2500" t="str">
            <v>萬泰科六</v>
          </cell>
          <cell r="H2500">
            <v>300000</v>
          </cell>
          <cell r="I2500">
            <v>4</v>
          </cell>
          <cell r="J2500">
            <v>45961</v>
          </cell>
          <cell r="K2500">
            <v>100</v>
          </cell>
          <cell r="L2500">
            <v>45943</v>
          </cell>
          <cell r="M2500">
            <v>-9436</v>
          </cell>
          <cell r="N2500">
            <v>290564</v>
          </cell>
        </row>
        <row r="2501">
          <cell r="A2501">
            <v>61394</v>
          </cell>
          <cell r="B2501">
            <v>2495</v>
          </cell>
          <cell r="C2501" t="str">
            <v>IASWD2408000028</v>
          </cell>
          <cell r="D2501">
            <v>45505</v>
          </cell>
          <cell r="E2501">
            <v>46047</v>
          </cell>
          <cell r="F2501" t="str">
            <v>61394</v>
          </cell>
          <cell r="G2501" t="str">
            <v>亞翔四</v>
          </cell>
          <cell r="H2501">
            <v>100000</v>
          </cell>
          <cell r="I2501">
            <v>3</v>
          </cell>
          <cell r="J2501">
            <v>46047</v>
          </cell>
          <cell r="K2501">
            <v>101.0025</v>
          </cell>
          <cell r="L2501">
            <v>46028</v>
          </cell>
          <cell r="M2501">
            <v>-2359</v>
          </cell>
          <cell r="N2501">
            <v>97641</v>
          </cell>
        </row>
        <row r="2502">
          <cell r="A2502">
            <v>64145</v>
          </cell>
          <cell r="B2502">
            <v>2496</v>
          </cell>
          <cell r="C2502" t="str">
            <v>IASWD2408000029</v>
          </cell>
          <cell r="D2502">
            <v>45505</v>
          </cell>
          <cell r="E2502">
            <v>46250</v>
          </cell>
          <cell r="F2502" t="str">
            <v>64145</v>
          </cell>
          <cell r="G2502" t="str">
            <v>樺漢五</v>
          </cell>
          <cell r="H2502">
            <v>200000</v>
          </cell>
          <cell r="I2502">
            <v>3</v>
          </cell>
          <cell r="J2502">
            <v>46250</v>
          </cell>
          <cell r="K2502">
            <v>100</v>
          </cell>
          <cell r="L2502">
            <v>46231</v>
          </cell>
          <cell r="M2502">
            <v>-4718</v>
          </cell>
          <cell r="N2502">
            <v>195282</v>
          </cell>
        </row>
        <row r="2503">
          <cell r="A2503">
            <v>33121</v>
          </cell>
          <cell r="B2503">
            <v>2497</v>
          </cell>
          <cell r="C2503" t="str">
            <v>IASWD2408000030</v>
          </cell>
          <cell r="D2503">
            <v>45505</v>
          </cell>
          <cell r="E2503">
            <v>46563</v>
          </cell>
          <cell r="F2503" t="str">
            <v>33121</v>
          </cell>
          <cell r="G2503" t="str">
            <v>弘憶股一</v>
          </cell>
          <cell r="H2503">
            <v>100000</v>
          </cell>
          <cell r="I2503">
            <v>3.5</v>
          </cell>
          <cell r="J2503">
            <v>46563</v>
          </cell>
          <cell r="K2503">
            <v>100</v>
          </cell>
          <cell r="L2503">
            <v>46545</v>
          </cell>
          <cell r="M2503">
            <v>-2752</v>
          </cell>
          <cell r="N2503">
            <v>97248</v>
          </cell>
        </row>
        <row r="2504">
          <cell r="A2504">
            <v>61394</v>
          </cell>
          <cell r="B2504">
            <v>2498</v>
          </cell>
          <cell r="C2504" t="str">
            <v>IASWD2408000031</v>
          </cell>
          <cell r="D2504">
            <v>45505</v>
          </cell>
          <cell r="E2504">
            <v>46047</v>
          </cell>
          <cell r="F2504" t="str">
            <v>61394</v>
          </cell>
          <cell r="G2504" t="str">
            <v>亞翔四</v>
          </cell>
          <cell r="H2504">
            <v>100000</v>
          </cell>
          <cell r="I2504">
            <v>3</v>
          </cell>
          <cell r="J2504">
            <v>46047</v>
          </cell>
          <cell r="K2504">
            <v>101.0025</v>
          </cell>
          <cell r="L2504">
            <v>46028</v>
          </cell>
          <cell r="M2504">
            <v>-2359</v>
          </cell>
          <cell r="N2504">
            <v>97641</v>
          </cell>
        </row>
        <row r="2505">
          <cell r="A2505">
            <v>36804</v>
          </cell>
          <cell r="B2505">
            <v>2499</v>
          </cell>
          <cell r="C2505" t="str">
            <v>IASWD2408000037</v>
          </cell>
          <cell r="D2505">
            <v>45505</v>
          </cell>
          <cell r="E2505">
            <v>45948</v>
          </cell>
          <cell r="F2505" t="str">
            <v>36804</v>
          </cell>
          <cell r="G2505" t="str">
            <v>家登四</v>
          </cell>
          <cell r="H2505">
            <v>300000</v>
          </cell>
          <cell r="I2505">
            <v>3.2</v>
          </cell>
          <cell r="J2505">
            <v>45948</v>
          </cell>
          <cell r="K2505">
            <v>100</v>
          </cell>
          <cell r="L2505">
            <v>45926</v>
          </cell>
          <cell r="M2505">
            <v>-7548</v>
          </cell>
          <cell r="N2505">
            <v>292452</v>
          </cell>
        </row>
        <row r="2506">
          <cell r="A2506">
            <v>65096</v>
          </cell>
          <cell r="B2506">
            <v>2500</v>
          </cell>
          <cell r="C2506" t="str">
            <v>IASWD2408000040</v>
          </cell>
          <cell r="D2506">
            <v>45505</v>
          </cell>
          <cell r="E2506">
            <v>46206</v>
          </cell>
          <cell r="F2506" t="str">
            <v>65096</v>
          </cell>
          <cell r="G2506" t="str">
            <v>聚和六</v>
          </cell>
          <cell r="H2506">
            <v>100000</v>
          </cell>
          <cell r="I2506">
            <v>3.1</v>
          </cell>
          <cell r="J2506">
            <v>46206</v>
          </cell>
          <cell r="K2506">
            <v>100</v>
          </cell>
          <cell r="L2506">
            <v>46188</v>
          </cell>
          <cell r="M2506">
            <v>-2438</v>
          </cell>
          <cell r="N2506">
            <v>97562</v>
          </cell>
        </row>
        <row r="2507">
          <cell r="A2507">
            <v>84781</v>
          </cell>
          <cell r="B2507">
            <v>2501</v>
          </cell>
          <cell r="C2507" t="str">
            <v>IASWD2408000043</v>
          </cell>
          <cell r="D2507">
            <v>45505</v>
          </cell>
          <cell r="E2507">
            <v>46583</v>
          </cell>
          <cell r="F2507" t="str">
            <v>84781</v>
          </cell>
          <cell r="G2507" t="str">
            <v>東哥遊艇一</v>
          </cell>
          <cell r="H2507">
            <v>100000</v>
          </cell>
          <cell r="I2507">
            <v>3.1</v>
          </cell>
          <cell r="J2507">
            <v>46583</v>
          </cell>
          <cell r="K2507">
            <v>100</v>
          </cell>
          <cell r="L2507">
            <v>46563</v>
          </cell>
          <cell r="M2507">
            <v>-2438</v>
          </cell>
          <cell r="N2507">
            <v>97562</v>
          </cell>
        </row>
        <row r="2508">
          <cell r="A2508">
            <v>84781</v>
          </cell>
          <cell r="B2508">
            <v>2502</v>
          </cell>
          <cell r="C2508" t="str">
            <v>IASWD2408000047</v>
          </cell>
          <cell r="D2508">
            <v>45505</v>
          </cell>
          <cell r="E2508">
            <v>46583</v>
          </cell>
          <cell r="F2508" t="str">
            <v>84781</v>
          </cell>
          <cell r="G2508" t="str">
            <v>東哥遊艇一</v>
          </cell>
          <cell r="H2508">
            <v>100000</v>
          </cell>
          <cell r="I2508">
            <v>3.1</v>
          </cell>
          <cell r="J2508">
            <v>46583</v>
          </cell>
          <cell r="K2508">
            <v>100</v>
          </cell>
          <cell r="L2508">
            <v>46563</v>
          </cell>
          <cell r="M2508">
            <v>-2438</v>
          </cell>
          <cell r="N2508">
            <v>97562</v>
          </cell>
        </row>
        <row r="2509">
          <cell r="A2509">
            <v>64145</v>
          </cell>
          <cell r="B2509">
            <v>2503</v>
          </cell>
          <cell r="C2509" t="str">
            <v>IASWD2408000053</v>
          </cell>
          <cell r="D2509">
            <v>45505</v>
          </cell>
          <cell r="E2509">
            <v>46250</v>
          </cell>
          <cell r="F2509" t="str">
            <v>64145</v>
          </cell>
          <cell r="G2509" t="str">
            <v>樺漢五</v>
          </cell>
          <cell r="H2509">
            <v>100000</v>
          </cell>
          <cell r="I2509">
            <v>3</v>
          </cell>
          <cell r="J2509">
            <v>46250</v>
          </cell>
          <cell r="K2509">
            <v>100</v>
          </cell>
          <cell r="L2509">
            <v>46231</v>
          </cell>
          <cell r="M2509">
            <v>-2359</v>
          </cell>
          <cell r="N2509">
            <v>97641</v>
          </cell>
        </row>
        <row r="2510">
          <cell r="A2510">
            <v>84781</v>
          </cell>
          <cell r="B2510">
            <v>2504</v>
          </cell>
          <cell r="C2510" t="str">
            <v>IASWD2408000054</v>
          </cell>
          <cell r="D2510">
            <v>45505</v>
          </cell>
          <cell r="E2510">
            <v>46583</v>
          </cell>
          <cell r="F2510" t="str">
            <v>84781</v>
          </cell>
          <cell r="G2510" t="str">
            <v>東哥遊艇一</v>
          </cell>
          <cell r="H2510">
            <v>400000</v>
          </cell>
          <cell r="I2510">
            <v>3.1</v>
          </cell>
          <cell r="J2510">
            <v>46583</v>
          </cell>
          <cell r="K2510">
            <v>100</v>
          </cell>
          <cell r="L2510">
            <v>46563</v>
          </cell>
          <cell r="M2510">
            <v>-9750</v>
          </cell>
          <cell r="N2510">
            <v>390250</v>
          </cell>
        </row>
        <row r="2511">
          <cell r="A2511">
            <v>64145</v>
          </cell>
          <cell r="B2511">
            <v>2505</v>
          </cell>
          <cell r="C2511" t="str">
            <v>IASWD2408000055</v>
          </cell>
          <cell r="D2511">
            <v>45505</v>
          </cell>
          <cell r="E2511">
            <v>46250</v>
          </cell>
          <cell r="F2511" t="str">
            <v>64145</v>
          </cell>
          <cell r="G2511" t="str">
            <v>樺漢五</v>
          </cell>
          <cell r="H2511">
            <v>100000</v>
          </cell>
          <cell r="I2511">
            <v>3</v>
          </cell>
          <cell r="J2511">
            <v>46250</v>
          </cell>
          <cell r="K2511">
            <v>100</v>
          </cell>
          <cell r="L2511">
            <v>46231</v>
          </cell>
          <cell r="M2511">
            <v>-2359</v>
          </cell>
          <cell r="N2511">
            <v>97641</v>
          </cell>
        </row>
        <row r="2512">
          <cell r="A2512">
            <v>65096</v>
          </cell>
          <cell r="B2512">
            <v>2506</v>
          </cell>
          <cell r="C2512" t="str">
            <v>IASWD2408000056</v>
          </cell>
          <cell r="D2512">
            <v>45505</v>
          </cell>
          <cell r="E2512">
            <v>46206</v>
          </cell>
          <cell r="F2512" t="str">
            <v>65096</v>
          </cell>
          <cell r="G2512" t="str">
            <v>聚和六</v>
          </cell>
          <cell r="H2512">
            <v>300000</v>
          </cell>
          <cell r="I2512">
            <v>3.1</v>
          </cell>
          <cell r="J2512">
            <v>46206</v>
          </cell>
          <cell r="K2512">
            <v>100</v>
          </cell>
          <cell r="L2512">
            <v>46188</v>
          </cell>
          <cell r="M2512">
            <v>-7313</v>
          </cell>
          <cell r="N2512">
            <v>292687</v>
          </cell>
        </row>
        <row r="2513">
          <cell r="A2513">
            <v>64145</v>
          </cell>
          <cell r="B2513">
            <v>2507</v>
          </cell>
          <cell r="C2513" t="str">
            <v>IASWD2408000059</v>
          </cell>
          <cell r="D2513">
            <v>45506</v>
          </cell>
          <cell r="E2513">
            <v>46250</v>
          </cell>
          <cell r="F2513" t="str">
            <v>64145</v>
          </cell>
          <cell r="G2513" t="str">
            <v>樺漢五</v>
          </cell>
          <cell r="H2513">
            <v>100000</v>
          </cell>
          <cell r="I2513">
            <v>3</v>
          </cell>
          <cell r="J2513">
            <v>46250</v>
          </cell>
          <cell r="K2513">
            <v>100</v>
          </cell>
          <cell r="L2513">
            <v>46231</v>
          </cell>
          <cell r="M2513">
            <v>-2351</v>
          </cell>
          <cell r="N2513">
            <v>97649</v>
          </cell>
        </row>
        <row r="2514">
          <cell r="A2514">
            <v>35482</v>
          </cell>
          <cell r="B2514">
            <v>2508</v>
          </cell>
          <cell r="C2514" t="str">
            <v>IASWD2408000061</v>
          </cell>
          <cell r="D2514">
            <v>45506</v>
          </cell>
          <cell r="E2514">
            <v>46395</v>
          </cell>
          <cell r="F2514" t="str">
            <v>35482</v>
          </cell>
          <cell r="G2514" t="str">
            <v>兆利二</v>
          </cell>
          <cell r="H2514">
            <v>100000</v>
          </cell>
          <cell r="I2514">
            <v>3</v>
          </cell>
          <cell r="J2514">
            <v>46395</v>
          </cell>
          <cell r="K2514">
            <v>100</v>
          </cell>
          <cell r="L2514">
            <v>46377</v>
          </cell>
          <cell r="M2514">
            <v>-2351</v>
          </cell>
          <cell r="N2514">
            <v>97649</v>
          </cell>
        </row>
        <row r="2515">
          <cell r="A2515">
            <v>61965</v>
          </cell>
          <cell r="B2515">
            <v>2509</v>
          </cell>
          <cell r="C2515" t="str">
            <v>IASWD2408000063</v>
          </cell>
          <cell r="D2515">
            <v>45506</v>
          </cell>
          <cell r="E2515">
            <v>46200</v>
          </cell>
          <cell r="F2515" t="str">
            <v>61965</v>
          </cell>
          <cell r="G2515" t="str">
            <v>帆宣五</v>
          </cell>
          <cell r="H2515">
            <v>100000</v>
          </cell>
          <cell r="I2515">
            <v>3</v>
          </cell>
          <cell r="J2515">
            <v>46200</v>
          </cell>
          <cell r="K2515">
            <v>100</v>
          </cell>
          <cell r="L2515">
            <v>46182</v>
          </cell>
          <cell r="M2515">
            <v>-2351</v>
          </cell>
          <cell r="N2515">
            <v>97649</v>
          </cell>
        </row>
        <row r="2516">
          <cell r="A2516">
            <v>64145</v>
          </cell>
          <cell r="B2516">
            <v>2510</v>
          </cell>
          <cell r="C2516" t="str">
            <v>IASWD2408000065</v>
          </cell>
          <cell r="D2516">
            <v>45506</v>
          </cell>
          <cell r="E2516">
            <v>46250</v>
          </cell>
          <cell r="F2516" t="str">
            <v>64145</v>
          </cell>
          <cell r="G2516" t="str">
            <v>樺漢五</v>
          </cell>
          <cell r="H2516">
            <v>400000</v>
          </cell>
          <cell r="I2516">
            <v>3</v>
          </cell>
          <cell r="J2516">
            <v>46250</v>
          </cell>
          <cell r="K2516">
            <v>100</v>
          </cell>
          <cell r="L2516">
            <v>46231</v>
          </cell>
          <cell r="M2516">
            <v>-9403</v>
          </cell>
          <cell r="N2516">
            <v>390597</v>
          </cell>
        </row>
        <row r="2517">
          <cell r="A2517">
            <v>34834</v>
          </cell>
          <cell r="B2517">
            <v>2511</v>
          </cell>
          <cell r="C2517" t="str">
            <v>IASWD2408000069</v>
          </cell>
          <cell r="D2517">
            <v>45506</v>
          </cell>
          <cell r="E2517">
            <v>46529</v>
          </cell>
          <cell r="F2517" t="str">
            <v>34834</v>
          </cell>
          <cell r="G2517" t="str">
            <v>力致四</v>
          </cell>
          <cell r="H2517">
            <v>100000</v>
          </cell>
          <cell r="I2517">
            <v>3.75</v>
          </cell>
          <cell r="J2517">
            <v>46529</v>
          </cell>
          <cell r="K2517">
            <v>100</v>
          </cell>
          <cell r="L2517">
            <v>46511</v>
          </cell>
          <cell r="M2517">
            <v>-2938</v>
          </cell>
          <cell r="N2517">
            <v>97062</v>
          </cell>
        </row>
        <row r="2518">
          <cell r="A2518">
            <v>89964</v>
          </cell>
          <cell r="B2518">
            <v>2512</v>
          </cell>
          <cell r="C2518" t="str">
            <v>IASWD2408000070</v>
          </cell>
          <cell r="D2518">
            <v>45506</v>
          </cell>
          <cell r="E2518">
            <v>46362</v>
          </cell>
          <cell r="F2518" t="str">
            <v>89964</v>
          </cell>
          <cell r="G2518" t="str">
            <v>高力四</v>
          </cell>
          <cell r="H2518">
            <v>100000</v>
          </cell>
          <cell r="I2518">
            <v>3.5</v>
          </cell>
          <cell r="J2518">
            <v>46362</v>
          </cell>
          <cell r="K2518">
            <v>100.75190000000001</v>
          </cell>
          <cell r="L2518">
            <v>46343</v>
          </cell>
          <cell r="M2518">
            <v>-2742</v>
          </cell>
          <cell r="N2518">
            <v>97258</v>
          </cell>
        </row>
        <row r="2519">
          <cell r="A2519">
            <v>64145</v>
          </cell>
          <cell r="B2519">
            <v>2513</v>
          </cell>
          <cell r="C2519" t="str">
            <v>IASWD2408000072</v>
          </cell>
          <cell r="D2519">
            <v>45506</v>
          </cell>
          <cell r="E2519">
            <v>46250</v>
          </cell>
          <cell r="F2519" t="str">
            <v>64145</v>
          </cell>
          <cell r="G2519" t="str">
            <v>樺漢五</v>
          </cell>
          <cell r="H2519">
            <v>100000</v>
          </cell>
          <cell r="I2519">
            <v>3</v>
          </cell>
          <cell r="J2519">
            <v>46250</v>
          </cell>
          <cell r="K2519">
            <v>100</v>
          </cell>
          <cell r="L2519">
            <v>46231</v>
          </cell>
          <cell r="M2519">
            <v>-2351</v>
          </cell>
          <cell r="N2519">
            <v>97649</v>
          </cell>
        </row>
        <row r="2520">
          <cell r="A2520">
            <v>65096</v>
          </cell>
          <cell r="B2520">
            <v>2514</v>
          </cell>
          <cell r="C2520" t="str">
            <v>IASWD2408000075</v>
          </cell>
          <cell r="D2520">
            <v>45506</v>
          </cell>
          <cell r="E2520">
            <v>46206</v>
          </cell>
          <cell r="F2520" t="str">
            <v>65096</v>
          </cell>
          <cell r="G2520" t="str">
            <v>聚和六</v>
          </cell>
          <cell r="H2520">
            <v>100000</v>
          </cell>
          <cell r="I2520">
            <v>3.1</v>
          </cell>
          <cell r="J2520">
            <v>46206</v>
          </cell>
          <cell r="K2520">
            <v>100</v>
          </cell>
          <cell r="L2520">
            <v>46188</v>
          </cell>
          <cell r="M2520">
            <v>-2429</v>
          </cell>
          <cell r="N2520">
            <v>97571</v>
          </cell>
        </row>
        <row r="2521">
          <cell r="A2521">
            <v>65096</v>
          </cell>
          <cell r="B2521">
            <v>2515</v>
          </cell>
          <cell r="C2521" t="str">
            <v>IASWD2408000076</v>
          </cell>
          <cell r="D2521">
            <v>45506</v>
          </cell>
          <cell r="E2521">
            <v>46206</v>
          </cell>
          <cell r="F2521" t="str">
            <v>65096</v>
          </cell>
          <cell r="G2521" t="str">
            <v>聚和六</v>
          </cell>
          <cell r="H2521">
            <v>100000</v>
          </cell>
          <cell r="I2521">
            <v>3.1</v>
          </cell>
          <cell r="J2521">
            <v>46206</v>
          </cell>
          <cell r="K2521">
            <v>100</v>
          </cell>
          <cell r="L2521">
            <v>46188</v>
          </cell>
          <cell r="M2521">
            <v>-2429</v>
          </cell>
          <cell r="N2521">
            <v>97571</v>
          </cell>
        </row>
        <row r="2522">
          <cell r="A2522">
            <v>64145</v>
          </cell>
          <cell r="B2522">
            <v>2516</v>
          </cell>
          <cell r="C2522" t="str">
            <v>IASWD2408000079</v>
          </cell>
          <cell r="D2522">
            <v>45506</v>
          </cell>
          <cell r="E2522">
            <v>46250</v>
          </cell>
          <cell r="F2522" t="str">
            <v>64145</v>
          </cell>
          <cell r="G2522" t="str">
            <v>樺漢五</v>
          </cell>
          <cell r="H2522">
            <v>100000</v>
          </cell>
          <cell r="I2522">
            <v>3</v>
          </cell>
          <cell r="J2522">
            <v>46250</v>
          </cell>
          <cell r="K2522">
            <v>100</v>
          </cell>
          <cell r="L2522">
            <v>46231</v>
          </cell>
          <cell r="M2522">
            <v>-2351</v>
          </cell>
          <cell r="N2522">
            <v>97649</v>
          </cell>
        </row>
        <row r="2523">
          <cell r="A2523">
            <v>64145</v>
          </cell>
          <cell r="B2523">
            <v>2517</v>
          </cell>
          <cell r="C2523" t="str">
            <v>IASWD2408000080</v>
          </cell>
          <cell r="D2523">
            <v>45506</v>
          </cell>
          <cell r="E2523">
            <v>46250</v>
          </cell>
          <cell r="F2523" t="str">
            <v>64145</v>
          </cell>
          <cell r="G2523" t="str">
            <v>樺漢五</v>
          </cell>
          <cell r="H2523">
            <v>100000</v>
          </cell>
          <cell r="I2523">
            <v>3</v>
          </cell>
          <cell r="J2523">
            <v>46250</v>
          </cell>
          <cell r="K2523">
            <v>100</v>
          </cell>
          <cell r="L2523">
            <v>46231</v>
          </cell>
          <cell r="M2523">
            <v>-2351</v>
          </cell>
          <cell r="N2523">
            <v>97649</v>
          </cell>
        </row>
        <row r="2524">
          <cell r="A2524">
            <v>65096</v>
          </cell>
          <cell r="B2524">
            <v>2518</v>
          </cell>
          <cell r="C2524" t="str">
            <v>IASWD2408000082</v>
          </cell>
          <cell r="D2524">
            <v>45506</v>
          </cell>
          <cell r="E2524">
            <v>46206</v>
          </cell>
          <cell r="F2524" t="str">
            <v>65096</v>
          </cell>
          <cell r="G2524" t="str">
            <v>聚和六</v>
          </cell>
          <cell r="H2524">
            <v>100000</v>
          </cell>
          <cell r="I2524">
            <v>3.1</v>
          </cell>
          <cell r="J2524">
            <v>46206</v>
          </cell>
          <cell r="K2524">
            <v>100</v>
          </cell>
          <cell r="L2524">
            <v>46188</v>
          </cell>
          <cell r="M2524">
            <v>-2429</v>
          </cell>
          <cell r="N2524">
            <v>97571</v>
          </cell>
        </row>
        <row r="2525">
          <cell r="A2525">
            <v>61965</v>
          </cell>
          <cell r="B2525">
            <v>2519</v>
          </cell>
          <cell r="C2525" t="str">
            <v>IASWD2408000084</v>
          </cell>
          <cell r="D2525">
            <v>45506</v>
          </cell>
          <cell r="E2525">
            <v>46200</v>
          </cell>
          <cell r="F2525" t="str">
            <v>61965</v>
          </cell>
          <cell r="G2525" t="str">
            <v>帆宣五</v>
          </cell>
          <cell r="H2525">
            <v>100000</v>
          </cell>
          <cell r="I2525">
            <v>3</v>
          </cell>
          <cell r="J2525">
            <v>46200</v>
          </cell>
          <cell r="K2525">
            <v>100</v>
          </cell>
          <cell r="L2525">
            <v>46182</v>
          </cell>
          <cell r="M2525">
            <v>-2351</v>
          </cell>
          <cell r="N2525">
            <v>97649</v>
          </cell>
        </row>
        <row r="2526">
          <cell r="A2526">
            <v>64145</v>
          </cell>
          <cell r="B2526">
            <v>2520</v>
          </cell>
          <cell r="C2526" t="str">
            <v>IASWD2408000086</v>
          </cell>
          <cell r="D2526">
            <v>45506</v>
          </cell>
          <cell r="E2526">
            <v>46250</v>
          </cell>
          <cell r="F2526" t="str">
            <v>64145</v>
          </cell>
          <cell r="G2526" t="str">
            <v>樺漢五</v>
          </cell>
          <cell r="H2526">
            <v>100000</v>
          </cell>
          <cell r="I2526">
            <v>3</v>
          </cell>
          <cell r="J2526">
            <v>46250</v>
          </cell>
          <cell r="K2526">
            <v>100</v>
          </cell>
          <cell r="L2526">
            <v>46231</v>
          </cell>
          <cell r="M2526">
            <v>-2351</v>
          </cell>
          <cell r="N2526">
            <v>97649</v>
          </cell>
        </row>
        <row r="2527">
          <cell r="A2527">
            <v>33121</v>
          </cell>
          <cell r="B2527">
            <v>2521</v>
          </cell>
          <cell r="C2527" t="str">
            <v>IASWD2408000087</v>
          </cell>
          <cell r="D2527">
            <v>45506</v>
          </cell>
          <cell r="E2527">
            <v>46563</v>
          </cell>
          <cell r="F2527" t="str">
            <v>33121</v>
          </cell>
          <cell r="G2527" t="str">
            <v>弘憶股一</v>
          </cell>
          <cell r="H2527">
            <v>600000</v>
          </cell>
          <cell r="I2527">
            <v>3.5</v>
          </cell>
          <cell r="J2527">
            <v>46563</v>
          </cell>
          <cell r="K2527">
            <v>100</v>
          </cell>
          <cell r="L2527">
            <v>46545</v>
          </cell>
          <cell r="M2527">
            <v>-16455</v>
          </cell>
          <cell r="N2527">
            <v>583545</v>
          </cell>
        </row>
        <row r="2528">
          <cell r="A2528">
            <v>64145</v>
          </cell>
          <cell r="B2528">
            <v>2522</v>
          </cell>
          <cell r="C2528" t="str">
            <v>IASWD2408000090</v>
          </cell>
          <cell r="D2528">
            <v>45506</v>
          </cell>
          <cell r="E2528">
            <v>46250</v>
          </cell>
          <cell r="F2528" t="str">
            <v>64145</v>
          </cell>
          <cell r="G2528" t="str">
            <v>樺漢五</v>
          </cell>
          <cell r="H2528">
            <v>200000</v>
          </cell>
          <cell r="I2528">
            <v>3</v>
          </cell>
          <cell r="J2528">
            <v>46250</v>
          </cell>
          <cell r="K2528">
            <v>100</v>
          </cell>
          <cell r="L2528">
            <v>46231</v>
          </cell>
          <cell r="M2528">
            <v>-4701</v>
          </cell>
          <cell r="N2528">
            <v>195299</v>
          </cell>
        </row>
        <row r="2529">
          <cell r="A2529">
            <v>89964</v>
          </cell>
          <cell r="B2529">
            <v>2523</v>
          </cell>
          <cell r="C2529" t="str">
            <v>IASWD2408000091</v>
          </cell>
          <cell r="D2529">
            <v>45506</v>
          </cell>
          <cell r="E2529">
            <v>46362</v>
          </cell>
          <cell r="F2529" t="str">
            <v>89964</v>
          </cell>
          <cell r="G2529" t="str">
            <v>高力四</v>
          </cell>
          <cell r="H2529">
            <v>300000</v>
          </cell>
          <cell r="I2529">
            <v>3.5</v>
          </cell>
          <cell r="J2529">
            <v>46362</v>
          </cell>
          <cell r="K2529">
            <v>100.75190000000001</v>
          </cell>
          <cell r="L2529">
            <v>46343</v>
          </cell>
          <cell r="M2529">
            <v>-8227</v>
          </cell>
          <cell r="N2529">
            <v>291773</v>
          </cell>
        </row>
        <row r="2530">
          <cell r="A2530">
            <v>61965</v>
          </cell>
          <cell r="B2530">
            <v>2524</v>
          </cell>
          <cell r="C2530" t="str">
            <v>IASWD2408000092</v>
          </cell>
          <cell r="D2530">
            <v>45506</v>
          </cell>
          <cell r="E2530">
            <v>46200</v>
          </cell>
          <cell r="F2530" t="str">
            <v>61965</v>
          </cell>
          <cell r="G2530" t="str">
            <v>帆宣五</v>
          </cell>
          <cell r="H2530">
            <v>100000</v>
          </cell>
          <cell r="I2530">
            <v>3</v>
          </cell>
          <cell r="J2530">
            <v>46200</v>
          </cell>
          <cell r="K2530">
            <v>100</v>
          </cell>
          <cell r="L2530">
            <v>46182</v>
          </cell>
          <cell r="M2530">
            <v>-2351</v>
          </cell>
          <cell r="N2530">
            <v>97649</v>
          </cell>
        </row>
        <row r="2531">
          <cell r="A2531">
            <v>61965</v>
          </cell>
          <cell r="B2531">
            <v>2525</v>
          </cell>
          <cell r="C2531" t="str">
            <v>IASWD2408000095</v>
          </cell>
          <cell r="D2531">
            <v>45506</v>
          </cell>
          <cell r="E2531">
            <v>46200</v>
          </cell>
          <cell r="F2531" t="str">
            <v>61965</v>
          </cell>
          <cell r="G2531" t="str">
            <v>帆宣五</v>
          </cell>
          <cell r="H2531">
            <v>100000</v>
          </cell>
          <cell r="I2531">
            <v>3</v>
          </cell>
          <cell r="J2531">
            <v>46200</v>
          </cell>
          <cell r="K2531">
            <v>100</v>
          </cell>
          <cell r="L2531">
            <v>46182</v>
          </cell>
          <cell r="M2531">
            <v>-2351</v>
          </cell>
          <cell r="N2531">
            <v>97649</v>
          </cell>
        </row>
        <row r="2532">
          <cell r="A2532">
            <v>64145</v>
          </cell>
          <cell r="B2532">
            <v>2526</v>
          </cell>
          <cell r="C2532" t="str">
            <v>IASWD2408000096</v>
          </cell>
          <cell r="D2532">
            <v>45506</v>
          </cell>
          <cell r="E2532">
            <v>46250</v>
          </cell>
          <cell r="F2532" t="str">
            <v>64145</v>
          </cell>
          <cell r="G2532" t="str">
            <v>樺漢五</v>
          </cell>
          <cell r="H2532">
            <v>100000</v>
          </cell>
          <cell r="I2532">
            <v>3</v>
          </cell>
          <cell r="J2532">
            <v>46250</v>
          </cell>
          <cell r="K2532">
            <v>100</v>
          </cell>
          <cell r="L2532">
            <v>46231</v>
          </cell>
          <cell r="M2532">
            <v>-2351</v>
          </cell>
          <cell r="N2532">
            <v>97649</v>
          </cell>
        </row>
        <row r="2533">
          <cell r="A2533">
            <v>64145</v>
          </cell>
          <cell r="B2533">
            <v>2527</v>
          </cell>
          <cell r="C2533" t="str">
            <v>IASWD2408000097</v>
          </cell>
          <cell r="D2533">
            <v>45506</v>
          </cell>
          <cell r="E2533">
            <v>46250</v>
          </cell>
          <cell r="F2533" t="str">
            <v>64145</v>
          </cell>
          <cell r="G2533" t="str">
            <v>樺漢五</v>
          </cell>
          <cell r="H2533">
            <v>100000</v>
          </cell>
          <cell r="I2533">
            <v>3</v>
          </cell>
          <cell r="J2533">
            <v>46250</v>
          </cell>
          <cell r="K2533">
            <v>100</v>
          </cell>
          <cell r="L2533">
            <v>46231</v>
          </cell>
          <cell r="M2533">
            <v>-2351</v>
          </cell>
          <cell r="N2533">
            <v>97649</v>
          </cell>
        </row>
        <row r="2534">
          <cell r="A2534">
            <v>84781</v>
          </cell>
          <cell r="B2534">
            <v>2528</v>
          </cell>
          <cell r="C2534" t="str">
            <v>IASWD2408000098</v>
          </cell>
          <cell r="D2534">
            <v>45506</v>
          </cell>
          <cell r="E2534">
            <v>46583</v>
          </cell>
          <cell r="F2534" t="str">
            <v>84781</v>
          </cell>
          <cell r="G2534" t="str">
            <v>東哥遊艇一</v>
          </cell>
          <cell r="H2534">
            <v>200000</v>
          </cell>
          <cell r="I2534">
            <v>3.1</v>
          </cell>
          <cell r="J2534">
            <v>46583</v>
          </cell>
          <cell r="K2534">
            <v>100</v>
          </cell>
          <cell r="L2534">
            <v>46563</v>
          </cell>
          <cell r="M2534">
            <v>-4858</v>
          </cell>
          <cell r="N2534">
            <v>195142</v>
          </cell>
        </row>
        <row r="2535">
          <cell r="A2535">
            <v>84781</v>
          </cell>
          <cell r="B2535">
            <v>2529</v>
          </cell>
          <cell r="C2535" t="str">
            <v>IASWD2408000099</v>
          </cell>
          <cell r="D2535">
            <v>45506</v>
          </cell>
          <cell r="E2535">
            <v>46583</v>
          </cell>
          <cell r="F2535" t="str">
            <v>84781</v>
          </cell>
          <cell r="G2535" t="str">
            <v>東哥遊艇一</v>
          </cell>
          <cell r="H2535">
            <v>100000</v>
          </cell>
          <cell r="I2535">
            <v>3.1</v>
          </cell>
          <cell r="J2535">
            <v>46583</v>
          </cell>
          <cell r="K2535">
            <v>100</v>
          </cell>
          <cell r="L2535">
            <v>46563</v>
          </cell>
          <cell r="M2535">
            <v>-2429</v>
          </cell>
          <cell r="N2535">
            <v>97571</v>
          </cell>
        </row>
        <row r="2536">
          <cell r="A2536">
            <v>84781</v>
          </cell>
          <cell r="B2536">
            <v>2530</v>
          </cell>
          <cell r="C2536" t="str">
            <v>IASWD2408000100</v>
          </cell>
          <cell r="D2536">
            <v>45506</v>
          </cell>
          <cell r="E2536">
            <v>46583</v>
          </cell>
          <cell r="F2536" t="str">
            <v>84781</v>
          </cell>
          <cell r="G2536" t="str">
            <v>東哥遊艇一</v>
          </cell>
          <cell r="H2536">
            <v>200000</v>
          </cell>
          <cell r="I2536">
            <v>3.1</v>
          </cell>
          <cell r="J2536">
            <v>46583</v>
          </cell>
          <cell r="K2536">
            <v>100</v>
          </cell>
          <cell r="L2536">
            <v>46563</v>
          </cell>
          <cell r="M2536">
            <v>-4858</v>
          </cell>
          <cell r="N2536">
            <v>195142</v>
          </cell>
        </row>
        <row r="2537">
          <cell r="A2537">
            <v>84781</v>
          </cell>
          <cell r="B2537">
            <v>2531</v>
          </cell>
          <cell r="C2537" t="str">
            <v>IASWD2408000102</v>
          </cell>
          <cell r="D2537">
            <v>45506</v>
          </cell>
          <cell r="E2537">
            <v>46583</v>
          </cell>
          <cell r="F2537" t="str">
            <v>84781</v>
          </cell>
          <cell r="G2537" t="str">
            <v>東哥遊艇一</v>
          </cell>
          <cell r="H2537">
            <v>100000</v>
          </cell>
          <cell r="I2537">
            <v>3.1</v>
          </cell>
          <cell r="J2537">
            <v>46583</v>
          </cell>
          <cell r="K2537">
            <v>100</v>
          </cell>
          <cell r="L2537">
            <v>46563</v>
          </cell>
          <cell r="M2537">
            <v>-2429</v>
          </cell>
          <cell r="N2537">
            <v>97571</v>
          </cell>
        </row>
        <row r="2538">
          <cell r="A2538">
            <v>67531</v>
          </cell>
          <cell r="B2538">
            <v>2532</v>
          </cell>
          <cell r="C2538" t="str">
            <v>IASWD2408000103</v>
          </cell>
          <cell r="D2538">
            <v>45506</v>
          </cell>
          <cell r="E2538">
            <v>46563</v>
          </cell>
          <cell r="F2538" t="str">
            <v>67531</v>
          </cell>
          <cell r="G2538" t="str">
            <v>龍德造船一</v>
          </cell>
          <cell r="H2538">
            <v>100000</v>
          </cell>
          <cell r="I2538">
            <v>3.5</v>
          </cell>
          <cell r="J2538">
            <v>46563</v>
          </cell>
          <cell r="K2538">
            <v>100</v>
          </cell>
          <cell r="L2538">
            <v>46545</v>
          </cell>
          <cell r="M2538">
            <v>-2742</v>
          </cell>
          <cell r="N2538">
            <v>97258</v>
          </cell>
        </row>
        <row r="2539">
          <cell r="A2539">
            <v>89964</v>
          </cell>
          <cell r="B2539">
            <v>2533</v>
          </cell>
          <cell r="C2539" t="str">
            <v>IASWD2408000104</v>
          </cell>
          <cell r="D2539">
            <v>45506</v>
          </cell>
          <cell r="E2539">
            <v>46362</v>
          </cell>
          <cell r="F2539" t="str">
            <v>89964</v>
          </cell>
          <cell r="G2539" t="str">
            <v>高力四</v>
          </cell>
          <cell r="H2539">
            <v>100000</v>
          </cell>
          <cell r="I2539">
            <v>3.5</v>
          </cell>
          <cell r="J2539">
            <v>46362</v>
          </cell>
          <cell r="K2539">
            <v>100.75190000000001</v>
          </cell>
          <cell r="L2539">
            <v>46343</v>
          </cell>
          <cell r="M2539">
            <v>-2742</v>
          </cell>
          <cell r="N2539">
            <v>97258</v>
          </cell>
        </row>
        <row r="2540">
          <cell r="A2540">
            <v>84781</v>
          </cell>
          <cell r="B2540">
            <v>2534</v>
          </cell>
          <cell r="C2540" t="str">
            <v>IASWD2408000105</v>
          </cell>
          <cell r="D2540">
            <v>45506</v>
          </cell>
          <cell r="E2540">
            <v>46583</v>
          </cell>
          <cell r="F2540" t="str">
            <v>84781</v>
          </cell>
          <cell r="G2540" t="str">
            <v>東哥遊艇一</v>
          </cell>
          <cell r="H2540">
            <v>100000</v>
          </cell>
          <cell r="I2540">
            <v>3.1</v>
          </cell>
          <cell r="J2540">
            <v>46583</v>
          </cell>
          <cell r="K2540">
            <v>100</v>
          </cell>
          <cell r="L2540">
            <v>46563</v>
          </cell>
          <cell r="M2540">
            <v>-2429</v>
          </cell>
          <cell r="N2540">
            <v>97571</v>
          </cell>
        </row>
        <row r="2541">
          <cell r="A2541">
            <v>36804</v>
          </cell>
          <cell r="B2541">
            <v>2535</v>
          </cell>
          <cell r="C2541" t="str">
            <v>IASWD2408000109</v>
          </cell>
          <cell r="D2541">
            <v>45506</v>
          </cell>
          <cell r="E2541">
            <v>45948</v>
          </cell>
          <cell r="F2541" t="str">
            <v>36804</v>
          </cell>
          <cell r="G2541" t="str">
            <v>家登四</v>
          </cell>
          <cell r="H2541">
            <v>700000</v>
          </cell>
          <cell r="I2541">
            <v>3.2</v>
          </cell>
          <cell r="J2541">
            <v>45948</v>
          </cell>
          <cell r="K2541">
            <v>100</v>
          </cell>
          <cell r="L2541">
            <v>45926</v>
          </cell>
          <cell r="M2541">
            <v>-17552</v>
          </cell>
          <cell r="N2541">
            <v>682448</v>
          </cell>
        </row>
        <row r="2542">
          <cell r="A2542">
            <v>50097</v>
          </cell>
          <cell r="B2542">
            <v>2536</v>
          </cell>
          <cell r="C2542" t="str">
            <v>IASWD2408000112</v>
          </cell>
          <cell r="D2542">
            <v>45506</v>
          </cell>
          <cell r="E2542">
            <v>46234</v>
          </cell>
          <cell r="F2542" t="str">
            <v>50097</v>
          </cell>
          <cell r="G2542" t="str">
            <v>榮剛七</v>
          </cell>
          <cell r="H2542">
            <v>100000</v>
          </cell>
          <cell r="I2542">
            <v>4.2</v>
          </cell>
          <cell r="J2542">
            <v>46234</v>
          </cell>
          <cell r="K2542">
            <v>101.51</v>
          </cell>
          <cell r="L2542">
            <v>46216</v>
          </cell>
          <cell r="M2542">
            <v>-3291</v>
          </cell>
          <cell r="N2542">
            <v>96709</v>
          </cell>
        </row>
        <row r="2543">
          <cell r="A2543">
            <v>50097</v>
          </cell>
          <cell r="B2543">
            <v>2537</v>
          </cell>
          <cell r="C2543" t="str">
            <v>IASWD2408000114</v>
          </cell>
          <cell r="D2543">
            <v>45506</v>
          </cell>
          <cell r="E2543">
            <v>46234</v>
          </cell>
          <cell r="F2543" t="str">
            <v>50097</v>
          </cell>
          <cell r="G2543" t="str">
            <v>榮剛七</v>
          </cell>
          <cell r="H2543">
            <v>100000</v>
          </cell>
          <cell r="I2543">
            <v>4.2</v>
          </cell>
          <cell r="J2543">
            <v>46234</v>
          </cell>
          <cell r="K2543">
            <v>101.51</v>
          </cell>
          <cell r="L2543">
            <v>46216</v>
          </cell>
          <cell r="M2543">
            <v>-3291</v>
          </cell>
          <cell r="N2543">
            <v>96709</v>
          </cell>
        </row>
        <row r="2544">
          <cell r="A2544">
            <v>64145</v>
          </cell>
          <cell r="B2544">
            <v>2538</v>
          </cell>
          <cell r="C2544" t="str">
            <v>IASWD2408000118</v>
          </cell>
          <cell r="D2544">
            <v>45506</v>
          </cell>
          <cell r="E2544">
            <v>46250</v>
          </cell>
          <cell r="F2544" t="str">
            <v>64145</v>
          </cell>
          <cell r="G2544" t="str">
            <v>樺漢五</v>
          </cell>
          <cell r="H2544">
            <v>100000</v>
          </cell>
          <cell r="I2544">
            <v>3</v>
          </cell>
          <cell r="J2544">
            <v>46250</v>
          </cell>
          <cell r="K2544">
            <v>100</v>
          </cell>
          <cell r="L2544">
            <v>46231</v>
          </cell>
          <cell r="M2544">
            <v>-2351</v>
          </cell>
          <cell r="N2544">
            <v>97649</v>
          </cell>
        </row>
        <row r="2545">
          <cell r="A2545">
            <v>89964</v>
          </cell>
          <cell r="B2545">
            <v>2539</v>
          </cell>
          <cell r="C2545" t="str">
            <v>IASWD2408000126</v>
          </cell>
          <cell r="D2545">
            <v>45506</v>
          </cell>
          <cell r="E2545">
            <v>46362</v>
          </cell>
          <cell r="F2545" t="str">
            <v>89964</v>
          </cell>
          <cell r="G2545" t="str">
            <v>高力四</v>
          </cell>
          <cell r="H2545">
            <v>100000</v>
          </cell>
          <cell r="I2545">
            <v>3.5</v>
          </cell>
          <cell r="J2545">
            <v>46362</v>
          </cell>
          <cell r="K2545">
            <v>100.75190000000001</v>
          </cell>
          <cell r="L2545">
            <v>46343</v>
          </cell>
          <cell r="M2545">
            <v>-2742</v>
          </cell>
          <cell r="N2545">
            <v>97258</v>
          </cell>
        </row>
        <row r="2546">
          <cell r="A2546">
            <v>64145</v>
          </cell>
          <cell r="B2546">
            <v>2540</v>
          </cell>
          <cell r="C2546" t="str">
            <v>IASWD2408000128</v>
          </cell>
          <cell r="D2546">
            <v>45506</v>
          </cell>
          <cell r="E2546">
            <v>46250</v>
          </cell>
          <cell r="F2546" t="str">
            <v>64145</v>
          </cell>
          <cell r="G2546" t="str">
            <v>樺漢五</v>
          </cell>
          <cell r="H2546">
            <v>100000</v>
          </cell>
          <cell r="I2546">
            <v>3</v>
          </cell>
          <cell r="J2546">
            <v>46250</v>
          </cell>
          <cell r="K2546">
            <v>100</v>
          </cell>
          <cell r="L2546">
            <v>46231</v>
          </cell>
          <cell r="M2546">
            <v>-2351</v>
          </cell>
          <cell r="N2546">
            <v>97649</v>
          </cell>
        </row>
        <row r="2547">
          <cell r="A2547">
            <v>65096</v>
          </cell>
          <cell r="B2547">
            <v>2541</v>
          </cell>
          <cell r="C2547" t="str">
            <v>IASWD2408000131</v>
          </cell>
          <cell r="D2547">
            <v>45506</v>
          </cell>
          <cell r="E2547">
            <v>46206</v>
          </cell>
          <cell r="F2547" t="str">
            <v>65096</v>
          </cell>
          <cell r="G2547" t="str">
            <v>聚和六</v>
          </cell>
          <cell r="H2547">
            <v>100000</v>
          </cell>
          <cell r="I2547">
            <v>3.1</v>
          </cell>
          <cell r="J2547">
            <v>46206</v>
          </cell>
          <cell r="K2547">
            <v>100</v>
          </cell>
          <cell r="L2547">
            <v>46188</v>
          </cell>
          <cell r="M2547">
            <v>-2429</v>
          </cell>
          <cell r="N2547">
            <v>97571</v>
          </cell>
        </row>
        <row r="2548">
          <cell r="A2548">
            <v>84781</v>
          </cell>
          <cell r="B2548">
            <v>2542</v>
          </cell>
          <cell r="C2548" t="str">
            <v>IASWD2408000132</v>
          </cell>
          <cell r="D2548">
            <v>45506</v>
          </cell>
          <cell r="E2548">
            <v>46583</v>
          </cell>
          <cell r="F2548" t="str">
            <v>84781</v>
          </cell>
          <cell r="G2548" t="str">
            <v>東哥遊艇一</v>
          </cell>
          <cell r="H2548">
            <v>200000</v>
          </cell>
          <cell r="I2548">
            <v>3.1</v>
          </cell>
          <cell r="J2548">
            <v>46583</v>
          </cell>
          <cell r="K2548">
            <v>100</v>
          </cell>
          <cell r="L2548">
            <v>46563</v>
          </cell>
          <cell r="M2548">
            <v>-4858</v>
          </cell>
          <cell r="N2548">
            <v>195142</v>
          </cell>
        </row>
        <row r="2549">
          <cell r="A2549">
            <v>33121</v>
          </cell>
          <cell r="B2549">
            <v>2543</v>
          </cell>
          <cell r="C2549" t="str">
            <v>IASWD2408000133</v>
          </cell>
          <cell r="D2549">
            <v>45506</v>
          </cell>
          <cell r="E2549">
            <v>46563</v>
          </cell>
          <cell r="F2549" t="str">
            <v>33121</v>
          </cell>
          <cell r="G2549" t="str">
            <v>弘憶股一</v>
          </cell>
          <cell r="H2549">
            <v>100000</v>
          </cell>
          <cell r="I2549">
            <v>3.5</v>
          </cell>
          <cell r="J2549">
            <v>46563</v>
          </cell>
          <cell r="K2549">
            <v>100</v>
          </cell>
          <cell r="L2549">
            <v>46545</v>
          </cell>
          <cell r="M2549">
            <v>-2742</v>
          </cell>
          <cell r="N2549">
            <v>97258</v>
          </cell>
        </row>
        <row r="2550">
          <cell r="A2550">
            <v>82551</v>
          </cell>
          <cell r="B2550">
            <v>2544</v>
          </cell>
          <cell r="C2550" t="str">
            <v>IASWD2408000270</v>
          </cell>
          <cell r="D2550">
            <v>45509</v>
          </cell>
          <cell r="E2550">
            <v>46243</v>
          </cell>
          <cell r="F2550" t="str">
            <v>82551</v>
          </cell>
          <cell r="G2550" t="str">
            <v>朋程一</v>
          </cell>
          <cell r="H2550">
            <v>100000</v>
          </cell>
          <cell r="I2550">
            <v>2.6</v>
          </cell>
          <cell r="J2550">
            <v>46243</v>
          </cell>
          <cell r="K2550">
            <v>100</v>
          </cell>
          <cell r="L2550">
            <v>46224</v>
          </cell>
          <cell r="M2550">
            <v>-2016</v>
          </cell>
          <cell r="N2550">
            <v>97984</v>
          </cell>
        </row>
        <row r="2551">
          <cell r="A2551">
            <v>64145</v>
          </cell>
          <cell r="B2551">
            <v>2545</v>
          </cell>
          <cell r="C2551" t="str">
            <v>IASWD2408000272</v>
          </cell>
          <cell r="D2551">
            <v>45509</v>
          </cell>
          <cell r="E2551">
            <v>46250</v>
          </cell>
          <cell r="F2551" t="str">
            <v>64145</v>
          </cell>
          <cell r="G2551" t="str">
            <v>樺漢五</v>
          </cell>
          <cell r="H2551">
            <v>100000</v>
          </cell>
          <cell r="I2551">
            <v>3</v>
          </cell>
          <cell r="J2551">
            <v>46250</v>
          </cell>
          <cell r="K2551">
            <v>100</v>
          </cell>
          <cell r="L2551">
            <v>46231</v>
          </cell>
          <cell r="M2551">
            <v>-2326</v>
          </cell>
          <cell r="N2551">
            <v>97674</v>
          </cell>
        </row>
        <row r="2552">
          <cell r="A2552">
            <v>56086</v>
          </cell>
          <cell r="B2552">
            <v>2546</v>
          </cell>
          <cell r="C2552" t="str">
            <v>IASWD2408000273</v>
          </cell>
          <cell r="D2552">
            <v>45509</v>
          </cell>
          <cell r="E2552">
            <v>46194</v>
          </cell>
          <cell r="F2552" t="str">
            <v>56086</v>
          </cell>
          <cell r="G2552" t="str">
            <v>四維航六</v>
          </cell>
          <cell r="H2552">
            <v>100000</v>
          </cell>
          <cell r="I2552">
            <v>2.35</v>
          </cell>
          <cell r="J2552">
            <v>46194</v>
          </cell>
          <cell r="K2552">
            <v>100</v>
          </cell>
          <cell r="L2552">
            <v>46175</v>
          </cell>
          <cell r="M2552">
            <v>-1822</v>
          </cell>
          <cell r="N2552">
            <v>98178</v>
          </cell>
        </row>
        <row r="2553">
          <cell r="A2553">
            <v>67531</v>
          </cell>
          <cell r="B2553">
            <v>2547</v>
          </cell>
          <cell r="C2553" t="str">
            <v>IASWD2408000275</v>
          </cell>
          <cell r="D2553">
            <v>45509</v>
          </cell>
          <cell r="E2553">
            <v>46563</v>
          </cell>
          <cell r="F2553" t="str">
            <v>67531</v>
          </cell>
          <cell r="G2553" t="str">
            <v>龍德造船一</v>
          </cell>
          <cell r="H2553">
            <v>100000</v>
          </cell>
          <cell r="I2553">
            <v>3.5</v>
          </cell>
          <cell r="J2553">
            <v>46563</v>
          </cell>
          <cell r="K2553">
            <v>100</v>
          </cell>
          <cell r="L2553">
            <v>46545</v>
          </cell>
          <cell r="M2553">
            <v>-2714</v>
          </cell>
          <cell r="N2553">
            <v>97286</v>
          </cell>
        </row>
        <row r="2554">
          <cell r="A2554">
            <v>22313</v>
          </cell>
          <cell r="B2554">
            <v>2548</v>
          </cell>
          <cell r="C2554" t="str">
            <v>IASWD2408000276</v>
          </cell>
          <cell r="D2554">
            <v>45509</v>
          </cell>
          <cell r="E2554">
            <v>45898</v>
          </cell>
          <cell r="F2554" t="str">
            <v>22313</v>
          </cell>
          <cell r="G2554" t="str">
            <v>為升三</v>
          </cell>
          <cell r="H2554">
            <v>100000</v>
          </cell>
          <cell r="I2554">
            <v>3.5</v>
          </cell>
          <cell r="J2554">
            <v>45898</v>
          </cell>
          <cell r="K2554">
            <v>101.50749999999999</v>
          </cell>
          <cell r="L2554">
            <v>45880</v>
          </cell>
          <cell r="M2554">
            <v>-2714</v>
          </cell>
          <cell r="N2554">
            <v>97286</v>
          </cell>
        </row>
        <row r="2555">
          <cell r="A2555">
            <v>61906</v>
          </cell>
          <cell r="B2555">
            <v>2549</v>
          </cell>
          <cell r="C2555" t="str">
            <v>IASWD2408000277</v>
          </cell>
          <cell r="D2555">
            <v>45509</v>
          </cell>
          <cell r="E2555">
            <v>45961</v>
          </cell>
          <cell r="F2555" t="str">
            <v>61906</v>
          </cell>
          <cell r="G2555" t="str">
            <v>萬泰科六</v>
          </cell>
          <cell r="H2555">
            <v>100000</v>
          </cell>
          <cell r="I2555">
            <v>4</v>
          </cell>
          <cell r="J2555">
            <v>45961</v>
          </cell>
          <cell r="K2555">
            <v>100</v>
          </cell>
          <cell r="L2555">
            <v>45943</v>
          </cell>
          <cell r="M2555">
            <v>-3101</v>
          </cell>
          <cell r="N2555">
            <v>96899</v>
          </cell>
        </row>
        <row r="2556">
          <cell r="A2556">
            <v>33121</v>
          </cell>
          <cell r="B2556">
            <v>2550</v>
          </cell>
          <cell r="C2556" t="str">
            <v>IASWD2408000279</v>
          </cell>
          <cell r="D2556">
            <v>45509</v>
          </cell>
          <cell r="E2556">
            <v>46563</v>
          </cell>
          <cell r="F2556" t="str">
            <v>33121</v>
          </cell>
          <cell r="G2556" t="str">
            <v>弘憶股一</v>
          </cell>
          <cell r="H2556">
            <v>100000</v>
          </cell>
          <cell r="I2556">
            <v>3.5</v>
          </cell>
          <cell r="J2556">
            <v>46563</v>
          </cell>
          <cell r="K2556">
            <v>100</v>
          </cell>
          <cell r="L2556">
            <v>46545</v>
          </cell>
          <cell r="M2556">
            <v>-2714</v>
          </cell>
          <cell r="N2556">
            <v>97286</v>
          </cell>
        </row>
        <row r="2557">
          <cell r="A2557">
            <v>50097</v>
          </cell>
          <cell r="B2557">
            <v>2551</v>
          </cell>
          <cell r="C2557" t="str">
            <v>IASWD2408000280</v>
          </cell>
          <cell r="D2557">
            <v>45509</v>
          </cell>
          <cell r="E2557">
            <v>46234</v>
          </cell>
          <cell r="F2557" t="str">
            <v>50097</v>
          </cell>
          <cell r="G2557" t="str">
            <v>榮剛七</v>
          </cell>
          <cell r="H2557">
            <v>100000</v>
          </cell>
          <cell r="I2557">
            <v>4.2</v>
          </cell>
          <cell r="J2557">
            <v>46234</v>
          </cell>
          <cell r="K2557">
            <v>101.51</v>
          </cell>
          <cell r="L2557">
            <v>46216</v>
          </cell>
          <cell r="M2557">
            <v>-3256</v>
          </cell>
          <cell r="N2557">
            <v>96744</v>
          </cell>
        </row>
        <row r="2558">
          <cell r="A2558">
            <v>35266</v>
          </cell>
          <cell r="B2558">
            <v>2552</v>
          </cell>
          <cell r="C2558" t="str">
            <v>IASWD2408000281</v>
          </cell>
          <cell r="D2558">
            <v>45509</v>
          </cell>
          <cell r="E2558">
            <v>46416</v>
          </cell>
          <cell r="F2558" t="str">
            <v>35266</v>
          </cell>
          <cell r="G2558" t="str">
            <v>凡甲六</v>
          </cell>
          <cell r="H2558">
            <v>300000</v>
          </cell>
          <cell r="I2558">
            <v>3.5</v>
          </cell>
          <cell r="J2558">
            <v>46416</v>
          </cell>
          <cell r="K2558">
            <v>100</v>
          </cell>
          <cell r="L2558">
            <v>46398</v>
          </cell>
          <cell r="M2558">
            <v>-8141</v>
          </cell>
          <cell r="N2558">
            <v>291859</v>
          </cell>
        </row>
        <row r="2559">
          <cell r="A2559">
            <v>61965</v>
          </cell>
          <cell r="B2559">
            <v>2553</v>
          </cell>
          <cell r="C2559" t="str">
            <v>IASWD2408000282</v>
          </cell>
          <cell r="D2559">
            <v>45509</v>
          </cell>
          <cell r="E2559">
            <v>46200</v>
          </cell>
          <cell r="F2559" t="str">
            <v>61965</v>
          </cell>
          <cell r="G2559" t="str">
            <v>帆宣五</v>
          </cell>
          <cell r="H2559">
            <v>100000</v>
          </cell>
          <cell r="I2559">
            <v>3</v>
          </cell>
          <cell r="J2559">
            <v>46200</v>
          </cell>
          <cell r="K2559">
            <v>100</v>
          </cell>
          <cell r="L2559">
            <v>46182</v>
          </cell>
          <cell r="M2559">
            <v>-2326</v>
          </cell>
          <cell r="N2559">
            <v>97674</v>
          </cell>
        </row>
        <row r="2560">
          <cell r="A2560">
            <v>35482</v>
          </cell>
          <cell r="B2560">
            <v>2554</v>
          </cell>
          <cell r="C2560" t="str">
            <v>IASWD2408000284</v>
          </cell>
          <cell r="D2560">
            <v>45509</v>
          </cell>
          <cell r="E2560">
            <v>46395</v>
          </cell>
          <cell r="F2560" t="str">
            <v>35482</v>
          </cell>
          <cell r="G2560" t="str">
            <v>兆利二</v>
          </cell>
          <cell r="H2560">
            <v>100000</v>
          </cell>
          <cell r="I2560">
            <v>3</v>
          </cell>
          <cell r="J2560">
            <v>46395</v>
          </cell>
          <cell r="K2560">
            <v>100</v>
          </cell>
          <cell r="L2560">
            <v>46377</v>
          </cell>
          <cell r="M2560">
            <v>-2326</v>
          </cell>
          <cell r="N2560">
            <v>97674</v>
          </cell>
        </row>
        <row r="2561">
          <cell r="A2561">
            <v>34843</v>
          </cell>
          <cell r="B2561">
            <v>2555</v>
          </cell>
          <cell r="C2561" t="str">
            <v>IASWD2408000285</v>
          </cell>
          <cell r="D2561">
            <v>45509</v>
          </cell>
          <cell r="E2561">
            <v>46136</v>
          </cell>
          <cell r="F2561" t="str">
            <v>34843</v>
          </cell>
          <cell r="G2561" t="str">
            <v>崧騰三</v>
          </cell>
          <cell r="H2561">
            <v>100000</v>
          </cell>
          <cell r="I2561">
            <v>3.5</v>
          </cell>
          <cell r="J2561">
            <v>46136</v>
          </cell>
          <cell r="K2561">
            <v>100.75</v>
          </cell>
          <cell r="L2561">
            <v>46118</v>
          </cell>
          <cell r="M2561">
            <v>-2714</v>
          </cell>
          <cell r="N2561">
            <v>97286</v>
          </cell>
        </row>
        <row r="2562">
          <cell r="A2562">
            <v>20632</v>
          </cell>
          <cell r="B2562">
            <v>2556</v>
          </cell>
          <cell r="C2562" t="str">
            <v>IASWD2408000287</v>
          </cell>
          <cell r="D2562">
            <v>45509</v>
          </cell>
          <cell r="E2562">
            <v>45971</v>
          </cell>
          <cell r="F2562" t="str">
            <v>20632</v>
          </cell>
          <cell r="G2562" t="str">
            <v>世鎧二</v>
          </cell>
          <cell r="H2562">
            <v>100000</v>
          </cell>
          <cell r="I2562">
            <v>3.25</v>
          </cell>
          <cell r="J2562">
            <v>45971</v>
          </cell>
          <cell r="K2562">
            <v>100</v>
          </cell>
          <cell r="L2562">
            <v>45951</v>
          </cell>
          <cell r="M2562">
            <v>-2520</v>
          </cell>
          <cell r="N2562">
            <v>97480</v>
          </cell>
        </row>
        <row r="2563">
          <cell r="A2563">
            <v>35482</v>
          </cell>
          <cell r="B2563">
            <v>2557</v>
          </cell>
          <cell r="C2563" t="str">
            <v>IASWD2408000288</v>
          </cell>
          <cell r="D2563">
            <v>45509</v>
          </cell>
          <cell r="E2563">
            <v>46395</v>
          </cell>
          <cell r="F2563" t="str">
            <v>35482</v>
          </cell>
          <cell r="G2563" t="str">
            <v>兆利二</v>
          </cell>
          <cell r="H2563">
            <v>100000</v>
          </cell>
          <cell r="I2563">
            <v>3</v>
          </cell>
          <cell r="J2563">
            <v>46395</v>
          </cell>
          <cell r="K2563">
            <v>100</v>
          </cell>
          <cell r="L2563">
            <v>46377</v>
          </cell>
          <cell r="M2563">
            <v>-2326</v>
          </cell>
          <cell r="N2563">
            <v>97674</v>
          </cell>
        </row>
        <row r="2564">
          <cell r="A2564">
            <v>35482</v>
          </cell>
          <cell r="B2564">
            <v>2558</v>
          </cell>
          <cell r="C2564" t="str">
            <v>IASWD2408000290</v>
          </cell>
          <cell r="D2564">
            <v>45509</v>
          </cell>
          <cell r="E2564">
            <v>46395</v>
          </cell>
          <cell r="F2564" t="str">
            <v>35482</v>
          </cell>
          <cell r="G2564" t="str">
            <v>兆利二</v>
          </cell>
          <cell r="H2564">
            <v>100000</v>
          </cell>
          <cell r="I2564">
            <v>3</v>
          </cell>
          <cell r="J2564">
            <v>46395</v>
          </cell>
          <cell r="K2564">
            <v>100</v>
          </cell>
          <cell r="L2564">
            <v>46377</v>
          </cell>
          <cell r="M2564">
            <v>-2326</v>
          </cell>
          <cell r="N2564">
            <v>97674</v>
          </cell>
        </row>
        <row r="2565">
          <cell r="A2565">
            <v>65096</v>
          </cell>
          <cell r="B2565">
            <v>2559</v>
          </cell>
          <cell r="C2565" t="str">
            <v>IASWD2408000293</v>
          </cell>
          <cell r="D2565">
            <v>45509</v>
          </cell>
          <cell r="E2565">
            <v>46206</v>
          </cell>
          <cell r="F2565" t="str">
            <v>65096</v>
          </cell>
          <cell r="G2565" t="str">
            <v>聚和六</v>
          </cell>
          <cell r="H2565">
            <v>200000</v>
          </cell>
          <cell r="I2565">
            <v>3.1</v>
          </cell>
          <cell r="J2565">
            <v>46206</v>
          </cell>
          <cell r="K2565">
            <v>100</v>
          </cell>
          <cell r="L2565">
            <v>46188</v>
          </cell>
          <cell r="M2565">
            <v>-4807</v>
          </cell>
          <cell r="N2565">
            <v>195193</v>
          </cell>
        </row>
        <row r="2566">
          <cell r="A2566">
            <v>33121</v>
          </cell>
          <cell r="B2566">
            <v>2560</v>
          </cell>
          <cell r="C2566" t="str">
            <v>IASWD2408000294</v>
          </cell>
          <cell r="D2566">
            <v>45509</v>
          </cell>
          <cell r="E2566">
            <v>46563</v>
          </cell>
          <cell r="F2566" t="str">
            <v>33121</v>
          </cell>
          <cell r="G2566" t="str">
            <v>弘憶股一</v>
          </cell>
          <cell r="H2566">
            <v>100000</v>
          </cell>
          <cell r="I2566">
            <v>3.5</v>
          </cell>
          <cell r="J2566">
            <v>46563</v>
          </cell>
          <cell r="K2566">
            <v>100</v>
          </cell>
          <cell r="L2566">
            <v>46545</v>
          </cell>
          <cell r="M2566">
            <v>-2714</v>
          </cell>
          <cell r="N2566">
            <v>97286</v>
          </cell>
        </row>
        <row r="2567">
          <cell r="A2567">
            <v>64145</v>
          </cell>
          <cell r="B2567">
            <v>2561</v>
          </cell>
          <cell r="C2567" t="str">
            <v>IASWD2408000295</v>
          </cell>
          <cell r="D2567">
            <v>45509</v>
          </cell>
          <cell r="E2567">
            <v>46250</v>
          </cell>
          <cell r="F2567" t="str">
            <v>64145</v>
          </cell>
          <cell r="G2567" t="str">
            <v>樺漢五</v>
          </cell>
          <cell r="H2567">
            <v>200000</v>
          </cell>
          <cell r="I2567">
            <v>3</v>
          </cell>
          <cell r="J2567">
            <v>46250</v>
          </cell>
          <cell r="K2567">
            <v>100</v>
          </cell>
          <cell r="L2567">
            <v>46231</v>
          </cell>
          <cell r="M2567">
            <v>-4652</v>
          </cell>
          <cell r="N2567">
            <v>195348</v>
          </cell>
        </row>
        <row r="2568">
          <cell r="A2568">
            <v>50097</v>
          </cell>
          <cell r="B2568">
            <v>2562</v>
          </cell>
          <cell r="C2568" t="str">
            <v>IASWD2408000296</v>
          </cell>
          <cell r="D2568">
            <v>45509</v>
          </cell>
          <cell r="E2568">
            <v>46234</v>
          </cell>
          <cell r="F2568" t="str">
            <v>50097</v>
          </cell>
          <cell r="G2568" t="str">
            <v>榮剛七</v>
          </cell>
          <cell r="H2568">
            <v>500000</v>
          </cell>
          <cell r="I2568">
            <v>4.2</v>
          </cell>
          <cell r="J2568">
            <v>46234</v>
          </cell>
          <cell r="K2568">
            <v>101.51</v>
          </cell>
          <cell r="L2568">
            <v>46216</v>
          </cell>
          <cell r="M2568">
            <v>-16282</v>
          </cell>
          <cell r="N2568">
            <v>483718</v>
          </cell>
        </row>
        <row r="2569">
          <cell r="A2569">
            <v>84781</v>
          </cell>
          <cell r="B2569">
            <v>2563</v>
          </cell>
          <cell r="C2569" t="str">
            <v>IASWD2408000297</v>
          </cell>
          <cell r="D2569">
            <v>45509</v>
          </cell>
          <cell r="E2569">
            <v>46583</v>
          </cell>
          <cell r="F2569" t="str">
            <v>84781</v>
          </cell>
          <cell r="G2569" t="str">
            <v>東哥遊艇一</v>
          </cell>
          <cell r="H2569">
            <v>100000</v>
          </cell>
          <cell r="I2569">
            <v>3.1</v>
          </cell>
          <cell r="J2569">
            <v>46583</v>
          </cell>
          <cell r="K2569">
            <v>100</v>
          </cell>
          <cell r="L2569">
            <v>46563</v>
          </cell>
          <cell r="M2569">
            <v>-2404</v>
          </cell>
          <cell r="N2569">
            <v>97596</v>
          </cell>
        </row>
        <row r="2570">
          <cell r="A2570">
            <v>36804</v>
          </cell>
          <cell r="B2570">
            <v>2564</v>
          </cell>
          <cell r="C2570" t="str">
            <v>IASWD2408000298</v>
          </cell>
          <cell r="D2570">
            <v>45509</v>
          </cell>
          <cell r="E2570">
            <v>45948</v>
          </cell>
          <cell r="F2570" t="str">
            <v>36804</v>
          </cell>
          <cell r="G2570" t="str">
            <v>家登四</v>
          </cell>
          <cell r="H2570">
            <v>100000</v>
          </cell>
          <cell r="I2570">
            <v>3.2</v>
          </cell>
          <cell r="J2570">
            <v>45948</v>
          </cell>
          <cell r="K2570">
            <v>100</v>
          </cell>
          <cell r="L2570">
            <v>45926</v>
          </cell>
          <cell r="M2570">
            <v>-2481</v>
          </cell>
          <cell r="N2570">
            <v>97519</v>
          </cell>
        </row>
        <row r="2571">
          <cell r="A2571">
            <v>82551</v>
          </cell>
          <cell r="B2571">
            <v>2565</v>
          </cell>
          <cell r="C2571" t="str">
            <v>IASWD2408000299</v>
          </cell>
          <cell r="D2571">
            <v>45509</v>
          </cell>
          <cell r="E2571">
            <v>46243</v>
          </cell>
          <cell r="F2571" t="str">
            <v>82551</v>
          </cell>
          <cell r="G2571" t="str">
            <v>朋程一</v>
          </cell>
          <cell r="H2571">
            <v>200000</v>
          </cell>
          <cell r="I2571">
            <v>2.6</v>
          </cell>
          <cell r="J2571">
            <v>46243</v>
          </cell>
          <cell r="K2571">
            <v>100</v>
          </cell>
          <cell r="L2571">
            <v>46224</v>
          </cell>
          <cell r="M2571">
            <v>-4032</v>
          </cell>
          <cell r="N2571">
            <v>195968</v>
          </cell>
        </row>
        <row r="2572">
          <cell r="A2572">
            <v>33121</v>
          </cell>
          <cell r="B2572">
            <v>2566</v>
          </cell>
          <cell r="C2572" t="str">
            <v>IASWD2408000301</v>
          </cell>
          <cell r="D2572">
            <v>45509</v>
          </cell>
          <cell r="E2572">
            <v>46563</v>
          </cell>
          <cell r="F2572" t="str">
            <v>33121</v>
          </cell>
          <cell r="G2572" t="str">
            <v>弘憶股一</v>
          </cell>
          <cell r="H2572">
            <v>700000</v>
          </cell>
          <cell r="I2572">
            <v>3.5</v>
          </cell>
          <cell r="J2572">
            <v>46563</v>
          </cell>
          <cell r="K2572">
            <v>100</v>
          </cell>
          <cell r="L2572">
            <v>46545</v>
          </cell>
          <cell r="M2572">
            <v>-18996</v>
          </cell>
          <cell r="N2572">
            <v>681004</v>
          </cell>
        </row>
        <row r="2573">
          <cell r="A2573">
            <v>36804</v>
          </cell>
          <cell r="B2573">
            <v>2567</v>
          </cell>
          <cell r="C2573" t="str">
            <v>IASWD2408000307</v>
          </cell>
          <cell r="D2573">
            <v>45509</v>
          </cell>
          <cell r="E2573">
            <v>45948</v>
          </cell>
          <cell r="F2573" t="str">
            <v>36804</v>
          </cell>
          <cell r="G2573" t="str">
            <v>家登四</v>
          </cell>
          <cell r="H2573">
            <v>300000</v>
          </cell>
          <cell r="I2573">
            <v>3.2</v>
          </cell>
          <cell r="J2573">
            <v>45948</v>
          </cell>
          <cell r="K2573">
            <v>100</v>
          </cell>
          <cell r="L2573">
            <v>45926</v>
          </cell>
          <cell r="M2573">
            <v>-7443</v>
          </cell>
          <cell r="N2573">
            <v>292557</v>
          </cell>
        </row>
        <row r="2574">
          <cell r="A2574">
            <v>50097</v>
          </cell>
          <cell r="B2574">
            <v>2568</v>
          </cell>
          <cell r="C2574" t="str">
            <v>IASWD2408000308</v>
          </cell>
          <cell r="D2574">
            <v>45509</v>
          </cell>
          <cell r="E2574">
            <v>46234</v>
          </cell>
          <cell r="F2574" t="str">
            <v>50097</v>
          </cell>
          <cell r="G2574" t="str">
            <v>榮剛七</v>
          </cell>
          <cell r="H2574">
            <v>200000</v>
          </cell>
          <cell r="I2574">
            <v>4.2</v>
          </cell>
          <cell r="J2574">
            <v>46234</v>
          </cell>
          <cell r="K2574">
            <v>101.51</v>
          </cell>
          <cell r="L2574">
            <v>46216</v>
          </cell>
          <cell r="M2574">
            <v>-6513</v>
          </cell>
          <cell r="N2574">
            <v>193487</v>
          </cell>
        </row>
        <row r="2575">
          <cell r="A2575">
            <v>33121</v>
          </cell>
          <cell r="B2575">
            <v>2569</v>
          </cell>
          <cell r="C2575" t="str">
            <v>IASWD2408000310</v>
          </cell>
          <cell r="D2575">
            <v>45509</v>
          </cell>
          <cell r="E2575">
            <v>46563</v>
          </cell>
          <cell r="F2575" t="str">
            <v>33121</v>
          </cell>
          <cell r="G2575" t="str">
            <v>弘憶股一</v>
          </cell>
          <cell r="H2575">
            <v>200000</v>
          </cell>
          <cell r="I2575">
            <v>3.5</v>
          </cell>
          <cell r="J2575">
            <v>46563</v>
          </cell>
          <cell r="K2575">
            <v>100</v>
          </cell>
          <cell r="L2575">
            <v>46545</v>
          </cell>
          <cell r="M2575">
            <v>-5427</v>
          </cell>
          <cell r="N2575">
            <v>194573</v>
          </cell>
        </row>
        <row r="2576">
          <cell r="A2576">
            <v>56086</v>
          </cell>
          <cell r="B2576">
            <v>2570</v>
          </cell>
          <cell r="C2576" t="str">
            <v>IASWD2408000311</v>
          </cell>
          <cell r="D2576">
            <v>45509</v>
          </cell>
          <cell r="E2576">
            <v>46194</v>
          </cell>
          <cell r="F2576" t="str">
            <v>56086</v>
          </cell>
          <cell r="G2576" t="str">
            <v>四維航六</v>
          </cell>
          <cell r="H2576">
            <v>100000</v>
          </cell>
          <cell r="I2576">
            <v>2.35</v>
          </cell>
          <cell r="J2576">
            <v>46194</v>
          </cell>
          <cell r="K2576">
            <v>100</v>
          </cell>
          <cell r="L2576">
            <v>46175</v>
          </cell>
          <cell r="M2576">
            <v>-1822</v>
          </cell>
          <cell r="N2576">
            <v>98178</v>
          </cell>
        </row>
        <row r="2577">
          <cell r="A2577">
            <v>20632</v>
          </cell>
          <cell r="B2577">
            <v>2571</v>
          </cell>
          <cell r="C2577" t="str">
            <v>IASWD2408000313</v>
          </cell>
          <cell r="D2577">
            <v>45509</v>
          </cell>
          <cell r="E2577">
            <v>45971</v>
          </cell>
          <cell r="F2577" t="str">
            <v>20632</v>
          </cell>
          <cell r="G2577" t="str">
            <v>世鎧二</v>
          </cell>
          <cell r="H2577">
            <v>100000</v>
          </cell>
          <cell r="I2577">
            <v>3.25</v>
          </cell>
          <cell r="J2577">
            <v>45971</v>
          </cell>
          <cell r="K2577">
            <v>100</v>
          </cell>
          <cell r="L2577">
            <v>45951</v>
          </cell>
          <cell r="M2577">
            <v>-2520</v>
          </cell>
          <cell r="N2577">
            <v>97480</v>
          </cell>
        </row>
        <row r="2578">
          <cell r="A2578">
            <v>36804</v>
          </cell>
          <cell r="B2578">
            <v>2572</v>
          </cell>
          <cell r="C2578" t="str">
            <v>IASWD2408000315</v>
          </cell>
          <cell r="D2578">
            <v>45509</v>
          </cell>
          <cell r="E2578">
            <v>45948</v>
          </cell>
          <cell r="F2578" t="str">
            <v>36804</v>
          </cell>
          <cell r="G2578" t="str">
            <v>家登四</v>
          </cell>
          <cell r="H2578">
            <v>100000</v>
          </cell>
          <cell r="I2578">
            <v>3.2</v>
          </cell>
          <cell r="J2578">
            <v>45948</v>
          </cell>
          <cell r="K2578">
            <v>100</v>
          </cell>
          <cell r="L2578">
            <v>45926</v>
          </cell>
          <cell r="M2578">
            <v>-2481</v>
          </cell>
          <cell r="N2578">
            <v>97519</v>
          </cell>
        </row>
        <row r="2579">
          <cell r="A2579">
            <v>50097</v>
          </cell>
          <cell r="B2579">
            <v>2573</v>
          </cell>
          <cell r="C2579" t="str">
            <v>IASWD2408000316</v>
          </cell>
          <cell r="D2579">
            <v>45509</v>
          </cell>
          <cell r="E2579">
            <v>46234</v>
          </cell>
          <cell r="F2579" t="str">
            <v>50097</v>
          </cell>
          <cell r="G2579" t="str">
            <v>榮剛七</v>
          </cell>
          <cell r="H2579">
            <v>100000</v>
          </cell>
          <cell r="I2579">
            <v>4.2</v>
          </cell>
          <cell r="J2579">
            <v>46234</v>
          </cell>
          <cell r="K2579">
            <v>101.51</v>
          </cell>
          <cell r="L2579">
            <v>46216</v>
          </cell>
          <cell r="M2579">
            <v>-3256</v>
          </cell>
          <cell r="N2579">
            <v>96744</v>
          </cell>
        </row>
        <row r="2580">
          <cell r="A2580">
            <v>82551</v>
          </cell>
          <cell r="B2580">
            <v>2574</v>
          </cell>
          <cell r="C2580" t="str">
            <v>IASWD2408000317</v>
          </cell>
          <cell r="D2580">
            <v>45509</v>
          </cell>
          <cell r="E2580">
            <v>46243</v>
          </cell>
          <cell r="F2580" t="str">
            <v>82551</v>
          </cell>
          <cell r="G2580" t="str">
            <v>朋程一</v>
          </cell>
          <cell r="H2580">
            <v>100000</v>
          </cell>
          <cell r="I2580">
            <v>2.6</v>
          </cell>
          <cell r="J2580">
            <v>46243</v>
          </cell>
          <cell r="K2580">
            <v>100</v>
          </cell>
          <cell r="L2580">
            <v>46224</v>
          </cell>
          <cell r="M2580">
            <v>-2016</v>
          </cell>
          <cell r="N2580">
            <v>97984</v>
          </cell>
        </row>
        <row r="2581">
          <cell r="A2581">
            <v>67531</v>
          </cell>
          <cell r="B2581">
            <v>2575</v>
          </cell>
          <cell r="C2581" t="str">
            <v>IASWD2408000323</v>
          </cell>
          <cell r="D2581">
            <v>45509</v>
          </cell>
          <cell r="E2581">
            <v>46563</v>
          </cell>
          <cell r="F2581" t="str">
            <v>67531</v>
          </cell>
          <cell r="G2581" t="str">
            <v>龍德造船一</v>
          </cell>
          <cell r="H2581">
            <v>200000</v>
          </cell>
          <cell r="I2581">
            <v>3.5</v>
          </cell>
          <cell r="J2581">
            <v>46563</v>
          </cell>
          <cell r="K2581">
            <v>100</v>
          </cell>
          <cell r="L2581">
            <v>46545</v>
          </cell>
          <cell r="M2581">
            <v>-5427</v>
          </cell>
          <cell r="N2581">
            <v>194573</v>
          </cell>
        </row>
        <row r="2582">
          <cell r="A2582">
            <v>89964</v>
          </cell>
          <cell r="B2582">
            <v>2576</v>
          </cell>
          <cell r="C2582" t="str">
            <v>IASWD2408000324</v>
          </cell>
          <cell r="D2582">
            <v>45509</v>
          </cell>
          <cell r="E2582">
            <v>46362</v>
          </cell>
          <cell r="F2582" t="str">
            <v>89964</v>
          </cell>
          <cell r="G2582" t="str">
            <v>高力四</v>
          </cell>
          <cell r="H2582">
            <v>100000</v>
          </cell>
          <cell r="I2582">
            <v>3.5</v>
          </cell>
          <cell r="J2582">
            <v>46362</v>
          </cell>
          <cell r="K2582">
            <v>100.75190000000001</v>
          </cell>
          <cell r="L2582">
            <v>46343</v>
          </cell>
          <cell r="M2582">
            <v>-2714</v>
          </cell>
          <cell r="N2582">
            <v>97286</v>
          </cell>
        </row>
        <row r="2583">
          <cell r="A2583">
            <v>84781</v>
          </cell>
          <cell r="B2583">
            <v>2577</v>
          </cell>
          <cell r="C2583" t="str">
            <v>IASWD2408000325</v>
          </cell>
          <cell r="D2583">
            <v>45509</v>
          </cell>
          <cell r="E2583">
            <v>46583</v>
          </cell>
          <cell r="F2583" t="str">
            <v>84781</v>
          </cell>
          <cell r="G2583" t="str">
            <v>東哥遊艇一</v>
          </cell>
          <cell r="H2583">
            <v>100000</v>
          </cell>
          <cell r="I2583">
            <v>3.1</v>
          </cell>
          <cell r="J2583">
            <v>46583</v>
          </cell>
          <cell r="K2583">
            <v>100</v>
          </cell>
          <cell r="L2583">
            <v>46563</v>
          </cell>
          <cell r="M2583">
            <v>-2404</v>
          </cell>
          <cell r="N2583">
            <v>97596</v>
          </cell>
        </row>
        <row r="2584">
          <cell r="A2584">
            <v>64145</v>
          </cell>
          <cell r="B2584">
            <v>2578</v>
          </cell>
          <cell r="C2584" t="str">
            <v>IASWD2408000328</v>
          </cell>
          <cell r="D2584">
            <v>45509</v>
          </cell>
          <cell r="E2584">
            <v>46250</v>
          </cell>
          <cell r="F2584" t="str">
            <v>64145</v>
          </cell>
          <cell r="G2584" t="str">
            <v>樺漢五</v>
          </cell>
          <cell r="H2584">
            <v>100000</v>
          </cell>
          <cell r="I2584">
            <v>3</v>
          </cell>
          <cell r="J2584">
            <v>46250</v>
          </cell>
          <cell r="K2584">
            <v>100</v>
          </cell>
          <cell r="L2584">
            <v>46231</v>
          </cell>
          <cell r="M2584">
            <v>-2326</v>
          </cell>
          <cell r="N2584">
            <v>97674</v>
          </cell>
        </row>
        <row r="2585">
          <cell r="A2585">
            <v>84781</v>
          </cell>
          <cell r="B2585">
            <v>2579</v>
          </cell>
          <cell r="C2585" t="str">
            <v>IASWD2408000329</v>
          </cell>
          <cell r="D2585">
            <v>45509</v>
          </cell>
          <cell r="E2585">
            <v>46583</v>
          </cell>
          <cell r="F2585" t="str">
            <v>84781</v>
          </cell>
          <cell r="G2585" t="str">
            <v>東哥遊艇一</v>
          </cell>
          <cell r="H2585">
            <v>400000</v>
          </cell>
          <cell r="I2585">
            <v>3.1</v>
          </cell>
          <cell r="J2585">
            <v>46583</v>
          </cell>
          <cell r="K2585">
            <v>100</v>
          </cell>
          <cell r="L2585">
            <v>46563</v>
          </cell>
          <cell r="M2585">
            <v>-9614</v>
          </cell>
          <cell r="N2585">
            <v>390386</v>
          </cell>
        </row>
        <row r="2586">
          <cell r="A2586">
            <v>34843</v>
          </cell>
          <cell r="B2586">
            <v>2580</v>
          </cell>
          <cell r="C2586" t="str">
            <v>IASWD2408000330</v>
          </cell>
          <cell r="D2586">
            <v>45509</v>
          </cell>
          <cell r="E2586">
            <v>46136</v>
          </cell>
          <cell r="F2586" t="str">
            <v>34843</v>
          </cell>
          <cell r="G2586" t="str">
            <v>崧騰三</v>
          </cell>
          <cell r="H2586">
            <v>500000</v>
          </cell>
          <cell r="I2586">
            <v>3.5</v>
          </cell>
          <cell r="J2586">
            <v>46136</v>
          </cell>
          <cell r="K2586">
            <v>100.75</v>
          </cell>
          <cell r="L2586">
            <v>46118</v>
          </cell>
          <cell r="M2586">
            <v>-13568</v>
          </cell>
          <cell r="N2586">
            <v>486432</v>
          </cell>
        </row>
        <row r="2587">
          <cell r="A2587">
            <v>64145</v>
          </cell>
          <cell r="B2587">
            <v>2581</v>
          </cell>
          <cell r="C2587" t="str">
            <v>IASWD2408000332</v>
          </cell>
          <cell r="D2587">
            <v>45509</v>
          </cell>
          <cell r="E2587">
            <v>46250</v>
          </cell>
          <cell r="F2587" t="str">
            <v>64145</v>
          </cell>
          <cell r="G2587" t="str">
            <v>樺漢五</v>
          </cell>
          <cell r="H2587">
            <v>200000</v>
          </cell>
          <cell r="I2587">
            <v>3</v>
          </cell>
          <cell r="J2587">
            <v>46250</v>
          </cell>
          <cell r="K2587">
            <v>100</v>
          </cell>
          <cell r="L2587">
            <v>46231</v>
          </cell>
          <cell r="M2587">
            <v>-4652</v>
          </cell>
          <cell r="N2587">
            <v>195348</v>
          </cell>
        </row>
        <row r="2588">
          <cell r="A2588">
            <v>61965</v>
          </cell>
          <cell r="B2588">
            <v>2582</v>
          </cell>
          <cell r="C2588" t="str">
            <v>IASWD2408000333</v>
          </cell>
          <cell r="D2588">
            <v>45509</v>
          </cell>
          <cell r="E2588">
            <v>46200</v>
          </cell>
          <cell r="F2588" t="str">
            <v>61965</v>
          </cell>
          <cell r="G2588" t="str">
            <v>帆宣五</v>
          </cell>
          <cell r="H2588">
            <v>100000</v>
          </cell>
          <cell r="I2588">
            <v>3</v>
          </cell>
          <cell r="J2588">
            <v>46200</v>
          </cell>
          <cell r="K2588">
            <v>100</v>
          </cell>
          <cell r="L2588">
            <v>46182</v>
          </cell>
          <cell r="M2588">
            <v>-2326</v>
          </cell>
          <cell r="N2588">
            <v>97674</v>
          </cell>
        </row>
        <row r="2589">
          <cell r="A2589">
            <v>50097</v>
          </cell>
          <cell r="B2589">
            <v>2583</v>
          </cell>
          <cell r="C2589" t="str">
            <v>IASWD2408000334</v>
          </cell>
          <cell r="D2589">
            <v>45509</v>
          </cell>
          <cell r="E2589">
            <v>46234</v>
          </cell>
          <cell r="F2589" t="str">
            <v>50097</v>
          </cell>
          <cell r="G2589" t="str">
            <v>榮剛七</v>
          </cell>
          <cell r="H2589">
            <v>100000</v>
          </cell>
          <cell r="I2589">
            <v>4.2</v>
          </cell>
          <cell r="J2589">
            <v>46234</v>
          </cell>
          <cell r="K2589">
            <v>101.51</v>
          </cell>
          <cell r="L2589">
            <v>46216</v>
          </cell>
          <cell r="M2589">
            <v>-3256</v>
          </cell>
          <cell r="N2589">
            <v>96744</v>
          </cell>
        </row>
        <row r="2590">
          <cell r="A2590">
            <v>34834</v>
          </cell>
          <cell r="B2590">
            <v>2584</v>
          </cell>
          <cell r="C2590" t="str">
            <v>IASWD2408000335</v>
          </cell>
          <cell r="D2590">
            <v>45509</v>
          </cell>
          <cell r="E2590">
            <v>46529</v>
          </cell>
          <cell r="F2590" t="str">
            <v>34834</v>
          </cell>
          <cell r="G2590" t="str">
            <v>力致四</v>
          </cell>
          <cell r="H2590">
            <v>1500000</v>
          </cell>
          <cell r="I2590">
            <v>3.75</v>
          </cell>
          <cell r="J2590">
            <v>46529</v>
          </cell>
          <cell r="K2590">
            <v>100</v>
          </cell>
          <cell r="L2590">
            <v>46511</v>
          </cell>
          <cell r="M2590">
            <v>-43613</v>
          </cell>
          <cell r="N2590">
            <v>1456387</v>
          </cell>
        </row>
        <row r="2591">
          <cell r="A2591">
            <v>84781</v>
          </cell>
          <cell r="B2591">
            <v>2585</v>
          </cell>
          <cell r="C2591" t="str">
            <v>IASWD2408000339</v>
          </cell>
          <cell r="D2591">
            <v>45509</v>
          </cell>
          <cell r="E2591">
            <v>46583</v>
          </cell>
          <cell r="F2591" t="str">
            <v>84781</v>
          </cell>
          <cell r="G2591" t="str">
            <v>東哥遊艇一</v>
          </cell>
          <cell r="H2591">
            <v>100000</v>
          </cell>
          <cell r="I2591">
            <v>3.1</v>
          </cell>
          <cell r="J2591">
            <v>46583</v>
          </cell>
          <cell r="K2591">
            <v>100</v>
          </cell>
          <cell r="L2591">
            <v>46563</v>
          </cell>
          <cell r="M2591">
            <v>-2404</v>
          </cell>
          <cell r="N2591">
            <v>97596</v>
          </cell>
        </row>
        <row r="2592">
          <cell r="A2592">
            <v>64145</v>
          </cell>
          <cell r="B2592">
            <v>2586</v>
          </cell>
          <cell r="C2592" t="str">
            <v>IASWD2408000340</v>
          </cell>
          <cell r="D2592">
            <v>45509</v>
          </cell>
          <cell r="E2592">
            <v>46250</v>
          </cell>
          <cell r="F2592" t="str">
            <v>64145</v>
          </cell>
          <cell r="G2592" t="str">
            <v>樺漢五</v>
          </cell>
          <cell r="H2592">
            <v>200000</v>
          </cell>
          <cell r="I2592">
            <v>3</v>
          </cell>
          <cell r="J2592">
            <v>46250</v>
          </cell>
          <cell r="K2592">
            <v>100</v>
          </cell>
          <cell r="L2592">
            <v>46231</v>
          </cell>
          <cell r="M2592">
            <v>-4652</v>
          </cell>
          <cell r="N2592">
            <v>195348</v>
          </cell>
        </row>
        <row r="2593">
          <cell r="A2593">
            <v>84781</v>
          </cell>
          <cell r="B2593">
            <v>2587</v>
          </cell>
          <cell r="C2593" t="str">
            <v>IASWD2408000343</v>
          </cell>
          <cell r="D2593">
            <v>45509</v>
          </cell>
          <cell r="E2593">
            <v>46583</v>
          </cell>
          <cell r="F2593" t="str">
            <v>84781</v>
          </cell>
          <cell r="G2593" t="str">
            <v>東哥遊艇一</v>
          </cell>
          <cell r="H2593">
            <v>100000</v>
          </cell>
          <cell r="I2593">
            <v>3.1</v>
          </cell>
          <cell r="J2593">
            <v>46583</v>
          </cell>
          <cell r="K2593">
            <v>100</v>
          </cell>
          <cell r="L2593">
            <v>46563</v>
          </cell>
          <cell r="M2593">
            <v>-2404</v>
          </cell>
          <cell r="N2593">
            <v>97596</v>
          </cell>
        </row>
        <row r="2594">
          <cell r="A2594">
            <v>64145</v>
          </cell>
          <cell r="B2594">
            <v>2588</v>
          </cell>
          <cell r="C2594" t="str">
            <v>IASWD2408000345</v>
          </cell>
          <cell r="D2594">
            <v>45509</v>
          </cell>
          <cell r="E2594">
            <v>46250</v>
          </cell>
          <cell r="F2594" t="str">
            <v>64145</v>
          </cell>
          <cell r="G2594" t="str">
            <v>樺漢五</v>
          </cell>
          <cell r="H2594">
            <v>400000</v>
          </cell>
          <cell r="I2594">
            <v>3</v>
          </cell>
          <cell r="J2594">
            <v>46250</v>
          </cell>
          <cell r="K2594">
            <v>100</v>
          </cell>
          <cell r="L2594">
            <v>46231</v>
          </cell>
          <cell r="M2594">
            <v>-9304</v>
          </cell>
          <cell r="N2594">
            <v>390696</v>
          </cell>
        </row>
        <row r="2595">
          <cell r="A2595">
            <v>64145</v>
          </cell>
          <cell r="B2595">
            <v>2589</v>
          </cell>
          <cell r="C2595" t="str">
            <v>IASWD2408000346</v>
          </cell>
          <cell r="D2595">
            <v>45509</v>
          </cell>
          <cell r="E2595">
            <v>46250</v>
          </cell>
          <cell r="F2595" t="str">
            <v>64145</v>
          </cell>
          <cell r="G2595" t="str">
            <v>樺漢五</v>
          </cell>
          <cell r="H2595">
            <v>100000</v>
          </cell>
          <cell r="I2595">
            <v>3</v>
          </cell>
          <cell r="J2595">
            <v>46250</v>
          </cell>
          <cell r="K2595">
            <v>100</v>
          </cell>
          <cell r="L2595">
            <v>46231</v>
          </cell>
          <cell r="M2595">
            <v>-2326</v>
          </cell>
          <cell r="N2595">
            <v>97674</v>
          </cell>
        </row>
        <row r="2596">
          <cell r="A2596">
            <v>65096</v>
          </cell>
          <cell r="B2596">
            <v>2590</v>
          </cell>
          <cell r="C2596" t="str">
            <v>IASWD2408000350</v>
          </cell>
          <cell r="D2596">
            <v>45509</v>
          </cell>
          <cell r="E2596">
            <v>46206</v>
          </cell>
          <cell r="F2596" t="str">
            <v>65096</v>
          </cell>
          <cell r="G2596" t="str">
            <v>聚和六</v>
          </cell>
          <cell r="H2596">
            <v>100000</v>
          </cell>
          <cell r="I2596">
            <v>3.1</v>
          </cell>
          <cell r="J2596">
            <v>46206</v>
          </cell>
          <cell r="K2596">
            <v>100</v>
          </cell>
          <cell r="L2596">
            <v>46188</v>
          </cell>
          <cell r="M2596">
            <v>-2404</v>
          </cell>
          <cell r="N2596">
            <v>97596</v>
          </cell>
        </row>
        <row r="2597">
          <cell r="A2597">
            <v>64145</v>
          </cell>
          <cell r="B2597">
            <v>2591</v>
          </cell>
          <cell r="C2597" t="str">
            <v>IASWD2408000351</v>
          </cell>
          <cell r="D2597">
            <v>45509</v>
          </cell>
          <cell r="E2597">
            <v>46250</v>
          </cell>
          <cell r="F2597" t="str">
            <v>64145</v>
          </cell>
          <cell r="G2597" t="str">
            <v>樺漢五</v>
          </cell>
          <cell r="H2597">
            <v>100000</v>
          </cell>
          <cell r="I2597">
            <v>3</v>
          </cell>
          <cell r="J2597">
            <v>46250</v>
          </cell>
          <cell r="K2597">
            <v>100</v>
          </cell>
          <cell r="L2597">
            <v>46231</v>
          </cell>
          <cell r="M2597">
            <v>-2326</v>
          </cell>
          <cell r="N2597">
            <v>97674</v>
          </cell>
        </row>
        <row r="2598">
          <cell r="A2598">
            <v>65096</v>
          </cell>
          <cell r="B2598">
            <v>2592</v>
          </cell>
          <cell r="C2598" t="str">
            <v>IASWD2408000354</v>
          </cell>
          <cell r="D2598">
            <v>45509</v>
          </cell>
          <cell r="E2598">
            <v>46206</v>
          </cell>
          <cell r="F2598" t="str">
            <v>65096</v>
          </cell>
          <cell r="G2598" t="str">
            <v>聚和六</v>
          </cell>
          <cell r="H2598">
            <v>300000</v>
          </cell>
          <cell r="I2598">
            <v>3.1</v>
          </cell>
          <cell r="J2598">
            <v>46206</v>
          </cell>
          <cell r="K2598">
            <v>100</v>
          </cell>
          <cell r="L2598">
            <v>46188</v>
          </cell>
          <cell r="M2598">
            <v>-7211</v>
          </cell>
          <cell r="N2598">
            <v>292789</v>
          </cell>
        </row>
        <row r="2599">
          <cell r="A2599">
            <v>84781</v>
          </cell>
          <cell r="B2599">
            <v>2593</v>
          </cell>
          <cell r="C2599" t="str">
            <v>IASWD2408000355</v>
          </cell>
          <cell r="D2599">
            <v>45509</v>
          </cell>
          <cell r="E2599">
            <v>46583</v>
          </cell>
          <cell r="F2599" t="str">
            <v>84781</v>
          </cell>
          <cell r="G2599" t="str">
            <v>東哥遊艇一</v>
          </cell>
          <cell r="H2599">
            <v>100000</v>
          </cell>
          <cell r="I2599">
            <v>3.1</v>
          </cell>
          <cell r="J2599">
            <v>46583</v>
          </cell>
          <cell r="K2599">
            <v>100</v>
          </cell>
          <cell r="L2599">
            <v>46563</v>
          </cell>
          <cell r="M2599">
            <v>-2404</v>
          </cell>
          <cell r="N2599">
            <v>97596</v>
          </cell>
        </row>
        <row r="2600">
          <cell r="A2600">
            <v>64145</v>
          </cell>
          <cell r="B2600">
            <v>2594</v>
          </cell>
          <cell r="C2600" t="str">
            <v>IASWD2408000356</v>
          </cell>
          <cell r="D2600">
            <v>45509</v>
          </cell>
          <cell r="E2600">
            <v>46250</v>
          </cell>
          <cell r="F2600" t="str">
            <v>64145</v>
          </cell>
          <cell r="G2600" t="str">
            <v>樺漢五</v>
          </cell>
          <cell r="H2600">
            <v>300000</v>
          </cell>
          <cell r="I2600">
            <v>3</v>
          </cell>
          <cell r="J2600">
            <v>46250</v>
          </cell>
          <cell r="K2600">
            <v>100</v>
          </cell>
          <cell r="L2600">
            <v>46231</v>
          </cell>
          <cell r="M2600">
            <v>-6978</v>
          </cell>
          <cell r="N2600">
            <v>293022</v>
          </cell>
        </row>
        <row r="2601">
          <cell r="A2601">
            <v>34834</v>
          </cell>
          <cell r="B2601">
            <v>2595</v>
          </cell>
          <cell r="C2601" t="str">
            <v>IASWD2408000357</v>
          </cell>
          <cell r="D2601">
            <v>45509</v>
          </cell>
          <cell r="E2601">
            <v>46529</v>
          </cell>
          <cell r="F2601" t="str">
            <v>34834</v>
          </cell>
          <cell r="G2601" t="str">
            <v>力致四</v>
          </cell>
          <cell r="H2601">
            <v>300000</v>
          </cell>
          <cell r="I2601">
            <v>3.75</v>
          </cell>
          <cell r="J2601">
            <v>46529</v>
          </cell>
          <cell r="K2601">
            <v>100</v>
          </cell>
          <cell r="L2601">
            <v>46511</v>
          </cell>
          <cell r="M2601">
            <v>-8723</v>
          </cell>
          <cell r="N2601">
            <v>291277</v>
          </cell>
        </row>
        <row r="2602">
          <cell r="A2602">
            <v>84781</v>
          </cell>
          <cell r="B2602">
            <v>2596</v>
          </cell>
          <cell r="C2602" t="str">
            <v>IASWD2408000359</v>
          </cell>
          <cell r="D2602">
            <v>45509</v>
          </cell>
          <cell r="E2602">
            <v>46583</v>
          </cell>
          <cell r="F2602" t="str">
            <v>84781</v>
          </cell>
          <cell r="G2602" t="str">
            <v>東哥遊艇一</v>
          </cell>
          <cell r="H2602">
            <v>200000</v>
          </cell>
          <cell r="I2602">
            <v>3.1</v>
          </cell>
          <cell r="J2602">
            <v>46583</v>
          </cell>
          <cell r="K2602">
            <v>100</v>
          </cell>
          <cell r="L2602">
            <v>46563</v>
          </cell>
          <cell r="M2602">
            <v>-4807</v>
          </cell>
          <cell r="N2602">
            <v>195193</v>
          </cell>
        </row>
        <row r="2603">
          <cell r="A2603">
            <v>35482</v>
          </cell>
          <cell r="B2603">
            <v>2597</v>
          </cell>
          <cell r="C2603" t="str">
            <v>IASWD2408000361</v>
          </cell>
          <cell r="D2603">
            <v>45509</v>
          </cell>
          <cell r="E2603">
            <v>46395</v>
          </cell>
          <cell r="F2603" t="str">
            <v>35482</v>
          </cell>
          <cell r="G2603" t="str">
            <v>兆利二</v>
          </cell>
          <cell r="H2603">
            <v>700000</v>
          </cell>
          <cell r="I2603">
            <v>3</v>
          </cell>
          <cell r="J2603">
            <v>46395</v>
          </cell>
          <cell r="K2603">
            <v>100</v>
          </cell>
          <cell r="L2603">
            <v>46377</v>
          </cell>
          <cell r="M2603">
            <v>-16282</v>
          </cell>
          <cell r="N2603">
            <v>683718</v>
          </cell>
        </row>
        <row r="2604">
          <cell r="A2604">
            <v>34834</v>
          </cell>
          <cell r="B2604">
            <v>2598</v>
          </cell>
          <cell r="C2604" t="str">
            <v>IASWD2408000362</v>
          </cell>
          <cell r="D2604">
            <v>45509</v>
          </cell>
          <cell r="E2604">
            <v>46529</v>
          </cell>
          <cell r="F2604" t="str">
            <v>34834</v>
          </cell>
          <cell r="G2604" t="str">
            <v>力致四</v>
          </cell>
          <cell r="H2604">
            <v>100000</v>
          </cell>
          <cell r="I2604">
            <v>3.75</v>
          </cell>
          <cell r="J2604">
            <v>46529</v>
          </cell>
          <cell r="K2604">
            <v>100</v>
          </cell>
          <cell r="L2604">
            <v>46511</v>
          </cell>
          <cell r="M2604">
            <v>-2908</v>
          </cell>
          <cell r="N2604">
            <v>97092</v>
          </cell>
        </row>
        <row r="2605">
          <cell r="A2605">
            <v>84781</v>
          </cell>
          <cell r="B2605">
            <v>2599</v>
          </cell>
          <cell r="C2605" t="str">
            <v>IASWD2408000364</v>
          </cell>
          <cell r="D2605">
            <v>45509</v>
          </cell>
          <cell r="E2605">
            <v>46583</v>
          </cell>
          <cell r="F2605" t="str">
            <v>84781</v>
          </cell>
          <cell r="G2605" t="str">
            <v>東哥遊艇一</v>
          </cell>
          <cell r="H2605">
            <v>100000</v>
          </cell>
          <cell r="I2605">
            <v>3.1</v>
          </cell>
          <cell r="J2605">
            <v>46583</v>
          </cell>
          <cell r="K2605">
            <v>100</v>
          </cell>
          <cell r="L2605">
            <v>46563</v>
          </cell>
          <cell r="M2605">
            <v>-2404</v>
          </cell>
          <cell r="N2605">
            <v>97596</v>
          </cell>
        </row>
        <row r="2606">
          <cell r="A2606">
            <v>34834</v>
          </cell>
          <cell r="B2606">
            <v>2600</v>
          </cell>
          <cell r="C2606" t="str">
            <v>IASWD2408000366</v>
          </cell>
          <cell r="D2606">
            <v>45509</v>
          </cell>
          <cell r="E2606">
            <v>46529</v>
          </cell>
          <cell r="F2606" t="str">
            <v>34834</v>
          </cell>
          <cell r="G2606" t="str">
            <v>力致四</v>
          </cell>
          <cell r="H2606">
            <v>100000</v>
          </cell>
          <cell r="I2606">
            <v>3.75</v>
          </cell>
          <cell r="J2606">
            <v>46529</v>
          </cell>
          <cell r="K2606">
            <v>100</v>
          </cell>
          <cell r="L2606">
            <v>46511</v>
          </cell>
          <cell r="M2606">
            <v>-2908</v>
          </cell>
          <cell r="N2606">
            <v>97092</v>
          </cell>
        </row>
        <row r="2607">
          <cell r="A2607">
            <v>35266</v>
          </cell>
          <cell r="B2607">
            <v>2601</v>
          </cell>
          <cell r="C2607" t="str">
            <v>IASWD2408000367</v>
          </cell>
          <cell r="D2607">
            <v>45509</v>
          </cell>
          <cell r="E2607">
            <v>46416</v>
          </cell>
          <cell r="F2607" t="str">
            <v>35266</v>
          </cell>
          <cell r="G2607" t="str">
            <v>凡甲六</v>
          </cell>
          <cell r="H2607">
            <v>100000</v>
          </cell>
          <cell r="I2607">
            <v>3.5</v>
          </cell>
          <cell r="J2607">
            <v>46416</v>
          </cell>
          <cell r="K2607">
            <v>100</v>
          </cell>
          <cell r="L2607">
            <v>46398</v>
          </cell>
          <cell r="M2607">
            <v>-2714</v>
          </cell>
          <cell r="N2607">
            <v>97286</v>
          </cell>
        </row>
        <row r="2608">
          <cell r="A2608">
            <v>65096</v>
          </cell>
          <cell r="B2608">
            <v>2602</v>
          </cell>
          <cell r="C2608" t="str">
            <v>IASWD2408000368</v>
          </cell>
          <cell r="D2608">
            <v>45509</v>
          </cell>
          <cell r="E2608">
            <v>46206</v>
          </cell>
          <cell r="F2608" t="str">
            <v>65096</v>
          </cell>
          <cell r="G2608" t="str">
            <v>聚和六</v>
          </cell>
          <cell r="H2608">
            <v>100000</v>
          </cell>
          <cell r="I2608">
            <v>3.1</v>
          </cell>
          <cell r="J2608">
            <v>46206</v>
          </cell>
          <cell r="K2608">
            <v>100</v>
          </cell>
          <cell r="L2608">
            <v>46188</v>
          </cell>
          <cell r="M2608">
            <v>-2404</v>
          </cell>
          <cell r="N2608">
            <v>97596</v>
          </cell>
        </row>
        <row r="2609">
          <cell r="A2609">
            <v>64145</v>
          </cell>
          <cell r="B2609">
            <v>2603</v>
          </cell>
          <cell r="C2609" t="str">
            <v>IASWD2408000370</v>
          </cell>
          <cell r="D2609">
            <v>45509</v>
          </cell>
          <cell r="E2609">
            <v>46250</v>
          </cell>
          <cell r="F2609" t="str">
            <v>64145</v>
          </cell>
          <cell r="G2609" t="str">
            <v>樺漢五</v>
          </cell>
          <cell r="H2609">
            <v>2000000</v>
          </cell>
          <cell r="I2609">
            <v>3</v>
          </cell>
          <cell r="J2609">
            <v>46250</v>
          </cell>
          <cell r="K2609">
            <v>100</v>
          </cell>
          <cell r="L2609">
            <v>46231</v>
          </cell>
          <cell r="M2609">
            <v>-46521</v>
          </cell>
          <cell r="N2609">
            <v>1953479</v>
          </cell>
        </row>
        <row r="2610">
          <cell r="A2610">
            <v>64145</v>
          </cell>
          <cell r="B2610">
            <v>2604</v>
          </cell>
          <cell r="C2610" t="str">
            <v>IASWD2408000372</v>
          </cell>
          <cell r="D2610">
            <v>45509</v>
          </cell>
          <cell r="E2610">
            <v>46250</v>
          </cell>
          <cell r="F2610" t="str">
            <v>64145</v>
          </cell>
          <cell r="G2610" t="str">
            <v>樺漢五</v>
          </cell>
          <cell r="H2610">
            <v>100000</v>
          </cell>
          <cell r="I2610">
            <v>3</v>
          </cell>
          <cell r="J2610">
            <v>46250</v>
          </cell>
          <cell r="K2610">
            <v>100</v>
          </cell>
          <cell r="L2610">
            <v>46231</v>
          </cell>
          <cell r="M2610">
            <v>-2326</v>
          </cell>
          <cell r="N2610">
            <v>97674</v>
          </cell>
        </row>
        <row r="2611">
          <cell r="A2611">
            <v>33121</v>
          </cell>
          <cell r="B2611">
            <v>2605</v>
          </cell>
          <cell r="C2611" t="str">
            <v>IASWD2408000378</v>
          </cell>
          <cell r="D2611">
            <v>45509</v>
          </cell>
          <cell r="E2611">
            <v>46563</v>
          </cell>
          <cell r="F2611" t="str">
            <v>33121</v>
          </cell>
          <cell r="G2611" t="str">
            <v>弘憶股一</v>
          </cell>
          <cell r="H2611">
            <v>500000</v>
          </cell>
          <cell r="I2611">
            <v>3.5</v>
          </cell>
          <cell r="J2611">
            <v>46563</v>
          </cell>
          <cell r="K2611">
            <v>100</v>
          </cell>
          <cell r="L2611">
            <v>46545</v>
          </cell>
          <cell r="M2611">
            <v>-13568</v>
          </cell>
          <cell r="N2611">
            <v>486432</v>
          </cell>
        </row>
        <row r="2612">
          <cell r="A2612">
            <v>20632</v>
          </cell>
          <cell r="B2612">
            <v>2606</v>
          </cell>
          <cell r="C2612" t="str">
            <v>IASWD2408000379</v>
          </cell>
          <cell r="D2612">
            <v>45509</v>
          </cell>
          <cell r="E2612">
            <v>45971</v>
          </cell>
          <cell r="F2612" t="str">
            <v>20632</v>
          </cell>
          <cell r="G2612" t="str">
            <v>世鎧二</v>
          </cell>
          <cell r="H2612">
            <v>200000</v>
          </cell>
          <cell r="I2612">
            <v>3.25</v>
          </cell>
          <cell r="J2612">
            <v>45971</v>
          </cell>
          <cell r="K2612">
            <v>100</v>
          </cell>
          <cell r="L2612">
            <v>45951</v>
          </cell>
          <cell r="M2612">
            <v>-5040</v>
          </cell>
          <cell r="N2612">
            <v>194960</v>
          </cell>
        </row>
        <row r="2613">
          <cell r="A2613">
            <v>34843</v>
          </cell>
          <cell r="B2613">
            <v>2607</v>
          </cell>
          <cell r="C2613" t="str">
            <v>IASWD2408000381</v>
          </cell>
          <cell r="D2613">
            <v>45509</v>
          </cell>
          <cell r="E2613">
            <v>46136</v>
          </cell>
          <cell r="F2613" t="str">
            <v>34843</v>
          </cell>
          <cell r="G2613" t="str">
            <v>崧騰三</v>
          </cell>
          <cell r="H2613">
            <v>100000</v>
          </cell>
          <cell r="I2613">
            <v>3.5</v>
          </cell>
          <cell r="J2613">
            <v>46136</v>
          </cell>
          <cell r="K2613">
            <v>100.75</v>
          </cell>
          <cell r="L2613">
            <v>46118</v>
          </cell>
          <cell r="M2613">
            <v>-2714</v>
          </cell>
          <cell r="N2613">
            <v>97286</v>
          </cell>
        </row>
        <row r="2614">
          <cell r="A2614">
            <v>35482</v>
          </cell>
          <cell r="B2614">
            <v>2608</v>
          </cell>
          <cell r="C2614" t="str">
            <v>IASWD2408000382</v>
          </cell>
          <cell r="D2614">
            <v>45509</v>
          </cell>
          <cell r="E2614">
            <v>46395</v>
          </cell>
          <cell r="F2614" t="str">
            <v>35482</v>
          </cell>
          <cell r="G2614" t="str">
            <v>兆利二</v>
          </cell>
          <cell r="H2614">
            <v>300000</v>
          </cell>
          <cell r="I2614">
            <v>3</v>
          </cell>
          <cell r="J2614">
            <v>46395</v>
          </cell>
          <cell r="K2614">
            <v>100</v>
          </cell>
          <cell r="L2614">
            <v>46377</v>
          </cell>
          <cell r="M2614">
            <v>-6978</v>
          </cell>
          <cell r="N2614">
            <v>293022</v>
          </cell>
        </row>
        <row r="2615">
          <cell r="A2615">
            <v>20632</v>
          </cell>
          <cell r="B2615">
            <v>2609</v>
          </cell>
          <cell r="C2615" t="str">
            <v>IASWD2408000384</v>
          </cell>
          <cell r="D2615">
            <v>45509</v>
          </cell>
          <cell r="E2615">
            <v>45971</v>
          </cell>
          <cell r="F2615" t="str">
            <v>20632</v>
          </cell>
          <cell r="G2615" t="str">
            <v>世鎧二</v>
          </cell>
          <cell r="H2615">
            <v>3600000</v>
          </cell>
          <cell r="I2615">
            <v>3.25</v>
          </cell>
          <cell r="J2615">
            <v>45971</v>
          </cell>
          <cell r="K2615">
            <v>100</v>
          </cell>
          <cell r="L2615">
            <v>45951</v>
          </cell>
          <cell r="M2615">
            <v>-90715</v>
          </cell>
          <cell r="N2615">
            <v>3509285</v>
          </cell>
        </row>
        <row r="2616">
          <cell r="A2616">
            <v>35482</v>
          </cell>
          <cell r="B2616">
            <v>2610</v>
          </cell>
          <cell r="C2616" t="str">
            <v>IASWD2408000386</v>
          </cell>
          <cell r="D2616">
            <v>45509</v>
          </cell>
          <cell r="E2616">
            <v>46395</v>
          </cell>
          <cell r="F2616" t="str">
            <v>35482</v>
          </cell>
          <cell r="G2616" t="str">
            <v>兆利二</v>
          </cell>
          <cell r="H2616">
            <v>100000</v>
          </cell>
          <cell r="I2616">
            <v>3</v>
          </cell>
          <cell r="J2616">
            <v>46395</v>
          </cell>
          <cell r="K2616">
            <v>100</v>
          </cell>
          <cell r="L2616">
            <v>46377</v>
          </cell>
          <cell r="M2616">
            <v>-2326</v>
          </cell>
          <cell r="N2616">
            <v>97674</v>
          </cell>
        </row>
        <row r="2617">
          <cell r="A2617">
            <v>35482</v>
          </cell>
          <cell r="B2617">
            <v>2611</v>
          </cell>
          <cell r="C2617" t="str">
            <v>IASWD2408000389</v>
          </cell>
          <cell r="D2617">
            <v>45509</v>
          </cell>
          <cell r="E2617">
            <v>46395</v>
          </cell>
          <cell r="F2617" t="str">
            <v>35482</v>
          </cell>
          <cell r="G2617" t="str">
            <v>兆利二</v>
          </cell>
          <cell r="H2617">
            <v>100000</v>
          </cell>
          <cell r="I2617">
            <v>3</v>
          </cell>
          <cell r="J2617">
            <v>46395</v>
          </cell>
          <cell r="K2617">
            <v>100</v>
          </cell>
          <cell r="L2617">
            <v>46377</v>
          </cell>
          <cell r="M2617">
            <v>-2326</v>
          </cell>
          <cell r="N2617">
            <v>97674</v>
          </cell>
        </row>
        <row r="2618">
          <cell r="A2618">
            <v>64145</v>
          </cell>
          <cell r="B2618">
            <v>2612</v>
          </cell>
          <cell r="C2618" t="str">
            <v>IASWD2408000391</v>
          </cell>
          <cell r="D2618">
            <v>45509</v>
          </cell>
          <cell r="E2618">
            <v>46250</v>
          </cell>
          <cell r="F2618" t="str">
            <v>64145</v>
          </cell>
          <cell r="G2618" t="str">
            <v>樺漢五</v>
          </cell>
          <cell r="H2618">
            <v>100000</v>
          </cell>
          <cell r="I2618">
            <v>3</v>
          </cell>
          <cell r="J2618">
            <v>46250</v>
          </cell>
          <cell r="K2618">
            <v>100</v>
          </cell>
          <cell r="L2618">
            <v>46231</v>
          </cell>
          <cell r="M2618">
            <v>-2326</v>
          </cell>
          <cell r="N2618">
            <v>97674</v>
          </cell>
        </row>
        <row r="2619">
          <cell r="A2619">
            <v>84781</v>
          </cell>
          <cell r="B2619">
            <v>2613</v>
          </cell>
          <cell r="C2619" t="str">
            <v>IASWD2408000392</v>
          </cell>
          <cell r="D2619">
            <v>45509</v>
          </cell>
          <cell r="E2619">
            <v>46583</v>
          </cell>
          <cell r="F2619" t="str">
            <v>84781</v>
          </cell>
          <cell r="G2619" t="str">
            <v>東哥遊艇一</v>
          </cell>
          <cell r="H2619">
            <v>300000</v>
          </cell>
          <cell r="I2619">
            <v>3.1</v>
          </cell>
          <cell r="J2619">
            <v>46583</v>
          </cell>
          <cell r="K2619">
            <v>100</v>
          </cell>
          <cell r="L2619">
            <v>46563</v>
          </cell>
          <cell r="M2619">
            <v>-7211</v>
          </cell>
          <cell r="N2619">
            <v>292789</v>
          </cell>
        </row>
        <row r="2620">
          <cell r="A2620">
            <v>20632</v>
          </cell>
          <cell r="B2620">
            <v>2614</v>
          </cell>
          <cell r="C2620" t="str">
            <v>IASWD2408000393</v>
          </cell>
          <cell r="D2620">
            <v>45509</v>
          </cell>
          <cell r="E2620">
            <v>45971</v>
          </cell>
          <cell r="F2620" t="str">
            <v>20632</v>
          </cell>
          <cell r="G2620" t="str">
            <v>世鎧二</v>
          </cell>
          <cell r="H2620">
            <v>100000</v>
          </cell>
          <cell r="I2620">
            <v>3.25</v>
          </cell>
          <cell r="J2620">
            <v>45971</v>
          </cell>
          <cell r="K2620">
            <v>100</v>
          </cell>
          <cell r="L2620">
            <v>45951</v>
          </cell>
          <cell r="M2620">
            <v>-2520</v>
          </cell>
          <cell r="N2620">
            <v>97480</v>
          </cell>
        </row>
        <row r="2621">
          <cell r="A2621">
            <v>50097</v>
          </cell>
          <cell r="B2621">
            <v>2615</v>
          </cell>
          <cell r="C2621" t="str">
            <v>IASWD2408000394</v>
          </cell>
          <cell r="D2621">
            <v>45509</v>
          </cell>
          <cell r="E2621">
            <v>46234</v>
          </cell>
          <cell r="F2621" t="str">
            <v>50097</v>
          </cell>
          <cell r="G2621" t="str">
            <v>榮剛七</v>
          </cell>
          <cell r="H2621">
            <v>100000</v>
          </cell>
          <cell r="I2621">
            <v>4.2</v>
          </cell>
          <cell r="J2621">
            <v>46234</v>
          </cell>
          <cell r="K2621">
            <v>101.51</v>
          </cell>
          <cell r="L2621">
            <v>46216</v>
          </cell>
          <cell r="M2621">
            <v>-3256</v>
          </cell>
          <cell r="N2621">
            <v>96744</v>
          </cell>
        </row>
        <row r="2622">
          <cell r="A2622">
            <v>61965</v>
          </cell>
          <cell r="B2622">
            <v>2616</v>
          </cell>
          <cell r="C2622" t="str">
            <v>IASWD2408000395</v>
          </cell>
          <cell r="D2622">
            <v>45509</v>
          </cell>
          <cell r="E2622">
            <v>46200</v>
          </cell>
          <cell r="F2622" t="str">
            <v>61965</v>
          </cell>
          <cell r="G2622" t="str">
            <v>帆宣五</v>
          </cell>
          <cell r="H2622">
            <v>100000</v>
          </cell>
          <cell r="I2622">
            <v>3</v>
          </cell>
          <cell r="J2622">
            <v>46200</v>
          </cell>
          <cell r="K2622">
            <v>100</v>
          </cell>
          <cell r="L2622">
            <v>46182</v>
          </cell>
          <cell r="M2622">
            <v>-2326</v>
          </cell>
          <cell r="N2622">
            <v>97674</v>
          </cell>
        </row>
        <row r="2623">
          <cell r="A2623">
            <v>33121</v>
          </cell>
          <cell r="B2623">
            <v>2617</v>
          </cell>
          <cell r="C2623" t="str">
            <v>IASWD2408000396</v>
          </cell>
          <cell r="D2623">
            <v>45509</v>
          </cell>
          <cell r="E2623">
            <v>46563</v>
          </cell>
          <cell r="F2623" t="str">
            <v>33121</v>
          </cell>
          <cell r="G2623" t="str">
            <v>弘憶股一</v>
          </cell>
          <cell r="H2623">
            <v>100000</v>
          </cell>
          <cell r="I2623">
            <v>3.5</v>
          </cell>
          <cell r="J2623">
            <v>46563</v>
          </cell>
          <cell r="K2623">
            <v>100</v>
          </cell>
          <cell r="L2623">
            <v>46545</v>
          </cell>
          <cell r="M2623">
            <v>-2714</v>
          </cell>
          <cell r="N2623">
            <v>97286</v>
          </cell>
        </row>
        <row r="2624">
          <cell r="A2624">
            <v>64145</v>
          </cell>
          <cell r="B2624">
            <v>2618</v>
          </cell>
          <cell r="C2624" t="str">
            <v>IASWD2408000399</v>
          </cell>
          <cell r="D2624">
            <v>45509</v>
          </cell>
          <cell r="E2624">
            <v>46250</v>
          </cell>
          <cell r="F2624" t="str">
            <v>64145</v>
          </cell>
          <cell r="G2624" t="str">
            <v>樺漢五</v>
          </cell>
          <cell r="H2624">
            <v>100000</v>
          </cell>
          <cell r="I2624">
            <v>3</v>
          </cell>
          <cell r="J2624">
            <v>46250</v>
          </cell>
          <cell r="K2624">
            <v>100</v>
          </cell>
          <cell r="L2624">
            <v>46231</v>
          </cell>
          <cell r="M2624">
            <v>-2326</v>
          </cell>
          <cell r="N2624">
            <v>97674</v>
          </cell>
        </row>
        <row r="2625">
          <cell r="A2625">
            <v>64145</v>
          </cell>
          <cell r="B2625">
            <v>2619</v>
          </cell>
          <cell r="C2625" t="str">
            <v>IASWD2408000400</v>
          </cell>
          <cell r="D2625">
            <v>45509</v>
          </cell>
          <cell r="E2625">
            <v>46250</v>
          </cell>
          <cell r="F2625" t="str">
            <v>64145</v>
          </cell>
          <cell r="G2625" t="str">
            <v>樺漢五</v>
          </cell>
          <cell r="H2625">
            <v>100000</v>
          </cell>
          <cell r="I2625">
            <v>3</v>
          </cell>
          <cell r="J2625">
            <v>46250</v>
          </cell>
          <cell r="K2625">
            <v>100</v>
          </cell>
          <cell r="L2625">
            <v>46231</v>
          </cell>
          <cell r="M2625">
            <v>-2326</v>
          </cell>
          <cell r="N2625">
            <v>97674</v>
          </cell>
        </row>
        <row r="2626">
          <cell r="A2626">
            <v>65096</v>
          </cell>
          <cell r="B2626">
            <v>2620</v>
          </cell>
          <cell r="C2626" t="str">
            <v>IASWD2408000401</v>
          </cell>
          <cell r="D2626">
            <v>45509</v>
          </cell>
          <cell r="E2626">
            <v>46206</v>
          </cell>
          <cell r="F2626" t="str">
            <v>65096</v>
          </cell>
          <cell r="G2626" t="str">
            <v>聚和六</v>
          </cell>
          <cell r="H2626">
            <v>100000</v>
          </cell>
          <cell r="I2626">
            <v>3.1</v>
          </cell>
          <cell r="J2626">
            <v>46206</v>
          </cell>
          <cell r="K2626">
            <v>100</v>
          </cell>
          <cell r="L2626">
            <v>46188</v>
          </cell>
          <cell r="M2626">
            <v>-2404</v>
          </cell>
          <cell r="N2626">
            <v>97596</v>
          </cell>
        </row>
        <row r="2627">
          <cell r="A2627">
            <v>65096</v>
          </cell>
          <cell r="B2627">
            <v>2621</v>
          </cell>
          <cell r="C2627" t="str">
            <v>IASWD2408000402</v>
          </cell>
          <cell r="D2627">
            <v>45509</v>
          </cell>
          <cell r="E2627">
            <v>46206</v>
          </cell>
          <cell r="F2627" t="str">
            <v>65096</v>
          </cell>
          <cell r="G2627" t="str">
            <v>聚和六</v>
          </cell>
          <cell r="H2627">
            <v>100000</v>
          </cell>
          <cell r="I2627">
            <v>3.1</v>
          </cell>
          <cell r="J2627">
            <v>46206</v>
          </cell>
          <cell r="K2627">
            <v>100</v>
          </cell>
          <cell r="L2627">
            <v>46188</v>
          </cell>
          <cell r="M2627">
            <v>-2404</v>
          </cell>
          <cell r="N2627">
            <v>97596</v>
          </cell>
        </row>
        <row r="2628">
          <cell r="A2628">
            <v>61906</v>
          </cell>
          <cell r="B2628">
            <v>2622</v>
          </cell>
          <cell r="C2628" t="str">
            <v>IASWD2408000404</v>
          </cell>
          <cell r="D2628">
            <v>45509</v>
          </cell>
          <cell r="E2628">
            <v>45961</v>
          </cell>
          <cell r="F2628" t="str">
            <v>61906</v>
          </cell>
          <cell r="G2628" t="str">
            <v>萬泰科六</v>
          </cell>
          <cell r="H2628">
            <v>200000</v>
          </cell>
          <cell r="I2628">
            <v>4</v>
          </cell>
          <cell r="J2628">
            <v>45961</v>
          </cell>
          <cell r="K2628">
            <v>100</v>
          </cell>
          <cell r="L2628">
            <v>45943</v>
          </cell>
          <cell r="M2628">
            <v>-6203</v>
          </cell>
          <cell r="N2628">
            <v>193797</v>
          </cell>
        </row>
        <row r="2629">
          <cell r="A2629">
            <v>64145</v>
          </cell>
          <cell r="B2629">
            <v>2623</v>
          </cell>
          <cell r="C2629" t="str">
            <v>IASWD2408000405</v>
          </cell>
          <cell r="D2629">
            <v>45509</v>
          </cell>
          <cell r="E2629">
            <v>46250</v>
          </cell>
          <cell r="F2629" t="str">
            <v>64145</v>
          </cell>
          <cell r="G2629" t="str">
            <v>樺漢五</v>
          </cell>
          <cell r="H2629">
            <v>200000</v>
          </cell>
          <cell r="I2629">
            <v>3</v>
          </cell>
          <cell r="J2629">
            <v>46250</v>
          </cell>
          <cell r="K2629">
            <v>100</v>
          </cell>
          <cell r="L2629">
            <v>46231</v>
          </cell>
          <cell r="M2629">
            <v>-4652</v>
          </cell>
          <cell r="N2629">
            <v>195348</v>
          </cell>
        </row>
        <row r="2630">
          <cell r="A2630">
            <v>64145</v>
          </cell>
          <cell r="B2630">
            <v>2624</v>
          </cell>
          <cell r="C2630" t="str">
            <v>IASWD2408000487</v>
          </cell>
          <cell r="D2630">
            <v>45510</v>
          </cell>
          <cell r="E2630">
            <v>46250</v>
          </cell>
          <cell r="F2630" t="str">
            <v>64145</v>
          </cell>
          <cell r="G2630" t="str">
            <v>樺漢五</v>
          </cell>
          <cell r="H2630">
            <v>200000</v>
          </cell>
          <cell r="I2630">
            <v>3</v>
          </cell>
          <cell r="J2630">
            <v>46250</v>
          </cell>
          <cell r="K2630">
            <v>100</v>
          </cell>
          <cell r="L2630">
            <v>46231</v>
          </cell>
          <cell r="M2630">
            <v>-4636</v>
          </cell>
          <cell r="N2630">
            <v>195364</v>
          </cell>
        </row>
        <row r="2631">
          <cell r="A2631">
            <v>84781</v>
          </cell>
          <cell r="B2631">
            <v>2625</v>
          </cell>
          <cell r="C2631" t="str">
            <v>IASWD2408000489</v>
          </cell>
          <cell r="D2631">
            <v>45510</v>
          </cell>
          <cell r="E2631">
            <v>46583</v>
          </cell>
          <cell r="F2631" t="str">
            <v>84781</v>
          </cell>
          <cell r="G2631" t="str">
            <v>東哥遊艇一</v>
          </cell>
          <cell r="H2631">
            <v>100000</v>
          </cell>
          <cell r="I2631">
            <v>3.1</v>
          </cell>
          <cell r="J2631">
            <v>46583</v>
          </cell>
          <cell r="K2631">
            <v>100</v>
          </cell>
          <cell r="L2631">
            <v>46563</v>
          </cell>
          <cell r="M2631">
            <v>-2395</v>
          </cell>
          <cell r="N2631">
            <v>97605</v>
          </cell>
        </row>
        <row r="2632">
          <cell r="A2632">
            <v>36804</v>
          </cell>
          <cell r="B2632">
            <v>2626</v>
          </cell>
          <cell r="C2632" t="str">
            <v>IASWD2408000491</v>
          </cell>
          <cell r="D2632">
            <v>45510</v>
          </cell>
          <cell r="E2632">
            <v>45948</v>
          </cell>
          <cell r="F2632" t="str">
            <v>36804</v>
          </cell>
          <cell r="G2632" t="str">
            <v>家登四</v>
          </cell>
          <cell r="H2632">
            <v>100000</v>
          </cell>
          <cell r="I2632">
            <v>3.2</v>
          </cell>
          <cell r="J2632">
            <v>45948</v>
          </cell>
          <cell r="K2632">
            <v>100</v>
          </cell>
          <cell r="L2632">
            <v>45926</v>
          </cell>
          <cell r="M2632">
            <v>-2472</v>
          </cell>
          <cell r="N2632">
            <v>97528</v>
          </cell>
        </row>
        <row r="2633">
          <cell r="A2633">
            <v>22313</v>
          </cell>
          <cell r="B2633">
            <v>2627</v>
          </cell>
          <cell r="C2633" t="str">
            <v>IASWD2408000494</v>
          </cell>
          <cell r="D2633">
            <v>45510</v>
          </cell>
          <cell r="E2633">
            <v>45898</v>
          </cell>
          <cell r="F2633" t="str">
            <v>22313</v>
          </cell>
          <cell r="G2633" t="str">
            <v>為升三</v>
          </cell>
          <cell r="H2633">
            <v>200000</v>
          </cell>
          <cell r="I2633">
            <v>3.5</v>
          </cell>
          <cell r="J2633">
            <v>45898</v>
          </cell>
          <cell r="K2633">
            <v>101.50749999999999</v>
          </cell>
          <cell r="L2633">
            <v>45880</v>
          </cell>
          <cell r="M2633">
            <v>-5408</v>
          </cell>
          <cell r="N2633">
            <v>194592</v>
          </cell>
        </row>
        <row r="2634">
          <cell r="A2634">
            <v>36804</v>
          </cell>
          <cell r="B2634">
            <v>2628</v>
          </cell>
          <cell r="C2634" t="str">
            <v>IASWD2408000497</v>
          </cell>
          <cell r="D2634">
            <v>45510</v>
          </cell>
          <cell r="E2634">
            <v>45948</v>
          </cell>
          <cell r="F2634" t="str">
            <v>36804</v>
          </cell>
          <cell r="G2634" t="str">
            <v>家登四</v>
          </cell>
          <cell r="H2634">
            <v>100000</v>
          </cell>
          <cell r="I2634">
            <v>3.2</v>
          </cell>
          <cell r="J2634">
            <v>45948</v>
          </cell>
          <cell r="K2634">
            <v>100</v>
          </cell>
          <cell r="L2634">
            <v>45926</v>
          </cell>
          <cell r="M2634">
            <v>-2472</v>
          </cell>
          <cell r="N2634">
            <v>97528</v>
          </cell>
        </row>
        <row r="2635">
          <cell r="A2635">
            <v>61906</v>
          </cell>
          <cell r="B2635">
            <v>2629</v>
          </cell>
          <cell r="C2635" t="str">
            <v>IASWD2408000498</v>
          </cell>
          <cell r="D2635">
            <v>45510</v>
          </cell>
          <cell r="E2635">
            <v>45961</v>
          </cell>
          <cell r="F2635" t="str">
            <v>61906</v>
          </cell>
          <cell r="G2635" t="str">
            <v>萬泰科六</v>
          </cell>
          <cell r="H2635">
            <v>400000</v>
          </cell>
          <cell r="I2635">
            <v>4</v>
          </cell>
          <cell r="J2635">
            <v>45961</v>
          </cell>
          <cell r="K2635">
            <v>100</v>
          </cell>
          <cell r="L2635">
            <v>45943</v>
          </cell>
          <cell r="M2635">
            <v>-12362</v>
          </cell>
          <cell r="N2635">
            <v>387638</v>
          </cell>
        </row>
        <row r="2636">
          <cell r="A2636">
            <v>64145</v>
          </cell>
          <cell r="B2636">
            <v>2630</v>
          </cell>
          <cell r="C2636" t="str">
            <v>IASWD2408000500</v>
          </cell>
          <cell r="D2636">
            <v>45510</v>
          </cell>
          <cell r="E2636">
            <v>46250</v>
          </cell>
          <cell r="F2636" t="str">
            <v>64145</v>
          </cell>
          <cell r="G2636" t="str">
            <v>樺漢五</v>
          </cell>
          <cell r="H2636">
            <v>200000</v>
          </cell>
          <cell r="I2636">
            <v>3</v>
          </cell>
          <cell r="J2636">
            <v>46250</v>
          </cell>
          <cell r="K2636">
            <v>100</v>
          </cell>
          <cell r="L2636">
            <v>46231</v>
          </cell>
          <cell r="M2636">
            <v>-4636</v>
          </cell>
          <cell r="N2636">
            <v>195364</v>
          </cell>
        </row>
        <row r="2637">
          <cell r="A2637">
            <v>35482</v>
          </cell>
          <cell r="B2637">
            <v>2631</v>
          </cell>
          <cell r="C2637" t="str">
            <v>IASWD2408000502</v>
          </cell>
          <cell r="D2637">
            <v>45510</v>
          </cell>
          <cell r="E2637">
            <v>46395</v>
          </cell>
          <cell r="F2637" t="str">
            <v>35482</v>
          </cell>
          <cell r="G2637" t="str">
            <v>兆利二</v>
          </cell>
          <cell r="H2637">
            <v>400000</v>
          </cell>
          <cell r="I2637">
            <v>3</v>
          </cell>
          <cell r="J2637">
            <v>46395</v>
          </cell>
          <cell r="K2637">
            <v>100</v>
          </cell>
          <cell r="L2637">
            <v>46377</v>
          </cell>
          <cell r="M2637">
            <v>-9271</v>
          </cell>
          <cell r="N2637">
            <v>390729</v>
          </cell>
        </row>
        <row r="2638">
          <cell r="A2638">
            <v>61906</v>
          </cell>
          <cell r="B2638">
            <v>2632</v>
          </cell>
          <cell r="C2638" t="str">
            <v>IASWD2408000504</v>
          </cell>
          <cell r="D2638">
            <v>45510</v>
          </cell>
          <cell r="E2638">
            <v>45961</v>
          </cell>
          <cell r="F2638" t="str">
            <v>61906</v>
          </cell>
          <cell r="G2638" t="str">
            <v>萬泰科六</v>
          </cell>
          <cell r="H2638">
            <v>1000000</v>
          </cell>
          <cell r="I2638">
            <v>4</v>
          </cell>
          <cell r="J2638">
            <v>45961</v>
          </cell>
          <cell r="K2638">
            <v>100</v>
          </cell>
          <cell r="L2638">
            <v>45943</v>
          </cell>
          <cell r="M2638">
            <v>-30904</v>
          </cell>
          <cell r="N2638">
            <v>969096</v>
          </cell>
        </row>
        <row r="2639">
          <cell r="A2639">
            <v>34843</v>
          </cell>
          <cell r="B2639">
            <v>2633</v>
          </cell>
          <cell r="C2639" t="str">
            <v>IASWD2408000505</v>
          </cell>
          <cell r="D2639">
            <v>45510</v>
          </cell>
          <cell r="E2639">
            <v>46136</v>
          </cell>
          <cell r="F2639" t="str">
            <v>34843</v>
          </cell>
          <cell r="G2639" t="str">
            <v>崧騰三</v>
          </cell>
          <cell r="H2639">
            <v>200000</v>
          </cell>
          <cell r="I2639">
            <v>3.5</v>
          </cell>
          <cell r="J2639">
            <v>46136</v>
          </cell>
          <cell r="K2639">
            <v>100.75</v>
          </cell>
          <cell r="L2639">
            <v>46118</v>
          </cell>
          <cell r="M2639">
            <v>-5408</v>
          </cell>
          <cell r="N2639">
            <v>194592</v>
          </cell>
        </row>
        <row r="2640">
          <cell r="A2640">
            <v>67531</v>
          </cell>
          <cell r="B2640">
            <v>2634</v>
          </cell>
          <cell r="C2640" t="str">
            <v>IASWD2408000506</v>
          </cell>
          <cell r="D2640">
            <v>45510</v>
          </cell>
          <cell r="E2640">
            <v>46563</v>
          </cell>
          <cell r="F2640" t="str">
            <v>67531</v>
          </cell>
          <cell r="G2640" t="str">
            <v>龍德造船一</v>
          </cell>
          <cell r="H2640">
            <v>200000</v>
          </cell>
          <cell r="I2640">
            <v>3.5</v>
          </cell>
          <cell r="J2640">
            <v>46563</v>
          </cell>
          <cell r="K2640">
            <v>100</v>
          </cell>
          <cell r="L2640">
            <v>46545</v>
          </cell>
          <cell r="M2640">
            <v>-5408</v>
          </cell>
          <cell r="N2640">
            <v>194592</v>
          </cell>
        </row>
        <row r="2641">
          <cell r="A2641">
            <v>61965</v>
          </cell>
          <cell r="B2641">
            <v>2635</v>
          </cell>
          <cell r="C2641" t="str">
            <v>IASWD2408000507</v>
          </cell>
          <cell r="D2641">
            <v>45510</v>
          </cell>
          <cell r="E2641">
            <v>46200</v>
          </cell>
          <cell r="F2641" t="str">
            <v>61965</v>
          </cell>
          <cell r="G2641" t="str">
            <v>帆宣五</v>
          </cell>
          <cell r="H2641">
            <v>100000</v>
          </cell>
          <cell r="I2641">
            <v>3</v>
          </cell>
          <cell r="J2641">
            <v>46200</v>
          </cell>
          <cell r="K2641">
            <v>100</v>
          </cell>
          <cell r="L2641">
            <v>46182</v>
          </cell>
          <cell r="M2641">
            <v>-2318</v>
          </cell>
          <cell r="N2641">
            <v>97682</v>
          </cell>
        </row>
        <row r="2642">
          <cell r="A2642">
            <v>64145</v>
          </cell>
          <cell r="B2642">
            <v>2636</v>
          </cell>
          <cell r="C2642" t="str">
            <v>IASWD2408000508</v>
          </cell>
          <cell r="D2642">
            <v>45510</v>
          </cell>
          <cell r="E2642">
            <v>46250</v>
          </cell>
          <cell r="F2642" t="str">
            <v>64145</v>
          </cell>
          <cell r="G2642" t="str">
            <v>樺漢五</v>
          </cell>
          <cell r="H2642">
            <v>200000</v>
          </cell>
          <cell r="I2642">
            <v>3</v>
          </cell>
          <cell r="J2642">
            <v>46250</v>
          </cell>
          <cell r="K2642">
            <v>100</v>
          </cell>
          <cell r="L2642">
            <v>46231</v>
          </cell>
          <cell r="M2642">
            <v>-4636</v>
          </cell>
          <cell r="N2642">
            <v>195364</v>
          </cell>
        </row>
        <row r="2643">
          <cell r="A2643">
            <v>36804</v>
          </cell>
          <cell r="B2643">
            <v>2637</v>
          </cell>
          <cell r="C2643" t="str">
            <v>IASWD2408000509</v>
          </cell>
          <cell r="D2643">
            <v>45510</v>
          </cell>
          <cell r="E2643">
            <v>45948</v>
          </cell>
          <cell r="F2643" t="str">
            <v>36804</v>
          </cell>
          <cell r="G2643" t="str">
            <v>家登四</v>
          </cell>
          <cell r="H2643">
            <v>100000</v>
          </cell>
          <cell r="I2643">
            <v>3.2</v>
          </cell>
          <cell r="J2643">
            <v>45948</v>
          </cell>
          <cell r="K2643">
            <v>100</v>
          </cell>
          <cell r="L2643">
            <v>45926</v>
          </cell>
          <cell r="M2643">
            <v>-2472</v>
          </cell>
          <cell r="N2643">
            <v>97528</v>
          </cell>
        </row>
        <row r="2644">
          <cell r="A2644">
            <v>84781</v>
          </cell>
          <cell r="B2644">
            <v>2638</v>
          </cell>
          <cell r="C2644" t="str">
            <v>IASWD2408000510</v>
          </cell>
          <cell r="D2644">
            <v>45510</v>
          </cell>
          <cell r="E2644">
            <v>46583</v>
          </cell>
          <cell r="F2644" t="str">
            <v>84781</v>
          </cell>
          <cell r="G2644" t="str">
            <v>東哥遊艇一</v>
          </cell>
          <cell r="H2644">
            <v>100000</v>
          </cell>
          <cell r="I2644">
            <v>3.1</v>
          </cell>
          <cell r="J2644">
            <v>46583</v>
          </cell>
          <cell r="K2644">
            <v>100</v>
          </cell>
          <cell r="L2644">
            <v>46563</v>
          </cell>
          <cell r="M2644">
            <v>-2395</v>
          </cell>
          <cell r="N2644">
            <v>97605</v>
          </cell>
        </row>
        <row r="2645">
          <cell r="A2645">
            <v>67531</v>
          </cell>
          <cell r="B2645">
            <v>2639</v>
          </cell>
          <cell r="C2645" t="str">
            <v>IASWD2408000513</v>
          </cell>
          <cell r="D2645">
            <v>45510</v>
          </cell>
          <cell r="E2645">
            <v>46563</v>
          </cell>
          <cell r="F2645" t="str">
            <v>67531</v>
          </cell>
          <cell r="G2645" t="str">
            <v>龍德造船一</v>
          </cell>
          <cell r="H2645">
            <v>300000</v>
          </cell>
          <cell r="I2645">
            <v>3.5</v>
          </cell>
          <cell r="J2645">
            <v>46563</v>
          </cell>
          <cell r="K2645">
            <v>100</v>
          </cell>
          <cell r="L2645">
            <v>46545</v>
          </cell>
          <cell r="M2645">
            <v>-8112</v>
          </cell>
          <cell r="N2645">
            <v>291888</v>
          </cell>
        </row>
        <row r="2646">
          <cell r="A2646">
            <v>50097</v>
          </cell>
          <cell r="B2646">
            <v>2640</v>
          </cell>
          <cell r="C2646" t="str">
            <v>IASWD2408000514</v>
          </cell>
          <cell r="D2646">
            <v>45510</v>
          </cell>
          <cell r="E2646">
            <v>46234</v>
          </cell>
          <cell r="F2646" t="str">
            <v>50097</v>
          </cell>
          <cell r="G2646" t="str">
            <v>榮剛七</v>
          </cell>
          <cell r="H2646">
            <v>100000</v>
          </cell>
          <cell r="I2646">
            <v>4.2</v>
          </cell>
          <cell r="J2646">
            <v>46234</v>
          </cell>
          <cell r="K2646">
            <v>101.51</v>
          </cell>
          <cell r="L2646">
            <v>46216</v>
          </cell>
          <cell r="M2646">
            <v>-3245</v>
          </cell>
          <cell r="N2646">
            <v>96755</v>
          </cell>
        </row>
        <row r="2647">
          <cell r="A2647">
            <v>67531</v>
          </cell>
          <cell r="B2647">
            <v>2641</v>
          </cell>
          <cell r="C2647" t="str">
            <v>IASWD2408000516</v>
          </cell>
          <cell r="D2647">
            <v>45510</v>
          </cell>
          <cell r="E2647">
            <v>46563</v>
          </cell>
          <cell r="F2647" t="str">
            <v>67531</v>
          </cell>
          <cell r="G2647" t="str">
            <v>龍德造船一</v>
          </cell>
          <cell r="H2647">
            <v>100000</v>
          </cell>
          <cell r="I2647">
            <v>3.5</v>
          </cell>
          <cell r="J2647">
            <v>46563</v>
          </cell>
          <cell r="K2647">
            <v>100</v>
          </cell>
          <cell r="L2647">
            <v>46545</v>
          </cell>
          <cell r="M2647">
            <v>-2704</v>
          </cell>
          <cell r="N2647">
            <v>97296</v>
          </cell>
        </row>
        <row r="2648">
          <cell r="A2648">
            <v>84781</v>
          </cell>
          <cell r="B2648">
            <v>2642</v>
          </cell>
          <cell r="C2648" t="str">
            <v>IASWD2408000519</v>
          </cell>
          <cell r="D2648">
            <v>45510</v>
          </cell>
          <cell r="E2648">
            <v>46583</v>
          </cell>
          <cell r="F2648" t="str">
            <v>84781</v>
          </cell>
          <cell r="G2648" t="str">
            <v>東哥遊艇一</v>
          </cell>
          <cell r="H2648">
            <v>500000</v>
          </cell>
          <cell r="I2648">
            <v>3.1</v>
          </cell>
          <cell r="J2648">
            <v>46583</v>
          </cell>
          <cell r="K2648">
            <v>100</v>
          </cell>
          <cell r="L2648">
            <v>46563</v>
          </cell>
          <cell r="M2648">
            <v>-11975</v>
          </cell>
          <cell r="N2648">
            <v>488025</v>
          </cell>
        </row>
        <row r="2649">
          <cell r="A2649">
            <v>20632</v>
          </cell>
          <cell r="B2649">
            <v>2643</v>
          </cell>
          <cell r="C2649" t="str">
            <v>IASWD2408000520</v>
          </cell>
          <cell r="D2649">
            <v>45510</v>
          </cell>
          <cell r="E2649">
            <v>45971</v>
          </cell>
          <cell r="F2649" t="str">
            <v>20632</v>
          </cell>
          <cell r="G2649" t="str">
            <v>世鎧二</v>
          </cell>
          <cell r="H2649">
            <v>100000</v>
          </cell>
          <cell r="I2649">
            <v>3.25</v>
          </cell>
          <cell r="J2649">
            <v>45971</v>
          </cell>
          <cell r="K2649">
            <v>100</v>
          </cell>
          <cell r="L2649">
            <v>45951</v>
          </cell>
          <cell r="M2649">
            <v>-2511</v>
          </cell>
          <cell r="N2649">
            <v>97489</v>
          </cell>
        </row>
        <row r="2650">
          <cell r="A2650">
            <v>84781</v>
          </cell>
          <cell r="B2650">
            <v>2644</v>
          </cell>
          <cell r="C2650" t="str">
            <v>IASWD2408000521</v>
          </cell>
          <cell r="D2650">
            <v>45510</v>
          </cell>
          <cell r="E2650">
            <v>46583</v>
          </cell>
          <cell r="F2650" t="str">
            <v>84781</v>
          </cell>
          <cell r="G2650" t="str">
            <v>東哥遊艇一</v>
          </cell>
          <cell r="H2650">
            <v>400000</v>
          </cell>
          <cell r="I2650">
            <v>3.1</v>
          </cell>
          <cell r="J2650">
            <v>46583</v>
          </cell>
          <cell r="K2650">
            <v>100</v>
          </cell>
          <cell r="L2650">
            <v>46563</v>
          </cell>
          <cell r="M2650">
            <v>-9580</v>
          </cell>
          <cell r="N2650">
            <v>390420</v>
          </cell>
        </row>
        <row r="2651">
          <cell r="A2651">
            <v>34834</v>
          </cell>
          <cell r="B2651">
            <v>2645</v>
          </cell>
          <cell r="C2651" t="str">
            <v>IASWD2408000526</v>
          </cell>
          <cell r="D2651">
            <v>45510</v>
          </cell>
          <cell r="E2651">
            <v>46529</v>
          </cell>
          <cell r="F2651" t="str">
            <v>34834</v>
          </cell>
          <cell r="G2651" t="str">
            <v>力致四</v>
          </cell>
          <cell r="H2651">
            <v>100000</v>
          </cell>
          <cell r="I2651">
            <v>3.75</v>
          </cell>
          <cell r="J2651">
            <v>46529</v>
          </cell>
          <cell r="K2651">
            <v>100</v>
          </cell>
          <cell r="L2651">
            <v>46511</v>
          </cell>
          <cell r="M2651">
            <v>-2897</v>
          </cell>
          <cell r="N2651">
            <v>97103</v>
          </cell>
        </row>
        <row r="2652">
          <cell r="A2652">
            <v>65096</v>
          </cell>
          <cell r="B2652">
            <v>2646</v>
          </cell>
          <cell r="C2652" t="str">
            <v>IASWD2408000527</v>
          </cell>
          <cell r="D2652">
            <v>45510</v>
          </cell>
          <cell r="E2652">
            <v>46206</v>
          </cell>
          <cell r="F2652" t="str">
            <v>65096</v>
          </cell>
          <cell r="G2652" t="str">
            <v>聚和六</v>
          </cell>
          <cell r="H2652">
            <v>100000</v>
          </cell>
          <cell r="I2652">
            <v>3.1</v>
          </cell>
          <cell r="J2652">
            <v>46206</v>
          </cell>
          <cell r="K2652">
            <v>100</v>
          </cell>
          <cell r="L2652">
            <v>46188</v>
          </cell>
          <cell r="M2652">
            <v>-2395</v>
          </cell>
          <cell r="N2652">
            <v>97605</v>
          </cell>
        </row>
        <row r="2653">
          <cell r="A2653">
            <v>61965</v>
          </cell>
          <cell r="B2653">
            <v>2647</v>
          </cell>
          <cell r="C2653" t="str">
            <v>IASWD2408000529</v>
          </cell>
          <cell r="D2653">
            <v>45510</v>
          </cell>
          <cell r="E2653">
            <v>46200</v>
          </cell>
          <cell r="F2653" t="str">
            <v>61965</v>
          </cell>
          <cell r="G2653" t="str">
            <v>帆宣五</v>
          </cell>
          <cell r="H2653">
            <v>100000</v>
          </cell>
          <cell r="I2653">
            <v>3</v>
          </cell>
          <cell r="J2653">
            <v>46200</v>
          </cell>
          <cell r="K2653">
            <v>100</v>
          </cell>
          <cell r="L2653">
            <v>46182</v>
          </cell>
          <cell r="M2653">
            <v>-2318</v>
          </cell>
          <cell r="N2653">
            <v>97682</v>
          </cell>
        </row>
        <row r="2654">
          <cell r="A2654">
            <v>35482</v>
          </cell>
          <cell r="B2654">
            <v>2648</v>
          </cell>
          <cell r="C2654" t="str">
            <v>IASWD2408000531</v>
          </cell>
          <cell r="D2654">
            <v>45510</v>
          </cell>
          <cell r="E2654">
            <v>46395</v>
          </cell>
          <cell r="F2654" t="str">
            <v>35482</v>
          </cell>
          <cell r="G2654" t="str">
            <v>兆利二</v>
          </cell>
          <cell r="H2654">
            <v>100000</v>
          </cell>
          <cell r="I2654">
            <v>3</v>
          </cell>
          <cell r="J2654">
            <v>46395</v>
          </cell>
          <cell r="K2654">
            <v>100</v>
          </cell>
          <cell r="L2654">
            <v>46377</v>
          </cell>
          <cell r="M2654">
            <v>-2318</v>
          </cell>
          <cell r="N2654">
            <v>97682</v>
          </cell>
        </row>
        <row r="2655">
          <cell r="A2655">
            <v>22313</v>
          </cell>
          <cell r="B2655">
            <v>2649</v>
          </cell>
          <cell r="C2655" t="str">
            <v>IASWD2408000532</v>
          </cell>
          <cell r="D2655">
            <v>45510</v>
          </cell>
          <cell r="E2655">
            <v>45898</v>
          </cell>
          <cell r="F2655" t="str">
            <v>22313</v>
          </cell>
          <cell r="G2655" t="str">
            <v>為升三</v>
          </cell>
          <cell r="H2655">
            <v>100000</v>
          </cell>
          <cell r="I2655">
            <v>3.5</v>
          </cell>
          <cell r="J2655">
            <v>45898</v>
          </cell>
          <cell r="K2655">
            <v>101.50749999999999</v>
          </cell>
          <cell r="L2655">
            <v>45880</v>
          </cell>
          <cell r="M2655">
            <v>-2704</v>
          </cell>
          <cell r="N2655">
            <v>97296</v>
          </cell>
        </row>
        <row r="2656">
          <cell r="A2656">
            <v>33121</v>
          </cell>
          <cell r="B2656">
            <v>2650</v>
          </cell>
          <cell r="C2656" t="str">
            <v>IASWD2408000533</v>
          </cell>
          <cell r="D2656">
            <v>45510</v>
          </cell>
          <cell r="E2656">
            <v>46563</v>
          </cell>
          <cell r="F2656" t="str">
            <v>33121</v>
          </cell>
          <cell r="G2656" t="str">
            <v>弘憶股一</v>
          </cell>
          <cell r="H2656">
            <v>1600000</v>
          </cell>
          <cell r="I2656">
            <v>3.5</v>
          </cell>
          <cell r="J2656">
            <v>46563</v>
          </cell>
          <cell r="K2656">
            <v>100</v>
          </cell>
          <cell r="L2656">
            <v>46545</v>
          </cell>
          <cell r="M2656">
            <v>-43266</v>
          </cell>
          <cell r="N2656">
            <v>1556734</v>
          </cell>
        </row>
        <row r="2657">
          <cell r="A2657">
            <v>64145</v>
          </cell>
          <cell r="B2657">
            <v>2651</v>
          </cell>
          <cell r="C2657" t="str">
            <v>IASWD2408000538</v>
          </cell>
          <cell r="D2657">
            <v>45510</v>
          </cell>
          <cell r="E2657">
            <v>46250</v>
          </cell>
          <cell r="F2657" t="str">
            <v>64145</v>
          </cell>
          <cell r="G2657" t="str">
            <v>樺漢五</v>
          </cell>
          <cell r="H2657">
            <v>100000</v>
          </cell>
          <cell r="I2657">
            <v>3</v>
          </cell>
          <cell r="J2657">
            <v>46250</v>
          </cell>
          <cell r="K2657">
            <v>100</v>
          </cell>
          <cell r="L2657">
            <v>46231</v>
          </cell>
          <cell r="M2657">
            <v>-2318</v>
          </cell>
          <cell r="N2657">
            <v>97682</v>
          </cell>
        </row>
        <row r="2658">
          <cell r="A2658">
            <v>34843</v>
          </cell>
          <cell r="B2658">
            <v>2652</v>
          </cell>
          <cell r="C2658" t="str">
            <v>IASWD2408000540</v>
          </cell>
          <cell r="D2658">
            <v>45510</v>
          </cell>
          <cell r="E2658">
            <v>46136</v>
          </cell>
          <cell r="F2658" t="str">
            <v>34843</v>
          </cell>
          <cell r="G2658" t="str">
            <v>崧騰三</v>
          </cell>
          <cell r="H2658">
            <v>100000</v>
          </cell>
          <cell r="I2658">
            <v>3.5</v>
          </cell>
          <cell r="J2658">
            <v>46136</v>
          </cell>
          <cell r="K2658">
            <v>100.75</v>
          </cell>
          <cell r="L2658">
            <v>46118</v>
          </cell>
          <cell r="M2658">
            <v>-2704</v>
          </cell>
          <cell r="N2658">
            <v>97296</v>
          </cell>
        </row>
        <row r="2659">
          <cell r="A2659">
            <v>33121</v>
          </cell>
          <cell r="B2659">
            <v>2653</v>
          </cell>
          <cell r="C2659" t="str">
            <v>IASWD2408000542</v>
          </cell>
          <cell r="D2659">
            <v>45510</v>
          </cell>
          <cell r="E2659">
            <v>46563</v>
          </cell>
          <cell r="F2659" t="str">
            <v>33121</v>
          </cell>
          <cell r="G2659" t="str">
            <v>弘憶股一</v>
          </cell>
          <cell r="H2659">
            <v>200000</v>
          </cell>
          <cell r="I2659">
            <v>3.5</v>
          </cell>
          <cell r="J2659">
            <v>46563</v>
          </cell>
          <cell r="K2659">
            <v>100</v>
          </cell>
          <cell r="L2659">
            <v>46545</v>
          </cell>
          <cell r="M2659">
            <v>-5408</v>
          </cell>
          <cell r="N2659">
            <v>194592</v>
          </cell>
        </row>
        <row r="2660">
          <cell r="A2660">
            <v>20632</v>
          </cell>
          <cell r="B2660">
            <v>2654</v>
          </cell>
          <cell r="C2660" t="str">
            <v>IASWD2408000543</v>
          </cell>
          <cell r="D2660">
            <v>45510</v>
          </cell>
          <cell r="E2660">
            <v>45971</v>
          </cell>
          <cell r="F2660" t="str">
            <v>20632</v>
          </cell>
          <cell r="G2660" t="str">
            <v>世鎧二</v>
          </cell>
          <cell r="H2660">
            <v>500000</v>
          </cell>
          <cell r="I2660">
            <v>3.25</v>
          </cell>
          <cell r="J2660">
            <v>45971</v>
          </cell>
          <cell r="K2660">
            <v>100</v>
          </cell>
          <cell r="L2660">
            <v>45951</v>
          </cell>
          <cell r="M2660">
            <v>-12555</v>
          </cell>
          <cell r="N2660">
            <v>487445</v>
          </cell>
        </row>
        <row r="2661">
          <cell r="A2661">
            <v>34834</v>
          </cell>
          <cell r="B2661">
            <v>2655</v>
          </cell>
          <cell r="C2661" t="str">
            <v>IASWD2408000545</v>
          </cell>
          <cell r="D2661">
            <v>45510</v>
          </cell>
          <cell r="E2661">
            <v>46529</v>
          </cell>
          <cell r="F2661" t="str">
            <v>34834</v>
          </cell>
          <cell r="G2661" t="str">
            <v>力致四</v>
          </cell>
          <cell r="H2661">
            <v>100000</v>
          </cell>
          <cell r="I2661">
            <v>3.75</v>
          </cell>
          <cell r="J2661">
            <v>46529</v>
          </cell>
          <cell r="K2661">
            <v>100</v>
          </cell>
          <cell r="L2661">
            <v>46511</v>
          </cell>
          <cell r="M2661">
            <v>-2897</v>
          </cell>
          <cell r="N2661">
            <v>97103</v>
          </cell>
        </row>
        <row r="2662">
          <cell r="A2662">
            <v>84781</v>
          </cell>
          <cell r="B2662">
            <v>2656</v>
          </cell>
          <cell r="C2662" t="str">
            <v>IASWD2408000546</v>
          </cell>
          <cell r="D2662">
            <v>45510</v>
          </cell>
          <cell r="E2662">
            <v>46583</v>
          </cell>
          <cell r="F2662" t="str">
            <v>84781</v>
          </cell>
          <cell r="G2662" t="str">
            <v>東哥遊艇一</v>
          </cell>
          <cell r="H2662">
            <v>200000</v>
          </cell>
          <cell r="I2662">
            <v>3.1</v>
          </cell>
          <cell r="J2662">
            <v>46583</v>
          </cell>
          <cell r="K2662">
            <v>100</v>
          </cell>
          <cell r="L2662">
            <v>46563</v>
          </cell>
          <cell r="M2662">
            <v>-4790</v>
          </cell>
          <cell r="N2662">
            <v>195210</v>
          </cell>
        </row>
        <row r="2663">
          <cell r="A2663">
            <v>33121</v>
          </cell>
          <cell r="B2663">
            <v>2657</v>
          </cell>
          <cell r="C2663" t="str">
            <v>IASWD2408000547</v>
          </cell>
          <cell r="D2663">
            <v>45510</v>
          </cell>
          <cell r="E2663">
            <v>46563</v>
          </cell>
          <cell r="F2663" t="str">
            <v>33121</v>
          </cell>
          <cell r="G2663" t="str">
            <v>弘憶股一</v>
          </cell>
          <cell r="H2663">
            <v>300000</v>
          </cell>
          <cell r="I2663">
            <v>3.5</v>
          </cell>
          <cell r="J2663">
            <v>46563</v>
          </cell>
          <cell r="K2663">
            <v>100</v>
          </cell>
          <cell r="L2663">
            <v>46545</v>
          </cell>
          <cell r="M2663">
            <v>-8112</v>
          </cell>
          <cell r="N2663">
            <v>291888</v>
          </cell>
        </row>
        <row r="2664">
          <cell r="A2664">
            <v>64145</v>
          </cell>
          <cell r="B2664">
            <v>2658</v>
          </cell>
          <cell r="C2664" t="str">
            <v>IASWD2408000548</v>
          </cell>
          <cell r="D2664">
            <v>45510</v>
          </cell>
          <cell r="E2664">
            <v>46250</v>
          </cell>
          <cell r="F2664" t="str">
            <v>64145</v>
          </cell>
          <cell r="G2664" t="str">
            <v>樺漢五</v>
          </cell>
          <cell r="H2664">
            <v>100000</v>
          </cell>
          <cell r="I2664">
            <v>3</v>
          </cell>
          <cell r="J2664">
            <v>46250</v>
          </cell>
          <cell r="K2664">
            <v>100</v>
          </cell>
          <cell r="L2664">
            <v>46231</v>
          </cell>
          <cell r="M2664">
            <v>-2318</v>
          </cell>
          <cell r="N2664">
            <v>97682</v>
          </cell>
        </row>
        <row r="2665">
          <cell r="A2665">
            <v>50097</v>
          </cell>
          <cell r="B2665">
            <v>2659</v>
          </cell>
          <cell r="C2665" t="str">
            <v>IASWD2408000551</v>
          </cell>
          <cell r="D2665">
            <v>45510</v>
          </cell>
          <cell r="E2665">
            <v>46234</v>
          </cell>
          <cell r="F2665" t="str">
            <v>50097</v>
          </cell>
          <cell r="G2665" t="str">
            <v>榮剛七</v>
          </cell>
          <cell r="H2665">
            <v>900000</v>
          </cell>
          <cell r="I2665">
            <v>4.2</v>
          </cell>
          <cell r="J2665">
            <v>46234</v>
          </cell>
          <cell r="K2665">
            <v>101.51</v>
          </cell>
          <cell r="L2665">
            <v>46216</v>
          </cell>
          <cell r="M2665">
            <v>-29204</v>
          </cell>
          <cell r="N2665">
            <v>870796</v>
          </cell>
        </row>
        <row r="2666">
          <cell r="A2666">
            <v>20632</v>
          </cell>
          <cell r="B2666">
            <v>2660</v>
          </cell>
          <cell r="C2666" t="str">
            <v>IASWD2408000552</v>
          </cell>
          <cell r="D2666">
            <v>45510</v>
          </cell>
          <cell r="E2666">
            <v>45971</v>
          </cell>
          <cell r="F2666" t="str">
            <v>20632</v>
          </cell>
          <cell r="G2666" t="str">
            <v>世鎧二</v>
          </cell>
          <cell r="H2666">
            <v>2200000</v>
          </cell>
          <cell r="I2666">
            <v>3.25</v>
          </cell>
          <cell r="J2666">
            <v>45971</v>
          </cell>
          <cell r="K2666">
            <v>100</v>
          </cell>
          <cell r="L2666">
            <v>45951</v>
          </cell>
          <cell r="M2666">
            <v>-55241</v>
          </cell>
          <cell r="N2666">
            <v>2144759</v>
          </cell>
        </row>
        <row r="2667">
          <cell r="A2667">
            <v>89964</v>
          </cell>
          <cell r="B2667">
            <v>2661</v>
          </cell>
          <cell r="C2667" t="str">
            <v>IASWD2408000555</v>
          </cell>
          <cell r="D2667">
            <v>45510</v>
          </cell>
          <cell r="E2667">
            <v>46362</v>
          </cell>
          <cell r="F2667" t="str">
            <v>89964</v>
          </cell>
          <cell r="G2667" t="str">
            <v>高力四</v>
          </cell>
          <cell r="H2667">
            <v>1000000</v>
          </cell>
          <cell r="I2667">
            <v>3.5</v>
          </cell>
          <cell r="J2667">
            <v>46362</v>
          </cell>
          <cell r="K2667">
            <v>100.75190000000001</v>
          </cell>
          <cell r="L2667">
            <v>46343</v>
          </cell>
          <cell r="M2667">
            <v>-27041</v>
          </cell>
          <cell r="N2667">
            <v>972959</v>
          </cell>
        </row>
        <row r="2668">
          <cell r="A2668">
            <v>61394</v>
          </cell>
          <cell r="B2668">
            <v>2662</v>
          </cell>
          <cell r="C2668" t="str">
            <v>IASWD2408000558</v>
          </cell>
          <cell r="D2668">
            <v>45510</v>
          </cell>
          <cell r="E2668">
            <v>46047</v>
          </cell>
          <cell r="F2668" t="str">
            <v>61394</v>
          </cell>
          <cell r="G2668" t="str">
            <v>亞翔四</v>
          </cell>
          <cell r="H2668">
            <v>100000</v>
          </cell>
          <cell r="I2668">
            <v>3</v>
          </cell>
          <cell r="J2668">
            <v>46047</v>
          </cell>
          <cell r="K2668">
            <v>101.0025</v>
          </cell>
          <cell r="L2668">
            <v>46028</v>
          </cell>
          <cell r="M2668">
            <v>-2318</v>
          </cell>
          <cell r="N2668">
            <v>97682</v>
          </cell>
        </row>
        <row r="2669">
          <cell r="A2669">
            <v>84781</v>
          </cell>
          <cell r="B2669">
            <v>2663</v>
          </cell>
          <cell r="C2669" t="str">
            <v>IASWD2408000559</v>
          </cell>
          <cell r="D2669">
            <v>45510</v>
          </cell>
          <cell r="E2669">
            <v>46583</v>
          </cell>
          <cell r="F2669" t="str">
            <v>84781</v>
          </cell>
          <cell r="G2669" t="str">
            <v>東哥遊艇一</v>
          </cell>
          <cell r="H2669">
            <v>100000</v>
          </cell>
          <cell r="I2669">
            <v>3.1</v>
          </cell>
          <cell r="J2669">
            <v>46583</v>
          </cell>
          <cell r="K2669">
            <v>100</v>
          </cell>
          <cell r="L2669">
            <v>46563</v>
          </cell>
          <cell r="M2669">
            <v>-2395</v>
          </cell>
          <cell r="N2669">
            <v>97605</v>
          </cell>
        </row>
        <row r="2670">
          <cell r="A2670">
            <v>61394</v>
          </cell>
          <cell r="B2670">
            <v>2664</v>
          </cell>
          <cell r="C2670" t="str">
            <v>IASWD2408000560</v>
          </cell>
          <cell r="D2670">
            <v>45510</v>
          </cell>
          <cell r="E2670">
            <v>46047</v>
          </cell>
          <cell r="F2670" t="str">
            <v>61394</v>
          </cell>
          <cell r="G2670" t="str">
            <v>亞翔四</v>
          </cell>
          <cell r="H2670">
            <v>100000</v>
          </cell>
          <cell r="I2670">
            <v>3</v>
          </cell>
          <cell r="J2670">
            <v>46047</v>
          </cell>
          <cell r="K2670">
            <v>101.0025</v>
          </cell>
          <cell r="L2670">
            <v>46028</v>
          </cell>
          <cell r="M2670">
            <v>-2318</v>
          </cell>
          <cell r="N2670">
            <v>97682</v>
          </cell>
        </row>
        <row r="2671">
          <cell r="A2671">
            <v>61965</v>
          </cell>
          <cell r="B2671">
            <v>2665</v>
          </cell>
          <cell r="C2671" t="str">
            <v>IASWD2408000563</v>
          </cell>
          <cell r="D2671">
            <v>45510</v>
          </cell>
          <cell r="E2671">
            <v>46200</v>
          </cell>
          <cell r="F2671" t="str">
            <v>61965</v>
          </cell>
          <cell r="G2671" t="str">
            <v>帆宣五</v>
          </cell>
          <cell r="H2671">
            <v>100000</v>
          </cell>
          <cell r="I2671">
            <v>3</v>
          </cell>
          <cell r="J2671">
            <v>46200</v>
          </cell>
          <cell r="K2671">
            <v>100</v>
          </cell>
          <cell r="L2671">
            <v>46182</v>
          </cell>
          <cell r="M2671">
            <v>-2318</v>
          </cell>
          <cell r="N2671">
            <v>97682</v>
          </cell>
        </row>
        <row r="2672">
          <cell r="A2672">
            <v>34843</v>
          </cell>
          <cell r="B2672">
            <v>2666</v>
          </cell>
          <cell r="C2672" t="str">
            <v>IASWD2408000564</v>
          </cell>
          <cell r="D2672">
            <v>45511</v>
          </cell>
          <cell r="E2672">
            <v>46136</v>
          </cell>
          <cell r="F2672" t="str">
            <v>34843</v>
          </cell>
          <cell r="G2672" t="str">
            <v>崧騰三</v>
          </cell>
          <cell r="H2672">
            <v>100000</v>
          </cell>
          <cell r="I2672">
            <v>3.5</v>
          </cell>
          <cell r="J2672">
            <v>46136</v>
          </cell>
          <cell r="K2672">
            <v>100.75</v>
          </cell>
          <cell r="L2672">
            <v>46118</v>
          </cell>
          <cell r="M2672">
            <v>-2695</v>
          </cell>
          <cell r="N2672">
            <v>97305</v>
          </cell>
        </row>
        <row r="2673">
          <cell r="A2673">
            <v>64145</v>
          </cell>
          <cell r="B2673">
            <v>2667</v>
          </cell>
          <cell r="C2673" t="str">
            <v>IASWD2408000565</v>
          </cell>
          <cell r="D2673">
            <v>45511</v>
          </cell>
          <cell r="E2673">
            <v>46250</v>
          </cell>
          <cell r="F2673" t="str">
            <v>64145</v>
          </cell>
          <cell r="G2673" t="str">
            <v>樺漢五</v>
          </cell>
          <cell r="H2673">
            <v>100000</v>
          </cell>
          <cell r="I2673">
            <v>3</v>
          </cell>
          <cell r="J2673">
            <v>46250</v>
          </cell>
          <cell r="K2673">
            <v>100</v>
          </cell>
          <cell r="L2673">
            <v>46231</v>
          </cell>
          <cell r="M2673">
            <v>-2310</v>
          </cell>
          <cell r="N2673">
            <v>97690</v>
          </cell>
        </row>
        <row r="2674">
          <cell r="A2674">
            <v>33121</v>
          </cell>
          <cell r="B2674">
            <v>2668</v>
          </cell>
          <cell r="C2674" t="str">
            <v>IASWD2408000566</v>
          </cell>
          <cell r="D2674">
            <v>45511</v>
          </cell>
          <cell r="E2674">
            <v>46563</v>
          </cell>
          <cell r="F2674" t="str">
            <v>33121</v>
          </cell>
          <cell r="G2674" t="str">
            <v>弘憶股一</v>
          </cell>
          <cell r="H2674">
            <v>300000</v>
          </cell>
          <cell r="I2674">
            <v>3.5</v>
          </cell>
          <cell r="J2674">
            <v>46563</v>
          </cell>
          <cell r="K2674">
            <v>100</v>
          </cell>
          <cell r="L2674">
            <v>46545</v>
          </cell>
          <cell r="M2674">
            <v>-8084</v>
          </cell>
          <cell r="N2674">
            <v>291916</v>
          </cell>
        </row>
        <row r="2675">
          <cell r="A2675">
            <v>33121</v>
          </cell>
          <cell r="B2675">
            <v>2669</v>
          </cell>
          <cell r="C2675" t="str">
            <v>IASWD2408000567</v>
          </cell>
          <cell r="D2675">
            <v>45511</v>
          </cell>
          <cell r="E2675">
            <v>46563</v>
          </cell>
          <cell r="F2675" t="str">
            <v>33121</v>
          </cell>
          <cell r="G2675" t="str">
            <v>弘憶股一</v>
          </cell>
          <cell r="H2675">
            <v>100000</v>
          </cell>
          <cell r="I2675">
            <v>3.5</v>
          </cell>
          <cell r="J2675">
            <v>46563</v>
          </cell>
          <cell r="K2675">
            <v>100</v>
          </cell>
          <cell r="L2675">
            <v>46545</v>
          </cell>
          <cell r="M2675">
            <v>-2695</v>
          </cell>
          <cell r="N2675">
            <v>97305</v>
          </cell>
        </row>
        <row r="2676">
          <cell r="A2676">
            <v>61965</v>
          </cell>
          <cell r="B2676">
            <v>2670</v>
          </cell>
          <cell r="C2676" t="str">
            <v>IASWD2408000568</v>
          </cell>
          <cell r="D2676">
            <v>45511</v>
          </cell>
          <cell r="E2676">
            <v>46200</v>
          </cell>
          <cell r="F2676" t="str">
            <v>61965</v>
          </cell>
          <cell r="G2676" t="str">
            <v>帆宣五</v>
          </cell>
          <cell r="H2676">
            <v>100000</v>
          </cell>
          <cell r="I2676">
            <v>3</v>
          </cell>
          <cell r="J2676">
            <v>46200</v>
          </cell>
          <cell r="K2676">
            <v>100</v>
          </cell>
          <cell r="L2676">
            <v>46182</v>
          </cell>
          <cell r="M2676">
            <v>-2310</v>
          </cell>
          <cell r="N2676">
            <v>97690</v>
          </cell>
        </row>
        <row r="2677">
          <cell r="A2677">
            <v>61906</v>
          </cell>
          <cell r="B2677">
            <v>2671</v>
          </cell>
          <cell r="C2677" t="str">
            <v>IASWD2408000569</v>
          </cell>
          <cell r="D2677">
            <v>45511</v>
          </cell>
          <cell r="E2677">
            <v>45961</v>
          </cell>
          <cell r="F2677" t="str">
            <v>61906</v>
          </cell>
          <cell r="G2677" t="str">
            <v>萬泰科六</v>
          </cell>
          <cell r="H2677">
            <v>200000</v>
          </cell>
          <cell r="I2677">
            <v>4</v>
          </cell>
          <cell r="J2677">
            <v>45961</v>
          </cell>
          <cell r="K2677">
            <v>100</v>
          </cell>
          <cell r="L2677">
            <v>45943</v>
          </cell>
          <cell r="M2677">
            <v>-6159</v>
          </cell>
          <cell r="N2677">
            <v>193841</v>
          </cell>
        </row>
        <row r="2678">
          <cell r="A2678">
            <v>64145</v>
          </cell>
          <cell r="B2678">
            <v>2672</v>
          </cell>
          <cell r="C2678" t="str">
            <v>IASWD2408000570</v>
          </cell>
          <cell r="D2678">
            <v>45511</v>
          </cell>
          <cell r="E2678">
            <v>46250</v>
          </cell>
          <cell r="F2678" t="str">
            <v>64145</v>
          </cell>
          <cell r="G2678" t="str">
            <v>樺漢五</v>
          </cell>
          <cell r="H2678">
            <v>200000</v>
          </cell>
          <cell r="I2678">
            <v>3</v>
          </cell>
          <cell r="J2678">
            <v>46250</v>
          </cell>
          <cell r="K2678">
            <v>100</v>
          </cell>
          <cell r="L2678">
            <v>46231</v>
          </cell>
          <cell r="M2678">
            <v>-4619</v>
          </cell>
          <cell r="N2678">
            <v>195381</v>
          </cell>
        </row>
        <row r="2679">
          <cell r="A2679">
            <v>64145</v>
          </cell>
          <cell r="B2679">
            <v>2673</v>
          </cell>
          <cell r="C2679" t="str">
            <v>IASWD2408000571</v>
          </cell>
          <cell r="D2679">
            <v>45511</v>
          </cell>
          <cell r="E2679">
            <v>46250</v>
          </cell>
          <cell r="F2679" t="str">
            <v>64145</v>
          </cell>
          <cell r="G2679" t="str">
            <v>樺漢五</v>
          </cell>
          <cell r="H2679">
            <v>200000</v>
          </cell>
          <cell r="I2679">
            <v>3</v>
          </cell>
          <cell r="J2679">
            <v>46250</v>
          </cell>
          <cell r="K2679">
            <v>100</v>
          </cell>
          <cell r="L2679">
            <v>46231</v>
          </cell>
          <cell r="M2679">
            <v>-4619</v>
          </cell>
          <cell r="N2679">
            <v>195381</v>
          </cell>
        </row>
        <row r="2680">
          <cell r="A2680">
            <v>84781</v>
          </cell>
          <cell r="B2680">
            <v>2674</v>
          </cell>
          <cell r="C2680" t="str">
            <v>IASWD2408000573</v>
          </cell>
          <cell r="D2680">
            <v>45511</v>
          </cell>
          <cell r="E2680">
            <v>46583</v>
          </cell>
          <cell r="F2680" t="str">
            <v>84781</v>
          </cell>
          <cell r="G2680" t="str">
            <v>東哥遊艇一</v>
          </cell>
          <cell r="H2680">
            <v>200000</v>
          </cell>
          <cell r="I2680">
            <v>3.1</v>
          </cell>
          <cell r="J2680">
            <v>46583</v>
          </cell>
          <cell r="K2680">
            <v>100</v>
          </cell>
          <cell r="L2680">
            <v>46563</v>
          </cell>
          <cell r="M2680">
            <v>-4773</v>
          </cell>
          <cell r="N2680">
            <v>195227</v>
          </cell>
        </row>
        <row r="2681">
          <cell r="A2681">
            <v>89964</v>
          </cell>
          <cell r="B2681">
            <v>2675</v>
          </cell>
          <cell r="C2681" t="str">
            <v>IASWD2408000575</v>
          </cell>
          <cell r="D2681">
            <v>45511</v>
          </cell>
          <cell r="E2681">
            <v>46362</v>
          </cell>
          <cell r="F2681" t="str">
            <v>89964</v>
          </cell>
          <cell r="G2681" t="str">
            <v>高力四</v>
          </cell>
          <cell r="H2681">
            <v>100000</v>
          </cell>
          <cell r="I2681">
            <v>3.5</v>
          </cell>
          <cell r="J2681">
            <v>46362</v>
          </cell>
          <cell r="K2681">
            <v>100.75190000000001</v>
          </cell>
          <cell r="L2681">
            <v>46343</v>
          </cell>
          <cell r="M2681">
            <v>-2695</v>
          </cell>
          <cell r="N2681">
            <v>97305</v>
          </cell>
        </row>
        <row r="2682">
          <cell r="A2682">
            <v>22013</v>
          </cell>
          <cell r="B2682">
            <v>2676</v>
          </cell>
          <cell r="C2682" t="str">
            <v>IASWD2408000576</v>
          </cell>
          <cell r="D2682">
            <v>45511</v>
          </cell>
          <cell r="E2682">
            <v>46167</v>
          </cell>
          <cell r="F2682" t="str">
            <v>22013</v>
          </cell>
          <cell r="G2682" t="str">
            <v>裕隆三</v>
          </cell>
          <cell r="H2682">
            <v>1000000</v>
          </cell>
          <cell r="I2682">
            <v>3</v>
          </cell>
          <cell r="J2682">
            <v>46167</v>
          </cell>
          <cell r="K2682">
            <v>100.75190000000001</v>
          </cell>
          <cell r="L2682">
            <v>46147</v>
          </cell>
          <cell r="M2682">
            <v>-23096</v>
          </cell>
          <cell r="N2682">
            <v>976904</v>
          </cell>
        </row>
        <row r="2683">
          <cell r="A2683">
            <v>22013</v>
          </cell>
          <cell r="B2683">
            <v>2677</v>
          </cell>
          <cell r="C2683" t="str">
            <v>IASWD2408000577</v>
          </cell>
          <cell r="D2683">
            <v>45511</v>
          </cell>
          <cell r="E2683">
            <v>46167</v>
          </cell>
          <cell r="F2683" t="str">
            <v>22013</v>
          </cell>
          <cell r="G2683" t="str">
            <v>裕隆三</v>
          </cell>
          <cell r="H2683">
            <v>500000</v>
          </cell>
          <cell r="I2683">
            <v>3</v>
          </cell>
          <cell r="J2683">
            <v>46167</v>
          </cell>
          <cell r="K2683">
            <v>100.75190000000001</v>
          </cell>
          <cell r="L2683">
            <v>46147</v>
          </cell>
          <cell r="M2683">
            <v>-11548</v>
          </cell>
          <cell r="N2683">
            <v>488452</v>
          </cell>
        </row>
        <row r="2684">
          <cell r="A2684">
            <v>84781</v>
          </cell>
          <cell r="B2684">
            <v>2678</v>
          </cell>
          <cell r="C2684" t="str">
            <v>IASWD2408000578</v>
          </cell>
          <cell r="D2684">
            <v>45511</v>
          </cell>
          <cell r="E2684">
            <v>46583</v>
          </cell>
          <cell r="F2684" t="str">
            <v>84781</v>
          </cell>
          <cell r="G2684" t="str">
            <v>東哥遊艇一</v>
          </cell>
          <cell r="H2684">
            <v>100000</v>
          </cell>
          <cell r="I2684">
            <v>3.1</v>
          </cell>
          <cell r="J2684">
            <v>46583</v>
          </cell>
          <cell r="K2684">
            <v>100</v>
          </cell>
          <cell r="L2684">
            <v>46563</v>
          </cell>
          <cell r="M2684">
            <v>-2387</v>
          </cell>
          <cell r="N2684">
            <v>97613</v>
          </cell>
        </row>
        <row r="2685">
          <cell r="A2685">
            <v>22013</v>
          </cell>
          <cell r="B2685">
            <v>2679</v>
          </cell>
          <cell r="C2685" t="str">
            <v>IASWD2408000581</v>
          </cell>
          <cell r="D2685">
            <v>45511</v>
          </cell>
          <cell r="E2685">
            <v>46167</v>
          </cell>
          <cell r="F2685" t="str">
            <v>22013</v>
          </cell>
          <cell r="G2685" t="str">
            <v>裕隆三</v>
          </cell>
          <cell r="H2685">
            <v>1000000</v>
          </cell>
          <cell r="I2685">
            <v>3</v>
          </cell>
          <cell r="J2685">
            <v>46167</v>
          </cell>
          <cell r="K2685">
            <v>100.75190000000001</v>
          </cell>
          <cell r="L2685">
            <v>46147</v>
          </cell>
          <cell r="M2685">
            <v>-23096</v>
          </cell>
          <cell r="N2685">
            <v>976904</v>
          </cell>
        </row>
        <row r="2686">
          <cell r="A2686">
            <v>33121</v>
          </cell>
          <cell r="B2686">
            <v>2680</v>
          </cell>
          <cell r="C2686" t="str">
            <v>IASWD2408000582</v>
          </cell>
          <cell r="D2686">
            <v>45511</v>
          </cell>
          <cell r="E2686">
            <v>46563</v>
          </cell>
          <cell r="F2686" t="str">
            <v>33121</v>
          </cell>
          <cell r="G2686" t="str">
            <v>弘憶股一</v>
          </cell>
          <cell r="H2686">
            <v>100000</v>
          </cell>
          <cell r="I2686">
            <v>3.5</v>
          </cell>
          <cell r="J2686">
            <v>46563</v>
          </cell>
          <cell r="K2686">
            <v>100</v>
          </cell>
          <cell r="L2686">
            <v>46545</v>
          </cell>
          <cell r="M2686">
            <v>-2695</v>
          </cell>
          <cell r="N2686">
            <v>97305</v>
          </cell>
        </row>
        <row r="2687">
          <cell r="A2687">
            <v>56086</v>
          </cell>
          <cell r="B2687">
            <v>2681</v>
          </cell>
          <cell r="C2687" t="str">
            <v>IASWD2408000584</v>
          </cell>
          <cell r="D2687">
            <v>45511</v>
          </cell>
          <cell r="E2687">
            <v>46194</v>
          </cell>
          <cell r="F2687" t="str">
            <v>56086</v>
          </cell>
          <cell r="G2687" t="str">
            <v>四維航六</v>
          </cell>
          <cell r="H2687">
            <v>100000</v>
          </cell>
          <cell r="I2687">
            <v>2.35</v>
          </cell>
          <cell r="J2687">
            <v>46194</v>
          </cell>
          <cell r="K2687">
            <v>100</v>
          </cell>
          <cell r="L2687">
            <v>46175</v>
          </cell>
          <cell r="M2687">
            <v>-1809</v>
          </cell>
          <cell r="N2687">
            <v>98191</v>
          </cell>
        </row>
        <row r="2688">
          <cell r="A2688">
            <v>33121</v>
          </cell>
          <cell r="B2688">
            <v>2682</v>
          </cell>
          <cell r="C2688" t="str">
            <v>IASWD2408000585</v>
          </cell>
          <cell r="D2688">
            <v>45511</v>
          </cell>
          <cell r="E2688">
            <v>46563</v>
          </cell>
          <cell r="F2688" t="str">
            <v>33121</v>
          </cell>
          <cell r="G2688" t="str">
            <v>弘憶股一</v>
          </cell>
          <cell r="H2688">
            <v>100000</v>
          </cell>
          <cell r="I2688">
            <v>3.5</v>
          </cell>
          <cell r="J2688">
            <v>46563</v>
          </cell>
          <cell r="K2688">
            <v>100</v>
          </cell>
          <cell r="L2688">
            <v>46545</v>
          </cell>
          <cell r="M2688">
            <v>-2695</v>
          </cell>
          <cell r="N2688">
            <v>97305</v>
          </cell>
        </row>
        <row r="2689">
          <cell r="A2689">
            <v>61906</v>
          </cell>
          <cell r="B2689">
            <v>2683</v>
          </cell>
          <cell r="C2689" t="str">
            <v>IASWD2408000587</v>
          </cell>
          <cell r="D2689">
            <v>45511</v>
          </cell>
          <cell r="E2689">
            <v>45961</v>
          </cell>
          <cell r="F2689" t="str">
            <v>61906</v>
          </cell>
          <cell r="G2689" t="str">
            <v>萬泰科六</v>
          </cell>
          <cell r="H2689">
            <v>500000</v>
          </cell>
          <cell r="I2689">
            <v>4</v>
          </cell>
          <cell r="J2689">
            <v>45961</v>
          </cell>
          <cell r="K2689">
            <v>100</v>
          </cell>
          <cell r="L2689">
            <v>45943</v>
          </cell>
          <cell r="M2689">
            <v>-15397</v>
          </cell>
          <cell r="N2689">
            <v>484603</v>
          </cell>
        </row>
        <row r="2690">
          <cell r="A2690">
            <v>64145</v>
          </cell>
          <cell r="B2690">
            <v>2684</v>
          </cell>
          <cell r="C2690" t="str">
            <v>IASWD2408000589</v>
          </cell>
          <cell r="D2690">
            <v>45511</v>
          </cell>
          <cell r="E2690">
            <v>46250</v>
          </cell>
          <cell r="F2690" t="str">
            <v>64145</v>
          </cell>
          <cell r="G2690" t="str">
            <v>樺漢五</v>
          </cell>
          <cell r="H2690">
            <v>100000</v>
          </cell>
          <cell r="I2690">
            <v>3</v>
          </cell>
          <cell r="J2690">
            <v>46250</v>
          </cell>
          <cell r="K2690">
            <v>100</v>
          </cell>
          <cell r="L2690">
            <v>46231</v>
          </cell>
          <cell r="M2690">
            <v>-2310</v>
          </cell>
          <cell r="N2690">
            <v>97690</v>
          </cell>
        </row>
        <row r="2691">
          <cell r="A2691">
            <v>64145</v>
          </cell>
          <cell r="B2691">
            <v>2685</v>
          </cell>
          <cell r="C2691" t="str">
            <v>IASWD2408000592</v>
          </cell>
          <cell r="D2691">
            <v>45511</v>
          </cell>
          <cell r="E2691">
            <v>46250</v>
          </cell>
          <cell r="F2691" t="str">
            <v>64145</v>
          </cell>
          <cell r="G2691" t="str">
            <v>樺漢五</v>
          </cell>
          <cell r="H2691">
            <v>400000</v>
          </cell>
          <cell r="I2691">
            <v>3</v>
          </cell>
          <cell r="J2691">
            <v>46250</v>
          </cell>
          <cell r="K2691">
            <v>100</v>
          </cell>
          <cell r="L2691">
            <v>46231</v>
          </cell>
          <cell r="M2691">
            <v>-9238</v>
          </cell>
          <cell r="N2691">
            <v>390762</v>
          </cell>
        </row>
        <row r="2692">
          <cell r="A2692">
            <v>41683</v>
          </cell>
          <cell r="B2692">
            <v>2686</v>
          </cell>
          <cell r="C2692" t="str">
            <v>IASWD2408000594</v>
          </cell>
          <cell r="D2692">
            <v>45511</v>
          </cell>
          <cell r="E2692">
            <v>45835</v>
          </cell>
          <cell r="F2692" t="str">
            <v>41683</v>
          </cell>
          <cell r="G2692" t="str">
            <v>醣聯三</v>
          </cell>
          <cell r="H2692">
            <v>100000</v>
          </cell>
          <cell r="I2692">
            <v>2.2000000000000002</v>
          </cell>
          <cell r="J2692">
            <v>45835</v>
          </cell>
          <cell r="K2692">
            <v>100</v>
          </cell>
          <cell r="L2692">
            <v>45817</v>
          </cell>
          <cell r="M2692">
            <v>-1694</v>
          </cell>
          <cell r="N2692">
            <v>98306</v>
          </cell>
        </row>
        <row r="2693">
          <cell r="A2693">
            <v>22013</v>
          </cell>
          <cell r="B2693">
            <v>2687</v>
          </cell>
          <cell r="C2693" t="str">
            <v>IASWD2408000595</v>
          </cell>
          <cell r="D2693">
            <v>45511</v>
          </cell>
          <cell r="E2693">
            <v>46167</v>
          </cell>
          <cell r="F2693" t="str">
            <v>22013</v>
          </cell>
          <cell r="G2693" t="str">
            <v>裕隆三</v>
          </cell>
          <cell r="H2693">
            <v>200000</v>
          </cell>
          <cell r="I2693">
            <v>3</v>
          </cell>
          <cell r="J2693">
            <v>46167</v>
          </cell>
          <cell r="K2693">
            <v>100.75190000000001</v>
          </cell>
          <cell r="L2693">
            <v>46147</v>
          </cell>
          <cell r="M2693">
            <v>-4619</v>
          </cell>
          <cell r="N2693">
            <v>195381</v>
          </cell>
        </row>
        <row r="2694">
          <cell r="A2694">
            <v>89964</v>
          </cell>
          <cell r="B2694">
            <v>2688</v>
          </cell>
          <cell r="C2694" t="str">
            <v>IASWD2408000596</v>
          </cell>
          <cell r="D2694">
            <v>45511</v>
          </cell>
          <cell r="E2694">
            <v>46362</v>
          </cell>
          <cell r="F2694" t="str">
            <v>89964</v>
          </cell>
          <cell r="G2694" t="str">
            <v>高力四</v>
          </cell>
          <cell r="H2694">
            <v>1000000</v>
          </cell>
          <cell r="I2694">
            <v>3.5</v>
          </cell>
          <cell r="J2694">
            <v>46362</v>
          </cell>
          <cell r="K2694">
            <v>100.75190000000001</v>
          </cell>
          <cell r="L2694">
            <v>46343</v>
          </cell>
          <cell r="M2694">
            <v>-26945</v>
          </cell>
          <cell r="N2694">
            <v>973055</v>
          </cell>
        </row>
        <row r="2695">
          <cell r="A2695">
            <v>22013</v>
          </cell>
          <cell r="B2695">
            <v>2689</v>
          </cell>
          <cell r="C2695" t="str">
            <v>IASWD2408000600</v>
          </cell>
          <cell r="D2695">
            <v>45511</v>
          </cell>
          <cell r="E2695">
            <v>46167</v>
          </cell>
          <cell r="F2695" t="str">
            <v>22013</v>
          </cell>
          <cell r="G2695" t="str">
            <v>裕隆三</v>
          </cell>
          <cell r="H2695">
            <v>300000</v>
          </cell>
          <cell r="I2695">
            <v>3</v>
          </cell>
          <cell r="J2695">
            <v>46167</v>
          </cell>
          <cell r="K2695">
            <v>100.75190000000001</v>
          </cell>
          <cell r="L2695">
            <v>46147</v>
          </cell>
          <cell r="M2695">
            <v>-6929</v>
          </cell>
          <cell r="N2695">
            <v>293071</v>
          </cell>
        </row>
        <row r="2696">
          <cell r="A2696">
            <v>22013</v>
          </cell>
          <cell r="B2696">
            <v>2690</v>
          </cell>
          <cell r="C2696" t="str">
            <v>IASWD2408000601</v>
          </cell>
          <cell r="D2696">
            <v>45511</v>
          </cell>
          <cell r="E2696">
            <v>46167</v>
          </cell>
          <cell r="F2696" t="str">
            <v>22013</v>
          </cell>
          <cell r="G2696" t="str">
            <v>裕隆三</v>
          </cell>
          <cell r="H2696">
            <v>100000</v>
          </cell>
          <cell r="I2696">
            <v>3</v>
          </cell>
          <cell r="J2696">
            <v>46167</v>
          </cell>
          <cell r="K2696">
            <v>100.75190000000001</v>
          </cell>
          <cell r="L2696">
            <v>46147</v>
          </cell>
          <cell r="M2696">
            <v>-2310</v>
          </cell>
          <cell r="N2696">
            <v>97690</v>
          </cell>
        </row>
        <row r="2697">
          <cell r="A2697">
            <v>56086</v>
          </cell>
          <cell r="B2697">
            <v>2691</v>
          </cell>
          <cell r="C2697" t="str">
            <v>IASWD2408000604</v>
          </cell>
          <cell r="D2697">
            <v>45511</v>
          </cell>
          <cell r="E2697">
            <v>46194</v>
          </cell>
          <cell r="F2697" t="str">
            <v>56086</v>
          </cell>
          <cell r="G2697" t="str">
            <v>四維航六</v>
          </cell>
          <cell r="H2697">
            <v>200000</v>
          </cell>
          <cell r="I2697">
            <v>2.35</v>
          </cell>
          <cell r="J2697">
            <v>46194</v>
          </cell>
          <cell r="K2697">
            <v>100</v>
          </cell>
          <cell r="L2697">
            <v>46175</v>
          </cell>
          <cell r="M2697">
            <v>-3618</v>
          </cell>
          <cell r="N2697">
            <v>196382</v>
          </cell>
        </row>
        <row r="2698">
          <cell r="A2698">
            <v>64145</v>
          </cell>
          <cell r="B2698">
            <v>2692</v>
          </cell>
          <cell r="C2698" t="str">
            <v>IASWD2408000605</v>
          </cell>
          <cell r="D2698">
            <v>45511</v>
          </cell>
          <cell r="E2698">
            <v>46250</v>
          </cell>
          <cell r="F2698" t="str">
            <v>64145</v>
          </cell>
          <cell r="G2698" t="str">
            <v>樺漢五</v>
          </cell>
          <cell r="H2698">
            <v>100000</v>
          </cell>
          <cell r="I2698">
            <v>3</v>
          </cell>
          <cell r="J2698">
            <v>46250</v>
          </cell>
          <cell r="K2698">
            <v>100</v>
          </cell>
          <cell r="L2698">
            <v>46231</v>
          </cell>
          <cell r="M2698">
            <v>-2310</v>
          </cell>
          <cell r="N2698">
            <v>97690</v>
          </cell>
        </row>
        <row r="2699">
          <cell r="A2699">
            <v>61965</v>
          </cell>
          <cell r="B2699">
            <v>2693</v>
          </cell>
          <cell r="C2699" t="str">
            <v>IASWD2408000608</v>
          </cell>
          <cell r="D2699">
            <v>45511</v>
          </cell>
          <cell r="E2699">
            <v>46200</v>
          </cell>
          <cell r="F2699" t="str">
            <v>61965</v>
          </cell>
          <cell r="G2699" t="str">
            <v>帆宣五</v>
          </cell>
          <cell r="H2699">
            <v>100000</v>
          </cell>
          <cell r="I2699">
            <v>3</v>
          </cell>
          <cell r="J2699">
            <v>46200</v>
          </cell>
          <cell r="K2699">
            <v>100</v>
          </cell>
          <cell r="L2699">
            <v>46182</v>
          </cell>
          <cell r="M2699">
            <v>-2310</v>
          </cell>
          <cell r="N2699">
            <v>97690</v>
          </cell>
        </row>
        <row r="2700">
          <cell r="A2700">
            <v>64145</v>
          </cell>
          <cell r="B2700">
            <v>2694</v>
          </cell>
          <cell r="C2700" t="str">
            <v>IASWD2408000609</v>
          </cell>
          <cell r="D2700">
            <v>45511</v>
          </cell>
          <cell r="E2700">
            <v>46250</v>
          </cell>
          <cell r="F2700" t="str">
            <v>64145</v>
          </cell>
          <cell r="G2700" t="str">
            <v>樺漢五</v>
          </cell>
          <cell r="H2700">
            <v>500000</v>
          </cell>
          <cell r="I2700">
            <v>3</v>
          </cell>
          <cell r="J2700">
            <v>46250</v>
          </cell>
          <cell r="K2700">
            <v>100</v>
          </cell>
          <cell r="L2700">
            <v>46231</v>
          </cell>
          <cell r="M2700">
            <v>-11548</v>
          </cell>
          <cell r="N2700">
            <v>488452</v>
          </cell>
        </row>
        <row r="2701">
          <cell r="A2701">
            <v>35266</v>
          </cell>
          <cell r="B2701">
            <v>2695</v>
          </cell>
          <cell r="C2701" t="str">
            <v>IASWD2408000610</v>
          </cell>
          <cell r="D2701">
            <v>45511</v>
          </cell>
          <cell r="E2701">
            <v>46416</v>
          </cell>
          <cell r="F2701" t="str">
            <v>35266</v>
          </cell>
          <cell r="G2701" t="str">
            <v>凡甲六</v>
          </cell>
          <cell r="H2701">
            <v>500000</v>
          </cell>
          <cell r="I2701">
            <v>3.5</v>
          </cell>
          <cell r="J2701">
            <v>46416</v>
          </cell>
          <cell r="K2701">
            <v>100</v>
          </cell>
          <cell r="L2701">
            <v>46398</v>
          </cell>
          <cell r="M2701">
            <v>-13473</v>
          </cell>
          <cell r="N2701">
            <v>486527</v>
          </cell>
        </row>
        <row r="2702">
          <cell r="A2702">
            <v>84781</v>
          </cell>
          <cell r="B2702">
            <v>2696</v>
          </cell>
          <cell r="C2702" t="str">
            <v>IASWD2408000614</v>
          </cell>
          <cell r="D2702">
            <v>45511</v>
          </cell>
          <cell r="E2702">
            <v>46583</v>
          </cell>
          <cell r="F2702" t="str">
            <v>84781</v>
          </cell>
          <cell r="G2702" t="str">
            <v>東哥遊艇一</v>
          </cell>
          <cell r="H2702">
            <v>100000</v>
          </cell>
          <cell r="I2702">
            <v>3.1</v>
          </cell>
          <cell r="J2702">
            <v>46583</v>
          </cell>
          <cell r="K2702">
            <v>100</v>
          </cell>
          <cell r="L2702">
            <v>46563</v>
          </cell>
          <cell r="M2702">
            <v>-2387</v>
          </cell>
          <cell r="N2702">
            <v>97613</v>
          </cell>
        </row>
        <row r="2703">
          <cell r="A2703">
            <v>22013</v>
          </cell>
          <cell r="B2703">
            <v>2697</v>
          </cell>
          <cell r="C2703" t="str">
            <v>IASWD2408000615</v>
          </cell>
          <cell r="D2703">
            <v>45511</v>
          </cell>
          <cell r="E2703">
            <v>46167</v>
          </cell>
          <cell r="F2703" t="str">
            <v>22013</v>
          </cell>
          <cell r="G2703" t="str">
            <v>裕隆三</v>
          </cell>
          <cell r="H2703">
            <v>200000</v>
          </cell>
          <cell r="I2703">
            <v>3</v>
          </cell>
          <cell r="J2703">
            <v>46167</v>
          </cell>
          <cell r="K2703">
            <v>100.75190000000001</v>
          </cell>
          <cell r="L2703">
            <v>46147</v>
          </cell>
          <cell r="M2703">
            <v>-4619</v>
          </cell>
          <cell r="N2703">
            <v>195381</v>
          </cell>
        </row>
        <row r="2704">
          <cell r="A2704">
            <v>20632</v>
          </cell>
          <cell r="B2704">
            <v>2698</v>
          </cell>
          <cell r="C2704" t="str">
            <v>IASWD2408000616</v>
          </cell>
          <cell r="D2704">
            <v>45511</v>
          </cell>
          <cell r="E2704">
            <v>45971</v>
          </cell>
          <cell r="F2704" t="str">
            <v>20632</v>
          </cell>
          <cell r="G2704" t="str">
            <v>世鎧二</v>
          </cell>
          <cell r="H2704">
            <v>600000</v>
          </cell>
          <cell r="I2704">
            <v>3.25</v>
          </cell>
          <cell r="J2704">
            <v>45971</v>
          </cell>
          <cell r="K2704">
            <v>100</v>
          </cell>
          <cell r="L2704">
            <v>45951</v>
          </cell>
          <cell r="M2704">
            <v>-15012</v>
          </cell>
          <cell r="N2704">
            <v>584988</v>
          </cell>
        </row>
        <row r="2705">
          <cell r="A2705">
            <v>22013</v>
          </cell>
          <cell r="B2705">
            <v>2699</v>
          </cell>
          <cell r="C2705" t="str">
            <v>IASWD2408000617</v>
          </cell>
          <cell r="D2705">
            <v>45511</v>
          </cell>
          <cell r="E2705">
            <v>46167</v>
          </cell>
          <cell r="F2705" t="str">
            <v>22013</v>
          </cell>
          <cell r="G2705" t="str">
            <v>裕隆三</v>
          </cell>
          <cell r="H2705">
            <v>100000</v>
          </cell>
          <cell r="I2705">
            <v>3</v>
          </cell>
          <cell r="J2705">
            <v>46167</v>
          </cell>
          <cell r="K2705">
            <v>100.75190000000001</v>
          </cell>
          <cell r="L2705">
            <v>46147</v>
          </cell>
          <cell r="M2705">
            <v>-2310</v>
          </cell>
          <cell r="N2705">
            <v>97690</v>
          </cell>
        </row>
        <row r="2706">
          <cell r="A2706">
            <v>33121</v>
          </cell>
          <cell r="B2706">
            <v>2700</v>
          </cell>
          <cell r="C2706" t="str">
            <v>IASWD2408000619</v>
          </cell>
          <cell r="D2706">
            <v>45511</v>
          </cell>
          <cell r="E2706">
            <v>46563</v>
          </cell>
          <cell r="F2706" t="str">
            <v>33121</v>
          </cell>
          <cell r="G2706" t="str">
            <v>弘憶股一</v>
          </cell>
          <cell r="H2706">
            <v>100000</v>
          </cell>
          <cell r="I2706">
            <v>3.5</v>
          </cell>
          <cell r="J2706">
            <v>46563</v>
          </cell>
          <cell r="K2706">
            <v>100</v>
          </cell>
          <cell r="L2706">
            <v>46545</v>
          </cell>
          <cell r="M2706">
            <v>-2695</v>
          </cell>
          <cell r="N2706">
            <v>97305</v>
          </cell>
        </row>
        <row r="2707">
          <cell r="A2707">
            <v>22013</v>
          </cell>
          <cell r="B2707">
            <v>2701</v>
          </cell>
          <cell r="C2707" t="str">
            <v>IASWD2408000620</v>
          </cell>
          <cell r="D2707">
            <v>45511</v>
          </cell>
          <cell r="E2707">
            <v>46167</v>
          </cell>
          <cell r="F2707" t="str">
            <v>22013</v>
          </cell>
          <cell r="G2707" t="str">
            <v>裕隆三</v>
          </cell>
          <cell r="H2707">
            <v>100000</v>
          </cell>
          <cell r="I2707">
            <v>3</v>
          </cell>
          <cell r="J2707">
            <v>46167</v>
          </cell>
          <cell r="K2707">
            <v>100.75190000000001</v>
          </cell>
          <cell r="L2707">
            <v>46147</v>
          </cell>
          <cell r="M2707">
            <v>-2310</v>
          </cell>
          <cell r="N2707">
            <v>97690</v>
          </cell>
        </row>
        <row r="2708">
          <cell r="A2708">
            <v>64145</v>
          </cell>
          <cell r="B2708">
            <v>2702</v>
          </cell>
          <cell r="C2708" t="str">
            <v>IASWD2408000621</v>
          </cell>
          <cell r="D2708">
            <v>45511</v>
          </cell>
          <cell r="E2708">
            <v>46250</v>
          </cell>
          <cell r="F2708" t="str">
            <v>64145</v>
          </cell>
          <cell r="G2708" t="str">
            <v>樺漢五</v>
          </cell>
          <cell r="H2708">
            <v>100000</v>
          </cell>
          <cell r="I2708">
            <v>3</v>
          </cell>
          <cell r="J2708">
            <v>46250</v>
          </cell>
          <cell r="K2708">
            <v>100</v>
          </cell>
          <cell r="L2708">
            <v>46231</v>
          </cell>
          <cell r="M2708">
            <v>-2310</v>
          </cell>
          <cell r="N2708">
            <v>97690</v>
          </cell>
        </row>
        <row r="2709">
          <cell r="A2709">
            <v>22013</v>
          </cell>
          <cell r="B2709">
            <v>2703</v>
          </cell>
          <cell r="C2709" t="str">
            <v>IASWD2408000624</v>
          </cell>
          <cell r="D2709">
            <v>45511</v>
          </cell>
          <cell r="E2709">
            <v>46167</v>
          </cell>
          <cell r="F2709" t="str">
            <v>22013</v>
          </cell>
          <cell r="G2709" t="str">
            <v>裕隆三</v>
          </cell>
          <cell r="H2709">
            <v>100000</v>
          </cell>
          <cell r="I2709">
            <v>3</v>
          </cell>
          <cell r="J2709">
            <v>46167</v>
          </cell>
          <cell r="K2709">
            <v>100.75190000000001</v>
          </cell>
          <cell r="L2709">
            <v>46147</v>
          </cell>
          <cell r="M2709">
            <v>-2310</v>
          </cell>
          <cell r="N2709">
            <v>97690</v>
          </cell>
        </row>
        <row r="2710">
          <cell r="A2710">
            <v>64145</v>
          </cell>
          <cell r="B2710">
            <v>2704</v>
          </cell>
          <cell r="C2710" t="str">
            <v>IASWD2408000627</v>
          </cell>
          <cell r="D2710">
            <v>45512</v>
          </cell>
          <cell r="E2710">
            <v>46250</v>
          </cell>
          <cell r="F2710" t="str">
            <v>64145</v>
          </cell>
          <cell r="G2710" t="str">
            <v>樺漢五</v>
          </cell>
          <cell r="H2710">
            <v>300000</v>
          </cell>
          <cell r="I2710">
            <v>3</v>
          </cell>
          <cell r="J2710">
            <v>46250</v>
          </cell>
          <cell r="K2710">
            <v>100</v>
          </cell>
          <cell r="L2710">
            <v>46231</v>
          </cell>
          <cell r="M2710">
            <v>-6904</v>
          </cell>
          <cell r="N2710">
            <v>293096</v>
          </cell>
        </row>
        <row r="2711">
          <cell r="A2711">
            <v>50097</v>
          </cell>
          <cell r="B2711">
            <v>2705</v>
          </cell>
          <cell r="C2711" t="str">
            <v>IASWD2408000628</v>
          </cell>
          <cell r="D2711">
            <v>45512</v>
          </cell>
          <cell r="E2711">
            <v>46234</v>
          </cell>
          <cell r="F2711" t="str">
            <v>50097</v>
          </cell>
          <cell r="G2711" t="str">
            <v>榮剛七</v>
          </cell>
          <cell r="H2711">
            <v>100000</v>
          </cell>
          <cell r="I2711">
            <v>4.2</v>
          </cell>
          <cell r="J2711">
            <v>46234</v>
          </cell>
          <cell r="K2711">
            <v>101.51</v>
          </cell>
          <cell r="L2711">
            <v>46216</v>
          </cell>
          <cell r="M2711">
            <v>-3222</v>
          </cell>
          <cell r="N2711">
            <v>96778</v>
          </cell>
        </row>
        <row r="2712">
          <cell r="A2712">
            <v>64145</v>
          </cell>
          <cell r="B2712">
            <v>2706</v>
          </cell>
          <cell r="C2712" t="str">
            <v>IASWD2408000629</v>
          </cell>
          <cell r="D2712">
            <v>45512</v>
          </cell>
          <cell r="E2712">
            <v>46250</v>
          </cell>
          <cell r="F2712" t="str">
            <v>64145</v>
          </cell>
          <cell r="G2712" t="str">
            <v>樺漢五</v>
          </cell>
          <cell r="H2712">
            <v>100000</v>
          </cell>
          <cell r="I2712">
            <v>3</v>
          </cell>
          <cell r="J2712">
            <v>46250</v>
          </cell>
          <cell r="K2712">
            <v>100</v>
          </cell>
          <cell r="L2712">
            <v>46231</v>
          </cell>
          <cell r="M2712">
            <v>-2301</v>
          </cell>
          <cell r="N2712">
            <v>97699</v>
          </cell>
        </row>
        <row r="2713">
          <cell r="A2713">
            <v>20632</v>
          </cell>
          <cell r="B2713">
            <v>2707</v>
          </cell>
          <cell r="C2713" t="str">
            <v>IASWD2408000632</v>
          </cell>
          <cell r="D2713">
            <v>45512</v>
          </cell>
          <cell r="E2713">
            <v>45971</v>
          </cell>
          <cell r="F2713" t="str">
            <v>20632</v>
          </cell>
          <cell r="G2713" t="str">
            <v>世鎧二</v>
          </cell>
          <cell r="H2713">
            <v>400000</v>
          </cell>
          <cell r="I2713">
            <v>3.25</v>
          </cell>
          <cell r="J2713">
            <v>45971</v>
          </cell>
          <cell r="K2713">
            <v>100</v>
          </cell>
          <cell r="L2713">
            <v>45951</v>
          </cell>
          <cell r="M2713">
            <v>-9973</v>
          </cell>
          <cell r="N2713">
            <v>390027</v>
          </cell>
        </row>
        <row r="2714">
          <cell r="A2714">
            <v>22013</v>
          </cell>
          <cell r="B2714">
            <v>2708</v>
          </cell>
          <cell r="C2714" t="str">
            <v>IASWD2408000633</v>
          </cell>
          <cell r="D2714">
            <v>45512</v>
          </cell>
          <cell r="E2714">
            <v>46167</v>
          </cell>
          <cell r="F2714" t="str">
            <v>22013</v>
          </cell>
          <cell r="G2714" t="str">
            <v>裕隆三</v>
          </cell>
          <cell r="H2714">
            <v>100000</v>
          </cell>
          <cell r="I2714">
            <v>3</v>
          </cell>
          <cell r="J2714">
            <v>46167</v>
          </cell>
          <cell r="K2714">
            <v>100.75190000000001</v>
          </cell>
          <cell r="L2714">
            <v>46147</v>
          </cell>
          <cell r="M2714">
            <v>-2301</v>
          </cell>
          <cell r="N2714">
            <v>97699</v>
          </cell>
        </row>
        <row r="2715">
          <cell r="A2715">
            <v>84781</v>
          </cell>
          <cell r="B2715">
            <v>2709</v>
          </cell>
          <cell r="C2715" t="str">
            <v>IASWD2408000635</v>
          </cell>
          <cell r="D2715">
            <v>45512</v>
          </cell>
          <cell r="E2715">
            <v>46583</v>
          </cell>
          <cell r="F2715" t="str">
            <v>84781</v>
          </cell>
          <cell r="G2715" t="str">
            <v>東哥遊艇一</v>
          </cell>
          <cell r="H2715">
            <v>300000</v>
          </cell>
          <cell r="I2715">
            <v>3.1</v>
          </cell>
          <cell r="J2715">
            <v>46583</v>
          </cell>
          <cell r="K2715">
            <v>100</v>
          </cell>
          <cell r="L2715">
            <v>46563</v>
          </cell>
          <cell r="M2715">
            <v>-7134</v>
          </cell>
          <cell r="N2715">
            <v>292866</v>
          </cell>
        </row>
        <row r="2716">
          <cell r="A2716">
            <v>82551</v>
          </cell>
          <cell r="B2716">
            <v>2710</v>
          </cell>
          <cell r="C2716" t="str">
            <v>IASWD2408000637</v>
          </cell>
          <cell r="D2716">
            <v>45512</v>
          </cell>
          <cell r="E2716">
            <v>46243</v>
          </cell>
          <cell r="F2716" t="str">
            <v>82551</v>
          </cell>
          <cell r="G2716" t="str">
            <v>朋程一</v>
          </cell>
          <cell r="H2716">
            <v>100000</v>
          </cell>
          <cell r="I2716">
            <v>2.6</v>
          </cell>
          <cell r="J2716">
            <v>46243</v>
          </cell>
          <cell r="K2716">
            <v>100</v>
          </cell>
          <cell r="L2716">
            <v>46224</v>
          </cell>
          <cell r="M2716">
            <v>-1995</v>
          </cell>
          <cell r="N2716">
            <v>98005</v>
          </cell>
        </row>
        <row r="2717">
          <cell r="A2717">
            <v>84781</v>
          </cell>
          <cell r="B2717">
            <v>2711</v>
          </cell>
          <cell r="C2717" t="str">
            <v>IASWD2408000638</v>
          </cell>
          <cell r="D2717">
            <v>45512</v>
          </cell>
          <cell r="E2717">
            <v>46583</v>
          </cell>
          <cell r="F2717" t="str">
            <v>84781</v>
          </cell>
          <cell r="G2717" t="str">
            <v>東哥遊艇一</v>
          </cell>
          <cell r="H2717">
            <v>200000</v>
          </cell>
          <cell r="I2717">
            <v>3.1</v>
          </cell>
          <cell r="J2717">
            <v>46583</v>
          </cell>
          <cell r="K2717">
            <v>100</v>
          </cell>
          <cell r="L2717">
            <v>46563</v>
          </cell>
          <cell r="M2717">
            <v>-4756</v>
          </cell>
          <cell r="N2717">
            <v>195244</v>
          </cell>
        </row>
        <row r="2718">
          <cell r="A2718">
            <v>64145</v>
          </cell>
          <cell r="B2718">
            <v>2712</v>
          </cell>
          <cell r="C2718" t="str">
            <v>IASWD2408000639</v>
          </cell>
          <cell r="D2718">
            <v>45512</v>
          </cell>
          <cell r="E2718">
            <v>46250</v>
          </cell>
          <cell r="F2718" t="str">
            <v>64145</v>
          </cell>
          <cell r="G2718" t="str">
            <v>樺漢五</v>
          </cell>
          <cell r="H2718">
            <v>100000</v>
          </cell>
          <cell r="I2718">
            <v>3</v>
          </cell>
          <cell r="J2718">
            <v>46250</v>
          </cell>
          <cell r="K2718">
            <v>100</v>
          </cell>
          <cell r="L2718">
            <v>46231</v>
          </cell>
          <cell r="M2718">
            <v>-2301</v>
          </cell>
          <cell r="N2718">
            <v>97699</v>
          </cell>
        </row>
        <row r="2719">
          <cell r="A2719">
            <v>20632</v>
          </cell>
          <cell r="B2719">
            <v>2713</v>
          </cell>
          <cell r="C2719" t="str">
            <v>IASWD2408000643</v>
          </cell>
          <cell r="D2719">
            <v>45512</v>
          </cell>
          <cell r="E2719">
            <v>45971</v>
          </cell>
          <cell r="F2719" t="str">
            <v>20632</v>
          </cell>
          <cell r="G2719" t="str">
            <v>世鎧二</v>
          </cell>
          <cell r="H2719">
            <v>400000</v>
          </cell>
          <cell r="I2719">
            <v>3.25</v>
          </cell>
          <cell r="J2719">
            <v>45971</v>
          </cell>
          <cell r="K2719">
            <v>100</v>
          </cell>
          <cell r="L2719">
            <v>45951</v>
          </cell>
          <cell r="M2719">
            <v>-9973</v>
          </cell>
          <cell r="N2719">
            <v>390027</v>
          </cell>
        </row>
        <row r="2720">
          <cell r="A2720">
            <v>89964</v>
          </cell>
          <cell r="B2720">
            <v>2714</v>
          </cell>
          <cell r="C2720" t="str">
            <v>IASWD2408000644</v>
          </cell>
          <cell r="D2720">
            <v>45512</v>
          </cell>
          <cell r="E2720">
            <v>46362</v>
          </cell>
          <cell r="F2720" t="str">
            <v>89964</v>
          </cell>
          <cell r="G2720" t="str">
            <v>高力四</v>
          </cell>
          <cell r="H2720">
            <v>500000</v>
          </cell>
          <cell r="I2720">
            <v>3.5</v>
          </cell>
          <cell r="J2720">
            <v>46362</v>
          </cell>
          <cell r="K2720">
            <v>100.75190000000001</v>
          </cell>
          <cell r="L2720">
            <v>46343</v>
          </cell>
          <cell r="M2720">
            <v>-13425</v>
          </cell>
          <cell r="N2720">
            <v>486575</v>
          </cell>
        </row>
        <row r="2721">
          <cell r="A2721">
            <v>67531</v>
          </cell>
          <cell r="B2721">
            <v>2715</v>
          </cell>
          <cell r="C2721" t="str">
            <v>IASWD2408000646</v>
          </cell>
          <cell r="D2721">
            <v>45512</v>
          </cell>
          <cell r="E2721">
            <v>46563</v>
          </cell>
          <cell r="F2721" t="str">
            <v>67531</v>
          </cell>
          <cell r="G2721" t="str">
            <v>龍德造船一</v>
          </cell>
          <cell r="H2721">
            <v>100000</v>
          </cell>
          <cell r="I2721">
            <v>3.5</v>
          </cell>
          <cell r="J2721">
            <v>46563</v>
          </cell>
          <cell r="K2721">
            <v>100</v>
          </cell>
          <cell r="L2721">
            <v>46545</v>
          </cell>
          <cell r="M2721">
            <v>-2685</v>
          </cell>
          <cell r="N2721">
            <v>97315</v>
          </cell>
        </row>
        <row r="2722">
          <cell r="A2722">
            <v>64145</v>
          </cell>
          <cell r="B2722">
            <v>2716</v>
          </cell>
          <cell r="C2722" t="str">
            <v>IASWD2408000647</v>
          </cell>
          <cell r="D2722">
            <v>45512</v>
          </cell>
          <cell r="E2722">
            <v>46250</v>
          </cell>
          <cell r="F2722" t="str">
            <v>64145</v>
          </cell>
          <cell r="G2722" t="str">
            <v>樺漢五</v>
          </cell>
          <cell r="H2722">
            <v>100000</v>
          </cell>
          <cell r="I2722">
            <v>3</v>
          </cell>
          <cell r="J2722">
            <v>46250</v>
          </cell>
          <cell r="K2722">
            <v>100</v>
          </cell>
          <cell r="L2722">
            <v>46231</v>
          </cell>
          <cell r="M2722">
            <v>-2301</v>
          </cell>
          <cell r="N2722">
            <v>97699</v>
          </cell>
        </row>
        <row r="2723">
          <cell r="A2723">
            <v>64145</v>
          </cell>
          <cell r="B2723">
            <v>2717</v>
          </cell>
          <cell r="C2723" t="str">
            <v>IASWD2408000649</v>
          </cell>
          <cell r="D2723">
            <v>45512</v>
          </cell>
          <cell r="E2723">
            <v>46250</v>
          </cell>
          <cell r="F2723" t="str">
            <v>64145</v>
          </cell>
          <cell r="G2723" t="str">
            <v>樺漢五</v>
          </cell>
          <cell r="H2723">
            <v>100000</v>
          </cell>
          <cell r="I2723">
            <v>3</v>
          </cell>
          <cell r="J2723">
            <v>46250</v>
          </cell>
          <cell r="K2723">
            <v>100</v>
          </cell>
          <cell r="L2723">
            <v>46231</v>
          </cell>
          <cell r="M2723">
            <v>-2301</v>
          </cell>
          <cell r="N2723">
            <v>97699</v>
          </cell>
        </row>
        <row r="2724">
          <cell r="A2724">
            <v>33121</v>
          </cell>
          <cell r="B2724">
            <v>2718</v>
          </cell>
          <cell r="C2724" t="str">
            <v>IASWD2408000650</v>
          </cell>
          <cell r="D2724">
            <v>45512</v>
          </cell>
          <cell r="E2724">
            <v>46563</v>
          </cell>
          <cell r="F2724" t="str">
            <v>33121</v>
          </cell>
          <cell r="G2724" t="str">
            <v>弘憶股一</v>
          </cell>
          <cell r="H2724">
            <v>100000</v>
          </cell>
          <cell r="I2724">
            <v>3.5</v>
          </cell>
          <cell r="J2724">
            <v>46563</v>
          </cell>
          <cell r="K2724">
            <v>100</v>
          </cell>
          <cell r="L2724">
            <v>46545</v>
          </cell>
          <cell r="M2724">
            <v>-2685</v>
          </cell>
          <cell r="N2724">
            <v>97315</v>
          </cell>
        </row>
        <row r="2725">
          <cell r="A2725">
            <v>35482</v>
          </cell>
          <cell r="B2725">
            <v>2719</v>
          </cell>
          <cell r="C2725" t="str">
            <v>IASWD2408000651</v>
          </cell>
          <cell r="D2725">
            <v>45512</v>
          </cell>
          <cell r="E2725">
            <v>46395</v>
          </cell>
          <cell r="F2725" t="str">
            <v>35482</v>
          </cell>
          <cell r="G2725" t="str">
            <v>兆利二</v>
          </cell>
          <cell r="H2725">
            <v>100000</v>
          </cell>
          <cell r="I2725">
            <v>3</v>
          </cell>
          <cell r="J2725">
            <v>46395</v>
          </cell>
          <cell r="K2725">
            <v>100</v>
          </cell>
          <cell r="L2725">
            <v>46377</v>
          </cell>
          <cell r="M2725">
            <v>-2301</v>
          </cell>
          <cell r="N2725">
            <v>97699</v>
          </cell>
        </row>
        <row r="2726">
          <cell r="A2726">
            <v>33121</v>
          </cell>
          <cell r="B2726">
            <v>2720</v>
          </cell>
          <cell r="C2726" t="str">
            <v>IASWD2408000652</v>
          </cell>
          <cell r="D2726">
            <v>45512</v>
          </cell>
          <cell r="E2726">
            <v>46563</v>
          </cell>
          <cell r="F2726" t="str">
            <v>33121</v>
          </cell>
          <cell r="G2726" t="str">
            <v>弘憶股一</v>
          </cell>
          <cell r="H2726">
            <v>200000</v>
          </cell>
          <cell r="I2726">
            <v>3.5</v>
          </cell>
          <cell r="J2726">
            <v>46563</v>
          </cell>
          <cell r="K2726">
            <v>100</v>
          </cell>
          <cell r="L2726">
            <v>46545</v>
          </cell>
          <cell r="M2726">
            <v>-5370</v>
          </cell>
          <cell r="N2726">
            <v>194630</v>
          </cell>
        </row>
        <row r="2727">
          <cell r="A2727">
            <v>64145</v>
          </cell>
          <cell r="B2727">
            <v>2721</v>
          </cell>
          <cell r="C2727" t="str">
            <v>IASWD2408000653</v>
          </cell>
          <cell r="D2727">
            <v>45512</v>
          </cell>
          <cell r="E2727">
            <v>46250</v>
          </cell>
          <cell r="F2727" t="str">
            <v>64145</v>
          </cell>
          <cell r="G2727" t="str">
            <v>樺漢五</v>
          </cell>
          <cell r="H2727">
            <v>100000</v>
          </cell>
          <cell r="I2727">
            <v>3</v>
          </cell>
          <cell r="J2727">
            <v>46250</v>
          </cell>
          <cell r="K2727">
            <v>100</v>
          </cell>
          <cell r="L2727">
            <v>46231</v>
          </cell>
          <cell r="M2727">
            <v>-2301</v>
          </cell>
          <cell r="N2727">
            <v>97699</v>
          </cell>
        </row>
        <row r="2728">
          <cell r="A2728">
            <v>64145</v>
          </cell>
          <cell r="B2728">
            <v>2722</v>
          </cell>
          <cell r="C2728" t="str">
            <v>IASWD2408000654</v>
          </cell>
          <cell r="D2728">
            <v>45512</v>
          </cell>
          <cell r="E2728">
            <v>46250</v>
          </cell>
          <cell r="F2728" t="str">
            <v>64145</v>
          </cell>
          <cell r="G2728" t="str">
            <v>樺漢五</v>
          </cell>
          <cell r="H2728">
            <v>100000</v>
          </cell>
          <cell r="I2728">
            <v>3</v>
          </cell>
          <cell r="J2728">
            <v>46250</v>
          </cell>
          <cell r="K2728">
            <v>100</v>
          </cell>
          <cell r="L2728">
            <v>46231</v>
          </cell>
          <cell r="M2728">
            <v>-2301</v>
          </cell>
          <cell r="N2728">
            <v>97699</v>
          </cell>
        </row>
        <row r="2729">
          <cell r="A2729">
            <v>64145</v>
          </cell>
          <cell r="B2729">
            <v>2723</v>
          </cell>
          <cell r="C2729" t="str">
            <v>IASWD2408000655</v>
          </cell>
          <cell r="D2729">
            <v>45512</v>
          </cell>
          <cell r="E2729">
            <v>46250</v>
          </cell>
          <cell r="F2729" t="str">
            <v>64145</v>
          </cell>
          <cell r="G2729" t="str">
            <v>樺漢五</v>
          </cell>
          <cell r="H2729">
            <v>100000</v>
          </cell>
          <cell r="I2729">
            <v>3</v>
          </cell>
          <cell r="J2729">
            <v>46250</v>
          </cell>
          <cell r="K2729">
            <v>100</v>
          </cell>
          <cell r="L2729">
            <v>46231</v>
          </cell>
          <cell r="M2729">
            <v>-2301</v>
          </cell>
          <cell r="N2729">
            <v>97699</v>
          </cell>
        </row>
        <row r="2730">
          <cell r="A2730">
            <v>64145</v>
          </cell>
          <cell r="B2730">
            <v>2724</v>
          </cell>
          <cell r="C2730" t="str">
            <v>IASWD2408000657</v>
          </cell>
          <cell r="D2730">
            <v>45512</v>
          </cell>
          <cell r="E2730">
            <v>46250</v>
          </cell>
          <cell r="F2730" t="str">
            <v>64145</v>
          </cell>
          <cell r="G2730" t="str">
            <v>樺漢五</v>
          </cell>
          <cell r="H2730">
            <v>100000</v>
          </cell>
          <cell r="I2730">
            <v>3</v>
          </cell>
          <cell r="J2730">
            <v>46250</v>
          </cell>
          <cell r="K2730">
            <v>100</v>
          </cell>
          <cell r="L2730">
            <v>46231</v>
          </cell>
          <cell r="M2730">
            <v>-2301</v>
          </cell>
          <cell r="N2730">
            <v>97699</v>
          </cell>
        </row>
        <row r="2731">
          <cell r="A2731">
            <v>62695</v>
          </cell>
          <cell r="B2731">
            <v>2725</v>
          </cell>
          <cell r="C2731" t="str">
            <v>IASWD2408000704</v>
          </cell>
          <cell r="D2731">
            <v>45513</v>
          </cell>
          <cell r="E2731">
            <v>46599</v>
          </cell>
          <cell r="F2731" t="str">
            <v>62695</v>
          </cell>
          <cell r="G2731" t="str">
            <v>台郡五</v>
          </cell>
          <cell r="H2731">
            <v>300000</v>
          </cell>
          <cell r="I2731">
            <v>2.4</v>
          </cell>
          <cell r="J2731">
            <v>46599</v>
          </cell>
          <cell r="K2731">
            <v>100</v>
          </cell>
          <cell r="L2731">
            <v>46581</v>
          </cell>
          <cell r="M2731">
            <v>-5504</v>
          </cell>
          <cell r="N2731">
            <v>294496</v>
          </cell>
        </row>
        <row r="2732">
          <cell r="A2732">
            <v>22013</v>
          </cell>
          <cell r="B2732">
            <v>2726</v>
          </cell>
          <cell r="C2732" t="str">
            <v>IASWD2408000705</v>
          </cell>
          <cell r="D2732">
            <v>45513</v>
          </cell>
          <cell r="E2732">
            <v>46167</v>
          </cell>
          <cell r="F2732" t="str">
            <v>22013</v>
          </cell>
          <cell r="G2732" t="str">
            <v>裕隆三</v>
          </cell>
          <cell r="H2732">
            <v>100000</v>
          </cell>
          <cell r="I2732">
            <v>3</v>
          </cell>
          <cell r="J2732">
            <v>46167</v>
          </cell>
          <cell r="K2732">
            <v>100.75190000000001</v>
          </cell>
          <cell r="L2732">
            <v>46147</v>
          </cell>
          <cell r="M2732">
            <v>-2293</v>
          </cell>
          <cell r="N2732">
            <v>97707</v>
          </cell>
        </row>
        <row r="2733">
          <cell r="A2733">
            <v>64145</v>
          </cell>
          <cell r="B2733">
            <v>2727</v>
          </cell>
          <cell r="C2733" t="str">
            <v>IASWD2408000706</v>
          </cell>
          <cell r="D2733">
            <v>45513</v>
          </cell>
          <cell r="E2733">
            <v>46250</v>
          </cell>
          <cell r="F2733" t="str">
            <v>64145</v>
          </cell>
          <cell r="G2733" t="str">
            <v>樺漢五</v>
          </cell>
          <cell r="H2733">
            <v>200000</v>
          </cell>
          <cell r="I2733">
            <v>3</v>
          </cell>
          <cell r="J2733">
            <v>46250</v>
          </cell>
          <cell r="K2733">
            <v>100</v>
          </cell>
          <cell r="L2733">
            <v>46231</v>
          </cell>
          <cell r="M2733">
            <v>-4586</v>
          </cell>
          <cell r="N2733">
            <v>195414</v>
          </cell>
        </row>
        <row r="2734">
          <cell r="A2734">
            <v>22013</v>
          </cell>
          <cell r="B2734">
            <v>2728</v>
          </cell>
          <cell r="C2734" t="str">
            <v>IASWD2408000710</v>
          </cell>
          <cell r="D2734">
            <v>45513</v>
          </cell>
          <cell r="E2734">
            <v>46167</v>
          </cell>
          <cell r="F2734" t="str">
            <v>22013</v>
          </cell>
          <cell r="G2734" t="str">
            <v>裕隆三</v>
          </cell>
          <cell r="H2734">
            <v>100000</v>
          </cell>
          <cell r="I2734">
            <v>3</v>
          </cell>
          <cell r="J2734">
            <v>46167</v>
          </cell>
          <cell r="K2734">
            <v>100.75190000000001</v>
          </cell>
          <cell r="L2734">
            <v>46147</v>
          </cell>
          <cell r="M2734">
            <v>-2293</v>
          </cell>
          <cell r="N2734">
            <v>97707</v>
          </cell>
        </row>
        <row r="2735">
          <cell r="A2735">
            <v>50097</v>
          </cell>
          <cell r="B2735">
            <v>2729</v>
          </cell>
          <cell r="C2735" t="str">
            <v>IASWD2408000712</v>
          </cell>
          <cell r="D2735">
            <v>45513</v>
          </cell>
          <cell r="E2735">
            <v>46234</v>
          </cell>
          <cell r="F2735" t="str">
            <v>50097</v>
          </cell>
          <cell r="G2735" t="str">
            <v>榮剛七</v>
          </cell>
          <cell r="H2735">
            <v>100000</v>
          </cell>
          <cell r="I2735">
            <v>4.2</v>
          </cell>
          <cell r="J2735">
            <v>46234</v>
          </cell>
          <cell r="K2735">
            <v>101.51</v>
          </cell>
          <cell r="L2735">
            <v>46216</v>
          </cell>
          <cell r="M2735">
            <v>-3210</v>
          </cell>
          <cell r="N2735">
            <v>96790</v>
          </cell>
        </row>
        <row r="2736">
          <cell r="A2736">
            <v>22013</v>
          </cell>
          <cell r="B2736">
            <v>2730</v>
          </cell>
          <cell r="C2736" t="str">
            <v>IASWD2408000713</v>
          </cell>
          <cell r="D2736">
            <v>45513</v>
          </cell>
          <cell r="E2736">
            <v>46167</v>
          </cell>
          <cell r="F2736" t="str">
            <v>22013</v>
          </cell>
          <cell r="G2736" t="str">
            <v>裕隆三</v>
          </cell>
          <cell r="H2736">
            <v>100000</v>
          </cell>
          <cell r="I2736">
            <v>3</v>
          </cell>
          <cell r="J2736">
            <v>46167</v>
          </cell>
          <cell r="K2736">
            <v>100.75190000000001</v>
          </cell>
          <cell r="L2736">
            <v>46147</v>
          </cell>
          <cell r="M2736">
            <v>-2293</v>
          </cell>
          <cell r="N2736">
            <v>97707</v>
          </cell>
        </row>
        <row r="2737">
          <cell r="A2737">
            <v>33121</v>
          </cell>
          <cell r="B2737">
            <v>2731</v>
          </cell>
          <cell r="C2737" t="str">
            <v>IASWD2408000715</v>
          </cell>
          <cell r="D2737">
            <v>45513</v>
          </cell>
          <cell r="E2737">
            <v>46563</v>
          </cell>
          <cell r="F2737" t="str">
            <v>33121</v>
          </cell>
          <cell r="G2737" t="str">
            <v>弘憶股一</v>
          </cell>
          <cell r="H2737">
            <v>500000</v>
          </cell>
          <cell r="I2737">
            <v>3.5</v>
          </cell>
          <cell r="J2737">
            <v>46563</v>
          </cell>
          <cell r="K2737">
            <v>100</v>
          </cell>
          <cell r="L2737">
            <v>46545</v>
          </cell>
          <cell r="M2737">
            <v>-13377</v>
          </cell>
          <cell r="N2737">
            <v>486623</v>
          </cell>
        </row>
        <row r="2738">
          <cell r="A2738">
            <v>20632</v>
          </cell>
          <cell r="B2738">
            <v>2732</v>
          </cell>
          <cell r="C2738" t="str">
            <v>IASWD2408000717</v>
          </cell>
          <cell r="D2738">
            <v>45513</v>
          </cell>
          <cell r="E2738">
            <v>45971</v>
          </cell>
          <cell r="F2738" t="str">
            <v>20632</v>
          </cell>
          <cell r="G2738" t="str">
            <v>世鎧二</v>
          </cell>
          <cell r="H2738">
            <v>500000</v>
          </cell>
          <cell r="I2738">
            <v>3.25</v>
          </cell>
          <cell r="J2738">
            <v>45971</v>
          </cell>
          <cell r="K2738">
            <v>100</v>
          </cell>
          <cell r="L2738">
            <v>45951</v>
          </cell>
          <cell r="M2738">
            <v>-12421</v>
          </cell>
          <cell r="N2738">
            <v>487579</v>
          </cell>
        </row>
        <row r="2739">
          <cell r="A2739">
            <v>65096</v>
          </cell>
          <cell r="B2739">
            <v>2733</v>
          </cell>
          <cell r="C2739" t="str">
            <v>IASWD2408000718</v>
          </cell>
          <cell r="D2739">
            <v>45513</v>
          </cell>
          <cell r="E2739">
            <v>46206</v>
          </cell>
          <cell r="F2739" t="str">
            <v>65096</v>
          </cell>
          <cell r="G2739" t="str">
            <v>聚和六</v>
          </cell>
          <cell r="H2739">
            <v>100000</v>
          </cell>
          <cell r="I2739">
            <v>3.1</v>
          </cell>
          <cell r="J2739">
            <v>46206</v>
          </cell>
          <cell r="K2739">
            <v>100</v>
          </cell>
          <cell r="L2739">
            <v>46188</v>
          </cell>
          <cell r="M2739">
            <v>-2370</v>
          </cell>
          <cell r="N2739">
            <v>97630</v>
          </cell>
        </row>
        <row r="2740">
          <cell r="A2740">
            <v>82551</v>
          </cell>
          <cell r="B2740">
            <v>2734</v>
          </cell>
          <cell r="C2740" t="str">
            <v>IASWD2408000719</v>
          </cell>
          <cell r="D2740">
            <v>45513</v>
          </cell>
          <cell r="E2740">
            <v>46243</v>
          </cell>
          <cell r="F2740" t="str">
            <v>82551</v>
          </cell>
          <cell r="G2740" t="str">
            <v>朋程一</v>
          </cell>
          <cell r="H2740">
            <v>100000</v>
          </cell>
          <cell r="I2740">
            <v>2.6</v>
          </cell>
          <cell r="J2740">
            <v>46243</v>
          </cell>
          <cell r="K2740">
            <v>100</v>
          </cell>
          <cell r="L2740">
            <v>46224</v>
          </cell>
          <cell r="M2740">
            <v>-1987</v>
          </cell>
          <cell r="N2740">
            <v>98013</v>
          </cell>
        </row>
        <row r="2741">
          <cell r="A2741">
            <v>84781</v>
          </cell>
          <cell r="B2741">
            <v>2735</v>
          </cell>
          <cell r="C2741" t="str">
            <v>IASWD2408000721</v>
          </cell>
          <cell r="D2741">
            <v>45513</v>
          </cell>
          <cell r="E2741">
            <v>46583</v>
          </cell>
          <cell r="F2741" t="str">
            <v>84781</v>
          </cell>
          <cell r="G2741" t="str">
            <v>東哥遊艇一</v>
          </cell>
          <cell r="H2741">
            <v>100000</v>
          </cell>
          <cell r="I2741">
            <v>3.1</v>
          </cell>
          <cell r="J2741">
            <v>46583</v>
          </cell>
          <cell r="K2741">
            <v>100</v>
          </cell>
          <cell r="L2741">
            <v>46563</v>
          </cell>
          <cell r="M2741">
            <v>-2370</v>
          </cell>
          <cell r="N2741">
            <v>97630</v>
          </cell>
        </row>
        <row r="2742">
          <cell r="A2742">
            <v>36804</v>
          </cell>
          <cell r="B2742">
            <v>2736</v>
          </cell>
          <cell r="C2742" t="str">
            <v>IASWD2408000722</v>
          </cell>
          <cell r="D2742">
            <v>45513</v>
          </cell>
          <cell r="E2742">
            <v>45948</v>
          </cell>
          <cell r="F2742" t="str">
            <v>36804</v>
          </cell>
          <cell r="G2742" t="str">
            <v>家登四</v>
          </cell>
          <cell r="H2742">
            <v>100000</v>
          </cell>
          <cell r="I2742">
            <v>3.2</v>
          </cell>
          <cell r="J2742">
            <v>45948</v>
          </cell>
          <cell r="K2742">
            <v>100</v>
          </cell>
          <cell r="L2742">
            <v>45926</v>
          </cell>
          <cell r="M2742">
            <v>-2446</v>
          </cell>
          <cell r="N2742">
            <v>97554</v>
          </cell>
        </row>
        <row r="2743">
          <cell r="A2743">
            <v>84781</v>
          </cell>
          <cell r="B2743">
            <v>2737</v>
          </cell>
          <cell r="C2743" t="str">
            <v>IASWD2408000724</v>
          </cell>
          <cell r="D2743">
            <v>45513</v>
          </cell>
          <cell r="E2743">
            <v>46583</v>
          </cell>
          <cell r="F2743" t="str">
            <v>84781</v>
          </cell>
          <cell r="G2743" t="str">
            <v>東哥遊艇一</v>
          </cell>
          <cell r="H2743">
            <v>200000</v>
          </cell>
          <cell r="I2743">
            <v>3.1</v>
          </cell>
          <cell r="J2743">
            <v>46583</v>
          </cell>
          <cell r="K2743">
            <v>100</v>
          </cell>
          <cell r="L2743">
            <v>46563</v>
          </cell>
          <cell r="M2743">
            <v>-4739</v>
          </cell>
          <cell r="N2743">
            <v>195261</v>
          </cell>
        </row>
        <row r="2744">
          <cell r="A2744">
            <v>82551</v>
          </cell>
          <cell r="B2744">
            <v>2738</v>
          </cell>
          <cell r="C2744" t="str">
            <v>IASWD2408000725</v>
          </cell>
          <cell r="D2744">
            <v>45513</v>
          </cell>
          <cell r="E2744">
            <v>46243</v>
          </cell>
          <cell r="F2744" t="str">
            <v>82551</v>
          </cell>
          <cell r="G2744" t="str">
            <v>朋程一</v>
          </cell>
          <cell r="H2744">
            <v>100000</v>
          </cell>
          <cell r="I2744">
            <v>2.6</v>
          </cell>
          <cell r="J2744">
            <v>46243</v>
          </cell>
          <cell r="K2744">
            <v>100</v>
          </cell>
          <cell r="L2744">
            <v>46224</v>
          </cell>
          <cell r="M2744">
            <v>-1987</v>
          </cell>
          <cell r="N2744">
            <v>98013</v>
          </cell>
        </row>
        <row r="2745">
          <cell r="A2745">
            <v>84781</v>
          </cell>
          <cell r="B2745">
            <v>2739</v>
          </cell>
          <cell r="C2745" t="str">
            <v>IASWD2408000726</v>
          </cell>
          <cell r="D2745">
            <v>45513</v>
          </cell>
          <cell r="E2745">
            <v>46583</v>
          </cell>
          <cell r="F2745" t="str">
            <v>84781</v>
          </cell>
          <cell r="G2745" t="str">
            <v>東哥遊艇一</v>
          </cell>
          <cell r="H2745">
            <v>200000</v>
          </cell>
          <cell r="I2745">
            <v>3.1</v>
          </cell>
          <cell r="J2745">
            <v>46583</v>
          </cell>
          <cell r="K2745">
            <v>100</v>
          </cell>
          <cell r="L2745">
            <v>46563</v>
          </cell>
          <cell r="M2745">
            <v>-4739</v>
          </cell>
          <cell r="N2745">
            <v>195261</v>
          </cell>
        </row>
        <row r="2746">
          <cell r="A2746">
            <v>20632</v>
          </cell>
          <cell r="B2746">
            <v>2740</v>
          </cell>
          <cell r="C2746" t="str">
            <v>IASWD2408000727</v>
          </cell>
          <cell r="D2746">
            <v>45513</v>
          </cell>
          <cell r="E2746">
            <v>45971</v>
          </cell>
          <cell r="F2746" t="str">
            <v>20632</v>
          </cell>
          <cell r="G2746" t="str">
            <v>世鎧二</v>
          </cell>
          <cell r="H2746">
            <v>1200000</v>
          </cell>
          <cell r="I2746">
            <v>3.25</v>
          </cell>
          <cell r="J2746">
            <v>45971</v>
          </cell>
          <cell r="K2746">
            <v>100</v>
          </cell>
          <cell r="L2746">
            <v>45951</v>
          </cell>
          <cell r="M2746">
            <v>-29811</v>
          </cell>
          <cell r="N2746">
            <v>1170189</v>
          </cell>
        </row>
        <row r="2747">
          <cell r="A2747">
            <v>64145</v>
          </cell>
          <cell r="B2747">
            <v>2741</v>
          </cell>
          <cell r="C2747" t="str">
            <v>IASWD2408000730</v>
          </cell>
          <cell r="D2747">
            <v>45513</v>
          </cell>
          <cell r="E2747">
            <v>46250</v>
          </cell>
          <cell r="F2747" t="str">
            <v>64145</v>
          </cell>
          <cell r="G2747" t="str">
            <v>樺漢五</v>
          </cell>
          <cell r="H2747">
            <v>100000</v>
          </cell>
          <cell r="I2747">
            <v>3</v>
          </cell>
          <cell r="J2747">
            <v>46250</v>
          </cell>
          <cell r="K2747">
            <v>100</v>
          </cell>
          <cell r="L2747">
            <v>46231</v>
          </cell>
          <cell r="M2747">
            <v>-2293</v>
          </cell>
          <cell r="N2747">
            <v>97707</v>
          </cell>
        </row>
        <row r="2748">
          <cell r="A2748">
            <v>64145</v>
          </cell>
          <cell r="B2748">
            <v>2742</v>
          </cell>
          <cell r="C2748" t="str">
            <v>IASWD2408000733</v>
          </cell>
          <cell r="D2748">
            <v>45513</v>
          </cell>
          <cell r="E2748">
            <v>46250</v>
          </cell>
          <cell r="F2748" t="str">
            <v>64145</v>
          </cell>
          <cell r="G2748" t="str">
            <v>樺漢五</v>
          </cell>
          <cell r="H2748">
            <v>100000</v>
          </cell>
          <cell r="I2748">
            <v>3</v>
          </cell>
          <cell r="J2748">
            <v>46250</v>
          </cell>
          <cell r="K2748">
            <v>100</v>
          </cell>
          <cell r="L2748">
            <v>46231</v>
          </cell>
          <cell r="M2748">
            <v>-2293</v>
          </cell>
          <cell r="N2748">
            <v>97707</v>
          </cell>
        </row>
        <row r="2749">
          <cell r="A2749">
            <v>82551</v>
          </cell>
          <cell r="B2749">
            <v>2743</v>
          </cell>
          <cell r="C2749" t="str">
            <v>IASWD2408000736</v>
          </cell>
          <cell r="D2749">
            <v>45513</v>
          </cell>
          <cell r="E2749">
            <v>46243</v>
          </cell>
          <cell r="F2749" t="str">
            <v>82551</v>
          </cell>
          <cell r="G2749" t="str">
            <v>朋程一</v>
          </cell>
          <cell r="H2749">
            <v>200000</v>
          </cell>
          <cell r="I2749">
            <v>2.6</v>
          </cell>
          <cell r="J2749">
            <v>46243</v>
          </cell>
          <cell r="K2749">
            <v>100</v>
          </cell>
          <cell r="L2749">
            <v>46224</v>
          </cell>
          <cell r="M2749">
            <v>-3975</v>
          </cell>
          <cell r="N2749">
            <v>196025</v>
          </cell>
        </row>
        <row r="2750">
          <cell r="A2750">
            <v>64145</v>
          </cell>
          <cell r="B2750">
            <v>2744</v>
          </cell>
          <cell r="C2750" t="str">
            <v>IASWD2408000738</v>
          </cell>
          <cell r="D2750">
            <v>45513</v>
          </cell>
          <cell r="E2750">
            <v>46250</v>
          </cell>
          <cell r="F2750" t="str">
            <v>64145</v>
          </cell>
          <cell r="G2750" t="str">
            <v>樺漢五</v>
          </cell>
          <cell r="H2750">
            <v>200000</v>
          </cell>
          <cell r="I2750">
            <v>3</v>
          </cell>
          <cell r="J2750">
            <v>46250</v>
          </cell>
          <cell r="K2750">
            <v>100</v>
          </cell>
          <cell r="L2750">
            <v>46231</v>
          </cell>
          <cell r="M2750">
            <v>-4586</v>
          </cell>
          <cell r="N2750">
            <v>195414</v>
          </cell>
        </row>
        <row r="2751">
          <cell r="A2751">
            <v>22013</v>
          </cell>
          <cell r="B2751">
            <v>2745</v>
          </cell>
          <cell r="C2751" t="str">
            <v>IASWD2408000739</v>
          </cell>
          <cell r="D2751">
            <v>45513</v>
          </cell>
          <cell r="E2751">
            <v>46167</v>
          </cell>
          <cell r="F2751" t="str">
            <v>22013</v>
          </cell>
          <cell r="G2751" t="str">
            <v>裕隆三</v>
          </cell>
          <cell r="H2751">
            <v>300000</v>
          </cell>
          <cell r="I2751">
            <v>3</v>
          </cell>
          <cell r="J2751">
            <v>46167</v>
          </cell>
          <cell r="K2751">
            <v>100.75190000000001</v>
          </cell>
          <cell r="L2751">
            <v>46147</v>
          </cell>
          <cell r="M2751">
            <v>-6879</v>
          </cell>
          <cell r="N2751">
            <v>293121</v>
          </cell>
        </row>
        <row r="2752">
          <cell r="A2752">
            <v>62696</v>
          </cell>
          <cell r="B2752">
            <v>2746</v>
          </cell>
          <cell r="C2752" t="str">
            <v>IASWD2408000740</v>
          </cell>
          <cell r="D2752">
            <v>45513</v>
          </cell>
          <cell r="E2752">
            <v>46599</v>
          </cell>
          <cell r="F2752" t="str">
            <v>62696</v>
          </cell>
          <cell r="G2752" t="str">
            <v>台郡六</v>
          </cell>
          <cell r="H2752">
            <v>1100000</v>
          </cell>
          <cell r="I2752">
            <v>2.4</v>
          </cell>
          <cell r="J2752">
            <v>46599</v>
          </cell>
          <cell r="K2752">
            <v>100</v>
          </cell>
          <cell r="L2752">
            <v>46581</v>
          </cell>
          <cell r="M2752">
            <v>-20180</v>
          </cell>
          <cell r="N2752">
            <v>1079820</v>
          </cell>
        </row>
        <row r="2753">
          <cell r="A2753">
            <v>62696</v>
          </cell>
          <cell r="B2753">
            <v>2747</v>
          </cell>
          <cell r="C2753" t="str">
            <v>IASWD2408000741</v>
          </cell>
          <cell r="D2753">
            <v>45513</v>
          </cell>
          <cell r="E2753">
            <v>46599</v>
          </cell>
          <cell r="F2753" t="str">
            <v>62696</v>
          </cell>
          <cell r="G2753" t="str">
            <v>台郡六</v>
          </cell>
          <cell r="H2753">
            <v>100000</v>
          </cell>
          <cell r="I2753">
            <v>2.4</v>
          </cell>
          <cell r="J2753">
            <v>46599</v>
          </cell>
          <cell r="K2753">
            <v>100</v>
          </cell>
          <cell r="L2753">
            <v>46581</v>
          </cell>
          <cell r="M2753">
            <v>-1835</v>
          </cell>
          <cell r="N2753">
            <v>98165</v>
          </cell>
        </row>
        <row r="2754">
          <cell r="A2754">
            <v>62696</v>
          </cell>
          <cell r="B2754">
            <v>2748</v>
          </cell>
          <cell r="C2754" t="str">
            <v>IASWD2408000743</v>
          </cell>
          <cell r="D2754">
            <v>45513</v>
          </cell>
          <cell r="E2754">
            <v>46599</v>
          </cell>
          <cell r="F2754" t="str">
            <v>62696</v>
          </cell>
          <cell r="G2754" t="str">
            <v>台郡六</v>
          </cell>
          <cell r="H2754">
            <v>300000</v>
          </cell>
          <cell r="I2754">
            <v>2.4</v>
          </cell>
          <cell r="J2754">
            <v>46599</v>
          </cell>
          <cell r="K2754">
            <v>100</v>
          </cell>
          <cell r="L2754">
            <v>46581</v>
          </cell>
          <cell r="M2754">
            <v>-5504</v>
          </cell>
          <cell r="N2754">
            <v>294496</v>
          </cell>
        </row>
        <row r="2755">
          <cell r="A2755">
            <v>64145</v>
          </cell>
          <cell r="B2755">
            <v>2749</v>
          </cell>
          <cell r="C2755" t="str">
            <v>IASWD2408000746</v>
          </cell>
          <cell r="D2755">
            <v>45513</v>
          </cell>
          <cell r="E2755">
            <v>46250</v>
          </cell>
          <cell r="F2755" t="str">
            <v>64145</v>
          </cell>
          <cell r="G2755" t="str">
            <v>樺漢五</v>
          </cell>
          <cell r="H2755">
            <v>100000</v>
          </cell>
          <cell r="I2755">
            <v>3</v>
          </cell>
          <cell r="J2755">
            <v>46250</v>
          </cell>
          <cell r="K2755">
            <v>100</v>
          </cell>
          <cell r="L2755">
            <v>46231</v>
          </cell>
          <cell r="M2755">
            <v>-2293</v>
          </cell>
          <cell r="N2755">
            <v>97707</v>
          </cell>
        </row>
        <row r="2756">
          <cell r="A2756">
            <v>64145</v>
          </cell>
          <cell r="B2756">
            <v>2750</v>
          </cell>
          <cell r="C2756" t="str">
            <v>IASWD2408000747</v>
          </cell>
          <cell r="D2756">
            <v>45513</v>
          </cell>
          <cell r="E2756">
            <v>46250</v>
          </cell>
          <cell r="F2756" t="str">
            <v>64145</v>
          </cell>
          <cell r="G2756" t="str">
            <v>樺漢五</v>
          </cell>
          <cell r="H2756">
            <v>500000</v>
          </cell>
          <cell r="I2756">
            <v>3</v>
          </cell>
          <cell r="J2756">
            <v>46250</v>
          </cell>
          <cell r="K2756">
            <v>100</v>
          </cell>
          <cell r="L2756">
            <v>46231</v>
          </cell>
          <cell r="M2756">
            <v>-11466</v>
          </cell>
          <cell r="N2756">
            <v>488534</v>
          </cell>
        </row>
        <row r="2757">
          <cell r="A2757">
            <v>62695</v>
          </cell>
          <cell r="B2757">
            <v>2751</v>
          </cell>
          <cell r="C2757" t="str">
            <v>IASWD2408000748</v>
          </cell>
          <cell r="D2757">
            <v>45513</v>
          </cell>
          <cell r="E2757">
            <v>46599</v>
          </cell>
          <cell r="F2757" t="str">
            <v>62695</v>
          </cell>
          <cell r="G2757" t="str">
            <v>台郡五</v>
          </cell>
          <cell r="H2757">
            <v>200000</v>
          </cell>
          <cell r="I2757">
            <v>2.4</v>
          </cell>
          <cell r="J2757">
            <v>46599</v>
          </cell>
          <cell r="K2757">
            <v>100</v>
          </cell>
          <cell r="L2757">
            <v>46581</v>
          </cell>
          <cell r="M2757">
            <v>-3669</v>
          </cell>
          <cell r="N2757">
            <v>196331</v>
          </cell>
        </row>
        <row r="2758">
          <cell r="A2758">
            <v>64145</v>
          </cell>
          <cell r="B2758">
            <v>2752</v>
          </cell>
          <cell r="C2758" t="str">
            <v>IASWD2408000749</v>
          </cell>
          <cell r="D2758">
            <v>45516</v>
          </cell>
          <cell r="E2758">
            <v>46250</v>
          </cell>
          <cell r="F2758" t="str">
            <v>64145</v>
          </cell>
          <cell r="G2758" t="str">
            <v>樺漢五</v>
          </cell>
          <cell r="H2758">
            <v>100000</v>
          </cell>
          <cell r="I2758">
            <v>3</v>
          </cell>
          <cell r="J2758">
            <v>46250</v>
          </cell>
          <cell r="K2758">
            <v>100</v>
          </cell>
          <cell r="L2758">
            <v>46231</v>
          </cell>
          <cell r="M2758">
            <v>-2268</v>
          </cell>
          <cell r="N2758">
            <v>97732</v>
          </cell>
        </row>
        <row r="2759">
          <cell r="A2759">
            <v>64145</v>
          </cell>
          <cell r="B2759">
            <v>2753</v>
          </cell>
          <cell r="C2759" t="str">
            <v>IASWD2408000750</v>
          </cell>
          <cell r="D2759">
            <v>45516</v>
          </cell>
          <cell r="E2759">
            <v>46250</v>
          </cell>
          <cell r="F2759" t="str">
            <v>64145</v>
          </cell>
          <cell r="G2759" t="str">
            <v>樺漢五</v>
          </cell>
          <cell r="H2759">
            <v>100000</v>
          </cell>
          <cell r="I2759">
            <v>3</v>
          </cell>
          <cell r="J2759">
            <v>46250</v>
          </cell>
          <cell r="K2759">
            <v>100</v>
          </cell>
          <cell r="L2759">
            <v>46231</v>
          </cell>
          <cell r="M2759">
            <v>-2268</v>
          </cell>
          <cell r="N2759">
            <v>97732</v>
          </cell>
        </row>
        <row r="2760">
          <cell r="A2760">
            <v>84781</v>
          </cell>
          <cell r="B2760">
            <v>2754</v>
          </cell>
          <cell r="C2760" t="str">
            <v>IASWD2408000751</v>
          </cell>
          <cell r="D2760">
            <v>45516</v>
          </cell>
          <cell r="E2760">
            <v>46583</v>
          </cell>
          <cell r="F2760" t="str">
            <v>84781</v>
          </cell>
          <cell r="G2760" t="str">
            <v>東哥遊艇一</v>
          </cell>
          <cell r="H2760">
            <v>100000</v>
          </cell>
          <cell r="I2760">
            <v>3.1</v>
          </cell>
          <cell r="J2760">
            <v>46583</v>
          </cell>
          <cell r="K2760">
            <v>100</v>
          </cell>
          <cell r="L2760">
            <v>46563</v>
          </cell>
          <cell r="M2760">
            <v>-2344</v>
          </cell>
          <cell r="N2760">
            <v>97656</v>
          </cell>
        </row>
        <row r="2761">
          <cell r="A2761">
            <v>50097</v>
          </cell>
          <cell r="B2761">
            <v>2755</v>
          </cell>
          <cell r="C2761" t="str">
            <v>IASWD2408000753</v>
          </cell>
          <cell r="D2761">
            <v>45516</v>
          </cell>
          <cell r="E2761">
            <v>46234</v>
          </cell>
          <cell r="F2761" t="str">
            <v>50097</v>
          </cell>
          <cell r="G2761" t="str">
            <v>榮剛七</v>
          </cell>
          <cell r="H2761">
            <v>200000</v>
          </cell>
          <cell r="I2761">
            <v>4.2</v>
          </cell>
          <cell r="J2761">
            <v>46234</v>
          </cell>
          <cell r="K2761">
            <v>101.51</v>
          </cell>
          <cell r="L2761">
            <v>46216</v>
          </cell>
          <cell r="M2761">
            <v>-6352</v>
          </cell>
          <cell r="N2761">
            <v>193648</v>
          </cell>
        </row>
        <row r="2762">
          <cell r="A2762">
            <v>20632</v>
          </cell>
          <cell r="B2762">
            <v>2756</v>
          </cell>
          <cell r="C2762" t="str">
            <v>IASWD2408000754</v>
          </cell>
          <cell r="D2762">
            <v>45516</v>
          </cell>
          <cell r="E2762">
            <v>45971</v>
          </cell>
          <cell r="F2762" t="str">
            <v>20632</v>
          </cell>
          <cell r="G2762" t="str">
            <v>世鎧二</v>
          </cell>
          <cell r="H2762">
            <v>600000</v>
          </cell>
          <cell r="I2762">
            <v>3.25</v>
          </cell>
          <cell r="J2762">
            <v>45971</v>
          </cell>
          <cell r="K2762">
            <v>100</v>
          </cell>
          <cell r="L2762">
            <v>45951</v>
          </cell>
          <cell r="M2762">
            <v>-14745</v>
          </cell>
          <cell r="N2762">
            <v>585255</v>
          </cell>
        </row>
        <row r="2763">
          <cell r="A2763">
            <v>33121</v>
          </cell>
          <cell r="B2763">
            <v>2757</v>
          </cell>
          <cell r="C2763" t="str">
            <v>IASWD2408000755</v>
          </cell>
          <cell r="D2763">
            <v>45516</v>
          </cell>
          <cell r="E2763">
            <v>46563</v>
          </cell>
          <cell r="F2763" t="str">
            <v>33121</v>
          </cell>
          <cell r="G2763" t="str">
            <v>弘憶股一</v>
          </cell>
          <cell r="H2763">
            <v>100000</v>
          </cell>
          <cell r="I2763">
            <v>3.5</v>
          </cell>
          <cell r="J2763">
            <v>46563</v>
          </cell>
          <cell r="K2763">
            <v>100</v>
          </cell>
          <cell r="L2763">
            <v>46545</v>
          </cell>
          <cell r="M2763">
            <v>-2647</v>
          </cell>
          <cell r="N2763">
            <v>97353</v>
          </cell>
        </row>
        <row r="2764">
          <cell r="A2764">
            <v>64145</v>
          </cell>
          <cell r="B2764">
            <v>2758</v>
          </cell>
          <cell r="C2764" t="str">
            <v>IASWD2408000756</v>
          </cell>
          <cell r="D2764">
            <v>45516</v>
          </cell>
          <cell r="E2764">
            <v>46250</v>
          </cell>
          <cell r="F2764" t="str">
            <v>64145</v>
          </cell>
          <cell r="G2764" t="str">
            <v>樺漢五</v>
          </cell>
          <cell r="H2764">
            <v>100000</v>
          </cell>
          <cell r="I2764">
            <v>3</v>
          </cell>
          <cell r="J2764">
            <v>46250</v>
          </cell>
          <cell r="K2764">
            <v>100</v>
          </cell>
          <cell r="L2764">
            <v>46231</v>
          </cell>
          <cell r="M2764">
            <v>-2268</v>
          </cell>
          <cell r="N2764">
            <v>97732</v>
          </cell>
        </row>
        <row r="2765">
          <cell r="A2765">
            <v>34163</v>
          </cell>
          <cell r="B2765">
            <v>2759</v>
          </cell>
          <cell r="C2765" t="str">
            <v>IASWD2408000758</v>
          </cell>
          <cell r="D2765">
            <v>45516</v>
          </cell>
          <cell r="E2765">
            <v>46047</v>
          </cell>
          <cell r="F2765" t="str">
            <v>34163</v>
          </cell>
          <cell r="G2765" t="str">
            <v>融程電三</v>
          </cell>
          <cell r="H2765">
            <v>100000</v>
          </cell>
          <cell r="I2765">
            <v>3</v>
          </cell>
          <cell r="J2765">
            <v>46047</v>
          </cell>
          <cell r="K2765">
            <v>100.5</v>
          </cell>
          <cell r="L2765">
            <v>46028</v>
          </cell>
          <cell r="M2765">
            <v>-2268</v>
          </cell>
          <cell r="N2765">
            <v>97732</v>
          </cell>
        </row>
        <row r="2766">
          <cell r="A2766">
            <v>61394</v>
          </cell>
          <cell r="B2766">
            <v>2760</v>
          </cell>
          <cell r="C2766" t="str">
            <v>IASWD2408000759</v>
          </cell>
          <cell r="D2766">
            <v>45516</v>
          </cell>
          <cell r="E2766">
            <v>46047</v>
          </cell>
          <cell r="F2766" t="str">
            <v>61394</v>
          </cell>
          <cell r="G2766" t="str">
            <v>亞翔四</v>
          </cell>
          <cell r="H2766">
            <v>1000000</v>
          </cell>
          <cell r="I2766">
            <v>3</v>
          </cell>
          <cell r="J2766">
            <v>46047</v>
          </cell>
          <cell r="K2766">
            <v>101.0025</v>
          </cell>
          <cell r="L2766">
            <v>46028</v>
          </cell>
          <cell r="M2766">
            <v>-22685</v>
          </cell>
          <cell r="N2766">
            <v>977315</v>
          </cell>
        </row>
        <row r="2767">
          <cell r="A2767">
            <v>84781</v>
          </cell>
          <cell r="B2767">
            <v>2761</v>
          </cell>
          <cell r="C2767" t="str">
            <v>IASWD2408000761</v>
          </cell>
          <cell r="D2767">
            <v>45516</v>
          </cell>
          <cell r="E2767">
            <v>46583</v>
          </cell>
          <cell r="F2767" t="str">
            <v>84781</v>
          </cell>
          <cell r="G2767" t="str">
            <v>東哥遊艇一</v>
          </cell>
          <cell r="H2767">
            <v>100000</v>
          </cell>
          <cell r="I2767">
            <v>3.1</v>
          </cell>
          <cell r="J2767">
            <v>46583</v>
          </cell>
          <cell r="K2767">
            <v>100</v>
          </cell>
          <cell r="L2767">
            <v>46563</v>
          </cell>
          <cell r="M2767">
            <v>-2344</v>
          </cell>
          <cell r="N2767">
            <v>97656</v>
          </cell>
        </row>
        <row r="2768">
          <cell r="A2768">
            <v>33121</v>
          </cell>
          <cell r="B2768">
            <v>2762</v>
          </cell>
          <cell r="C2768" t="str">
            <v>IASWD2408000762</v>
          </cell>
          <cell r="D2768">
            <v>45516</v>
          </cell>
          <cell r="E2768">
            <v>46563</v>
          </cell>
          <cell r="F2768" t="str">
            <v>33121</v>
          </cell>
          <cell r="G2768" t="str">
            <v>弘憶股一</v>
          </cell>
          <cell r="H2768">
            <v>100000</v>
          </cell>
          <cell r="I2768">
            <v>3.5</v>
          </cell>
          <cell r="J2768">
            <v>46563</v>
          </cell>
          <cell r="K2768">
            <v>100</v>
          </cell>
          <cell r="L2768">
            <v>46545</v>
          </cell>
          <cell r="M2768">
            <v>-2647</v>
          </cell>
          <cell r="N2768">
            <v>97353</v>
          </cell>
        </row>
        <row r="2769">
          <cell r="A2769">
            <v>82551</v>
          </cell>
          <cell r="B2769">
            <v>2763</v>
          </cell>
          <cell r="C2769" t="str">
            <v>IASWD2408000763</v>
          </cell>
          <cell r="D2769">
            <v>45516</v>
          </cell>
          <cell r="E2769">
            <v>46243</v>
          </cell>
          <cell r="F2769" t="str">
            <v>82551</v>
          </cell>
          <cell r="G2769" t="str">
            <v>朋程一</v>
          </cell>
          <cell r="H2769">
            <v>100000</v>
          </cell>
          <cell r="I2769">
            <v>2.6</v>
          </cell>
          <cell r="J2769">
            <v>46243</v>
          </cell>
          <cell r="K2769">
            <v>100</v>
          </cell>
          <cell r="L2769">
            <v>46224</v>
          </cell>
          <cell r="M2769">
            <v>-1966</v>
          </cell>
          <cell r="N2769">
            <v>98034</v>
          </cell>
        </row>
        <row r="2770">
          <cell r="A2770">
            <v>64145</v>
          </cell>
          <cell r="B2770">
            <v>2764</v>
          </cell>
          <cell r="C2770" t="str">
            <v>IASWD2408000767</v>
          </cell>
          <cell r="D2770">
            <v>45516</v>
          </cell>
          <cell r="E2770">
            <v>46250</v>
          </cell>
          <cell r="F2770" t="str">
            <v>64145</v>
          </cell>
          <cell r="G2770" t="str">
            <v>樺漢五</v>
          </cell>
          <cell r="H2770">
            <v>1000000</v>
          </cell>
          <cell r="I2770">
            <v>3</v>
          </cell>
          <cell r="J2770">
            <v>46250</v>
          </cell>
          <cell r="K2770">
            <v>100</v>
          </cell>
          <cell r="L2770">
            <v>46231</v>
          </cell>
          <cell r="M2770">
            <v>-22685</v>
          </cell>
          <cell r="N2770">
            <v>977315</v>
          </cell>
        </row>
        <row r="2771">
          <cell r="A2771">
            <v>84781</v>
          </cell>
          <cell r="B2771">
            <v>2765</v>
          </cell>
          <cell r="C2771" t="str">
            <v>IASWD2408000768</v>
          </cell>
          <cell r="D2771">
            <v>45516</v>
          </cell>
          <cell r="E2771">
            <v>46583</v>
          </cell>
          <cell r="F2771" t="str">
            <v>84781</v>
          </cell>
          <cell r="G2771" t="str">
            <v>東哥遊艇一</v>
          </cell>
          <cell r="H2771">
            <v>200000</v>
          </cell>
          <cell r="I2771">
            <v>3.1</v>
          </cell>
          <cell r="J2771">
            <v>46583</v>
          </cell>
          <cell r="K2771">
            <v>100</v>
          </cell>
          <cell r="L2771">
            <v>46563</v>
          </cell>
          <cell r="M2771">
            <v>-4688</v>
          </cell>
          <cell r="N2771">
            <v>195312</v>
          </cell>
        </row>
        <row r="2772">
          <cell r="A2772">
            <v>84781</v>
          </cell>
          <cell r="B2772">
            <v>2766</v>
          </cell>
          <cell r="C2772" t="str">
            <v>IASWD2408000772</v>
          </cell>
          <cell r="D2772">
            <v>45516</v>
          </cell>
          <cell r="E2772">
            <v>46583</v>
          </cell>
          <cell r="F2772" t="str">
            <v>84781</v>
          </cell>
          <cell r="G2772" t="str">
            <v>東哥遊艇一</v>
          </cell>
          <cell r="H2772">
            <v>200000</v>
          </cell>
          <cell r="I2772">
            <v>3.1</v>
          </cell>
          <cell r="J2772">
            <v>46583</v>
          </cell>
          <cell r="K2772">
            <v>100</v>
          </cell>
          <cell r="L2772">
            <v>46563</v>
          </cell>
          <cell r="M2772">
            <v>-4688</v>
          </cell>
          <cell r="N2772">
            <v>195312</v>
          </cell>
        </row>
        <row r="2773">
          <cell r="A2773">
            <v>67531</v>
          </cell>
          <cell r="B2773">
            <v>2767</v>
          </cell>
          <cell r="C2773" t="str">
            <v>IASWD2408000773</v>
          </cell>
          <cell r="D2773">
            <v>45516</v>
          </cell>
          <cell r="E2773">
            <v>46563</v>
          </cell>
          <cell r="F2773" t="str">
            <v>67531</v>
          </cell>
          <cell r="G2773" t="str">
            <v>龍德造船一</v>
          </cell>
          <cell r="H2773">
            <v>100000</v>
          </cell>
          <cell r="I2773">
            <v>3.5</v>
          </cell>
          <cell r="J2773">
            <v>46563</v>
          </cell>
          <cell r="K2773">
            <v>100</v>
          </cell>
          <cell r="L2773">
            <v>46545</v>
          </cell>
          <cell r="M2773">
            <v>-2647</v>
          </cell>
          <cell r="N2773">
            <v>97353</v>
          </cell>
        </row>
        <row r="2774">
          <cell r="A2774">
            <v>61965</v>
          </cell>
          <cell r="B2774">
            <v>2768</v>
          </cell>
          <cell r="C2774" t="str">
            <v>IASWD2408000774</v>
          </cell>
          <cell r="D2774">
            <v>45516</v>
          </cell>
          <cell r="E2774">
            <v>46200</v>
          </cell>
          <cell r="F2774" t="str">
            <v>61965</v>
          </cell>
          <cell r="G2774" t="str">
            <v>帆宣五</v>
          </cell>
          <cell r="H2774">
            <v>100000</v>
          </cell>
          <cell r="I2774">
            <v>3</v>
          </cell>
          <cell r="J2774">
            <v>46200</v>
          </cell>
          <cell r="K2774">
            <v>100</v>
          </cell>
          <cell r="L2774">
            <v>46182</v>
          </cell>
          <cell r="M2774">
            <v>-2268</v>
          </cell>
          <cell r="N2774">
            <v>97732</v>
          </cell>
        </row>
        <row r="2775">
          <cell r="A2775">
            <v>64145</v>
          </cell>
          <cell r="B2775">
            <v>2769</v>
          </cell>
          <cell r="C2775" t="str">
            <v>IASWD2408000775</v>
          </cell>
          <cell r="D2775">
            <v>45516</v>
          </cell>
          <cell r="E2775">
            <v>46250</v>
          </cell>
          <cell r="F2775" t="str">
            <v>64145</v>
          </cell>
          <cell r="G2775" t="str">
            <v>樺漢五</v>
          </cell>
          <cell r="H2775">
            <v>100000</v>
          </cell>
          <cell r="I2775">
            <v>3</v>
          </cell>
          <cell r="J2775">
            <v>46250</v>
          </cell>
          <cell r="K2775">
            <v>100</v>
          </cell>
          <cell r="L2775">
            <v>46231</v>
          </cell>
          <cell r="M2775">
            <v>-2268</v>
          </cell>
          <cell r="N2775">
            <v>97732</v>
          </cell>
        </row>
        <row r="2776">
          <cell r="A2776">
            <v>82551</v>
          </cell>
          <cell r="B2776">
            <v>2770</v>
          </cell>
          <cell r="C2776" t="str">
            <v>IASWD2408000777</v>
          </cell>
          <cell r="D2776">
            <v>45516</v>
          </cell>
          <cell r="E2776">
            <v>46243</v>
          </cell>
          <cell r="F2776" t="str">
            <v>82551</v>
          </cell>
          <cell r="G2776" t="str">
            <v>朋程一</v>
          </cell>
          <cell r="H2776">
            <v>100000</v>
          </cell>
          <cell r="I2776">
            <v>2.6</v>
          </cell>
          <cell r="J2776">
            <v>46243</v>
          </cell>
          <cell r="K2776">
            <v>100</v>
          </cell>
          <cell r="L2776">
            <v>46224</v>
          </cell>
          <cell r="M2776">
            <v>-1966</v>
          </cell>
          <cell r="N2776">
            <v>98034</v>
          </cell>
        </row>
        <row r="2777">
          <cell r="A2777">
            <v>64145</v>
          </cell>
          <cell r="B2777">
            <v>2771</v>
          </cell>
          <cell r="C2777" t="str">
            <v>IASWD2408000778</v>
          </cell>
          <cell r="D2777">
            <v>45516</v>
          </cell>
          <cell r="E2777">
            <v>46250</v>
          </cell>
          <cell r="F2777" t="str">
            <v>64145</v>
          </cell>
          <cell r="G2777" t="str">
            <v>樺漢五</v>
          </cell>
          <cell r="H2777">
            <v>500000</v>
          </cell>
          <cell r="I2777">
            <v>3</v>
          </cell>
          <cell r="J2777">
            <v>46250</v>
          </cell>
          <cell r="K2777">
            <v>100</v>
          </cell>
          <cell r="L2777">
            <v>46231</v>
          </cell>
          <cell r="M2777">
            <v>-11342</v>
          </cell>
          <cell r="N2777">
            <v>488658</v>
          </cell>
        </row>
        <row r="2778">
          <cell r="A2778">
            <v>35482</v>
          </cell>
          <cell r="B2778">
            <v>2772</v>
          </cell>
          <cell r="C2778" t="str">
            <v>IASWD2408000779</v>
          </cell>
          <cell r="D2778">
            <v>45516</v>
          </cell>
          <cell r="E2778">
            <v>46395</v>
          </cell>
          <cell r="F2778" t="str">
            <v>35482</v>
          </cell>
          <cell r="G2778" t="str">
            <v>兆利二</v>
          </cell>
          <cell r="H2778">
            <v>100000</v>
          </cell>
          <cell r="I2778">
            <v>3</v>
          </cell>
          <cell r="J2778">
            <v>46395</v>
          </cell>
          <cell r="K2778">
            <v>100</v>
          </cell>
          <cell r="L2778">
            <v>46377</v>
          </cell>
          <cell r="M2778">
            <v>-2268</v>
          </cell>
          <cell r="N2778">
            <v>97732</v>
          </cell>
        </row>
        <row r="2779">
          <cell r="A2779">
            <v>33121</v>
          </cell>
          <cell r="B2779">
            <v>2773</v>
          </cell>
          <cell r="C2779" t="str">
            <v>IASWD2408000780</v>
          </cell>
          <cell r="D2779">
            <v>45516</v>
          </cell>
          <cell r="E2779">
            <v>46563</v>
          </cell>
          <cell r="F2779" t="str">
            <v>33121</v>
          </cell>
          <cell r="G2779" t="str">
            <v>弘憶股一</v>
          </cell>
          <cell r="H2779">
            <v>100000</v>
          </cell>
          <cell r="I2779">
            <v>3.5</v>
          </cell>
          <cell r="J2779">
            <v>46563</v>
          </cell>
          <cell r="K2779">
            <v>100</v>
          </cell>
          <cell r="L2779">
            <v>46545</v>
          </cell>
          <cell r="M2779">
            <v>-2647</v>
          </cell>
          <cell r="N2779">
            <v>97353</v>
          </cell>
        </row>
        <row r="2780">
          <cell r="A2780">
            <v>52091</v>
          </cell>
          <cell r="B2780">
            <v>2774</v>
          </cell>
          <cell r="C2780" t="str">
            <v>IASWD2408000782</v>
          </cell>
          <cell r="D2780">
            <v>45516</v>
          </cell>
          <cell r="E2780">
            <v>46301</v>
          </cell>
          <cell r="F2780" t="str">
            <v>52091</v>
          </cell>
          <cell r="G2780" t="str">
            <v>新鼎一</v>
          </cell>
          <cell r="H2780">
            <v>200000</v>
          </cell>
          <cell r="I2780">
            <v>3.75</v>
          </cell>
          <cell r="J2780">
            <v>46301</v>
          </cell>
          <cell r="K2780">
            <v>100</v>
          </cell>
          <cell r="L2780">
            <v>46281</v>
          </cell>
          <cell r="M2780">
            <v>-5671</v>
          </cell>
          <cell r="N2780">
            <v>194329</v>
          </cell>
        </row>
        <row r="2781">
          <cell r="A2781">
            <v>36804</v>
          </cell>
          <cell r="B2781">
            <v>2775</v>
          </cell>
          <cell r="C2781" t="str">
            <v>IASWD2408000783</v>
          </cell>
          <cell r="D2781">
            <v>45516</v>
          </cell>
          <cell r="E2781">
            <v>45948</v>
          </cell>
          <cell r="F2781" t="str">
            <v>36804</v>
          </cell>
          <cell r="G2781" t="str">
            <v>家登四</v>
          </cell>
          <cell r="H2781">
            <v>1000000</v>
          </cell>
          <cell r="I2781">
            <v>3.2</v>
          </cell>
          <cell r="J2781">
            <v>45948</v>
          </cell>
          <cell r="K2781">
            <v>100</v>
          </cell>
          <cell r="L2781">
            <v>45926</v>
          </cell>
          <cell r="M2781">
            <v>-24197</v>
          </cell>
          <cell r="N2781">
            <v>975803</v>
          </cell>
        </row>
        <row r="2782">
          <cell r="A2782">
            <v>65096</v>
          </cell>
          <cell r="B2782">
            <v>2776</v>
          </cell>
          <cell r="C2782" t="str">
            <v>IASWD2408000784</v>
          </cell>
          <cell r="D2782">
            <v>45516</v>
          </cell>
          <cell r="E2782">
            <v>46206</v>
          </cell>
          <cell r="F2782" t="str">
            <v>65096</v>
          </cell>
          <cell r="G2782" t="str">
            <v>聚和六</v>
          </cell>
          <cell r="H2782">
            <v>100000</v>
          </cell>
          <cell r="I2782">
            <v>3.1</v>
          </cell>
          <cell r="J2782">
            <v>46206</v>
          </cell>
          <cell r="K2782">
            <v>100</v>
          </cell>
          <cell r="L2782">
            <v>46188</v>
          </cell>
          <cell r="M2782">
            <v>-2344</v>
          </cell>
          <cell r="N2782">
            <v>97656</v>
          </cell>
        </row>
        <row r="2783">
          <cell r="A2783">
            <v>89964</v>
          </cell>
          <cell r="B2783">
            <v>2777</v>
          </cell>
          <cell r="C2783" t="str">
            <v>IASWD2408000785</v>
          </cell>
          <cell r="D2783">
            <v>45516</v>
          </cell>
          <cell r="E2783">
            <v>46362</v>
          </cell>
          <cell r="F2783" t="str">
            <v>89964</v>
          </cell>
          <cell r="G2783" t="str">
            <v>高力四</v>
          </cell>
          <cell r="H2783">
            <v>200000</v>
          </cell>
          <cell r="I2783">
            <v>3.5</v>
          </cell>
          <cell r="J2783">
            <v>46362</v>
          </cell>
          <cell r="K2783">
            <v>100.75190000000001</v>
          </cell>
          <cell r="L2783">
            <v>46343</v>
          </cell>
          <cell r="M2783">
            <v>-5293</v>
          </cell>
          <cell r="N2783">
            <v>194707</v>
          </cell>
        </row>
        <row r="2784">
          <cell r="A2784">
            <v>22313</v>
          </cell>
          <cell r="B2784">
            <v>2778</v>
          </cell>
          <cell r="C2784" t="str">
            <v>IASWD2408000786</v>
          </cell>
          <cell r="D2784">
            <v>45516</v>
          </cell>
          <cell r="E2784">
            <v>45898</v>
          </cell>
          <cell r="F2784" t="str">
            <v>22313</v>
          </cell>
          <cell r="G2784" t="str">
            <v>為升三</v>
          </cell>
          <cell r="H2784">
            <v>100000</v>
          </cell>
          <cell r="I2784">
            <v>3.5</v>
          </cell>
          <cell r="J2784">
            <v>45898</v>
          </cell>
          <cell r="K2784">
            <v>101.50749999999999</v>
          </cell>
          <cell r="L2784">
            <v>45880</v>
          </cell>
          <cell r="M2784">
            <v>-2647</v>
          </cell>
          <cell r="N2784">
            <v>97353</v>
          </cell>
        </row>
        <row r="2785">
          <cell r="A2785">
            <v>22013</v>
          </cell>
          <cell r="B2785">
            <v>2779</v>
          </cell>
          <cell r="C2785" t="str">
            <v>IASWD2408000787</v>
          </cell>
          <cell r="D2785">
            <v>45516</v>
          </cell>
          <cell r="E2785">
            <v>46167</v>
          </cell>
          <cell r="F2785" t="str">
            <v>22013</v>
          </cell>
          <cell r="G2785" t="str">
            <v>裕隆三</v>
          </cell>
          <cell r="H2785">
            <v>100000</v>
          </cell>
          <cell r="I2785">
            <v>3</v>
          </cell>
          <cell r="J2785">
            <v>46167</v>
          </cell>
          <cell r="K2785">
            <v>100.75190000000001</v>
          </cell>
          <cell r="L2785">
            <v>46147</v>
          </cell>
          <cell r="M2785">
            <v>-2268</v>
          </cell>
          <cell r="N2785">
            <v>97732</v>
          </cell>
        </row>
        <row r="2786">
          <cell r="A2786">
            <v>84781</v>
          </cell>
          <cell r="B2786">
            <v>2780</v>
          </cell>
          <cell r="C2786" t="str">
            <v>IASWD2408000789</v>
          </cell>
          <cell r="D2786">
            <v>45517</v>
          </cell>
          <cell r="E2786">
            <v>46583</v>
          </cell>
          <cell r="F2786" t="str">
            <v>84781</v>
          </cell>
          <cell r="G2786" t="str">
            <v>東哥遊艇一</v>
          </cell>
          <cell r="H2786">
            <v>100000</v>
          </cell>
          <cell r="I2786">
            <v>3.1</v>
          </cell>
          <cell r="J2786">
            <v>46583</v>
          </cell>
          <cell r="K2786">
            <v>100</v>
          </cell>
          <cell r="L2786">
            <v>46563</v>
          </cell>
          <cell r="M2786">
            <v>-2336</v>
          </cell>
          <cell r="N2786">
            <v>97664</v>
          </cell>
        </row>
        <row r="2787">
          <cell r="A2787">
            <v>36804</v>
          </cell>
          <cell r="B2787">
            <v>2781</v>
          </cell>
          <cell r="C2787" t="str">
            <v>IASWD2408000790</v>
          </cell>
          <cell r="D2787">
            <v>45517</v>
          </cell>
          <cell r="E2787">
            <v>45948</v>
          </cell>
          <cell r="F2787" t="str">
            <v>36804</v>
          </cell>
          <cell r="G2787" t="str">
            <v>家登四</v>
          </cell>
          <cell r="H2787">
            <v>300000</v>
          </cell>
          <cell r="I2787">
            <v>3.2</v>
          </cell>
          <cell r="J2787">
            <v>45948</v>
          </cell>
          <cell r="K2787">
            <v>100</v>
          </cell>
          <cell r="L2787">
            <v>45926</v>
          </cell>
          <cell r="M2787">
            <v>-7233</v>
          </cell>
          <cell r="N2787">
            <v>292767</v>
          </cell>
        </row>
        <row r="2788">
          <cell r="A2788">
            <v>89964</v>
          </cell>
          <cell r="B2788">
            <v>2782</v>
          </cell>
          <cell r="C2788" t="str">
            <v>IASWD2408000791</v>
          </cell>
          <cell r="D2788">
            <v>45517</v>
          </cell>
          <cell r="E2788">
            <v>46362</v>
          </cell>
          <cell r="F2788" t="str">
            <v>89964</v>
          </cell>
          <cell r="G2788" t="str">
            <v>高力四</v>
          </cell>
          <cell r="H2788">
            <v>500000</v>
          </cell>
          <cell r="I2788">
            <v>3.5</v>
          </cell>
          <cell r="J2788">
            <v>46362</v>
          </cell>
          <cell r="K2788">
            <v>100.75190000000001</v>
          </cell>
          <cell r="L2788">
            <v>46343</v>
          </cell>
          <cell r="M2788">
            <v>-13185</v>
          </cell>
          <cell r="N2788">
            <v>486815</v>
          </cell>
        </row>
        <row r="2789">
          <cell r="A2789">
            <v>65096</v>
          </cell>
          <cell r="B2789">
            <v>2783</v>
          </cell>
          <cell r="C2789" t="str">
            <v>IASWD2408000796</v>
          </cell>
          <cell r="D2789">
            <v>45517</v>
          </cell>
          <cell r="E2789">
            <v>46206</v>
          </cell>
          <cell r="F2789" t="str">
            <v>65096</v>
          </cell>
          <cell r="G2789" t="str">
            <v>聚和六</v>
          </cell>
          <cell r="H2789">
            <v>100000</v>
          </cell>
          <cell r="I2789">
            <v>3.1</v>
          </cell>
          <cell r="J2789">
            <v>46206</v>
          </cell>
          <cell r="K2789">
            <v>100</v>
          </cell>
          <cell r="L2789">
            <v>46188</v>
          </cell>
          <cell r="M2789">
            <v>-2336</v>
          </cell>
          <cell r="N2789">
            <v>97664</v>
          </cell>
        </row>
        <row r="2790">
          <cell r="A2790">
            <v>84781</v>
          </cell>
          <cell r="B2790">
            <v>2784</v>
          </cell>
          <cell r="C2790" t="str">
            <v>IASWD2408000797</v>
          </cell>
          <cell r="D2790">
            <v>45517</v>
          </cell>
          <cell r="E2790">
            <v>46583</v>
          </cell>
          <cell r="F2790" t="str">
            <v>84781</v>
          </cell>
          <cell r="G2790" t="str">
            <v>東哥遊艇一</v>
          </cell>
          <cell r="H2790">
            <v>100000</v>
          </cell>
          <cell r="I2790">
            <v>3.1</v>
          </cell>
          <cell r="J2790">
            <v>46583</v>
          </cell>
          <cell r="K2790">
            <v>100</v>
          </cell>
          <cell r="L2790">
            <v>46563</v>
          </cell>
          <cell r="M2790">
            <v>-2336</v>
          </cell>
          <cell r="N2790">
            <v>97664</v>
          </cell>
        </row>
        <row r="2791">
          <cell r="A2791">
            <v>65096</v>
          </cell>
          <cell r="B2791">
            <v>2785</v>
          </cell>
          <cell r="C2791" t="str">
            <v>IASWD2408000798</v>
          </cell>
          <cell r="D2791">
            <v>45517</v>
          </cell>
          <cell r="E2791">
            <v>46206</v>
          </cell>
          <cell r="F2791" t="str">
            <v>65096</v>
          </cell>
          <cell r="G2791" t="str">
            <v>聚和六</v>
          </cell>
          <cell r="H2791">
            <v>100000</v>
          </cell>
          <cell r="I2791">
            <v>3.1</v>
          </cell>
          <cell r="J2791">
            <v>46206</v>
          </cell>
          <cell r="K2791">
            <v>100</v>
          </cell>
          <cell r="L2791">
            <v>46188</v>
          </cell>
          <cell r="M2791">
            <v>-2336</v>
          </cell>
          <cell r="N2791">
            <v>97664</v>
          </cell>
        </row>
        <row r="2792">
          <cell r="A2792">
            <v>34163</v>
          </cell>
          <cell r="B2792">
            <v>2786</v>
          </cell>
          <cell r="C2792" t="str">
            <v>IASWD2408000799</v>
          </cell>
          <cell r="D2792">
            <v>45517</v>
          </cell>
          <cell r="E2792">
            <v>46047</v>
          </cell>
          <cell r="F2792" t="str">
            <v>34163</v>
          </cell>
          <cell r="G2792" t="str">
            <v>融程電三</v>
          </cell>
          <cell r="H2792">
            <v>200000</v>
          </cell>
          <cell r="I2792">
            <v>3</v>
          </cell>
          <cell r="J2792">
            <v>46047</v>
          </cell>
          <cell r="K2792">
            <v>100.5</v>
          </cell>
          <cell r="L2792">
            <v>46028</v>
          </cell>
          <cell r="M2792">
            <v>-4521</v>
          </cell>
          <cell r="N2792">
            <v>195479</v>
          </cell>
        </row>
        <row r="2793">
          <cell r="A2793">
            <v>67531</v>
          </cell>
          <cell r="B2793">
            <v>2787</v>
          </cell>
          <cell r="C2793" t="str">
            <v>IASWD2408000803</v>
          </cell>
          <cell r="D2793">
            <v>45517</v>
          </cell>
          <cell r="E2793">
            <v>46563</v>
          </cell>
          <cell r="F2793" t="str">
            <v>67531</v>
          </cell>
          <cell r="G2793" t="str">
            <v>龍德造船一</v>
          </cell>
          <cell r="H2793">
            <v>100000</v>
          </cell>
          <cell r="I2793">
            <v>3.5</v>
          </cell>
          <cell r="J2793">
            <v>46563</v>
          </cell>
          <cell r="K2793">
            <v>100</v>
          </cell>
          <cell r="L2793">
            <v>46545</v>
          </cell>
          <cell r="M2793">
            <v>-2637</v>
          </cell>
          <cell r="N2793">
            <v>97363</v>
          </cell>
        </row>
        <row r="2794">
          <cell r="A2794">
            <v>64145</v>
          </cell>
          <cell r="B2794">
            <v>2788</v>
          </cell>
          <cell r="C2794" t="str">
            <v>IASWD2408000805</v>
          </cell>
          <cell r="D2794">
            <v>45517</v>
          </cell>
          <cell r="E2794">
            <v>46250</v>
          </cell>
          <cell r="F2794" t="str">
            <v>64145</v>
          </cell>
          <cell r="G2794" t="str">
            <v>樺漢五</v>
          </cell>
          <cell r="H2794">
            <v>300000</v>
          </cell>
          <cell r="I2794">
            <v>3</v>
          </cell>
          <cell r="J2794">
            <v>46250</v>
          </cell>
          <cell r="K2794">
            <v>100</v>
          </cell>
          <cell r="L2794">
            <v>46231</v>
          </cell>
          <cell r="M2794">
            <v>-6781</v>
          </cell>
          <cell r="N2794">
            <v>293219</v>
          </cell>
        </row>
        <row r="2795">
          <cell r="A2795">
            <v>22013</v>
          </cell>
          <cell r="B2795">
            <v>2789</v>
          </cell>
          <cell r="C2795" t="str">
            <v>IASWD2408000806</v>
          </cell>
          <cell r="D2795">
            <v>45517</v>
          </cell>
          <cell r="E2795">
            <v>46167</v>
          </cell>
          <cell r="F2795" t="str">
            <v>22013</v>
          </cell>
          <cell r="G2795" t="str">
            <v>裕隆三</v>
          </cell>
          <cell r="H2795">
            <v>100000</v>
          </cell>
          <cell r="I2795">
            <v>3</v>
          </cell>
          <cell r="J2795">
            <v>46167</v>
          </cell>
          <cell r="K2795">
            <v>100.75190000000001</v>
          </cell>
          <cell r="L2795">
            <v>46147</v>
          </cell>
          <cell r="M2795">
            <v>-2260</v>
          </cell>
          <cell r="N2795">
            <v>97740</v>
          </cell>
        </row>
        <row r="2796">
          <cell r="A2796">
            <v>64145</v>
          </cell>
          <cell r="B2796">
            <v>2790</v>
          </cell>
          <cell r="C2796" t="str">
            <v>IASWD2408000807</v>
          </cell>
          <cell r="D2796">
            <v>45517</v>
          </cell>
          <cell r="E2796">
            <v>46250</v>
          </cell>
          <cell r="F2796" t="str">
            <v>64145</v>
          </cell>
          <cell r="G2796" t="str">
            <v>樺漢五</v>
          </cell>
          <cell r="H2796">
            <v>200000</v>
          </cell>
          <cell r="I2796">
            <v>3</v>
          </cell>
          <cell r="J2796">
            <v>46250</v>
          </cell>
          <cell r="K2796">
            <v>100</v>
          </cell>
          <cell r="L2796">
            <v>46231</v>
          </cell>
          <cell r="M2796">
            <v>-4521</v>
          </cell>
          <cell r="N2796">
            <v>195479</v>
          </cell>
        </row>
        <row r="2797">
          <cell r="A2797">
            <v>84781</v>
          </cell>
          <cell r="B2797">
            <v>2791</v>
          </cell>
          <cell r="C2797" t="str">
            <v>IASWD2408000810</v>
          </cell>
          <cell r="D2797">
            <v>45517</v>
          </cell>
          <cell r="E2797">
            <v>46583</v>
          </cell>
          <cell r="F2797" t="str">
            <v>84781</v>
          </cell>
          <cell r="G2797" t="str">
            <v>東哥遊艇一</v>
          </cell>
          <cell r="H2797">
            <v>200000</v>
          </cell>
          <cell r="I2797">
            <v>3.1</v>
          </cell>
          <cell r="J2797">
            <v>46583</v>
          </cell>
          <cell r="K2797">
            <v>100</v>
          </cell>
          <cell r="L2797">
            <v>46563</v>
          </cell>
          <cell r="M2797">
            <v>-4671</v>
          </cell>
          <cell r="N2797">
            <v>195329</v>
          </cell>
        </row>
        <row r="2798">
          <cell r="A2798">
            <v>22013</v>
          </cell>
          <cell r="B2798">
            <v>2792</v>
          </cell>
          <cell r="C2798" t="str">
            <v>IASWD2408000815</v>
          </cell>
          <cell r="D2798">
            <v>45517</v>
          </cell>
          <cell r="E2798">
            <v>46167</v>
          </cell>
          <cell r="F2798" t="str">
            <v>22013</v>
          </cell>
          <cell r="G2798" t="str">
            <v>裕隆三</v>
          </cell>
          <cell r="H2798">
            <v>100000</v>
          </cell>
          <cell r="I2798">
            <v>3</v>
          </cell>
          <cell r="J2798">
            <v>46167</v>
          </cell>
          <cell r="K2798">
            <v>100.75190000000001</v>
          </cell>
          <cell r="L2798">
            <v>46147</v>
          </cell>
          <cell r="M2798">
            <v>-2260</v>
          </cell>
          <cell r="N2798">
            <v>97740</v>
          </cell>
        </row>
        <row r="2799">
          <cell r="A2799">
            <v>64145</v>
          </cell>
          <cell r="B2799">
            <v>2793</v>
          </cell>
          <cell r="C2799" t="str">
            <v>IASWD2408000819</v>
          </cell>
          <cell r="D2799">
            <v>45517</v>
          </cell>
          <cell r="E2799">
            <v>46250</v>
          </cell>
          <cell r="F2799" t="str">
            <v>64145</v>
          </cell>
          <cell r="G2799" t="str">
            <v>樺漢五</v>
          </cell>
          <cell r="H2799">
            <v>100000</v>
          </cell>
          <cell r="I2799">
            <v>3</v>
          </cell>
          <cell r="J2799">
            <v>46250</v>
          </cell>
          <cell r="K2799">
            <v>100</v>
          </cell>
          <cell r="L2799">
            <v>46231</v>
          </cell>
          <cell r="M2799">
            <v>-2260</v>
          </cell>
          <cell r="N2799">
            <v>97740</v>
          </cell>
        </row>
        <row r="2800">
          <cell r="A2800">
            <v>84781</v>
          </cell>
          <cell r="B2800">
            <v>2794</v>
          </cell>
          <cell r="C2800" t="str">
            <v>IASWD2408000820</v>
          </cell>
          <cell r="D2800">
            <v>45517</v>
          </cell>
          <cell r="E2800">
            <v>46583</v>
          </cell>
          <cell r="F2800" t="str">
            <v>84781</v>
          </cell>
          <cell r="G2800" t="str">
            <v>東哥遊艇一</v>
          </cell>
          <cell r="H2800">
            <v>100000</v>
          </cell>
          <cell r="I2800">
            <v>3.1</v>
          </cell>
          <cell r="J2800">
            <v>46583</v>
          </cell>
          <cell r="K2800">
            <v>100</v>
          </cell>
          <cell r="L2800">
            <v>46563</v>
          </cell>
          <cell r="M2800">
            <v>-2336</v>
          </cell>
          <cell r="N2800">
            <v>97664</v>
          </cell>
        </row>
        <row r="2801">
          <cell r="A2801">
            <v>33121</v>
          </cell>
          <cell r="B2801">
            <v>2795</v>
          </cell>
          <cell r="C2801" t="str">
            <v>IASWD2408000822</v>
          </cell>
          <cell r="D2801">
            <v>45517</v>
          </cell>
          <cell r="E2801">
            <v>46563</v>
          </cell>
          <cell r="F2801" t="str">
            <v>33121</v>
          </cell>
          <cell r="G2801" t="str">
            <v>弘憶股一</v>
          </cell>
          <cell r="H2801">
            <v>100000</v>
          </cell>
          <cell r="I2801">
            <v>3.5</v>
          </cell>
          <cell r="J2801">
            <v>46563</v>
          </cell>
          <cell r="K2801">
            <v>100</v>
          </cell>
          <cell r="L2801">
            <v>46545</v>
          </cell>
          <cell r="M2801">
            <v>-2637</v>
          </cell>
          <cell r="N2801">
            <v>97363</v>
          </cell>
        </row>
        <row r="2802">
          <cell r="A2802">
            <v>35482</v>
          </cell>
          <cell r="B2802">
            <v>2796</v>
          </cell>
          <cell r="C2802" t="str">
            <v>IASWD2408000823</v>
          </cell>
          <cell r="D2802">
            <v>45517</v>
          </cell>
          <cell r="E2802">
            <v>46395</v>
          </cell>
          <cell r="F2802" t="str">
            <v>35482</v>
          </cell>
          <cell r="G2802" t="str">
            <v>兆利二</v>
          </cell>
          <cell r="H2802">
            <v>100000</v>
          </cell>
          <cell r="I2802">
            <v>3</v>
          </cell>
          <cell r="J2802">
            <v>46395</v>
          </cell>
          <cell r="K2802">
            <v>100</v>
          </cell>
          <cell r="L2802">
            <v>46377</v>
          </cell>
          <cell r="M2802">
            <v>-2260</v>
          </cell>
          <cell r="N2802">
            <v>97740</v>
          </cell>
        </row>
        <row r="2803">
          <cell r="A2803">
            <v>22013</v>
          </cell>
          <cell r="B2803">
            <v>2797</v>
          </cell>
          <cell r="C2803" t="str">
            <v>IASWD2408000824</v>
          </cell>
          <cell r="D2803">
            <v>45517</v>
          </cell>
          <cell r="E2803">
            <v>46167</v>
          </cell>
          <cell r="F2803" t="str">
            <v>22013</v>
          </cell>
          <cell r="G2803" t="str">
            <v>裕隆三</v>
          </cell>
          <cell r="H2803">
            <v>100000</v>
          </cell>
          <cell r="I2803">
            <v>3</v>
          </cell>
          <cell r="J2803">
            <v>46167</v>
          </cell>
          <cell r="K2803">
            <v>100.75190000000001</v>
          </cell>
          <cell r="L2803">
            <v>46147</v>
          </cell>
          <cell r="M2803">
            <v>-2260</v>
          </cell>
          <cell r="N2803">
            <v>97740</v>
          </cell>
        </row>
        <row r="2804">
          <cell r="A2804">
            <v>64145</v>
          </cell>
          <cell r="B2804">
            <v>2798</v>
          </cell>
          <cell r="C2804" t="str">
            <v>IASWD2408000825</v>
          </cell>
          <cell r="D2804">
            <v>45518</v>
          </cell>
          <cell r="E2804">
            <v>46250</v>
          </cell>
          <cell r="F2804" t="str">
            <v>64145</v>
          </cell>
          <cell r="G2804" t="str">
            <v>樺漢五</v>
          </cell>
          <cell r="H2804">
            <v>200000</v>
          </cell>
          <cell r="I2804">
            <v>3</v>
          </cell>
          <cell r="J2804">
            <v>46250</v>
          </cell>
          <cell r="K2804">
            <v>100</v>
          </cell>
          <cell r="L2804">
            <v>46231</v>
          </cell>
          <cell r="M2804">
            <v>-4504</v>
          </cell>
          <cell r="N2804">
            <v>195496</v>
          </cell>
        </row>
        <row r="2805">
          <cell r="A2805">
            <v>89964</v>
          </cell>
          <cell r="B2805">
            <v>2799</v>
          </cell>
          <cell r="C2805" t="str">
            <v>IASWD2408000826</v>
          </cell>
          <cell r="D2805">
            <v>45518</v>
          </cell>
          <cell r="E2805">
            <v>46362</v>
          </cell>
          <cell r="F2805" t="str">
            <v>89964</v>
          </cell>
          <cell r="G2805" t="str">
            <v>高力四</v>
          </cell>
          <cell r="H2805">
            <v>100000</v>
          </cell>
          <cell r="I2805">
            <v>3.5</v>
          </cell>
          <cell r="J2805">
            <v>46362</v>
          </cell>
          <cell r="K2805">
            <v>100.75190000000001</v>
          </cell>
          <cell r="L2805">
            <v>46343</v>
          </cell>
          <cell r="M2805">
            <v>-2627</v>
          </cell>
          <cell r="N2805">
            <v>97373</v>
          </cell>
        </row>
        <row r="2806">
          <cell r="A2806">
            <v>64145</v>
          </cell>
          <cell r="B2806">
            <v>2800</v>
          </cell>
          <cell r="C2806" t="str">
            <v>IASWD2408000827</v>
          </cell>
          <cell r="D2806">
            <v>45518</v>
          </cell>
          <cell r="E2806">
            <v>46250</v>
          </cell>
          <cell r="F2806" t="str">
            <v>64145</v>
          </cell>
          <cell r="G2806" t="str">
            <v>樺漢五</v>
          </cell>
          <cell r="H2806">
            <v>100000</v>
          </cell>
          <cell r="I2806">
            <v>3</v>
          </cell>
          <cell r="J2806">
            <v>46250</v>
          </cell>
          <cell r="K2806">
            <v>100</v>
          </cell>
          <cell r="L2806">
            <v>46231</v>
          </cell>
          <cell r="M2806">
            <v>-2252</v>
          </cell>
          <cell r="N2806">
            <v>97748</v>
          </cell>
        </row>
        <row r="2807">
          <cell r="A2807">
            <v>64145</v>
          </cell>
          <cell r="B2807">
            <v>2801</v>
          </cell>
          <cell r="C2807" t="str">
            <v>IASWD2408000828</v>
          </cell>
          <cell r="D2807">
            <v>45518</v>
          </cell>
          <cell r="E2807">
            <v>46250</v>
          </cell>
          <cell r="F2807" t="str">
            <v>64145</v>
          </cell>
          <cell r="G2807" t="str">
            <v>樺漢五</v>
          </cell>
          <cell r="H2807">
            <v>100000</v>
          </cell>
          <cell r="I2807">
            <v>3</v>
          </cell>
          <cell r="J2807">
            <v>46250</v>
          </cell>
          <cell r="K2807">
            <v>100</v>
          </cell>
          <cell r="L2807">
            <v>46231</v>
          </cell>
          <cell r="M2807">
            <v>-2252</v>
          </cell>
          <cell r="N2807">
            <v>97748</v>
          </cell>
        </row>
        <row r="2808">
          <cell r="A2808">
            <v>64145</v>
          </cell>
          <cell r="B2808">
            <v>2802</v>
          </cell>
          <cell r="C2808" t="str">
            <v>IASWD2408000829</v>
          </cell>
          <cell r="D2808">
            <v>45518</v>
          </cell>
          <cell r="E2808">
            <v>46250</v>
          </cell>
          <cell r="F2808" t="str">
            <v>64145</v>
          </cell>
          <cell r="G2808" t="str">
            <v>樺漢五</v>
          </cell>
          <cell r="H2808">
            <v>200000</v>
          </cell>
          <cell r="I2808">
            <v>3</v>
          </cell>
          <cell r="J2808">
            <v>46250</v>
          </cell>
          <cell r="K2808">
            <v>100</v>
          </cell>
          <cell r="L2808">
            <v>46231</v>
          </cell>
          <cell r="M2808">
            <v>-4504</v>
          </cell>
          <cell r="N2808">
            <v>195496</v>
          </cell>
        </row>
        <row r="2809">
          <cell r="A2809">
            <v>35266</v>
          </cell>
          <cell r="B2809">
            <v>2803</v>
          </cell>
          <cell r="C2809" t="str">
            <v>IASWD2408000836</v>
          </cell>
          <cell r="D2809">
            <v>45518</v>
          </cell>
          <cell r="E2809">
            <v>46416</v>
          </cell>
          <cell r="F2809" t="str">
            <v>35266</v>
          </cell>
          <cell r="G2809" t="str">
            <v>凡甲六</v>
          </cell>
          <cell r="H2809">
            <v>700000</v>
          </cell>
          <cell r="I2809">
            <v>3.5</v>
          </cell>
          <cell r="J2809">
            <v>46416</v>
          </cell>
          <cell r="K2809">
            <v>100</v>
          </cell>
          <cell r="L2809">
            <v>46398</v>
          </cell>
          <cell r="M2809">
            <v>-18392</v>
          </cell>
          <cell r="N2809">
            <v>681608</v>
          </cell>
        </row>
        <row r="2810">
          <cell r="A2810">
            <v>34843</v>
          </cell>
          <cell r="B2810">
            <v>2804</v>
          </cell>
          <cell r="C2810" t="str">
            <v>IASWD2408000839</v>
          </cell>
          <cell r="D2810">
            <v>45518</v>
          </cell>
          <cell r="E2810">
            <v>46136</v>
          </cell>
          <cell r="F2810" t="str">
            <v>34843</v>
          </cell>
          <cell r="G2810" t="str">
            <v>崧騰三</v>
          </cell>
          <cell r="H2810">
            <v>300000</v>
          </cell>
          <cell r="I2810">
            <v>3.5</v>
          </cell>
          <cell r="J2810">
            <v>46136</v>
          </cell>
          <cell r="K2810">
            <v>100.75</v>
          </cell>
          <cell r="L2810">
            <v>46118</v>
          </cell>
          <cell r="M2810">
            <v>-7882</v>
          </cell>
          <cell r="N2810">
            <v>292118</v>
          </cell>
        </row>
        <row r="2811">
          <cell r="A2811">
            <v>64145</v>
          </cell>
          <cell r="B2811">
            <v>2805</v>
          </cell>
          <cell r="C2811" t="str">
            <v>IASWD2408000840</v>
          </cell>
          <cell r="D2811">
            <v>45518</v>
          </cell>
          <cell r="E2811">
            <v>46250</v>
          </cell>
          <cell r="F2811" t="str">
            <v>64145</v>
          </cell>
          <cell r="G2811" t="str">
            <v>樺漢五</v>
          </cell>
          <cell r="H2811">
            <v>100000</v>
          </cell>
          <cell r="I2811">
            <v>3</v>
          </cell>
          <cell r="J2811">
            <v>46250</v>
          </cell>
          <cell r="K2811">
            <v>100</v>
          </cell>
          <cell r="L2811">
            <v>46231</v>
          </cell>
          <cell r="M2811">
            <v>-2252</v>
          </cell>
          <cell r="N2811">
            <v>97748</v>
          </cell>
        </row>
        <row r="2812">
          <cell r="A2812">
            <v>36804</v>
          </cell>
          <cell r="B2812">
            <v>2806</v>
          </cell>
          <cell r="C2812" t="str">
            <v>IASWD2408000841</v>
          </cell>
          <cell r="D2812">
            <v>45518</v>
          </cell>
          <cell r="E2812">
            <v>45948</v>
          </cell>
          <cell r="F2812" t="str">
            <v>36804</v>
          </cell>
          <cell r="G2812" t="str">
            <v>家登四</v>
          </cell>
          <cell r="H2812">
            <v>100000</v>
          </cell>
          <cell r="I2812">
            <v>3.2</v>
          </cell>
          <cell r="J2812">
            <v>45948</v>
          </cell>
          <cell r="K2812">
            <v>100</v>
          </cell>
          <cell r="L2812">
            <v>45926</v>
          </cell>
          <cell r="M2812">
            <v>-2402</v>
          </cell>
          <cell r="N2812">
            <v>97598</v>
          </cell>
        </row>
        <row r="2813">
          <cell r="A2813">
            <v>61965</v>
          </cell>
          <cell r="B2813">
            <v>2807</v>
          </cell>
          <cell r="C2813" t="str">
            <v>IASWD2408000842</v>
          </cell>
          <cell r="D2813">
            <v>45518</v>
          </cell>
          <cell r="E2813">
            <v>46200</v>
          </cell>
          <cell r="F2813" t="str">
            <v>61965</v>
          </cell>
          <cell r="G2813" t="str">
            <v>帆宣五</v>
          </cell>
          <cell r="H2813">
            <v>100000</v>
          </cell>
          <cell r="I2813">
            <v>3</v>
          </cell>
          <cell r="J2813">
            <v>46200</v>
          </cell>
          <cell r="K2813">
            <v>100</v>
          </cell>
          <cell r="L2813">
            <v>46182</v>
          </cell>
          <cell r="M2813">
            <v>-2252</v>
          </cell>
          <cell r="N2813">
            <v>97748</v>
          </cell>
        </row>
        <row r="2814">
          <cell r="A2814">
            <v>64145</v>
          </cell>
          <cell r="B2814">
            <v>2808</v>
          </cell>
          <cell r="C2814" t="str">
            <v>IASWD2408000845</v>
          </cell>
          <cell r="D2814">
            <v>45518</v>
          </cell>
          <cell r="E2814">
            <v>46250</v>
          </cell>
          <cell r="F2814" t="str">
            <v>64145</v>
          </cell>
          <cell r="G2814" t="str">
            <v>樺漢五</v>
          </cell>
          <cell r="H2814">
            <v>200000</v>
          </cell>
          <cell r="I2814">
            <v>3</v>
          </cell>
          <cell r="J2814">
            <v>46250</v>
          </cell>
          <cell r="K2814">
            <v>100</v>
          </cell>
          <cell r="L2814">
            <v>46231</v>
          </cell>
          <cell r="M2814">
            <v>-4504</v>
          </cell>
          <cell r="N2814">
            <v>195496</v>
          </cell>
        </row>
        <row r="2815">
          <cell r="A2815">
            <v>64145</v>
          </cell>
          <cell r="B2815">
            <v>2809</v>
          </cell>
          <cell r="C2815" t="str">
            <v>IASWD2408000846</v>
          </cell>
          <cell r="D2815">
            <v>45518</v>
          </cell>
          <cell r="E2815">
            <v>46250</v>
          </cell>
          <cell r="F2815" t="str">
            <v>64145</v>
          </cell>
          <cell r="G2815" t="str">
            <v>樺漢五</v>
          </cell>
          <cell r="H2815">
            <v>200000</v>
          </cell>
          <cell r="I2815">
            <v>3</v>
          </cell>
          <cell r="J2815">
            <v>46250</v>
          </cell>
          <cell r="K2815">
            <v>100</v>
          </cell>
          <cell r="L2815">
            <v>46231</v>
          </cell>
          <cell r="M2815">
            <v>-4504</v>
          </cell>
          <cell r="N2815">
            <v>195496</v>
          </cell>
        </row>
        <row r="2816">
          <cell r="A2816">
            <v>64145</v>
          </cell>
          <cell r="B2816">
            <v>2810</v>
          </cell>
          <cell r="C2816" t="str">
            <v>IASWD2408000847</v>
          </cell>
          <cell r="D2816">
            <v>45518</v>
          </cell>
          <cell r="E2816">
            <v>46250</v>
          </cell>
          <cell r="F2816" t="str">
            <v>64145</v>
          </cell>
          <cell r="G2816" t="str">
            <v>樺漢五</v>
          </cell>
          <cell r="H2816">
            <v>100000</v>
          </cell>
          <cell r="I2816">
            <v>3</v>
          </cell>
          <cell r="J2816">
            <v>46250</v>
          </cell>
          <cell r="K2816">
            <v>100</v>
          </cell>
          <cell r="L2816">
            <v>46231</v>
          </cell>
          <cell r="M2816">
            <v>-2252</v>
          </cell>
          <cell r="N2816">
            <v>97748</v>
          </cell>
        </row>
        <row r="2817">
          <cell r="A2817">
            <v>64145</v>
          </cell>
          <cell r="B2817">
            <v>2811</v>
          </cell>
          <cell r="C2817" t="str">
            <v>IASWD2408000848</v>
          </cell>
          <cell r="D2817">
            <v>45518</v>
          </cell>
          <cell r="E2817">
            <v>46250</v>
          </cell>
          <cell r="F2817" t="str">
            <v>64145</v>
          </cell>
          <cell r="G2817" t="str">
            <v>樺漢五</v>
          </cell>
          <cell r="H2817">
            <v>100000</v>
          </cell>
          <cell r="I2817">
            <v>3</v>
          </cell>
          <cell r="J2817">
            <v>46250</v>
          </cell>
          <cell r="K2817">
            <v>100</v>
          </cell>
          <cell r="L2817">
            <v>46231</v>
          </cell>
          <cell r="M2817">
            <v>-2252</v>
          </cell>
          <cell r="N2817">
            <v>97748</v>
          </cell>
        </row>
        <row r="2818">
          <cell r="A2818">
            <v>36804</v>
          </cell>
          <cell r="B2818">
            <v>2812</v>
          </cell>
          <cell r="C2818" t="str">
            <v>IASWD2408000849</v>
          </cell>
          <cell r="D2818">
            <v>45518</v>
          </cell>
          <cell r="E2818">
            <v>45948</v>
          </cell>
          <cell r="F2818" t="str">
            <v>36804</v>
          </cell>
          <cell r="G2818" t="str">
            <v>家登四</v>
          </cell>
          <cell r="H2818">
            <v>200000</v>
          </cell>
          <cell r="I2818">
            <v>3.2</v>
          </cell>
          <cell r="J2818">
            <v>45948</v>
          </cell>
          <cell r="K2818">
            <v>100</v>
          </cell>
          <cell r="L2818">
            <v>45926</v>
          </cell>
          <cell r="M2818">
            <v>-4804</v>
          </cell>
          <cell r="N2818">
            <v>195196</v>
          </cell>
        </row>
        <row r="2819">
          <cell r="A2819">
            <v>61394</v>
          </cell>
          <cell r="B2819">
            <v>2813</v>
          </cell>
          <cell r="C2819" t="str">
            <v>IASWD2408000850</v>
          </cell>
          <cell r="D2819">
            <v>45518</v>
          </cell>
          <cell r="E2819">
            <v>46047</v>
          </cell>
          <cell r="F2819" t="str">
            <v>61394</v>
          </cell>
          <cell r="G2819" t="str">
            <v>亞翔四</v>
          </cell>
          <cell r="H2819">
            <v>500000</v>
          </cell>
          <cell r="I2819">
            <v>3</v>
          </cell>
          <cell r="J2819">
            <v>46047</v>
          </cell>
          <cell r="K2819">
            <v>101.0025</v>
          </cell>
          <cell r="L2819">
            <v>46028</v>
          </cell>
          <cell r="M2819">
            <v>-11260</v>
          </cell>
          <cell r="N2819">
            <v>488740</v>
          </cell>
        </row>
        <row r="2820">
          <cell r="A2820">
            <v>34163</v>
          </cell>
          <cell r="B2820">
            <v>2814</v>
          </cell>
          <cell r="C2820" t="str">
            <v>IASWD2408000851</v>
          </cell>
          <cell r="D2820">
            <v>45518</v>
          </cell>
          <cell r="E2820">
            <v>46047</v>
          </cell>
          <cell r="F2820" t="str">
            <v>34163</v>
          </cell>
          <cell r="G2820" t="str">
            <v>融程電三</v>
          </cell>
          <cell r="H2820">
            <v>300000</v>
          </cell>
          <cell r="I2820">
            <v>3</v>
          </cell>
          <cell r="J2820">
            <v>46047</v>
          </cell>
          <cell r="K2820">
            <v>100.5</v>
          </cell>
          <cell r="L2820">
            <v>46028</v>
          </cell>
          <cell r="M2820">
            <v>-6756</v>
          </cell>
          <cell r="N2820">
            <v>293244</v>
          </cell>
        </row>
        <row r="2821">
          <cell r="A2821">
            <v>82551</v>
          </cell>
          <cell r="B2821">
            <v>2815</v>
          </cell>
          <cell r="C2821" t="str">
            <v>IASWD2408000853</v>
          </cell>
          <cell r="D2821">
            <v>45518</v>
          </cell>
          <cell r="E2821">
            <v>46243</v>
          </cell>
          <cell r="F2821" t="str">
            <v>82551</v>
          </cell>
          <cell r="G2821" t="str">
            <v>朋程一</v>
          </cell>
          <cell r="H2821">
            <v>100000</v>
          </cell>
          <cell r="I2821">
            <v>2.6</v>
          </cell>
          <cell r="J2821">
            <v>46243</v>
          </cell>
          <cell r="K2821">
            <v>100</v>
          </cell>
          <cell r="L2821">
            <v>46224</v>
          </cell>
          <cell r="M2821">
            <v>-1952</v>
          </cell>
          <cell r="N2821">
            <v>98048</v>
          </cell>
        </row>
        <row r="2822">
          <cell r="A2822">
            <v>84781</v>
          </cell>
          <cell r="B2822">
            <v>2816</v>
          </cell>
          <cell r="C2822" t="str">
            <v>IASWD2408000855</v>
          </cell>
          <cell r="D2822">
            <v>45518</v>
          </cell>
          <cell r="E2822">
            <v>46583</v>
          </cell>
          <cell r="F2822" t="str">
            <v>84781</v>
          </cell>
          <cell r="G2822" t="str">
            <v>東哥遊艇一</v>
          </cell>
          <cell r="H2822">
            <v>200000</v>
          </cell>
          <cell r="I2822">
            <v>3.1</v>
          </cell>
          <cell r="J2822">
            <v>46583</v>
          </cell>
          <cell r="K2822">
            <v>100</v>
          </cell>
          <cell r="L2822">
            <v>46563</v>
          </cell>
          <cell r="M2822">
            <v>-4654</v>
          </cell>
          <cell r="N2822">
            <v>195346</v>
          </cell>
        </row>
        <row r="2823">
          <cell r="A2823">
            <v>61965</v>
          </cell>
          <cell r="B2823">
            <v>2817</v>
          </cell>
          <cell r="C2823" t="str">
            <v>IASWD2408000856</v>
          </cell>
          <cell r="D2823">
            <v>45518</v>
          </cell>
          <cell r="E2823">
            <v>46200</v>
          </cell>
          <cell r="F2823" t="str">
            <v>61965</v>
          </cell>
          <cell r="G2823" t="str">
            <v>帆宣五</v>
          </cell>
          <cell r="H2823">
            <v>100000</v>
          </cell>
          <cell r="I2823">
            <v>3</v>
          </cell>
          <cell r="J2823">
            <v>46200</v>
          </cell>
          <cell r="K2823">
            <v>100</v>
          </cell>
          <cell r="L2823">
            <v>46182</v>
          </cell>
          <cell r="M2823">
            <v>-2252</v>
          </cell>
          <cell r="N2823">
            <v>97748</v>
          </cell>
        </row>
        <row r="2824">
          <cell r="A2824">
            <v>64145</v>
          </cell>
          <cell r="B2824">
            <v>2818</v>
          </cell>
          <cell r="C2824" t="str">
            <v>IASWD2408000857</v>
          </cell>
          <cell r="D2824">
            <v>45518</v>
          </cell>
          <cell r="E2824">
            <v>46250</v>
          </cell>
          <cell r="F2824" t="str">
            <v>64145</v>
          </cell>
          <cell r="G2824" t="str">
            <v>樺漢五</v>
          </cell>
          <cell r="H2824">
            <v>100000</v>
          </cell>
          <cell r="I2824">
            <v>3</v>
          </cell>
          <cell r="J2824">
            <v>46250</v>
          </cell>
          <cell r="K2824">
            <v>100</v>
          </cell>
          <cell r="L2824">
            <v>46231</v>
          </cell>
          <cell r="M2824">
            <v>-2252</v>
          </cell>
          <cell r="N2824">
            <v>97748</v>
          </cell>
        </row>
        <row r="2825">
          <cell r="A2825">
            <v>64145</v>
          </cell>
          <cell r="B2825">
            <v>2819</v>
          </cell>
          <cell r="C2825" t="str">
            <v>IASWD2408000858</v>
          </cell>
          <cell r="D2825">
            <v>45518</v>
          </cell>
          <cell r="E2825">
            <v>46250</v>
          </cell>
          <cell r="F2825" t="str">
            <v>64145</v>
          </cell>
          <cell r="G2825" t="str">
            <v>樺漢五</v>
          </cell>
          <cell r="H2825">
            <v>100000</v>
          </cell>
          <cell r="I2825">
            <v>3</v>
          </cell>
          <cell r="J2825">
            <v>46250</v>
          </cell>
          <cell r="K2825">
            <v>100</v>
          </cell>
          <cell r="L2825">
            <v>46231</v>
          </cell>
          <cell r="M2825">
            <v>-2252</v>
          </cell>
          <cell r="N2825">
            <v>97748</v>
          </cell>
        </row>
        <row r="2826">
          <cell r="A2826">
            <v>64145</v>
          </cell>
          <cell r="B2826">
            <v>2820</v>
          </cell>
          <cell r="C2826" t="str">
            <v>IASWD2408000860</v>
          </cell>
          <cell r="D2826">
            <v>45518</v>
          </cell>
          <cell r="E2826">
            <v>46250</v>
          </cell>
          <cell r="F2826" t="str">
            <v>64145</v>
          </cell>
          <cell r="G2826" t="str">
            <v>樺漢五</v>
          </cell>
          <cell r="H2826">
            <v>200000</v>
          </cell>
          <cell r="I2826">
            <v>3</v>
          </cell>
          <cell r="J2826">
            <v>46250</v>
          </cell>
          <cell r="K2826">
            <v>100</v>
          </cell>
          <cell r="L2826">
            <v>46231</v>
          </cell>
          <cell r="M2826">
            <v>-4504</v>
          </cell>
          <cell r="N2826">
            <v>195496</v>
          </cell>
        </row>
        <row r="2827">
          <cell r="A2827">
            <v>64145</v>
          </cell>
          <cell r="B2827">
            <v>2821</v>
          </cell>
          <cell r="C2827" t="str">
            <v>IASWD2408000863</v>
          </cell>
          <cell r="D2827">
            <v>45518</v>
          </cell>
          <cell r="E2827">
            <v>46250</v>
          </cell>
          <cell r="F2827" t="str">
            <v>64145</v>
          </cell>
          <cell r="G2827" t="str">
            <v>樺漢五</v>
          </cell>
          <cell r="H2827">
            <v>100000</v>
          </cell>
          <cell r="I2827">
            <v>3</v>
          </cell>
          <cell r="J2827">
            <v>46250</v>
          </cell>
          <cell r="K2827">
            <v>100</v>
          </cell>
          <cell r="L2827">
            <v>46231</v>
          </cell>
          <cell r="M2827">
            <v>-2252</v>
          </cell>
          <cell r="N2827">
            <v>97748</v>
          </cell>
        </row>
        <row r="2828">
          <cell r="A2828">
            <v>33121</v>
          </cell>
          <cell r="B2828">
            <v>2822</v>
          </cell>
          <cell r="C2828" t="str">
            <v>IASWD2408000864</v>
          </cell>
          <cell r="D2828">
            <v>45518</v>
          </cell>
          <cell r="E2828">
            <v>46563</v>
          </cell>
          <cell r="F2828" t="str">
            <v>33121</v>
          </cell>
          <cell r="G2828" t="str">
            <v>弘憶股一</v>
          </cell>
          <cell r="H2828">
            <v>100000</v>
          </cell>
          <cell r="I2828">
            <v>3.5</v>
          </cell>
          <cell r="J2828">
            <v>46563</v>
          </cell>
          <cell r="K2828">
            <v>100</v>
          </cell>
          <cell r="L2828">
            <v>46545</v>
          </cell>
          <cell r="M2828">
            <v>-2627</v>
          </cell>
          <cell r="N2828">
            <v>97373</v>
          </cell>
        </row>
        <row r="2829">
          <cell r="A2829">
            <v>33121</v>
          </cell>
          <cell r="B2829">
            <v>2823</v>
          </cell>
          <cell r="C2829" t="str">
            <v>IASWD2408000867</v>
          </cell>
          <cell r="D2829">
            <v>45519</v>
          </cell>
          <cell r="E2829">
            <v>46563</v>
          </cell>
          <cell r="F2829" t="str">
            <v>33121</v>
          </cell>
          <cell r="G2829" t="str">
            <v>弘憶股一</v>
          </cell>
          <cell r="H2829">
            <v>100000</v>
          </cell>
          <cell r="I2829">
            <v>3.5</v>
          </cell>
          <cell r="J2829">
            <v>46563</v>
          </cell>
          <cell r="K2829">
            <v>100</v>
          </cell>
          <cell r="L2829">
            <v>46545</v>
          </cell>
          <cell r="M2829">
            <v>-2618</v>
          </cell>
          <cell r="N2829">
            <v>97382</v>
          </cell>
        </row>
        <row r="2830">
          <cell r="A2830">
            <v>65096</v>
          </cell>
          <cell r="B2830">
            <v>2824</v>
          </cell>
          <cell r="C2830" t="str">
            <v>IASWD2408000868</v>
          </cell>
          <cell r="D2830">
            <v>45519</v>
          </cell>
          <cell r="E2830">
            <v>46206</v>
          </cell>
          <cell r="F2830" t="str">
            <v>65096</v>
          </cell>
          <cell r="G2830" t="str">
            <v>聚和六</v>
          </cell>
          <cell r="H2830">
            <v>100000</v>
          </cell>
          <cell r="I2830">
            <v>3.1</v>
          </cell>
          <cell r="J2830">
            <v>46206</v>
          </cell>
          <cell r="K2830">
            <v>100</v>
          </cell>
          <cell r="L2830">
            <v>46188</v>
          </cell>
          <cell r="M2830">
            <v>-2319</v>
          </cell>
          <cell r="N2830">
            <v>97681</v>
          </cell>
        </row>
        <row r="2831">
          <cell r="A2831">
            <v>64145</v>
          </cell>
          <cell r="B2831">
            <v>2825</v>
          </cell>
          <cell r="C2831" t="str">
            <v>IASWD2408000872</v>
          </cell>
          <cell r="D2831">
            <v>45519</v>
          </cell>
          <cell r="E2831">
            <v>46250</v>
          </cell>
          <cell r="F2831" t="str">
            <v>64145</v>
          </cell>
          <cell r="G2831" t="str">
            <v>樺漢五</v>
          </cell>
          <cell r="H2831">
            <v>100000</v>
          </cell>
          <cell r="I2831">
            <v>3</v>
          </cell>
          <cell r="J2831">
            <v>46250</v>
          </cell>
          <cell r="K2831">
            <v>100</v>
          </cell>
          <cell r="L2831">
            <v>46231</v>
          </cell>
          <cell r="M2831">
            <v>-2244</v>
          </cell>
          <cell r="N2831">
            <v>97756</v>
          </cell>
        </row>
        <row r="2832">
          <cell r="A2832">
            <v>35482</v>
          </cell>
          <cell r="B2832">
            <v>2826</v>
          </cell>
          <cell r="C2832" t="str">
            <v>IASWD2408000875</v>
          </cell>
          <cell r="D2832">
            <v>45519</v>
          </cell>
          <cell r="E2832">
            <v>46395</v>
          </cell>
          <cell r="F2832" t="str">
            <v>35482</v>
          </cell>
          <cell r="G2832" t="str">
            <v>兆利二</v>
          </cell>
          <cell r="H2832">
            <v>100000</v>
          </cell>
          <cell r="I2832">
            <v>3</v>
          </cell>
          <cell r="J2832">
            <v>46395</v>
          </cell>
          <cell r="K2832">
            <v>100</v>
          </cell>
          <cell r="L2832">
            <v>46377</v>
          </cell>
          <cell r="M2832">
            <v>-2244</v>
          </cell>
          <cell r="N2832">
            <v>97756</v>
          </cell>
        </row>
        <row r="2833">
          <cell r="A2833">
            <v>84781</v>
          </cell>
          <cell r="B2833">
            <v>2827</v>
          </cell>
          <cell r="C2833" t="str">
            <v>IASWD2408000877</v>
          </cell>
          <cell r="D2833">
            <v>45519</v>
          </cell>
          <cell r="E2833">
            <v>46583</v>
          </cell>
          <cell r="F2833" t="str">
            <v>84781</v>
          </cell>
          <cell r="G2833" t="str">
            <v>東哥遊艇一</v>
          </cell>
          <cell r="H2833">
            <v>500000</v>
          </cell>
          <cell r="I2833">
            <v>3.1</v>
          </cell>
          <cell r="J2833">
            <v>46583</v>
          </cell>
          <cell r="K2833">
            <v>100</v>
          </cell>
          <cell r="L2833">
            <v>46563</v>
          </cell>
          <cell r="M2833">
            <v>-11593</v>
          </cell>
          <cell r="N2833">
            <v>488407</v>
          </cell>
        </row>
        <row r="2834">
          <cell r="A2834">
            <v>36804</v>
          </cell>
          <cell r="B2834">
            <v>2828</v>
          </cell>
          <cell r="C2834" t="str">
            <v>IASWD2408000880</v>
          </cell>
          <cell r="D2834">
            <v>45519</v>
          </cell>
          <cell r="E2834">
            <v>45948</v>
          </cell>
          <cell r="F2834" t="str">
            <v>36804</v>
          </cell>
          <cell r="G2834" t="str">
            <v>家登四</v>
          </cell>
          <cell r="H2834">
            <v>200000</v>
          </cell>
          <cell r="I2834">
            <v>3.2</v>
          </cell>
          <cell r="J2834">
            <v>45948</v>
          </cell>
          <cell r="K2834">
            <v>100</v>
          </cell>
          <cell r="L2834">
            <v>45926</v>
          </cell>
          <cell r="M2834">
            <v>-4787</v>
          </cell>
          <cell r="N2834">
            <v>195213</v>
          </cell>
        </row>
        <row r="2835">
          <cell r="A2835">
            <v>64145</v>
          </cell>
          <cell r="B2835">
            <v>2829</v>
          </cell>
          <cell r="C2835" t="str">
            <v>IASWD2408000881</v>
          </cell>
          <cell r="D2835">
            <v>45519</v>
          </cell>
          <cell r="E2835">
            <v>46250</v>
          </cell>
          <cell r="F2835" t="str">
            <v>64145</v>
          </cell>
          <cell r="G2835" t="str">
            <v>樺漢五</v>
          </cell>
          <cell r="H2835">
            <v>100000</v>
          </cell>
          <cell r="I2835">
            <v>3</v>
          </cell>
          <cell r="J2835">
            <v>46250</v>
          </cell>
          <cell r="K2835">
            <v>100</v>
          </cell>
          <cell r="L2835">
            <v>46231</v>
          </cell>
          <cell r="M2835">
            <v>-2244</v>
          </cell>
          <cell r="N2835">
            <v>97756</v>
          </cell>
        </row>
        <row r="2836">
          <cell r="A2836">
            <v>34843</v>
          </cell>
          <cell r="B2836">
            <v>2830</v>
          </cell>
          <cell r="C2836" t="str">
            <v>IASWD2408000883</v>
          </cell>
          <cell r="D2836">
            <v>45519</v>
          </cell>
          <cell r="E2836">
            <v>46136</v>
          </cell>
          <cell r="F2836" t="str">
            <v>34843</v>
          </cell>
          <cell r="G2836" t="str">
            <v>崧騰三</v>
          </cell>
          <cell r="H2836">
            <v>800000</v>
          </cell>
          <cell r="I2836">
            <v>3.5</v>
          </cell>
          <cell r="J2836">
            <v>46136</v>
          </cell>
          <cell r="K2836">
            <v>100.75</v>
          </cell>
          <cell r="L2836">
            <v>46118</v>
          </cell>
          <cell r="M2836">
            <v>-20942</v>
          </cell>
          <cell r="N2836">
            <v>779058</v>
          </cell>
        </row>
        <row r="2837">
          <cell r="A2837">
            <v>61394</v>
          </cell>
          <cell r="B2837">
            <v>2831</v>
          </cell>
          <cell r="C2837" t="str">
            <v>IASWD2408000884</v>
          </cell>
          <cell r="D2837">
            <v>45519</v>
          </cell>
          <cell r="E2837">
            <v>46047</v>
          </cell>
          <cell r="F2837" t="str">
            <v>61394</v>
          </cell>
          <cell r="G2837" t="str">
            <v>亞翔四</v>
          </cell>
          <cell r="H2837">
            <v>100000</v>
          </cell>
          <cell r="I2837">
            <v>3</v>
          </cell>
          <cell r="J2837">
            <v>46047</v>
          </cell>
          <cell r="K2837">
            <v>101.0025</v>
          </cell>
          <cell r="L2837">
            <v>46028</v>
          </cell>
          <cell r="M2837">
            <v>-2244</v>
          </cell>
          <cell r="N2837">
            <v>97756</v>
          </cell>
        </row>
        <row r="2838">
          <cell r="A2838">
            <v>89964</v>
          </cell>
          <cell r="B2838">
            <v>2832</v>
          </cell>
          <cell r="C2838" t="str">
            <v>IASWD2408000885</v>
          </cell>
          <cell r="D2838">
            <v>45519</v>
          </cell>
          <cell r="E2838">
            <v>46362</v>
          </cell>
          <cell r="F2838" t="str">
            <v>89964</v>
          </cell>
          <cell r="G2838" t="str">
            <v>高力四</v>
          </cell>
          <cell r="H2838">
            <v>100000</v>
          </cell>
          <cell r="I2838">
            <v>3.5</v>
          </cell>
          <cell r="J2838">
            <v>46362</v>
          </cell>
          <cell r="K2838">
            <v>100.75190000000001</v>
          </cell>
          <cell r="L2838">
            <v>46343</v>
          </cell>
          <cell r="M2838">
            <v>-2618</v>
          </cell>
          <cell r="N2838">
            <v>97382</v>
          </cell>
        </row>
        <row r="2839">
          <cell r="A2839">
            <v>64145</v>
          </cell>
          <cell r="B2839">
            <v>2833</v>
          </cell>
          <cell r="C2839" t="str">
            <v>IASWD2408000886</v>
          </cell>
          <cell r="D2839">
            <v>45519</v>
          </cell>
          <cell r="E2839">
            <v>46250</v>
          </cell>
          <cell r="F2839" t="str">
            <v>64145</v>
          </cell>
          <cell r="G2839" t="str">
            <v>樺漢五</v>
          </cell>
          <cell r="H2839">
            <v>200000</v>
          </cell>
          <cell r="I2839">
            <v>3</v>
          </cell>
          <cell r="J2839">
            <v>46250</v>
          </cell>
          <cell r="K2839">
            <v>100</v>
          </cell>
          <cell r="L2839">
            <v>46231</v>
          </cell>
          <cell r="M2839">
            <v>-4488</v>
          </cell>
          <cell r="N2839">
            <v>195512</v>
          </cell>
        </row>
        <row r="2840">
          <cell r="A2840">
            <v>50097</v>
          </cell>
          <cell r="B2840">
            <v>2834</v>
          </cell>
          <cell r="C2840" t="str">
            <v>IASWD2408000892</v>
          </cell>
          <cell r="D2840">
            <v>45519</v>
          </cell>
          <cell r="E2840">
            <v>46234</v>
          </cell>
          <cell r="F2840" t="str">
            <v>50097</v>
          </cell>
          <cell r="G2840" t="str">
            <v>榮剛七</v>
          </cell>
          <cell r="H2840">
            <v>100000</v>
          </cell>
          <cell r="I2840">
            <v>4.2</v>
          </cell>
          <cell r="J2840">
            <v>46234</v>
          </cell>
          <cell r="K2840">
            <v>101.51</v>
          </cell>
          <cell r="L2840">
            <v>46216</v>
          </cell>
          <cell r="M2840">
            <v>-3141</v>
          </cell>
          <cell r="N2840">
            <v>96859</v>
          </cell>
        </row>
        <row r="2841">
          <cell r="A2841">
            <v>84781</v>
          </cell>
          <cell r="B2841">
            <v>2835</v>
          </cell>
          <cell r="C2841" t="str">
            <v>IASWD2408000893</v>
          </cell>
          <cell r="D2841">
            <v>45519</v>
          </cell>
          <cell r="E2841">
            <v>46583</v>
          </cell>
          <cell r="F2841" t="str">
            <v>84781</v>
          </cell>
          <cell r="G2841" t="str">
            <v>東哥遊艇一</v>
          </cell>
          <cell r="H2841">
            <v>100000</v>
          </cell>
          <cell r="I2841">
            <v>3.1</v>
          </cell>
          <cell r="J2841">
            <v>46583</v>
          </cell>
          <cell r="K2841">
            <v>100</v>
          </cell>
          <cell r="L2841">
            <v>46563</v>
          </cell>
          <cell r="M2841">
            <v>-2319</v>
          </cell>
          <cell r="N2841">
            <v>97681</v>
          </cell>
        </row>
        <row r="2842">
          <cell r="A2842">
            <v>82551</v>
          </cell>
          <cell r="B2842">
            <v>2836</v>
          </cell>
          <cell r="C2842" t="str">
            <v>IASWD2408000894</v>
          </cell>
          <cell r="D2842">
            <v>45519</v>
          </cell>
          <cell r="E2842">
            <v>46243</v>
          </cell>
          <cell r="F2842" t="str">
            <v>82551</v>
          </cell>
          <cell r="G2842" t="str">
            <v>朋程一</v>
          </cell>
          <cell r="H2842">
            <v>100000</v>
          </cell>
          <cell r="I2842">
            <v>2.6</v>
          </cell>
          <cell r="J2842">
            <v>46243</v>
          </cell>
          <cell r="K2842">
            <v>100</v>
          </cell>
          <cell r="L2842">
            <v>46224</v>
          </cell>
          <cell r="M2842">
            <v>-1945</v>
          </cell>
          <cell r="N2842">
            <v>98055</v>
          </cell>
        </row>
        <row r="2843">
          <cell r="A2843">
            <v>64145</v>
          </cell>
          <cell r="B2843">
            <v>2837</v>
          </cell>
          <cell r="C2843" t="str">
            <v>IASWD2408000895</v>
          </cell>
          <cell r="D2843">
            <v>45519</v>
          </cell>
          <cell r="E2843">
            <v>46250</v>
          </cell>
          <cell r="F2843" t="str">
            <v>64145</v>
          </cell>
          <cell r="G2843" t="str">
            <v>樺漢五</v>
          </cell>
          <cell r="H2843">
            <v>100000</v>
          </cell>
          <cell r="I2843">
            <v>3</v>
          </cell>
          <cell r="J2843">
            <v>46250</v>
          </cell>
          <cell r="K2843">
            <v>100</v>
          </cell>
          <cell r="L2843">
            <v>46231</v>
          </cell>
          <cell r="M2843">
            <v>-2244</v>
          </cell>
          <cell r="N2843">
            <v>97756</v>
          </cell>
        </row>
        <row r="2844">
          <cell r="A2844">
            <v>67531</v>
          </cell>
          <cell r="B2844">
            <v>2838</v>
          </cell>
          <cell r="C2844" t="str">
            <v>IASWD2408000897</v>
          </cell>
          <cell r="D2844">
            <v>45519</v>
          </cell>
          <cell r="E2844">
            <v>46563</v>
          </cell>
          <cell r="F2844" t="str">
            <v>67531</v>
          </cell>
          <cell r="G2844" t="str">
            <v>龍德造船一</v>
          </cell>
          <cell r="H2844">
            <v>500000</v>
          </cell>
          <cell r="I2844">
            <v>3.5</v>
          </cell>
          <cell r="J2844">
            <v>46563</v>
          </cell>
          <cell r="K2844">
            <v>100</v>
          </cell>
          <cell r="L2844">
            <v>46545</v>
          </cell>
          <cell r="M2844">
            <v>-13089</v>
          </cell>
          <cell r="N2844">
            <v>486911</v>
          </cell>
        </row>
        <row r="2845">
          <cell r="A2845">
            <v>20632</v>
          </cell>
          <cell r="B2845">
            <v>2839</v>
          </cell>
          <cell r="C2845" t="str">
            <v>IASWD2408000898</v>
          </cell>
          <cell r="D2845">
            <v>45520</v>
          </cell>
          <cell r="E2845">
            <v>45971</v>
          </cell>
          <cell r="F2845" t="str">
            <v>20632</v>
          </cell>
          <cell r="G2845" t="str">
            <v>世鎧二</v>
          </cell>
          <cell r="H2845">
            <v>1200000</v>
          </cell>
          <cell r="I2845">
            <v>3.25</v>
          </cell>
          <cell r="J2845">
            <v>45971</v>
          </cell>
          <cell r="K2845">
            <v>100</v>
          </cell>
          <cell r="L2845">
            <v>45951</v>
          </cell>
          <cell r="M2845">
            <v>-29063</v>
          </cell>
          <cell r="N2845">
            <v>1170937</v>
          </cell>
        </row>
        <row r="2846">
          <cell r="A2846">
            <v>36804</v>
          </cell>
          <cell r="B2846">
            <v>2840</v>
          </cell>
          <cell r="C2846" t="str">
            <v>IASWD2408000899</v>
          </cell>
          <cell r="D2846">
            <v>45520</v>
          </cell>
          <cell r="E2846">
            <v>45948</v>
          </cell>
          <cell r="F2846" t="str">
            <v>36804</v>
          </cell>
          <cell r="G2846" t="str">
            <v>家登四</v>
          </cell>
          <cell r="H2846">
            <v>100000</v>
          </cell>
          <cell r="I2846">
            <v>3.2</v>
          </cell>
          <cell r="J2846">
            <v>45948</v>
          </cell>
          <cell r="K2846">
            <v>100</v>
          </cell>
          <cell r="L2846">
            <v>45926</v>
          </cell>
          <cell r="M2846">
            <v>-2385</v>
          </cell>
          <cell r="N2846">
            <v>97615</v>
          </cell>
        </row>
        <row r="2847">
          <cell r="A2847">
            <v>34834</v>
          </cell>
          <cell r="B2847">
            <v>2841</v>
          </cell>
          <cell r="C2847" t="str">
            <v>IASWD2408000902</v>
          </cell>
          <cell r="D2847">
            <v>45520</v>
          </cell>
          <cell r="E2847">
            <v>46529</v>
          </cell>
          <cell r="F2847" t="str">
            <v>34834</v>
          </cell>
          <cell r="G2847" t="str">
            <v>力致四</v>
          </cell>
          <cell r="H2847">
            <v>200000</v>
          </cell>
          <cell r="I2847">
            <v>3.75</v>
          </cell>
          <cell r="J2847">
            <v>46529</v>
          </cell>
          <cell r="K2847">
            <v>100</v>
          </cell>
          <cell r="L2847">
            <v>46511</v>
          </cell>
          <cell r="M2847">
            <v>-5589</v>
          </cell>
          <cell r="N2847">
            <v>194411</v>
          </cell>
        </row>
        <row r="2848">
          <cell r="A2848">
            <v>35266</v>
          </cell>
          <cell r="B2848">
            <v>2842</v>
          </cell>
          <cell r="C2848" t="str">
            <v>IASWD2408000903</v>
          </cell>
          <cell r="D2848">
            <v>45520</v>
          </cell>
          <cell r="E2848">
            <v>46416</v>
          </cell>
          <cell r="F2848" t="str">
            <v>35266</v>
          </cell>
          <cell r="G2848" t="str">
            <v>凡甲六</v>
          </cell>
          <cell r="H2848">
            <v>100000</v>
          </cell>
          <cell r="I2848">
            <v>3.5</v>
          </cell>
          <cell r="J2848">
            <v>46416</v>
          </cell>
          <cell r="K2848">
            <v>100</v>
          </cell>
          <cell r="L2848">
            <v>46398</v>
          </cell>
          <cell r="M2848">
            <v>-2608</v>
          </cell>
          <cell r="N2848">
            <v>97392</v>
          </cell>
        </row>
        <row r="2849">
          <cell r="A2849">
            <v>35482</v>
          </cell>
          <cell r="B2849">
            <v>2843</v>
          </cell>
          <cell r="C2849" t="str">
            <v>IASWD2408000904</v>
          </cell>
          <cell r="D2849">
            <v>45520</v>
          </cell>
          <cell r="E2849">
            <v>46395</v>
          </cell>
          <cell r="F2849" t="str">
            <v>35482</v>
          </cell>
          <cell r="G2849" t="str">
            <v>兆利二</v>
          </cell>
          <cell r="H2849">
            <v>100000</v>
          </cell>
          <cell r="I2849">
            <v>3</v>
          </cell>
          <cell r="J2849">
            <v>46395</v>
          </cell>
          <cell r="K2849">
            <v>100</v>
          </cell>
          <cell r="L2849">
            <v>46377</v>
          </cell>
          <cell r="M2849">
            <v>-2236</v>
          </cell>
          <cell r="N2849">
            <v>97764</v>
          </cell>
        </row>
        <row r="2850">
          <cell r="A2850">
            <v>61965</v>
          </cell>
          <cell r="B2850">
            <v>2844</v>
          </cell>
          <cell r="C2850" t="str">
            <v>IASWD2408000906</v>
          </cell>
          <cell r="D2850">
            <v>45520</v>
          </cell>
          <cell r="E2850">
            <v>46200</v>
          </cell>
          <cell r="F2850" t="str">
            <v>61965</v>
          </cell>
          <cell r="G2850" t="str">
            <v>帆宣五</v>
          </cell>
          <cell r="H2850">
            <v>100000</v>
          </cell>
          <cell r="I2850">
            <v>3</v>
          </cell>
          <cell r="J2850">
            <v>46200</v>
          </cell>
          <cell r="K2850">
            <v>100</v>
          </cell>
          <cell r="L2850">
            <v>46182</v>
          </cell>
          <cell r="M2850">
            <v>-2236</v>
          </cell>
          <cell r="N2850">
            <v>97764</v>
          </cell>
        </row>
        <row r="2851">
          <cell r="A2851">
            <v>34834</v>
          </cell>
          <cell r="B2851">
            <v>2845</v>
          </cell>
          <cell r="C2851" t="str">
            <v>IASWD2408000908</v>
          </cell>
          <cell r="D2851">
            <v>45520</v>
          </cell>
          <cell r="E2851">
            <v>46529</v>
          </cell>
          <cell r="F2851" t="str">
            <v>34834</v>
          </cell>
          <cell r="G2851" t="str">
            <v>力致四</v>
          </cell>
          <cell r="H2851">
            <v>100000</v>
          </cell>
          <cell r="I2851">
            <v>3.75</v>
          </cell>
          <cell r="J2851">
            <v>46529</v>
          </cell>
          <cell r="K2851">
            <v>100</v>
          </cell>
          <cell r="L2851">
            <v>46511</v>
          </cell>
          <cell r="M2851">
            <v>-2795</v>
          </cell>
          <cell r="N2851">
            <v>97205</v>
          </cell>
        </row>
        <row r="2852">
          <cell r="A2852">
            <v>50097</v>
          </cell>
          <cell r="B2852">
            <v>2846</v>
          </cell>
          <cell r="C2852" t="str">
            <v>IASWD2408000910</v>
          </cell>
          <cell r="D2852">
            <v>45520</v>
          </cell>
          <cell r="E2852">
            <v>46234</v>
          </cell>
          <cell r="F2852" t="str">
            <v>50097</v>
          </cell>
          <cell r="G2852" t="str">
            <v>榮剛七</v>
          </cell>
          <cell r="H2852">
            <v>100000</v>
          </cell>
          <cell r="I2852">
            <v>4.2</v>
          </cell>
          <cell r="J2852">
            <v>46234</v>
          </cell>
          <cell r="K2852">
            <v>101.51</v>
          </cell>
          <cell r="L2852">
            <v>46216</v>
          </cell>
          <cell r="M2852">
            <v>-3130</v>
          </cell>
          <cell r="N2852">
            <v>96870</v>
          </cell>
        </row>
        <row r="2853">
          <cell r="A2853">
            <v>33121</v>
          </cell>
          <cell r="B2853">
            <v>2847</v>
          </cell>
          <cell r="C2853" t="str">
            <v>IASWD2408000911</v>
          </cell>
          <cell r="D2853">
            <v>45520</v>
          </cell>
          <cell r="E2853">
            <v>46563</v>
          </cell>
          <cell r="F2853" t="str">
            <v>33121</v>
          </cell>
          <cell r="G2853" t="str">
            <v>弘憶股一</v>
          </cell>
          <cell r="H2853">
            <v>100000</v>
          </cell>
          <cell r="I2853">
            <v>3.5</v>
          </cell>
          <cell r="J2853">
            <v>46563</v>
          </cell>
          <cell r="K2853">
            <v>100</v>
          </cell>
          <cell r="L2853">
            <v>46545</v>
          </cell>
          <cell r="M2853">
            <v>-2608</v>
          </cell>
          <cell r="N2853">
            <v>97392</v>
          </cell>
        </row>
        <row r="2854">
          <cell r="A2854">
            <v>35266</v>
          </cell>
          <cell r="B2854">
            <v>2848</v>
          </cell>
          <cell r="C2854" t="str">
            <v>IASWD2408000913</v>
          </cell>
          <cell r="D2854">
            <v>45520</v>
          </cell>
          <cell r="E2854">
            <v>46416</v>
          </cell>
          <cell r="F2854" t="str">
            <v>35266</v>
          </cell>
          <cell r="G2854" t="str">
            <v>凡甲六</v>
          </cell>
          <cell r="H2854">
            <v>200000</v>
          </cell>
          <cell r="I2854">
            <v>3.5</v>
          </cell>
          <cell r="J2854">
            <v>46416</v>
          </cell>
          <cell r="K2854">
            <v>100</v>
          </cell>
          <cell r="L2854">
            <v>46398</v>
          </cell>
          <cell r="M2854">
            <v>-5216</v>
          </cell>
          <cell r="N2854">
            <v>194784</v>
          </cell>
        </row>
        <row r="2855">
          <cell r="A2855">
            <v>61965</v>
          </cell>
          <cell r="B2855">
            <v>2849</v>
          </cell>
          <cell r="C2855" t="str">
            <v>IASWD2408000916</v>
          </cell>
          <cell r="D2855">
            <v>45520</v>
          </cell>
          <cell r="E2855">
            <v>46200</v>
          </cell>
          <cell r="F2855" t="str">
            <v>61965</v>
          </cell>
          <cell r="G2855" t="str">
            <v>帆宣五</v>
          </cell>
          <cell r="H2855">
            <v>100000</v>
          </cell>
          <cell r="I2855">
            <v>3</v>
          </cell>
          <cell r="J2855">
            <v>46200</v>
          </cell>
          <cell r="K2855">
            <v>100</v>
          </cell>
          <cell r="L2855">
            <v>46182</v>
          </cell>
          <cell r="M2855">
            <v>-2236</v>
          </cell>
          <cell r="N2855">
            <v>97764</v>
          </cell>
        </row>
        <row r="2856">
          <cell r="A2856">
            <v>82551</v>
          </cell>
          <cell r="B2856">
            <v>2850</v>
          </cell>
          <cell r="C2856" t="str">
            <v>IASWD2408000917</v>
          </cell>
          <cell r="D2856">
            <v>45520</v>
          </cell>
          <cell r="E2856">
            <v>46243</v>
          </cell>
          <cell r="F2856" t="str">
            <v>82551</v>
          </cell>
          <cell r="G2856" t="str">
            <v>朋程一</v>
          </cell>
          <cell r="H2856">
            <v>100000</v>
          </cell>
          <cell r="I2856">
            <v>2.6</v>
          </cell>
          <cell r="J2856">
            <v>46243</v>
          </cell>
          <cell r="K2856">
            <v>100</v>
          </cell>
          <cell r="L2856">
            <v>46224</v>
          </cell>
          <cell r="M2856">
            <v>-1938</v>
          </cell>
          <cell r="N2856">
            <v>98062</v>
          </cell>
        </row>
        <row r="2857">
          <cell r="A2857">
            <v>65096</v>
          </cell>
          <cell r="B2857">
            <v>2851</v>
          </cell>
          <cell r="C2857" t="str">
            <v>IASWD2408000918</v>
          </cell>
          <cell r="D2857">
            <v>45520</v>
          </cell>
          <cell r="E2857">
            <v>46206</v>
          </cell>
          <cell r="F2857" t="str">
            <v>65096</v>
          </cell>
          <cell r="G2857" t="str">
            <v>聚和六</v>
          </cell>
          <cell r="H2857">
            <v>100000</v>
          </cell>
          <cell r="I2857">
            <v>3.1</v>
          </cell>
          <cell r="J2857">
            <v>46206</v>
          </cell>
          <cell r="K2857">
            <v>100</v>
          </cell>
          <cell r="L2857">
            <v>46188</v>
          </cell>
          <cell r="M2857">
            <v>-2310</v>
          </cell>
          <cell r="N2857">
            <v>97690</v>
          </cell>
        </row>
        <row r="2858">
          <cell r="A2858">
            <v>64145</v>
          </cell>
          <cell r="B2858">
            <v>2852</v>
          </cell>
          <cell r="C2858" t="str">
            <v>IASWD2408000919</v>
          </cell>
          <cell r="D2858">
            <v>45520</v>
          </cell>
          <cell r="E2858">
            <v>46250</v>
          </cell>
          <cell r="F2858" t="str">
            <v>64145</v>
          </cell>
          <cell r="G2858" t="str">
            <v>樺漢五</v>
          </cell>
          <cell r="H2858">
            <v>100000</v>
          </cell>
          <cell r="I2858">
            <v>3</v>
          </cell>
          <cell r="J2858">
            <v>46250</v>
          </cell>
          <cell r="K2858">
            <v>100</v>
          </cell>
          <cell r="L2858">
            <v>46231</v>
          </cell>
          <cell r="M2858">
            <v>-2236</v>
          </cell>
          <cell r="N2858">
            <v>97764</v>
          </cell>
        </row>
        <row r="2859">
          <cell r="A2859">
            <v>22013</v>
          </cell>
          <cell r="B2859">
            <v>2853</v>
          </cell>
          <cell r="C2859" t="str">
            <v>IASWD2408000920</v>
          </cell>
          <cell r="D2859">
            <v>45520</v>
          </cell>
          <cell r="E2859">
            <v>46167</v>
          </cell>
          <cell r="F2859" t="str">
            <v>22013</v>
          </cell>
          <cell r="G2859" t="str">
            <v>裕隆三</v>
          </cell>
          <cell r="H2859">
            <v>100000</v>
          </cell>
          <cell r="I2859">
            <v>3</v>
          </cell>
          <cell r="J2859">
            <v>46167</v>
          </cell>
          <cell r="K2859">
            <v>100.75190000000001</v>
          </cell>
          <cell r="L2859">
            <v>46147</v>
          </cell>
          <cell r="M2859">
            <v>-2236</v>
          </cell>
          <cell r="N2859">
            <v>97764</v>
          </cell>
        </row>
        <row r="2860">
          <cell r="A2860">
            <v>37083</v>
          </cell>
          <cell r="B2860">
            <v>2854</v>
          </cell>
          <cell r="C2860" t="str">
            <v>IASWD2408000922</v>
          </cell>
          <cell r="D2860">
            <v>45520</v>
          </cell>
          <cell r="E2860">
            <v>46292</v>
          </cell>
          <cell r="F2860" t="str">
            <v>37083</v>
          </cell>
          <cell r="G2860" t="str">
            <v>上緯投控三</v>
          </cell>
          <cell r="H2860">
            <v>200000</v>
          </cell>
          <cell r="I2860">
            <v>2.2000000000000002</v>
          </cell>
          <cell r="J2860">
            <v>46292</v>
          </cell>
          <cell r="K2860">
            <v>100</v>
          </cell>
          <cell r="L2860">
            <v>46273</v>
          </cell>
          <cell r="M2860">
            <v>-3279</v>
          </cell>
          <cell r="N2860">
            <v>196721</v>
          </cell>
        </row>
        <row r="2861">
          <cell r="A2861">
            <v>84781</v>
          </cell>
          <cell r="B2861">
            <v>2855</v>
          </cell>
          <cell r="C2861" t="str">
            <v>IASWD2408000926</v>
          </cell>
          <cell r="D2861">
            <v>45520</v>
          </cell>
          <cell r="E2861">
            <v>46583</v>
          </cell>
          <cell r="F2861" t="str">
            <v>84781</v>
          </cell>
          <cell r="G2861" t="str">
            <v>東哥遊艇一</v>
          </cell>
          <cell r="H2861">
            <v>100000</v>
          </cell>
          <cell r="I2861">
            <v>3.1</v>
          </cell>
          <cell r="J2861">
            <v>46583</v>
          </cell>
          <cell r="K2861">
            <v>100</v>
          </cell>
          <cell r="L2861">
            <v>46563</v>
          </cell>
          <cell r="M2861">
            <v>-2310</v>
          </cell>
          <cell r="N2861">
            <v>97690</v>
          </cell>
        </row>
        <row r="2862">
          <cell r="A2862">
            <v>22013</v>
          </cell>
          <cell r="B2862">
            <v>2856</v>
          </cell>
          <cell r="C2862" t="str">
            <v>IASWD2408000927</v>
          </cell>
          <cell r="D2862">
            <v>45520</v>
          </cell>
          <cell r="E2862">
            <v>46167</v>
          </cell>
          <cell r="F2862" t="str">
            <v>22013</v>
          </cell>
          <cell r="G2862" t="str">
            <v>裕隆三</v>
          </cell>
          <cell r="H2862">
            <v>200000</v>
          </cell>
          <cell r="I2862">
            <v>3</v>
          </cell>
          <cell r="J2862">
            <v>46167</v>
          </cell>
          <cell r="K2862">
            <v>100.75190000000001</v>
          </cell>
          <cell r="L2862">
            <v>46147</v>
          </cell>
          <cell r="M2862">
            <v>-4471</v>
          </cell>
          <cell r="N2862">
            <v>195529</v>
          </cell>
        </row>
        <row r="2863">
          <cell r="A2863">
            <v>89964</v>
          </cell>
          <cell r="B2863">
            <v>2857</v>
          </cell>
          <cell r="C2863" t="str">
            <v>IASWD2408000928</v>
          </cell>
          <cell r="D2863">
            <v>45520</v>
          </cell>
          <cell r="E2863">
            <v>46362</v>
          </cell>
          <cell r="F2863" t="str">
            <v>89964</v>
          </cell>
          <cell r="G2863" t="str">
            <v>高力四</v>
          </cell>
          <cell r="H2863">
            <v>900000</v>
          </cell>
          <cell r="I2863">
            <v>3.5</v>
          </cell>
          <cell r="J2863">
            <v>46362</v>
          </cell>
          <cell r="K2863">
            <v>100.75190000000001</v>
          </cell>
          <cell r="L2863">
            <v>46343</v>
          </cell>
          <cell r="M2863">
            <v>-23474</v>
          </cell>
          <cell r="N2863">
            <v>876526</v>
          </cell>
        </row>
        <row r="2864">
          <cell r="A2864">
            <v>33121</v>
          </cell>
          <cell r="B2864">
            <v>2858</v>
          </cell>
          <cell r="C2864" t="str">
            <v>IASWD2408000930</v>
          </cell>
          <cell r="D2864">
            <v>45520</v>
          </cell>
          <cell r="E2864">
            <v>46563</v>
          </cell>
          <cell r="F2864" t="str">
            <v>33121</v>
          </cell>
          <cell r="G2864" t="str">
            <v>弘憶股一</v>
          </cell>
          <cell r="H2864">
            <v>100000</v>
          </cell>
          <cell r="I2864">
            <v>3.5</v>
          </cell>
          <cell r="J2864">
            <v>46563</v>
          </cell>
          <cell r="K2864">
            <v>100</v>
          </cell>
          <cell r="L2864">
            <v>46545</v>
          </cell>
          <cell r="M2864">
            <v>-2608</v>
          </cell>
          <cell r="N2864">
            <v>97392</v>
          </cell>
        </row>
        <row r="2865">
          <cell r="A2865">
            <v>34163</v>
          </cell>
          <cell r="B2865">
            <v>2859</v>
          </cell>
          <cell r="C2865" t="str">
            <v>IASWD2408000931</v>
          </cell>
          <cell r="D2865">
            <v>45520</v>
          </cell>
          <cell r="E2865">
            <v>46047</v>
          </cell>
          <cell r="F2865" t="str">
            <v>34163</v>
          </cell>
          <cell r="G2865" t="str">
            <v>融程電三</v>
          </cell>
          <cell r="H2865">
            <v>200000</v>
          </cell>
          <cell r="I2865">
            <v>3</v>
          </cell>
          <cell r="J2865">
            <v>46047</v>
          </cell>
          <cell r="K2865">
            <v>100.5</v>
          </cell>
          <cell r="L2865">
            <v>46028</v>
          </cell>
          <cell r="M2865">
            <v>-4471</v>
          </cell>
          <cell r="N2865">
            <v>195529</v>
          </cell>
        </row>
        <row r="2866">
          <cell r="A2866">
            <v>84673</v>
          </cell>
          <cell r="B2866">
            <v>2860</v>
          </cell>
          <cell r="C2866" t="str">
            <v>IASWD2408000932</v>
          </cell>
          <cell r="D2866">
            <v>45520</v>
          </cell>
          <cell r="E2866">
            <v>46538</v>
          </cell>
          <cell r="F2866" t="str">
            <v>84673</v>
          </cell>
          <cell r="G2866" t="str">
            <v>波力三KY</v>
          </cell>
          <cell r="H2866">
            <v>100000</v>
          </cell>
          <cell r="I2866">
            <v>4.2</v>
          </cell>
          <cell r="J2866">
            <v>46538</v>
          </cell>
          <cell r="K2866">
            <v>100</v>
          </cell>
          <cell r="L2866">
            <v>46518</v>
          </cell>
          <cell r="M2866">
            <v>-3130</v>
          </cell>
          <cell r="N2866">
            <v>96870</v>
          </cell>
        </row>
        <row r="2867">
          <cell r="A2867">
            <v>36804</v>
          </cell>
          <cell r="B2867">
            <v>2861</v>
          </cell>
          <cell r="C2867" t="str">
            <v>IASWD2408000936</v>
          </cell>
          <cell r="D2867">
            <v>45520</v>
          </cell>
          <cell r="E2867">
            <v>45948</v>
          </cell>
          <cell r="F2867" t="str">
            <v>36804</v>
          </cell>
          <cell r="G2867" t="str">
            <v>家登四</v>
          </cell>
          <cell r="H2867">
            <v>500000</v>
          </cell>
          <cell r="I2867">
            <v>3.2</v>
          </cell>
          <cell r="J2867">
            <v>45948</v>
          </cell>
          <cell r="K2867">
            <v>100</v>
          </cell>
          <cell r="L2867">
            <v>45926</v>
          </cell>
          <cell r="M2867">
            <v>-11923</v>
          </cell>
          <cell r="N2867">
            <v>488077</v>
          </cell>
        </row>
        <row r="2868">
          <cell r="A2868">
            <v>33121</v>
          </cell>
          <cell r="B2868">
            <v>2862</v>
          </cell>
          <cell r="C2868" t="str">
            <v>IASWD2408000937</v>
          </cell>
          <cell r="D2868">
            <v>45520</v>
          </cell>
          <cell r="E2868">
            <v>46563</v>
          </cell>
          <cell r="F2868" t="str">
            <v>33121</v>
          </cell>
          <cell r="G2868" t="str">
            <v>弘憶股一</v>
          </cell>
          <cell r="H2868">
            <v>100000</v>
          </cell>
          <cell r="I2868">
            <v>3.5</v>
          </cell>
          <cell r="J2868">
            <v>46563</v>
          </cell>
          <cell r="K2868">
            <v>100</v>
          </cell>
          <cell r="L2868">
            <v>46545</v>
          </cell>
          <cell r="M2868">
            <v>-2608</v>
          </cell>
          <cell r="N2868">
            <v>97392</v>
          </cell>
        </row>
        <row r="2869">
          <cell r="A2869">
            <v>82551</v>
          </cell>
          <cell r="B2869">
            <v>2863</v>
          </cell>
          <cell r="C2869" t="str">
            <v>IASWD2408000938</v>
          </cell>
          <cell r="D2869">
            <v>45520</v>
          </cell>
          <cell r="E2869">
            <v>46243</v>
          </cell>
          <cell r="F2869" t="str">
            <v>82551</v>
          </cell>
          <cell r="G2869" t="str">
            <v>朋程一</v>
          </cell>
          <cell r="H2869">
            <v>100000</v>
          </cell>
          <cell r="I2869">
            <v>2.6</v>
          </cell>
          <cell r="J2869">
            <v>46243</v>
          </cell>
          <cell r="K2869">
            <v>100</v>
          </cell>
          <cell r="L2869">
            <v>46224</v>
          </cell>
          <cell r="M2869">
            <v>-1938</v>
          </cell>
          <cell r="N2869">
            <v>98062</v>
          </cell>
        </row>
        <row r="2870">
          <cell r="A2870">
            <v>82551</v>
          </cell>
          <cell r="B2870">
            <v>2864</v>
          </cell>
          <cell r="C2870" t="str">
            <v>IASWD2408000939</v>
          </cell>
          <cell r="D2870">
            <v>45520</v>
          </cell>
          <cell r="E2870">
            <v>46243</v>
          </cell>
          <cell r="F2870" t="str">
            <v>82551</v>
          </cell>
          <cell r="G2870" t="str">
            <v>朋程一</v>
          </cell>
          <cell r="H2870">
            <v>100000</v>
          </cell>
          <cell r="I2870">
            <v>2.6</v>
          </cell>
          <cell r="J2870">
            <v>46243</v>
          </cell>
          <cell r="K2870">
            <v>100</v>
          </cell>
          <cell r="L2870">
            <v>46224</v>
          </cell>
          <cell r="M2870">
            <v>-1938</v>
          </cell>
          <cell r="N2870">
            <v>98062</v>
          </cell>
        </row>
        <row r="2871">
          <cell r="A2871">
            <v>22013</v>
          </cell>
          <cell r="B2871">
            <v>2865</v>
          </cell>
          <cell r="C2871" t="str">
            <v>IASWD2408000940</v>
          </cell>
          <cell r="D2871">
            <v>45520</v>
          </cell>
          <cell r="E2871">
            <v>46167</v>
          </cell>
          <cell r="F2871" t="str">
            <v>22013</v>
          </cell>
          <cell r="G2871" t="str">
            <v>裕隆三</v>
          </cell>
          <cell r="H2871">
            <v>100000</v>
          </cell>
          <cell r="I2871">
            <v>3</v>
          </cell>
          <cell r="J2871">
            <v>46167</v>
          </cell>
          <cell r="K2871">
            <v>100.75190000000001</v>
          </cell>
          <cell r="L2871">
            <v>46147</v>
          </cell>
          <cell r="M2871">
            <v>-2236</v>
          </cell>
          <cell r="N2871">
            <v>97764</v>
          </cell>
        </row>
        <row r="2872">
          <cell r="A2872">
            <v>67531</v>
          </cell>
          <cell r="B2872">
            <v>2866</v>
          </cell>
          <cell r="C2872" t="str">
            <v>IASWD2408000941</v>
          </cell>
          <cell r="D2872">
            <v>45520</v>
          </cell>
          <cell r="E2872">
            <v>46563</v>
          </cell>
          <cell r="F2872" t="str">
            <v>67531</v>
          </cell>
          <cell r="G2872" t="str">
            <v>龍德造船一</v>
          </cell>
          <cell r="H2872">
            <v>300000</v>
          </cell>
          <cell r="I2872">
            <v>3.5</v>
          </cell>
          <cell r="J2872">
            <v>46563</v>
          </cell>
          <cell r="K2872">
            <v>100</v>
          </cell>
          <cell r="L2872">
            <v>46545</v>
          </cell>
          <cell r="M2872">
            <v>-7825</v>
          </cell>
          <cell r="N2872">
            <v>292175</v>
          </cell>
        </row>
        <row r="2873">
          <cell r="A2873">
            <v>22013</v>
          </cell>
          <cell r="B2873">
            <v>2867</v>
          </cell>
          <cell r="C2873" t="str">
            <v>IASWD2408000943</v>
          </cell>
          <cell r="D2873">
            <v>45520</v>
          </cell>
          <cell r="E2873">
            <v>46167</v>
          </cell>
          <cell r="F2873" t="str">
            <v>22013</v>
          </cell>
          <cell r="G2873" t="str">
            <v>裕隆三</v>
          </cell>
          <cell r="H2873">
            <v>100000</v>
          </cell>
          <cell r="I2873">
            <v>3</v>
          </cell>
          <cell r="J2873">
            <v>46167</v>
          </cell>
          <cell r="K2873">
            <v>100.75190000000001</v>
          </cell>
          <cell r="L2873">
            <v>46147</v>
          </cell>
          <cell r="M2873">
            <v>-2236</v>
          </cell>
          <cell r="N2873">
            <v>97764</v>
          </cell>
        </row>
        <row r="2874">
          <cell r="A2874">
            <v>84781</v>
          </cell>
          <cell r="B2874">
            <v>2868</v>
          </cell>
          <cell r="C2874" t="str">
            <v>IASWD2408000946</v>
          </cell>
          <cell r="D2874">
            <v>45523</v>
          </cell>
          <cell r="E2874">
            <v>46583</v>
          </cell>
          <cell r="F2874" t="str">
            <v>84781</v>
          </cell>
          <cell r="G2874" t="str">
            <v>東哥遊艇一</v>
          </cell>
          <cell r="H2874">
            <v>100000</v>
          </cell>
          <cell r="I2874">
            <v>3.1</v>
          </cell>
          <cell r="J2874">
            <v>46583</v>
          </cell>
          <cell r="K2874">
            <v>100</v>
          </cell>
          <cell r="L2874">
            <v>46563</v>
          </cell>
          <cell r="M2874">
            <v>-2285</v>
          </cell>
          <cell r="N2874">
            <v>97715</v>
          </cell>
        </row>
        <row r="2875">
          <cell r="A2875">
            <v>61965</v>
          </cell>
          <cell r="B2875">
            <v>2869</v>
          </cell>
          <cell r="C2875" t="str">
            <v>IASWD2408000949</v>
          </cell>
          <cell r="D2875">
            <v>45523</v>
          </cell>
          <cell r="E2875">
            <v>46200</v>
          </cell>
          <cell r="F2875" t="str">
            <v>61965</v>
          </cell>
          <cell r="G2875" t="str">
            <v>帆宣五</v>
          </cell>
          <cell r="H2875">
            <v>200000</v>
          </cell>
          <cell r="I2875">
            <v>3</v>
          </cell>
          <cell r="J2875">
            <v>46200</v>
          </cell>
          <cell r="K2875">
            <v>100</v>
          </cell>
          <cell r="L2875">
            <v>46182</v>
          </cell>
          <cell r="M2875">
            <v>-4422</v>
          </cell>
          <cell r="N2875">
            <v>195578</v>
          </cell>
        </row>
        <row r="2876">
          <cell r="A2876">
            <v>64145</v>
          </cell>
          <cell r="B2876">
            <v>2870</v>
          </cell>
          <cell r="C2876" t="str">
            <v>IASWD2408000950</v>
          </cell>
          <cell r="D2876">
            <v>45523</v>
          </cell>
          <cell r="E2876">
            <v>46250</v>
          </cell>
          <cell r="F2876" t="str">
            <v>64145</v>
          </cell>
          <cell r="G2876" t="str">
            <v>樺漢五</v>
          </cell>
          <cell r="H2876">
            <v>300000</v>
          </cell>
          <cell r="I2876">
            <v>3</v>
          </cell>
          <cell r="J2876">
            <v>46250</v>
          </cell>
          <cell r="K2876">
            <v>100</v>
          </cell>
          <cell r="L2876">
            <v>46231</v>
          </cell>
          <cell r="M2876">
            <v>-6633</v>
          </cell>
          <cell r="N2876">
            <v>293367</v>
          </cell>
        </row>
        <row r="2877">
          <cell r="A2877">
            <v>65096</v>
          </cell>
          <cell r="B2877">
            <v>2871</v>
          </cell>
          <cell r="C2877" t="str">
            <v>IASWD2408000952</v>
          </cell>
          <cell r="D2877">
            <v>45523</v>
          </cell>
          <cell r="E2877">
            <v>46206</v>
          </cell>
          <cell r="F2877" t="str">
            <v>65096</v>
          </cell>
          <cell r="G2877" t="str">
            <v>聚和六</v>
          </cell>
          <cell r="H2877">
            <v>100000</v>
          </cell>
          <cell r="I2877">
            <v>3.1</v>
          </cell>
          <cell r="J2877">
            <v>46206</v>
          </cell>
          <cell r="K2877">
            <v>100</v>
          </cell>
          <cell r="L2877">
            <v>46188</v>
          </cell>
          <cell r="M2877">
            <v>-2285</v>
          </cell>
          <cell r="N2877">
            <v>97715</v>
          </cell>
        </row>
        <row r="2878">
          <cell r="A2878">
            <v>35266</v>
          </cell>
          <cell r="B2878">
            <v>2872</v>
          </cell>
          <cell r="C2878" t="str">
            <v>IASWD2408000955</v>
          </cell>
          <cell r="D2878">
            <v>45523</v>
          </cell>
          <cell r="E2878">
            <v>46416</v>
          </cell>
          <cell r="F2878" t="str">
            <v>35266</v>
          </cell>
          <cell r="G2878" t="str">
            <v>凡甲六</v>
          </cell>
          <cell r="H2878">
            <v>100000</v>
          </cell>
          <cell r="I2878">
            <v>3.5</v>
          </cell>
          <cell r="J2878">
            <v>46416</v>
          </cell>
          <cell r="K2878">
            <v>100</v>
          </cell>
          <cell r="L2878">
            <v>46398</v>
          </cell>
          <cell r="M2878">
            <v>-2579</v>
          </cell>
          <cell r="N2878">
            <v>97421</v>
          </cell>
        </row>
        <row r="2879">
          <cell r="A2879">
            <v>33121</v>
          </cell>
          <cell r="B2879">
            <v>2873</v>
          </cell>
          <cell r="C2879" t="str">
            <v>IASWD2408000956</v>
          </cell>
          <cell r="D2879">
            <v>45523</v>
          </cell>
          <cell r="E2879">
            <v>46563</v>
          </cell>
          <cell r="F2879" t="str">
            <v>33121</v>
          </cell>
          <cell r="G2879" t="str">
            <v>弘憶股一</v>
          </cell>
          <cell r="H2879">
            <v>200000</v>
          </cell>
          <cell r="I2879">
            <v>3.5</v>
          </cell>
          <cell r="J2879">
            <v>46563</v>
          </cell>
          <cell r="K2879">
            <v>100</v>
          </cell>
          <cell r="L2879">
            <v>46545</v>
          </cell>
          <cell r="M2879">
            <v>-5159</v>
          </cell>
          <cell r="N2879">
            <v>194841</v>
          </cell>
        </row>
        <row r="2880">
          <cell r="A2880">
            <v>33121</v>
          </cell>
          <cell r="B2880">
            <v>2874</v>
          </cell>
          <cell r="C2880" t="str">
            <v>IASWD2408000957</v>
          </cell>
          <cell r="D2880">
            <v>45523</v>
          </cell>
          <cell r="E2880">
            <v>46563</v>
          </cell>
          <cell r="F2880" t="str">
            <v>33121</v>
          </cell>
          <cell r="G2880" t="str">
            <v>弘憶股一</v>
          </cell>
          <cell r="H2880">
            <v>100000</v>
          </cell>
          <cell r="I2880">
            <v>3.5</v>
          </cell>
          <cell r="J2880">
            <v>46563</v>
          </cell>
          <cell r="K2880">
            <v>100</v>
          </cell>
          <cell r="L2880">
            <v>46545</v>
          </cell>
          <cell r="M2880">
            <v>-2579</v>
          </cell>
          <cell r="N2880">
            <v>97421</v>
          </cell>
        </row>
        <row r="2881">
          <cell r="A2881">
            <v>64145</v>
          </cell>
          <cell r="B2881">
            <v>2875</v>
          </cell>
          <cell r="C2881" t="str">
            <v>IASWD2408000960</v>
          </cell>
          <cell r="D2881">
            <v>45523</v>
          </cell>
          <cell r="E2881">
            <v>46250</v>
          </cell>
          <cell r="F2881" t="str">
            <v>64145</v>
          </cell>
          <cell r="G2881" t="str">
            <v>樺漢五</v>
          </cell>
          <cell r="H2881">
            <v>100000</v>
          </cell>
          <cell r="I2881">
            <v>3</v>
          </cell>
          <cell r="J2881">
            <v>46250</v>
          </cell>
          <cell r="K2881">
            <v>100</v>
          </cell>
          <cell r="L2881">
            <v>46231</v>
          </cell>
          <cell r="M2881">
            <v>-2211</v>
          </cell>
          <cell r="N2881">
            <v>97789</v>
          </cell>
        </row>
        <row r="2882">
          <cell r="A2882">
            <v>67531</v>
          </cell>
          <cell r="B2882">
            <v>2876</v>
          </cell>
          <cell r="C2882" t="str">
            <v>IASWD2408000961</v>
          </cell>
          <cell r="D2882">
            <v>45523</v>
          </cell>
          <cell r="E2882">
            <v>46563</v>
          </cell>
          <cell r="F2882" t="str">
            <v>67531</v>
          </cell>
          <cell r="G2882" t="str">
            <v>龍德造船一</v>
          </cell>
          <cell r="H2882">
            <v>200000</v>
          </cell>
          <cell r="I2882">
            <v>3.5</v>
          </cell>
          <cell r="J2882">
            <v>46563</v>
          </cell>
          <cell r="K2882">
            <v>100</v>
          </cell>
          <cell r="L2882">
            <v>46545</v>
          </cell>
          <cell r="M2882">
            <v>-5159</v>
          </cell>
          <cell r="N2882">
            <v>194841</v>
          </cell>
        </row>
        <row r="2883">
          <cell r="A2883">
            <v>50097</v>
          </cell>
          <cell r="B2883">
            <v>2877</v>
          </cell>
          <cell r="C2883" t="str">
            <v>IASWD2408000964</v>
          </cell>
          <cell r="D2883">
            <v>45523</v>
          </cell>
          <cell r="E2883">
            <v>46234</v>
          </cell>
          <cell r="F2883" t="str">
            <v>50097</v>
          </cell>
          <cell r="G2883" t="str">
            <v>榮剛七</v>
          </cell>
          <cell r="H2883">
            <v>600000</v>
          </cell>
          <cell r="I2883">
            <v>4.2</v>
          </cell>
          <cell r="J2883">
            <v>46234</v>
          </cell>
          <cell r="K2883">
            <v>101.51</v>
          </cell>
          <cell r="L2883">
            <v>46216</v>
          </cell>
          <cell r="M2883">
            <v>-18572</v>
          </cell>
          <cell r="N2883">
            <v>581428</v>
          </cell>
        </row>
        <row r="2884">
          <cell r="A2884">
            <v>67531</v>
          </cell>
          <cell r="B2884">
            <v>2878</v>
          </cell>
          <cell r="C2884" t="str">
            <v>IASWD2408000966</v>
          </cell>
          <cell r="D2884">
            <v>45523</v>
          </cell>
          <cell r="E2884">
            <v>46563</v>
          </cell>
          <cell r="F2884" t="str">
            <v>67531</v>
          </cell>
          <cell r="G2884" t="str">
            <v>龍德造船一</v>
          </cell>
          <cell r="H2884">
            <v>100000</v>
          </cell>
          <cell r="I2884">
            <v>3.5</v>
          </cell>
          <cell r="J2884">
            <v>46563</v>
          </cell>
          <cell r="K2884">
            <v>100</v>
          </cell>
          <cell r="L2884">
            <v>46545</v>
          </cell>
          <cell r="M2884">
            <v>-2579</v>
          </cell>
          <cell r="N2884">
            <v>97421</v>
          </cell>
        </row>
        <row r="2885">
          <cell r="A2885">
            <v>35482</v>
          </cell>
          <cell r="B2885">
            <v>2879</v>
          </cell>
          <cell r="C2885" t="str">
            <v>IASWD2408000968</v>
          </cell>
          <cell r="D2885">
            <v>45523</v>
          </cell>
          <cell r="E2885">
            <v>46395</v>
          </cell>
          <cell r="F2885" t="str">
            <v>35482</v>
          </cell>
          <cell r="G2885" t="str">
            <v>兆利二</v>
          </cell>
          <cell r="H2885">
            <v>300000</v>
          </cell>
          <cell r="I2885">
            <v>3</v>
          </cell>
          <cell r="J2885">
            <v>46395</v>
          </cell>
          <cell r="K2885">
            <v>100</v>
          </cell>
          <cell r="L2885">
            <v>46377</v>
          </cell>
          <cell r="M2885">
            <v>-6633</v>
          </cell>
          <cell r="N2885">
            <v>293367</v>
          </cell>
        </row>
        <row r="2886">
          <cell r="A2886">
            <v>140202</v>
          </cell>
          <cell r="B2886">
            <v>2880</v>
          </cell>
          <cell r="C2886" t="str">
            <v>IASWD2408000969</v>
          </cell>
          <cell r="D2886">
            <v>45523</v>
          </cell>
          <cell r="E2886">
            <v>46607</v>
          </cell>
          <cell r="F2886" t="str">
            <v>140202</v>
          </cell>
          <cell r="G2886" t="str">
            <v>遠東新E2永</v>
          </cell>
          <cell r="H2886">
            <v>100000</v>
          </cell>
          <cell r="I2886">
            <v>2.5</v>
          </cell>
          <cell r="J2886">
            <v>46607</v>
          </cell>
          <cell r="K2886">
            <v>100</v>
          </cell>
          <cell r="L2886">
            <v>46588</v>
          </cell>
          <cell r="M2886">
            <v>-1842</v>
          </cell>
          <cell r="N2886">
            <v>98158</v>
          </cell>
        </row>
        <row r="2887">
          <cell r="A2887">
            <v>65096</v>
          </cell>
          <cell r="B2887">
            <v>2881</v>
          </cell>
          <cell r="C2887" t="str">
            <v>IASWD2408000970</v>
          </cell>
          <cell r="D2887">
            <v>45523</v>
          </cell>
          <cell r="E2887">
            <v>46206</v>
          </cell>
          <cell r="F2887" t="str">
            <v>65096</v>
          </cell>
          <cell r="G2887" t="str">
            <v>聚和六</v>
          </cell>
          <cell r="H2887">
            <v>100000</v>
          </cell>
          <cell r="I2887">
            <v>3.1</v>
          </cell>
          <cell r="J2887">
            <v>46206</v>
          </cell>
          <cell r="K2887">
            <v>100</v>
          </cell>
          <cell r="L2887">
            <v>46188</v>
          </cell>
          <cell r="M2887">
            <v>-2285</v>
          </cell>
          <cell r="N2887">
            <v>97715</v>
          </cell>
        </row>
        <row r="2888">
          <cell r="A2888">
            <v>61965</v>
          </cell>
          <cell r="B2888">
            <v>2882</v>
          </cell>
          <cell r="C2888" t="str">
            <v>IASWD2408000971</v>
          </cell>
          <cell r="D2888">
            <v>45523</v>
          </cell>
          <cell r="E2888">
            <v>46200</v>
          </cell>
          <cell r="F2888" t="str">
            <v>61965</v>
          </cell>
          <cell r="G2888" t="str">
            <v>帆宣五</v>
          </cell>
          <cell r="H2888">
            <v>200000</v>
          </cell>
          <cell r="I2888">
            <v>3</v>
          </cell>
          <cell r="J2888">
            <v>46200</v>
          </cell>
          <cell r="K2888">
            <v>100</v>
          </cell>
          <cell r="L2888">
            <v>46182</v>
          </cell>
          <cell r="M2888">
            <v>-4422</v>
          </cell>
          <cell r="N2888">
            <v>195578</v>
          </cell>
        </row>
        <row r="2889">
          <cell r="A2889">
            <v>64145</v>
          </cell>
          <cell r="B2889">
            <v>2883</v>
          </cell>
          <cell r="C2889" t="str">
            <v>IASWD2408000972</v>
          </cell>
          <cell r="D2889">
            <v>45523</v>
          </cell>
          <cell r="E2889">
            <v>46250</v>
          </cell>
          <cell r="F2889" t="str">
            <v>64145</v>
          </cell>
          <cell r="G2889" t="str">
            <v>樺漢五</v>
          </cell>
          <cell r="H2889">
            <v>100000</v>
          </cell>
          <cell r="I2889">
            <v>3</v>
          </cell>
          <cell r="J2889">
            <v>46250</v>
          </cell>
          <cell r="K2889">
            <v>100</v>
          </cell>
          <cell r="L2889">
            <v>46231</v>
          </cell>
          <cell r="M2889">
            <v>-2211</v>
          </cell>
          <cell r="N2889">
            <v>97789</v>
          </cell>
        </row>
        <row r="2890">
          <cell r="A2890">
            <v>50097</v>
          </cell>
          <cell r="B2890">
            <v>2884</v>
          </cell>
          <cell r="C2890" t="str">
            <v>IASWD2408000973</v>
          </cell>
          <cell r="D2890">
            <v>45523</v>
          </cell>
          <cell r="E2890">
            <v>46234</v>
          </cell>
          <cell r="F2890" t="str">
            <v>50097</v>
          </cell>
          <cell r="G2890" t="str">
            <v>榮剛七</v>
          </cell>
          <cell r="H2890">
            <v>200000</v>
          </cell>
          <cell r="I2890">
            <v>4.2</v>
          </cell>
          <cell r="J2890">
            <v>46234</v>
          </cell>
          <cell r="K2890">
            <v>101.51</v>
          </cell>
          <cell r="L2890">
            <v>46216</v>
          </cell>
          <cell r="M2890">
            <v>-6191</v>
          </cell>
          <cell r="N2890">
            <v>193809</v>
          </cell>
        </row>
        <row r="2891">
          <cell r="A2891">
            <v>61965</v>
          </cell>
          <cell r="B2891">
            <v>2885</v>
          </cell>
          <cell r="C2891" t="str">
            <v>IASWD2408000974</v>
          </cell>
          <cell r="D2891">
            <v>45523</v>
          </cell>
          <cell r="E2891">
            <v>46200</v>
          </cell>
          <cell r="F2891" t="str">
            <v>61965</v>
          </cell>
          <cell r="G2891" t="str">
            <v>帆宣五</v>
          </cell>
          <cell r="H2891">
            <v>100000</v>
          </cell>
          <cell r="I2891">
            <v>3</v>
          </cell>
          <cell r="J2891">
            <v>46200</v>
          </cell>
          <cell r="K2891">
            <v>100</v>
          </cell>
          <cell r="L2891">
            <v>46182</v>
          </cell>
          <cell r="M2891">
            <v>-2211</v>
          </cell>
          <cell r="N2891">
            <v>97789</v>
          </cell>
        </row>
        <row r="2892">
          <cell r="A2892">
            <v>65096</v>
          </cell>
          <cell r="B2892">
            <v>2886</v>
          </cell>
          <cell r="C2892" t="str">
            <v>IASWD2408000979</v>
          </cell>
          <cell r="D2892">
            <v>45523</v>
          </cell>
          <cell r="E2892">
            <v>46206</v>
          </cell>
          <cell r="F2892" t="str">
            <v>65096</v>
          </cell>
          <cell r="G2892" t="str">
            <v>聚和六</v>
          </cell>
          <cell r="H2892">
            <v>500000</v>
          </cell>
          <cell r="I2892">
            <v>3.1</v>
          </cell>
          <cell r="J2892">
            <v>46206</v>
          </cell>
          <cell r="K2892">
            <v>100</v>
          </cell>
          <cell r="L2892">
            <v>46188</v>
          </cell>
          <cell r="M2892">
            <v>-11423</v>
          </cell>
          <cell r="N2892">
            <v>488577</v>
          </cell>
        </row>
        <row r="2893">
          <cell r="A2893">
            <v>67531</v>
          </cell>
          <cell r="B2893">
            <v>2887</v>
          </cell>
          <cell r="C2893" t="str">
            <v>IASWD2408000994</v>
          </cell>
          <cell r="D2893">
            <v>45523</v>
          </cell>
          <cell r="E2893">
            <v>46563</v>
          </cell>
          <cell r="F2893" t="str">
            <v>67531</v>
          </cell>
          <cell r="G2893" t="str">
            <v>龍德造船一</v>
          </cell>
          <cell r="H2893">
            <v>100000</v>
          </cell>
          <cell r="I2893">
            <v>3.5</v>
          </cell>
          <cell r="J2893">
            <v>46563</v>
          </cell>
          <cell r="K2893">
            <v>100</v>
          </cell>
          <cell r="L2893">
            <v>46545</v>
          </cell>
          <cell r="M2893">
            <v>-2579</v>
          </cell>
          <cell r="N2893">
            <v>97421</v>
          </cell>
        </row>
        <row r="2894">
          <cell r="A2894">
            <v>41372</v>
          </cell>
          <cell r="B2894">
            <v>2888</v>
          </cell>
          <cell r="C2894" t="str">
            <v>IASWD2408000996</v>
          </cell>
          <cell r="D2894">
            <v>45523</v>
          </cell>
          <cell r="E2894">
            <v>46246</v>
          </cell>
          <cell r="F2894" t="str">
            <v>41372</v>
          </cell>
          <cell r="G2894" t="str">
            <v>麗豐二KY</v>
          </cell>
          <cell r="H2894">
            <v>100000</v>
          </cell>
          <cell r="I2894">
            <v>4.25</v>
          </cell>
          <cell r="J2894">
            <v>46246</v>
          </cell>
          <cell r="K2894">
            <v>100.5</v>
          </cell>
          <cell r="L2894">
            <v>46226</v>
          </cell>
          <cell r="M2894">
            <v>-3132</v>
          </cell>
          <cell r="N2894">
            <v>96868</v>
          </cell>
        </row>
        <row r="2895">
          <cell r="A2895">
            <v>64145</v>
          </cell>
          <cell r="B2895">
            <v>2889</v>
          </cell>
          <cell r="C2895" t="str">
            <v>IASWD2408000997</v>
          </cell>
          <cell r="D2895">
            <v>45524</v>
          </cell>
          <cell r="E2895">
            <v>46250</v>
          </cell>
          <cell r="F2895" t="str">
            <v>64145</v>
          </cell>
          <cell r="G2895" t="str">
            <v>樺漢五</v>
          </cell>
          <cell r="H2895">
            <v>100000</v>
          </cell>
          <cell r="I2895">
            <v>3</v>
          </cell>
          <cell r="J2895">
            <v>46250</v>
          </cell>
          <cell r="K2895">
            <v>100</v>
          </cell>
          <cell r="L2895">
            <v>46231</v>
          </cell>
          <cell r="M2895">
            <v>-2203</v>
          </cell>
          <cell r="N2895">
            <v>97797</v>
          </cell>
        </row>
        <row r="2896">
          <cell r="A2896">
            <v>41372</v>
          </cell>
          <cell r="B2896">
            <v>2890</v>
          </cell>
          <cell r="C2896" t="str">
            <v>IASWD2408001000</v>
          </cell>
          <cell r="D2896">
            <v>45524</v>
          </cell>
          <cell r="E2896">
            <v>46246</v>
          </cell>
          <cell r="F2896" t="str">
            <v>41372</v>
          </cell>
          <cell r="G2896" t="str">
            <v>麗豐二KY</v>
          </cell>
          <cell r="H2896">
            <v>800000</v>
          </cell>
          <cell r="I2896">
            <v>4.25</v>
          </cell>
          <cell r="J2896">
            <v>46246</v>
          </cell>
          <cell r="K2896">
            <v>100.5</v>
          </cell>
          <cell r="L2896">
            <v>46226</v>
          </cell>
          <cell r="M2896">
            <v>-24964</v>
          </cell>
          <cell r="N2896">
            <v>775036</v>
          </cell>
        </row>
        <row r="2897">
          <cell r="A2897">
            <v>67531</v>
          </cell>
          <cell r="B2897">
            <v>2891</v>
          </cell>
          <cell r="C2897" t="str">
            <v>IASWD2408001003</v>
          </cell>
          <cell r="D2897">
            <v>45524</v>
          </cell>
          <cell r="E2897">
            <v>46563</v>
          </cell>
          <cell r="F2897" t="str">
            <v>67531</v>
          </cell>
          <cell r="G2897" t="str">
            <v>龍德造船一</v>
          </cell>
          <cell r="H2897">
            <v>100000</v>
          </cell>
          <cell r="I2897">
            <v>3.5</v>
          </cell>
          <cell r="J2897">
            <v>46563</v>
          </cell>
          <cell r="K2897">
            <v>100</v>
          </cell>
          <cell r="L2897">
            <v>46545</v>
          </cell>
          <cell r="M2897">
            <v>-2570</v>
          </cell>
          <cell r="N2897">
            <v>97430</v>
          </cell>
        </row>
        <row r="2898">
          <cell r="A2898">
            <v>67531</v>
          </cell>
          <cell r="B2898">
            <v>2892</v>
          </cell>
          <cell r="C2898" t="str">
            <v>IASWD2408001004</v>
          </cell>
          <cell r="D2898">
            <v>45524</v>
          </cell>
          <cell r="E2898">
            <v>46563</v>
          </cell>
          <cell r="F2898" t="str">
            <v>67531</v>
          </cell>
          <cell r="G2898" t="str">
            <v>龍德造船一</v>
          </cell>
          <cell r="H2898">
            <v>1000000</v>
          </cell>
          <cell r="I2898">
            <v>3.5</v>
          </cell>
          <cell r="J2898">
            <v>46563</v>
          </cell>
          <cell r="K2898">
            <v>100</v>
          </cell>
          <cell r="L2898">
            <v>46545</v>
          </cell>
          <cell r="M2898">
            <v>-25699</v>
          </cell>
          <cell r="N2898">
            <v>974301</v>
          </cell>
        </row>
        <row r="2899">
          <cell r="A2899">
            <v>33121</v>
          </cell>
          <cell r="B2899">
            <v>2893</v>
          </cell>
          <cell r="C2899" t="str">
            <v>IASWD2408001005</v>
          </cell>
          <cell r="D2899">
            <v>45524</v>
          </cell>
          <cell r="E2899">
            <v>46563</v>
          </cell>
          <cell r="F2899" t="str">
            <v>33121</v>
          </cell>
          <cell r="G2899" t="str">
            <v>弘憶股一</v>
          </cell>
          <cell r="H2899">
            <v>100000</v>
          </cell>
          <cell r="I2899">
            <v>3.5</v>
          </cell>
          <cell r="J2899">
            <v>46563</v>
          </cell>
          <cell r="K2899">
            <v>100</v>
          </cell>
          <cell r="L2899">
            <v>46545</v>
          </cell>
          <cell r="M2899">
            <v>-2570</v>
          </cell>
          <cell r="N2899">
            <v>97430</v>
          </cell>
        </row>
        <row r="2900">
          <cell r="A2900">
            <v>52091</v>
          </cell>
          <cell r="B2900">
            <v>2894</v>
          </cell>
          <cell r="C2900" t="str">
            <v>IASWD2408001006</v>
          </cell>
          <cell r="D2900">
            <v>45524</v>
          </cell>
          <cell r="E2900">
            <v>46301</v>
          </cell>
          <cell r="F2900" t="str">
            <v>52091</v>
          </cell>
          <cell r="G2900" t="str">
            <v>新鼎一</v>
          </cell>
          <cell r="H2900">
            <v>500000</v>
          </cell>
          <cell r="I2900">
            <v>3.75</v>
          </cell>
          <cell r="J2900">
            <v>46301</v>
          </cell>
          <cell r="K2900">
            <v>100</v>
          </cell>
          <cell r="L2900">
            <v>46281</v>
          </cell>
          <cell r="M2900">
            <v>-13767</v>
          </cell>
          <cell r="N2900">
            <v>486233</v>
          </cell>
        </row>
        <row r="2901">
          <cell r="A2901">
            <v>64145</v>
          </cell>
          <cell r="B2901">
            <v>2895</v>
          </cell>
          <cell r="C2901" t="str">
            <v>IASWD2408001007</v>
          </cell>
          <cell r="D2901">
            <v>45524</v>
          </cell>
          <cell r="E2901">
            <v>46250</v>
          </cell>
          <cell r="F2901" t="str">
            <v>64145</v>
          </cell>
          <cell r="G2901" t="str">
            <v>樺漢五</v>
          </cell>
          <cell r="H2901">
            <v>200000</v>
          </cell>
          <cell r="I2901">
            <v>3</v>
          </cell>
          <cell r="J2901">
            <v>46250</v>
          </cell>
          <cell r="K2901">
            <v>100</v>
          </cell>
          <cell r="L2901">
            <v>46231</v>
          </cell>
          <cell r="M2901">
            <v>-4405</v>
          </cell>
          <cell r="N2901">
            <v>195595</v>
          </cell>
        </row>
        <row r="2902">
          <cell r="A2902">
            <v>41372</v>
          </cell>
          <cell r="B2902">
            <v>2896</v>
          </cell>
          <cell r="C2902" t="str">
            <v>IASWD2408001010</v>
          </cell>
          <cell r="D2902">
            <v>45524</v>
          </cell>
          <cell r="E2902">
            <v>46246</v>
          </cell>
          <cell r="F2902" t="str">
            <v>41372</v>
          </cell>
          <cell r="G2902" t="str">
            <v>麗豐二KY</v>
          </cell>
          <cell r="H2902">
            <v>200000</v>
          </cell>
          <cell r="I2902">
            <v>4.25</v>
          </cell>
          <cell r="J2902">
            <v>46246</v>
          </cell>
          <cell r="K2902">
            <v>100.5</v>
          </cell>
          <cell r="L2902">
            <v>46226</v>
          </cell>
          <cell r="M2902">
            <v>-6241</v>
          </cell>
          <cell r="N2902">
            <v>193759</v>
          </cell>
        </row>
        <row r="2903">
          <cell r="A2903">
            <v>64145</v>
          </cell>
          <cell r="B2903">
            <v>2897</v>
          </cell>
          <cell r="C2903" t="str">
            <v>IASWD2408001011</v>
          </cell>
          <cell r="D2903">
            <v>45524</v>
          </cell>
          <cell r="E2903">
            <v>46250</v>
          </cell>
          <cell r="F2903" t="str">
            <v>64145</v>
          </cell>
          <cell r="G2903" t="str">
            <v>樺漢五</v>
          </cell>
          <cell r="H2903">
            <v>200000</v>
          </cell>
          <cell r="I2903">
            <v>3</v>
          </cell>
          <cell r="J2903">
            <v>46250</v>
          </cell>
          <cell r="K2903">
            <v>100</v>
          </cell>
          <cell r="L2903">
            <v>46231</v>
          </cell>
          <cell r="M2903">
            <v>-4405</v>
          </cell>
          <cell r="N2903">
            <v>195595</v>
          </cell>
        </row>
        <row r="2904">
          <cell r="A2904">
            <v>41372</v>
          </cell>
          <cell r="B2904">
            <v>2898</v>
          </cell>
          <cell r="C2904" t="str">
            <v>IASWD2408001012</v>
          </cell>
          <cell r="D2904">
            <v>45524</v>
          </cell>
          <cell r="E2904">
            <v>46246</v>
          </cell>
          <cell r="F2904" t="str">
            <v>41372</v>
          </cell>
          <cell r="G2904" t="str">
            <v>麗豐二KY</v>
          </cell>
          <cell r="H2904">
            <v>600000</v>
          </cell>
          <cell r="I2904">
            <v>4.25</v>
          </cell>
          <cell r="J2904">
            <v>46246</v>
          </cell>
          <cell r="K2904">
            <v>100.5</v>
          </cell>
          <cell r="L2904">
            <v>46226</v>
          </cell>
          <cell r="M2904">
            <v>-18723</v>
          </cell>
          <cell r="N2904">
            <v>581277</v>
          </cell>
        </row>
        <row r="2905">
          <cell r="A2905">
            <v>41372</v>
          </cell>
          <cell r="B2905">
            <v>2899</v>
          </cell>
          <cell r="C2905" t="str">
            <v>IASWD2408001014</v>
          </cell>
          <cell r="D2905">
            <v>45524</v>
          </cell>
          <cell r="E2905">
            <v>46246</v>
          </cell>
          <cell r="F2905" t="str">
            <v>41372</v>
          </cell>
          <cell r="G2905" t="str">
            <v>麗豐二KY</v>
          </cell>
          <cell r="H2905">
            <v>900000</v>
          </cell>
          <cell r="I2905">
            <v>4.25</v>
          </cell>
          <cell r="J2905">
            <v>46246</v>
          </cell>
          <cell r="K2905">
            <v>100.5</v>
          </cell>
          <cell r="L2905">
            <v>46226</v>
          </cell>
          <cell r="M2905">
            <v>-28085</v>
          </cell>
          <cell r="N2905">
            <v>871915</v>
          </cell>
        </row>
        <row r="2906">
          <cell r="A2906">
            <v>64145</v>
          </cell>
          <cell r="B2906">
            <v>2900</v>
          </cell>
          <cell r="C2906" t="str">
            <v>IASWD2408001015</v>
          </cell>
          <cell r="D2906">
            <v>45524</v>
          </cell>
          <cell r="E2906">
            <v>46250</v>
          </cell>
          <cell r="F2906" t="str">
            <v>64145</v>
          </cell>
          <cell r="G2906" t="str">
            <v>樺漢五</v>
          </cell>
          <cell r="H2906">
            <v>500000</v>
          </cell>
          <cell r="I2906">
            <v>3</v>
          </cell>
          <cell r="J2906">
            <v>46250</v>
          </cell>
          <cell r="K2906">
            <v>100</v>
          </cell>
          <cell r="L2906">
            <v>46231</v>
          </cell>
          <cell r="M2906">
            <v>-11014</v>
          </cell>
          <cell r="N2906">
            <v>488986</v>
          </cell>
        </row>
        <row r="2907">
          <cell r="A2907">
            <v>50097</v>
          </cell>
          <cell r="B2907">
            <v>2901</v>
          </cell>
          <cell r="C2907" t="str">
            <v>IASWD2408001016</v>
          </cell>
          <cell r="D2907">
            <v>45524</v>
          </cell>
          <cell r="E2907">
            <v>46234</v>
          </cell>
          <cell r="F2907" t="str">
            <v>50097</v>
          </cell>
          <cell r="G2907" t="str">
            <v>榮剛七</v>
          </cell>
          <cell r="H2907">
            <v>100000</v>
          </cell>
          <cell r="I2907">
            <v>4.2</v>
          </cell>
          <cell r="J2907">
            <v>46234</v>
          </cell>
          <cell r="K2907">
            <v>101.51</v>
          </cell>
          <cell r="L2907">
            <v>46216</v>
          </cell>
          <cell r="M2907">
            <v>-3084</v>
          </cell>
          <cell r="N2907">
            <v>96916</v>
          </cell>
        </row>
        <row r="2908">
          <cell r="A2908">
            <v>64145</v>
          </cell>
          <cell r="B2908">
            <v>2902</v>
          </cell>
          <cell r="C2908" t="str">
            <v>IASWD2408001018</v>
          </cell>
          <cell r="D2908">
            <v>45524</v>
          </cell>
          <cell r="E2908">
            <v>46250</v>
          </cell>
          <cell r="F2908" t="str">
            <v>64145</v>
          </cell>
          <cell r="G2908" t="str">
            <v>樺漢五</v>
          </cell>
          <cell r="H2908">
            <v>100000</v>
          </cell>
          <cell r="I2908">
            <v>3</v>
          </cell>
          <cell r="J2908">
            <v>46250</v>
          </cell>
          <cell r="K2908">
            <v>100</v>
          </cell>
          <cell r="L2908">
            <v>46231</v>
          </cell>
          <cell r="M2908">
            <v>-2203</v>
          </cell>
          <cell r="N2908">
            <v>97797</v>
          </cell>
        </row>
        <row r="2909">
          <cell r="A2909">
            <v>67531</v>
          </cell>
          <cell r="B2909">
            <v>2903</v>
          </cell>
          <cell r="C2909" t="str">
            <v>IASWD2408001019</v>
          </cell>
          <cell r="D2909">
            <v>45524</v>
          </cell>
          <cell r="E2909">
            <v>46563</v>
          </cell>
          <cell r="F2909" t="str">
            <v>67531</v>
          </cell>
          <cell r="G2909" t="str">
            <v>龍德造船一</v>
          </cell>
          <cell r="H2909">
            <v>100000</v>
          </cell>
          <cell r="I2909">
            <v>3.5</v>
          </cell>
          <cell r="J2909">
            <v>46563</v>
          </cell>
          <cell r="K2909">
            <v>100</v>
          </cell>
          <cell r="L2909">
            <v>46545</v>
          </cell>
          <cell r="M2909">
            <v>-2570</v>
          </cell>
          <cell r="N2909">
            <v>97430</v>
          </cell>
        </row>
        <row r="2910">
          <cell r="A2910">
            <v>50097</v>
          </cell>
          <cell r="B2910">
            <v>2904</v>
          </cell>
          <cell r="C2910" t="str">
            <v>IASWD2408001021</v>
          </cell>
          <cell r="D2910">
            <v>45524</v>
          </cell>
          <cell r="E2910">
            <v>46234</v>
          </cell>
          <cell r="F2910" t="str">
            <v>50097</v>
          </cell>
          <cell r="G2910" t="str">
            <v>榮剛七</v>
          </cell>
          <cell r="H2910">
            <v>1200000</v>
          </cell>
          <cell r="I2910">
            <v>4.2</v>
          </cell>
          <cell r="J2910">
            <v>46234</v>
          </cell>
          <cell r="K2910">
            <v>101.51</v>
          </cell>
          <cell r="L2910">
            <v>46216</v>
          </cell>
          <cell r="M2910">
            <v>-37006</v>
          </cell>
          <cell r="N2910">
            <v>1162994</v>
          </cell>
        </row>
        <row r="2911">
          <cell r="A2911">
            <v>52091</v>
          </cell>
          <cell r="B2911">
            <v>2905</v>
          </cell>
          <cell r="C2911" t="str">
            <v>IASWD2408001022</v>
          </cell>
          <cell r="D2911">
            <v>45524</v>
          </cell>
          <cell r="E2911">
            <v>46301</v>
          </cell>
          <cell r="F2911" t="str">
            <v>52091</v>
          </cell>
          <cell r="G2911" t="str">
            <v>新鼎一</v>
          </cell>
          <cell r="H2911">
            <v>500000</v>
          </cell>
          <cell r="I2911">
            <v>3.75</v>
          </cell>
          <cell r="J2911">
            <v>46301</v>
          </cell>
          <cell r="K2911">
            <v>100</v>
          </cell>
          <cell r="L2911">
            <v>46281</v>
          </cell>
          <cell r="M2911">
            <v>-13767</v>
          </cell>
          <cell r="N2911">
            <v>486233</v>
          </cell>
        </row>
        <row r="2912">
          <cell r="A2912">
            <v>35482</v>
          </cell>
          <cell r="B2912">
            <v>2906</v>
          </cell>
          <cell r="C2912" t="str">
            <v>IASWD2408001024</v>
          </cell>
          <cell r="D2912">
            <v>45524</v>
          </cell>
          <cell r="E2912">
            <v>46395</v>
          </cell>
          <cell r="F2912" t="str">
            <v>35482</v>
          </cell>
          <cell r="G2912" t="str">
            <v>兆利二</v>
          </cell>
          <cell r="H2912">
            <v>500000</v>
          </cell>
          <cell r="I2912">
            <v>3</v>
          </cell>
          <cell r="J2912">
            <v>46395</v>
          </cell>
          <cell r="K2912">
            <v>100</v>
          </cell>
          <cell r="L2912">
            <v>46377</v>
          </cell>
          <cell r="M2912">
            <v>-11014</v>
          </cell>
          <cell r="N2912">
            <v>488986</v>
          </cell>
        </row>
        <row r="2913">
          <cell r="A2913">
            <v>84781</v>
          </cell>
          <cell r="B2913">
            <v>2907</v>
          </cell>
          <cell r="C2913" t="str">
            <v>IASWD2408001025</v>
          </cell>
          <cell r="D2913">
            <v>45524</v>
          </cell>
          <cell r="E2913">
            <v>46583</v>
          </cell>
          <cell r="F2913" t="str">
            <v>84781</v>
          </cell>
          <cell r="G2913" t="str">
            <v>東哥遊艇一</v>
          </cell>
          <cell r="H2913">
            <v>100000</v>
          </cell>
          <cell r="I2913">
            <v>3.1</v>
          </cell>
          <cell r="J2913">
            <v>46583</v>
          </cell>
          <cell r="K2913">
            <v>100</v>
          </cell>
          <cell r="L2913">
            <v>46563</v>
          </cell>
          <cell r="M2913">
            <v>-2276</v>
          </cell>
          <cell r="N2913">
            <v>97724</v>
          </cell>
        </row>
        <row r="2914">
          <cell r="A2914">
            <v>50097</v>
          </cell>
          <cell r="B2914">
            <v>2908</v>
          </cell>
          <cell r="C2914" t="str">
            <v>IASWD2408001028</v>
          </cell>
          <cell r="D2914">
            <v>45524</v>
          </cell>
          <cell r="E2914">
            <v>46234</v>
          </cell>
          <cell r="F2914" t="str">
            <v>50097</v>
          </cell>
          <cell r="G2914" t="str">
            <v>榮剛七</v>
          </cell>
          <cell r="H2914">
            <v>200000</v>
          </cell>
          <cell r="I2914">
            <v>4.2</v>
          </cell>
          <cell r="J2914">
            <v>46234</v>
          </cell>
          <cell r="K2914">
            <v>101.51</v>
          </cell>
          <cell r="L2914">
            <v>46216</v>
          </cell>
          <cell r="M2914">
            <v>-6168</v>
          </cell>
          <cell r="N2914">
            <v>193832</v>
          </cell>
        </row>
        <row r="2915">
          <cell r="A2915">
            <v>35482</v>
          </cell>
          <cell r="B2915">
            <v>2909</v>
          </cell>
          <cell r="C2915" t="str">
            <v>IASWD2408001029</v>
          </cell>
          <cell r="D2915">
            <v>45524</v>
          </cell>
          <cell r="E2915">
            <v>46395</v>
          </cell>
          <cell r="F2915" t="str">
            <v>35482</v>
          </cell>
          <cell r="G2915" t="str">
            <v>兆利二</v>
          </cell>
          <cell r="H2915">
            <v>100000</v>
          </cell>
          <cell r="I2915">
            <v>3</v>
          </cell>
          <cell r="J2915">
            <v>46395</v>
          </cell>
          <cell r="K2915">
            <v>100</v>
          </cell>
          <cell r="L2915">
            <v>46377</v>
          </cell>
          <cell r="M2915">
            <v>-2203</v>
          </cell>
          <cell r="N2915">
            <v>97797</v>
          </cell>
        </row>
        <row r="2916">
          <cell r="A2916">
            <v>20632</v>
          </cell>
          <cell r="B2916">
            <v>2910</v>
          </cell>
          <cell r="C2916" t="str">
            <v>IASWD2408001030</v>
          </cell>
          <cell r="D2916">
            <v>45524</v>
          </cell>
          <cell r="E2916">
            <v>45971</v>
          </cell>
          <cell r="F2916" t="str">
            <v>20632</v>
          </cell>
          <cell r="G2916" t="str">
            <v>世鎧二</v>
          </cell>
          <cell r="H2916">
            <v>100000</v>
          </cell>
          <cell r="I2916">
            <v>3.25</v>
          </cell>
          <cell r="J2916">
            <v>45971</v>
          </cell>
          <cell r="K2916">
            <v>100</v>
          </cell>
          <cell r="L2916">
            <v>45951</v>
          </cell>
          <cell r="M2916">
            <v>-2386</v>
          </cell>
          <cell r="N2916">
            <v>97614</v>
          </cell>
        </row>
        <row r="2917">
          <cell r="A2917">
            <v>35482</v>
          </cell>
          <cell r="B2917">
            <v>2911</v>
          </cell>
          <cell r="C2917" t="str">
            <v>IASWD2408001031</v>
          </cell>
          <cell r="D2917">
            <v>45524</v>
          </cell>
          <cell r="E2917">
            <v>46395</v>
          </cell>
          <cell r="F2917" t="str">
            <v>35482</v>
          </cell>
          <cell r="G2917" t="str">
            <v>兆利二</v>
          </cell>
          <cell r="H2917">
            <v>100000</v>
          </cell>
          <cell r="I2917">
            <v>3</v>
          </cell>
          <cell r="J2917">
            <v>46395</v>
          </cell>
          <cell r="K2917">
            <v>100</v>
          </cell>
          <cell r="L2917">
            <v>46377</v>
          </cell>
          <cell r="M2917">
            <v>-2203</v>
          </cell>
          <cell r="N2917">
            <v>97797</v>
          </cell>
        </row>
        <row r="2918">
          <cell r="A2918">
            <v>41372</v>
          </cell>
          <cell r="B2918">
            <v>2912</v>
          </cell>
          <cell r="C2918" t="str">
            <v>IASWD2408001032</v>
          </cell>
          <cell r="D2918">
            <v>45524</v>
          </cell>
          <cell r="E2918">
            <v>46246</v>
          </cell>
          <cell r="F2918" t="str">
            <v>41372</v>
          </cell>
          <cell r="G2918" t="str">
            <v>麗豐二KY</v>
          </cell>
          <cell r="H2918">
            <v>600000</v>
          </cell>
          <cell r="I2918">
            <v>4.25</v>
          </cell>
          <cell r="J2918">
            <v>46246</v>
          </cell>
          <cell r="K2918">
            <v>100.5</v>
          </cell>
          <cell r="L2918">
            <v>46226</v>
          </cell>
          <cell r="M2918">
            <v>-18723</v>
          </cell>
          <cell r="N2918">
            <v>581277</v>
          </cell>
        </row>
        <row r="2919">
          <cell r="A2919">
            <v>56086</v>
          </cell>
          <cell r="B2919">
            <v>2913</v>
          </cell>
          <cell r="C2919" t="str">
            <v>IASWD2408001034</v>
          </cell>
          <cell r="D2919">
            <v>45524</v>
          </cell>
          <cell r="E2919">
            <v>46194</v>
          </cell>
          <cell r="F2919" t="str">
            <v>56086</v>
          </cell>
          <cell r="G2919" t="str">
            <v>四維航六</v>
          </cell>
          <cell r="H2919">
            <v>100000</v>
          </cell>
          <cell r="I2919">
            <v>2.35</v>
          </cell>
          <cell r="J2919">
            <v>46194</v>
          </cell>
          <cell r="K2919">
            <v>100</v>
          </cell>
          <cell r="L2919">
            <v>46175</v>
          </cell>
          <cell r="M2919">
            <v>-1725</v>
          </cell>
          <cell r="N2919">
            <v>98275</v>
          </cell>
        </row>
        <row r="2920">
          <cell r="A2920">
            <v>61394</v>
          </cell>
          <cell r="B2920">
            <v>2914</v>
          </cell>
          <cell r="C2920" t="str">
            <v>IASWD2408001035</v>
          </cell>
          <cell r="D2920">
            <v>45524</v>
          </cell>
          <cell r="E2920">
            <v>46047</v>
          </cell>
          <cell r="F2920" t="str">
            <v>61394</v>
          </cell>
          <cell r="G2920" t="str">
            <v>亞翔四</v>
          </cell>
          <cell r="H2920">
            <v>500000</v>
          </cell>
          <cell r="I2920">
            <v>3</v>
          </cell>
          <cell r="J2920">
            <v>46047</v>
          </cell>
          <cell r="K2920">
            <v>101.0025</v>
          </cell>
          <cell r="L2920">
            <v>46028</v>
          </cell>
          <cell r="M2920">
            <v>-11014</v>
          </cell>
          <cell r="N2920">
            <v>488986</v>
          </cell>
        </row>
        <row r="2921">
          <cell r="A2921">
            <v>52091</v>
          </cell>
          <cell r="B2921">
            <v>2915</v>
          </cell>
          <cell r="C2921" t="str">
            <v>IASWD2408001039</v>
          </cell>
          <cell r="D2921">
            <v>45524</v>
          </cell>
          <cell r="E2921">
            <v>46301</v>
          </cell>
          <cell r="F2921" t="str">
            <v>52091</v>
          </cell>
          <cell r="G2921" t="str">
            <v>新鼎一</v>
          </cell>
          <cell r="H2921">
            <v>1000000</v>
          </cell>
          <cell r="I2921">
            <v>3.75</v>
          </cell>
          <cell r="J2921">
            <v>46301</v>
          </cell>
          <cell r="K2921">
            <v>100</v>
          </cell>
          <cell r="L2921">
            <v>46281</v>
          </cell>
          <cell r="M2921">
            <v>-27534</v>
          </cell>
          <cell r="N2921">
            <v>972466</v>
          </cell>
        </row>
        <row r="2922">
          <cell r="A2922">
            <v>33121</v>
          </cell>
          <cell r="B2922">
            <v>2916</v>
          </cell>
          <cell r="C2922" t="str">
            <v>IASWD2408001040</v>
          </cell>
          <cell r="D2922">
            <v>45524</v>
          </cell>
          <cell r="E2922">
            <v>46563</v>
          </cell>
          <cell r="F2922" t="str">
            <v>33121</v>
          </cell>
          <cell r="G2922" t="str">
            <v>弘憶股一</v>
          </cell>
          <cell r="H2922">
            <v>100000</v>
          </cell>
          <cell r="I2922">
            <v>3.5</v>
          </cell>
          <cell r="J2922">
            <v>46563</v>
          </cell>
          <cell r="K2922">
            <v>100</v>
          </cell>
          <cell r="L2922">
            <v>46545</v>
          </cell>
          <cell r="M2922">
            <v>-2570</v>
          </cell>
          <cell r="N2922">
            <v>97430</v>
          </cell>
        </row>
        <row r="2923">
          <cell r="A2923">
            <v>50097</v>
          </cell>
          <cell r="B2923">
            <v>2917</v>
          </cell>
          <cell r="C2923" t="str">
            <v>IASWD2408001041</v>
          </cell>
          <cell r="D2923">
            <v>45525</v>
          </cell>
          <cell r="E2923">
            <v>46234</v>
          </cell>
          <cell r="F2923" t="str">
            <v>50097</v>
          </cell>
          <cell r="G2923" t="str">
            <v>榮剛七</v>
          </cell>
          <cell r="H2923">
            <v>200000</v>
          </cell>
          <cell r="I2923">
            <v>4.2</v>
          </cell>
          <cell r="J2923">
            <v>46234</v>
          </cell>
          <cell r="K2923">
            <v>101.51</v>
          </cell>
          <cell r="L2923">
            <v>46216</v>
          </cell>
          <cell r="M2923">
            <v>-6145</v>
          </cell>
          <cell r="N2923">
            <v>193855</v>
          </cell>
        </row>
        <row r="2924">
          <cell r="A2924">
            <v>50097</v>
          </cell>
          <cell r="B2924">
            <v>2918</v>
          </cell>
          <cell r="C2924" t="str">
            <v>IASWD2408001042</v>
          </cell>
          <cell r="D2924">
            <v>45525</v>
          </cell>
          <cell r="E2924">
            <v>46234</v>
          </cell>
          <cell r="F2924" t="str">
            <v>50097</v>
          </cell>
          <cell r="G2924" t="str">
            <v>榮剛七</v>
          </cell>
          <cell r="H2924">
            <v>500000</v>
          </cell>
          <cell r="I2924">
            <v>4.2</v>
          </cell>
          <cell r="J2924">
            <v>46234</v>
          </cell>
          <cell r="K2924">
            <v>101.51</v>
          </cell>
          <cell r="L2924">
            <v>46216</v>
          </cell>
          <cell r="M2924">
            <v>-15362</v>
          </cell>
          <cell r="N2924">
            <v>484638</v>
          </cell>
        </row>
        <row r="2925">
          <cell r="A2925">
            <v>27323</v>
          </cell>
          <cell r="B2925">
            <v>2919</v>
          </cell>
          <cell r="C2925" t="str">
            <v>IASWD2408001043</v>
          </cell>
          <cell r="D2925">
            <v>45525</v>
          </cell>
          <cell r="E2925">
            <v>46048</v>
          </cell>
          <cell r="F2925" t="str">
            <v>27323</v>
          </cell>
          <cell r="G2925" t="str">
            <v>六角三</v>
          </cell>
          <cell r="H2925">
            <v>100000</v>
          </cell>
          <cell r="I2925">
            <v>3</v>
          </cell>
          <cell r="J2925">
            <v>46048</v>
          </cell>
          <cell r="K2925">
            <v>101</v>
          </cell>
          <cell r="L2925">
            <v>46028</v>
          </cell>
          <cell r="M2925">
            <v>-2195</v>
          </cell>
          <cell r="N2925">
            <v>97805</v>
          </cell>
        </row>
        <row r="2926">
          <cell r="A2926">
            <v>61394</v>
          </cell>
          <cell r="B2926">
            <v>2920</v>
          </cell>
          <cell r="C2926" t="str">
            <v>IASWD2408001044</v>
          </cell>
          <cell r="D2926">
            <v>45525</v>
          </cell>
          <cell r="E2926">
            <v>46047</v>
          </cell>
          <cell r="F2926" t="str">
            <v>61394</v>
          </cell>
          <cell r="G2926" t="str">
            <v>亞翔四</v>
          </cell>
          <cell r="H2926">
            <v>1100000</v>
          </cell>
          <cell r="I2926">
            <v>3</v>
          </cell>
          <cell r="J2926">
            <v>46047</v>
          </cell>
          <cell r="K2926">
            <v>101.0025</v>
          </cell>
          <cell r="L2926">
            <v>46028</v>
          </cell>
          <cell r="M2926">
            <v>-24140</v>
          </cell>
          <cell r="N2926">
            <v>1075860</v>
          </cell>
        </row>
        <row r="2927">
          <cell r="A2927">
            <v>84781</v>
          </cell>
          <cell r="B2927">
            <v>2921</v>
          </cell>
          <cell r="C2927" t="str">
            <v>IASWD2408001049</v>
          </cell>
          <cell r="D2927">
            <v>45525</v>
          </cell>
          <cell r="E2927">
            <v>46583</v>
          </cell>
          <cell r="F2927" t="str">
            <v>84781</v>
          </cell>
          <cell r="G2927" t="str">
            <v>東哥遊艇一</v>
          </cell>
          <cell r="H2927">
            <v>100000</v>
          </cell>
          <cell r="I2927">
            <v>3.1</v>
          </cell>
          <cell r="J2927">
            <v>46583</v>
          </cell>
          <cell r="K2927">
            <v>100</v>
          </cell>
          <cell r="L2927">
            <v>46563</v>
          </cell>
          <cell r="M2927">
            <v>-2268</v>
          </cell>
          <cell r="N2927">
            <v>97732</v>
          </cell>
        </row>
        <row r="2928">
          <cell r="A2928">
            <v>52091</v>
          </cell>
          <cell r="B2928">
            <v>2922</v>
          </cell>
          <cell r="C2928" t="str">
            <v>IASWD2408001055</v>
          </cell>
          <cell r="D2928">
            <v>45525</v>
          </cell>
          <cell r="E2928">
            <v>46301</v>
          </cell>
          <cell r="F2928" t="str">
            <v>52091</v>
          </cell>
          <cell r="G2928" t="str">
            <v>新鼎一</v>
          </cell>
          <cell r="H2928">
            <v>300000</v>
          </cell>
          <cell r="I2928">
            <v>3.75</v>
          </cell>
          <cell r="J2928">
            <v>46301</v>
          </cell>
          <cell r="K2928">
            <v>100</v>
          </cell>
          <cell r="L2928">
            <v>46281</v>
          </cell>
          <cell r="M2928">
            <v>-8229</v>
          </cell>
          <cell r="N2928">
            <v>291771</v>
          </cell>
        </row>
        <row r="2929">
          <cell r="A2929">
            <v>140202</v>
          </cell>
          <cell r="B2929">
            <v>2923</v>
          </cell>
          <cell r="C2929" t="str">
            <v>IASWD2408001058</v>
          </cell>
          <cell r="D2929">
            <v>45525</v>
          </cell>
          <cell r="E2929">
            <v>46607</v>
          </cell>
          <cell r="F2929" t="str">
            <v>140202</v>
          </cell>
          <cell r="G2929" t="str">
            <v>遠東新E2永</v>
          </cell>
          <cell r="H2929">
            <v>100000</v>
          </cell>
          <cell r="I2929">
            <v>2.5</v>
          </cell>
          <cell r="J2929">
            <v>46607</v>
          </cell>
          <cell r="K2929">
            <v>100</v>
          </cell>
          <cell r="L2929">
            <v>46588</v>
          </cell>
          <cell r="M2929">
            <v>-1829</v>
          </cell>
          <cell r="N2929">
            <v>98171</v>
          </cell>
        </row>
        <row r="2930">
          <cell r="A2930">
            <v>33121</v>
          </cell>
          <cell r="B2930">
            <v>2924</v>
          </cell>
          <cell r="C2930" t="str">
            <v>IASWD2408001060</v>
          </cell>
          <cell r="D2930">
            <v>45525</v>
          </cell>
          <cell r="E2930">
            <v>46563</v>
          </cell>
          <cell r="F2930" t="str">
            <v>33121</v>
          </cell>
          <cell r="G2930" t="str">
            <v>弘憶股一</v>
          </cell>
          <cell r="H2930">
            <v>200000</v>
          </cell>
          <cell r="I2930">
            <v>3.5</v>
          </cell>
          <cell r="J2930">
            <v>46563</v>
          </cell>
          <cell r="K2930">
            <v>100</v>
          </cell>
          <cell r="L2930">
            <v>46545</v>
          </cell>
          <cell r="M2930">
            <v>-5121</v>
          </cell>
          <cell r="N2930">
            <v>194879</v>
          </cell>
        </row>
        <row r="2931">
          <cell r="A2931">
            <v>52091</v>
          </cell>
          <cell r="B2931">
            <v>2925</v>
          </cell>
          <cell r="C2931" t="str">
            <v>IASWD2408001061</v>
          </cell>
          <cell r="D2931">
            <v>45525</v>
          </cell>
          <cell r="E2931">
            <v>46301</v>
          </cell>
          <cell r="F2931" t="str">
            <v>52091</v>
          </cell>
          <cell r="G2931" t="str">
            <v>新鼎一</v>
          </cell>
          <cell r="H2931">
            <v>1000000</v>
          </cell>
          <cell r="I2931">
            <v>3.75</v>
          </cell>
          <cell r="J2931">
            <v>46301</v>
          </cell>
          <cell r="K2931">
            <v>100</v>
          </cell>
          <cell r="L2931">
            <v>46281</v>
          </cell>
          <cell r="M2931">
            <v>-27432</v>
          </cell>
          <cell r="N2931">
            <v>972568</v>
          </cell>
        </row>
        <row r="2932">
          <cell r="A2932">
            <v>52091</v>
          </cell>
          <cell r="B2932">
            <v>2926</v>
          </cell>
          <cell r="C2932" t="str">
            <v>IASWD2408001063</v>
          </cell>
          <cell r="D2932">
            <v>45525</v>
          </cell>
          <cell r="E2932">
            <v>46301</v>
          </cell>
          <cell r="F2932" t="str">
            <v>52091</v>
          </cell>
          <cell r="G2932" t="str">
            <v>新鼎一</v>
          </cell>
          <cell r="H2932">
            <v>1500000</v>
          </cell>
          <cell r="I2932">
            <v>3.75</v>
          </cell>
          <cell r="J2932">
            <v>46301</v>
          </cell>
          <cell r="K2932">
            <v>100</v>
          </cell>
          <cell r="L2932">
            <v>46281</v>
          </cell>
          <cell r="M2932">
            <v>-41147</v>
          </cell>
          <cell r="N2932">
            <v>1458853</v>
          </cell>
        </row>
        <row r="2933">
          <cell r="A2933">
            <v>22013</v>
          </cell>
          <cell r="B2933">
            <v>2927</v>
          </cell>
          <cell r="C2933" t="str">
            <v>IASWD2408001064</v>
          </cell>
          <cell r="D2933">
            <v>45525</v>
          </cell>
          <cell r="E2933">
            <v>46167</v>
          </cell>
          <cell r="F2933" t="str">
            <v>22013</v>
          </cell>
          <cell r="G2933" t="str">
            <v>裕隆三</v>
          </cell>
          <cell r="H2933">
            <v>100000</v>
          </cell>
          <cell r="I2933">
            <v>3</v>
          </cell>
          <cell r="J2933">
            <v>46167</v>
          </cell>
          <cell r="K2933">
            <v>100.75190000000001</v>
          </cell>
          <cell r="L2933">
            <v>46147</v>
          </cell>
          <cell r="M2933">
            <v>-2195</v>
          </cell>
          <cell r="N2933">
            <v>97805</v>
          </cell>
        </row>
        <row r="2934">
          <cell r="A2934">
            <v>84781</v>
          </cell>
          <cell r="B2934">
            <v>2928</v>
          </cell>
          <cell r="C2934" t="str">
            <v>IASWD2408001067</v>
          </cell>
          <cell r="D2934">
            <v>45525</v>
          </cell>
          <cell r="E2934">
            <v>46583</v>
          </cell>
          <cell r="F2934" t="str">
            <v>84781</v>
          </cell>
          <cell r="G2934" t="str">
            <v>東哥遊艇一</v>
          </cell>
          <cell r="H2934">
            <v>100000</v>
          </cell>
          <cell r="I2934">
            <v>3.1</v>
          </cell>
          <cell r="J2934">
            <v>46583</v>
          </cell>
          <cell r="K2934">
            <v>100</v>
          </cell>
          <cell r="L2934">
            <v>46563</v>
          </cell>
          <cell r="M2934">
            <v>-2268</v>
          </cell>
          <cell r="N2934">
            <v>97732</v>
          </cell>
        </row>
        <row r="2935">
          <cell r="A2935">
            <v>22313</v>
          </cell>
          <cell r="B2935">
            <v>2929</v>
          </cell>
          <cell r="C2935" t="str">
            <v>IASWD2408001075</v>
          </cell>
          <cell r="D2935">
            <v>45525</v>
          </cell>
          <cell r="E2935">
            <v>45898</v>
          </cell>
          <cell r="F2935" t="str">
            <v>22313</v>
          </cell>
          <cell r="G2935" t="str">
            <v>為升三</v>
          </cell>
          <cell r="H2935">
            <v>100000</v>
          </cell>
          <cell r="I2935">
            <v>3.5</v>
          </cell>
          <cell r="J2935">
            <v>45898</v>
          </cell>
          <cell r="K2935">
            <v>101.50749999999999</v>
          </cell>
          <cell r="L2935">
            <v>45880</v>
          </cell>
          <cell r="M2935">
            <v>-2560</v>
          </cell>
          <cell r="N2935">
            <v>97440</v>
          </cell>
        </row>
        <row r="2936">
          <cell r="A2936">
            <v>33121</v>
          </cell>
          <cell r="B2936">
            <v>2930</v>
          </cell>
          <cell r="C2936" t="str">
            <v>IASWD2408001076</v>
          </cell>
          <cell r="D2936">
            <v>45525</v>
          </cell>
          <cell r="E2936">
            <v>46563</v>
          </cell>
          <cell r="F2936" t="str">
            <v>33121</v>
          </cell>
          <cell r="G2936" t="str">
            <v>弘憶股一</v>
          </cell>
          <cell r="H2936">
            <v>200000</v>
          </cell>
          <cell r="I2936">
            <v>3.5</v>
          </cell>
          <cell r="J2936">
            <v>46563</v>
          </cell>
          <cell r="K2936">
            <v>100</v>
          </cell>
          <cell r="L2936">
            <v>46545</v>
          </cell>
          <cell r="M2936">
            <v>-5121</v>
          </cell>
          <cell r="N2936">
            <v>194879</v>
          </cell>
        </row>
        <row r="2937">
          <cell r="A2937">
            <v>36804</v>
          </cell>
          <cell r="B2937">
            <v>2931</v>
          </cell>
          <cell r="C2937" t="str">
            <v>IASWD2408001078</v>
          </cell>
          <cell r="D2937">
            <v>45525</v>
          </cell>
          <cell r="E2937">
            <v>45948</v>
          </cell>
          <cell r="F2937" t="str">
            <v>36804</v>
          </cell>
          <cell r="G2937" t="str">
            <v>家登四</v>
          </cell>
          <cell r="H2937">
            <v>200000</v>
          </cell>
          <cell r="I2937">
            <v>3.2</v>
          </cell>
          <cell r="J2937">
            <v>45948</v>
          </cell>
          <cell r="K2937">
            <v>100</v>
          </cell>
          <cell r="L2937">
            <v>45926</v>
          </cell>
          <cell r="M2937">
            <v>-4682</v>
          </cell>
          <cell r="N2937">
            <v>195318</v>
          </cell>
        </row>
        <row r="2938">
          <cell r="A2938">
            <v>61394</v>
          </cell>
          <cell r="B2938">
            <v>2932</v>
          </cell>
          <cell r="C2938" t="str">
            <v>IASWD2408001082</v>
          </cell>
          <cell r="D2938">
            <v>45526</v>
          </cell>
          <cell r="E2938">
            <v>46047</v>
          </cell>
          <cell r="F2938" t="str">
            <v>61394</v>
          </cell>
          <cell r="G2938" t="str">
            <v>亞翔四</v>
          </cell>
          <cell r="H2938">
            <v>300000</v>
          </cell>
          <cell r="I2938">
            <v>3</v>
          </cell>
          <cell r="J2938">
            <v>46047</v>
          </cell>
          <cell r="K2938">
            <v>101.0025</v>
          </cell>
          <cell r="L2938">
            <v>46028</v>
          </cell>
          <cell r="M2938">
            <v>-6559</v>
          </cell>
          <cell r="N2938">
            <v>293441</v>
          </cell>
        </row>
        <row r="2939">
          <cell r="A2939">
            <v>22013</v>
          </cell>
          <cell r="B2939">
            <v>2933</v>
          </cell>
          <cell r="C2939" t="str">
            <v>IASWD2408001083</v>
          </cell>
          <cell r="D2939">
            <v>45526</v>
          </cell>
          <cell r="E2939">
            <v>46167</v>
          </cell>
          <cell r="F2939" t="str">
            <v>22013</v>
          </cell>
          <cell r="G2939" t="str">
            <v>裕隆三</v>
          </cell>
          <cell r="H2939">
            <v>500000</v>
          </cell>
          <cell r="I2939">
            <v>3</v>
          </cell>
          <cell r="J2939">
            <v>46167</v>
          </cell>
          <cell r="K2939">
            <v>100.75190000000001</v>
          </cell>
          <cell r="L2939">
            <v>46147</v>
          </cell>
          <cell r="M2939">
            <v>-10932</v>
          </cell>
          <cell r="N2939">
            <v>489068</v>
          </cell>
        </row>
        <row r="2940">
          <cell r="A2940">
            <v>33121</v>
          </cell>
          <cell r="B2940">
            <v>2934</v>
          </cell>
          <cell r="C2940" t="str">
            <v>IASWD2408001084</v>
          </cell>
          <cell r="D2940">
            <v>45526</v>
          </cell>
          <cell r="E2940">
            <v>46563</v>
          </cell>
          <cell r="F2940" t="str">
            <v>33121</v>
          </cell>
          <cell r="G2940" t="str">
            <v>弘憶股一</v>
          </cell>
          <cell r="H2940">
            <v>100000</v>
          </cell>
          <cell r="I2940">
            <v>3.5</v>
          </cell>
          <cell r="J2940">
            <v>46563</v>
          </cell>
          <cell r="K2940">
            <v>100</v>
          </cell>
          <cell r="L2940">
            <v>46545</v>
          </cell>
          <cell r="M2940">
            <v>-2551</v>
          </cell>
          <cell r="N2940">
            <v>97449</v>
          </cell>
        </row>
        <row r="2941">
          <cell r="A2941">
            <v>34834</v>
          </cell>
          <cell r="B2941">
            <v>2935</v>
          </cell>
          <cell r="C2941" t="str">
            <v>IASWD2408001085</v>
          </cell>
          <cell r="D2941">
            <v>45526</v>
          </cell>
          <cell r="E2941">
            <v>46529</v>
          </cell>
          <cell r="F2941" t="str">
            <v>34834</v>
          </cell>
          <cell r="G2941" t="str">
            <v>力致四</v>
          </cell>
          <cell r="H2941">
            <v>100000</v>
          </cell>
          <cell r="I2941">
            <v>3.75</v>
          </cell>
          <cell r="J2941">
            <v>46529</v>
          </cell>
          <cell r="K2941">
            <v>100</v>
          </cell>
          <cell r="L2941">
            <v>46511</v>
          </cell>
          <cell r="M2941">
            <v>-2733</v>
          </cell>
          <cell r="N2941">
            <v>97267</v>
          </cell>
        </row>
        <row r="2942">
          <cell r="A2942">
            <v>22013</v>
          </cell>
          <cell r="B2942">
            <v>2936</v>
          </cell>
          <cell r="C2942" t="str">
            <v>IASWD2408001087</v>
          </cell>
          <cell r="D2942">
            <v>45526</v>
          </cell>
          <cell r="E2942">
            <v>46167</v>
          </cell>
          <cell r="F2942" t="str">
            <v>22013</v>
          </cell>
          <cell r="G2942" t="str">
            <v>裕隆三</v>
          </cell>
          <cell r="H2942">
            <v>100000</v>
          </cell>
          <cell r="I2942">
            <v>3</v>
          </cell>
          <cell r="J2942">
            <v>46167</v>
          </cell>
          <cell r="K2942">
            <v>100.75190000000001</v>
          </cell>
          <cell r="L2942">
            <v>46147</v>
          </cell>
          <cell r="M2942">
            <v>-2186</v>
          </cell>
          <cell r="N2942">
            <v>97814</v>
          </cell>
        </row>
        <row r="2943">
          <cell r="A2943">
            <v>35482</v>
          </cell>
          <cell r="B2943">
            <v>2937</v>
          </cell>
          <cell r="C2943" t="str">
            <v>IASWD2408001092</v>
          </cell>
          <cell r="D2943">
            <v>45526</v>
          </cell>
          <cell r="E2943">
            <v>46395</v>
          </cell>
          <cell r="F2943" t="str">
            <v>35482</v>
          </cell>
          <cell r="G2943" t="str">
            <v>兆利二</v>
          </cell>
          <cell r="H2943">
            <v>500000</v>
          </cell>
          <cell r="I2943">
            <v>3</v>
          </cell>
          <cell r="J2943">
            <v>46395</v>
          </cell>
          <cell r="K2943">
            <v>100</v>
          </cell>
          <cell r="L2943">
            <v>46377</v>
          </cell>
          <cell r="M2943">
            <v>-10932</v>
          </cell>
          <cell r="N2943">
            <v>489068</v>
          </cell>
        </row>
        <row r="2944">
          <cell r="A2944">
            <v>84781</v>
          </cell>
          <cell r="B2944">
            <v>2938</v>
          </cell>
          <cell r="C2944" t="str">
            <v>IASWD2408001093</v>
          </cell>
          <cell r="D2944">
            <v>45526</v>
          </cell>
          <cell r="E2944">
            <v>46583</v>
          </cell>
          <cell r="F2944" t="str">
            <v>84781</v>
          </cell>
          <cell r="G2944" t="str">
            <v>東哥遊艇一</v>
          </cell>
          <cell r="H2944">
            <v>200000</v>
          </cell>
          <cell r="I2944">
            <v>3.1</v>
          </cell>
          <cell r="J2944">
            <v>46583</v>
          </cell>
          <cell r="K2944">
            <v>100</v>
          </cell>
          <cell r="L2944">
            <v>46563</v>
          </cell>
          <cell r="M2944">
            <v>-4518</v>
          </cell>
          <cell r="N2944">
            <v>195482</v>
          </cell>
        </row>
        <row r="2945">
          <cell r="A2945">
            <v>36804</v>
          </cell>
          <cell r="B2945">
            <v>2939</v>
          </cell>
          <cell r="C2945" t="str">
            <v>IASWD2408001095</v>
          </cell>
          <cell r="D2945">
            <v>45526</v>
          </cell>
          <cell r="E2945">
            <v>45948</v>
          </cell>
          <cell r="F2945" t="str">
            <v>36804</v>
          </cell>
          <cell r="G2945" t="str">
            <v>家登四</v>
          </cell>
          <cell r="H2945">
            <v>100000</v>
          </cell>
          <cell r="I2945">
            <v>3.2</v>
          </cell>
          <cell r="J2945">
            <v>45948</v>
          </cell>
          <cell r="K2945">
            <v>100</v>
          </cell>
          <cell r="L2945">
            <v>45926</v>
          </cell>
          <cell r="M2945">
            <v>-2332</v>
          </cell>
          <cell r="N2945">
            <v>97668</v>
          </cell>
        </row>
        <row r="2946">
          <cell r="A2946">
            <v>61394</v>
          </cell>
          <cell r="B2946">
            <v>2940</v>
          </cell>
          <cell r="C2946" t="str">
            <v>IASWD2408001096</v>
          </cell>
          <cell r="D2946">
            <v>45526</v>
          </cell>
          <cell r="E2946">
            <v>46047</v>
          </cell>
          <cell r="F2946" t="str">
            <v>61394</v>
          </cell>
          <cell r="G2946" t="str">
            <v>亞翔四</v>
          </cell>
          <cell r="H2946">
            <v>500000</v>
          </cell>
          <cell r="I2946">
            <v>3</v>
          </cell>
          <cell r="J2946">
            <v>46047</v>
          </cell>
          <cell r="K2946">
            <v>101.0025</v>
          </cell>
          <cell r="L2946">
            <v>46028</v>
          </cell>
          <cell r="M2946">
            <v>-10932</v>
          </cell>
          <cell r="N2946">
            <v>489068</v>
          </cell>
        </row>
        <row r="2947">
          <cell r="A2947">
            <v>52091</v>
          </cell>
          <cell r="B2947">
            <v>2941</v>
          </cell>
          <cell r="C2947" t="str">
            <v>IASWD2408001097</v>
          </cell>
          <cell r="D2947">
            <v>45526</v>
          </cell>
          <cell r="E2947">
            <v>46301</v>
          </cell>
          <cell r="F2947" t="str">
            <v>52091</v>
          </cell>
          <cell r="G2947" t="str">
            <v>新鼎一</v>
          </cell>
          <cell r="H2947">
            <v>100000</v>
          </cell>
          <cell r="I2947">
            <v>3.75</v>
          </cell>
          <cell r="J2947">
            <v>46301</v>
          </cell>
          <cell r="K2947">
            <v>100</v>
          </cell>
          <cell r="L2947">
            <v>46281</v>
          </cell>
          <cell r="M2947">
            <v>-2733</v>
          </cell>
          <cell r="N2947">
            <v>97267</v>
          </cell>
        </row>
        <row r="2948">
          <cell r="A2948">
            <v>89964</v>
          </cell>
          <cell r="B2948">
            <v>2942</v>
          </cell>
          <cell r="C2948" t="str">
            <v>IASWD2408001098</v>
          </cell>
          <cell r="D2948">
            <v>45526</v>
          </cell>
          <cell r="E2948">
            <v>46362</v>
          </cell>
          <cell r="F2948" t="str">
            <v>89964</v>
          </cell>
          <cell r="G2948" t="str">
            <v>高力四</v>
          </cell>
          <cell r="H2948">
            <v>500000</v>
          </cell>
          <cell r="I2948">
            <v>3.5</v>
          </cell>
          <cell r="J2948">
            <v>46362</v>
          </cell>
          <cell r="K2948">
            <v>100.75190000000001</v>
          </cell>
          <cell r="L2948">
            <v>46343</v>
          </cell>
          <cell r="M2948">
            <v>-12753</v>
          </cell>
          <cell r="N2948">
            <v>487247</v>
          </cell>
        </row>
        <row r="2949">
          <cell r="A2949">
            <v>33121</v>
          </cell>
          <cell r="B2949">
            <v>2943</v>
          </cell>
          <cell r="C2949" t="str">
            <v>IASWD2408001099</v>
          </cell>
          <cell r="D2949">
            <v>45526</v>
          </cell>
          <cell r="E2949">
            <v>46563</v>
          </cell>
          <cell r="F2949" t="str">
            <v>33121</v>
          </cell>
          <cell r="G2949" t="str">
            <v>弘憶股一</v>
          </cell>
          <cell r="H2949">
            <v>200000</v>
          </cell>
          <cell r="I2949">
            <v>3.5</v>
          </cell>
          <cell r="J2949">
            <v>46563</v>
          </cell>
          <cell r="K2949">
            <v>100</v>
          </cell>
          <cell r="L2949">
            <v>46545</v>
          </cell>
          <cell r="M2949">
            <v>-5101</v>
          </cell>
          <cell r="N2949">
            <v>194899</v>
          </cell>
        </row>
        <row r="2950">
          <cell r="A2950">
            <v>52091</v>
          </cell>
          <cell r="B2950">
            <v>2944</v>
          </cell>
          <cell r="C2950" t="str">
            <v>IASWD2408001103</v>
          </cell>
          <cell r="D2950">
            <v>45526</v>
          </cell>
          <cell r="E2950">
            <v>46301</v>
          </cell>
          <cell r="F2950" t="str">
            <v>52091</v>
          </cell>
          <cell r="G2950" t="str">
            <v>新鼎一</v>
          </cell>
          <cell r="H2950">
            <v>1000000</v>
          </cell>
          <cell r="I2950">
            <v>3.75</v>
          </cell>
          <cell r="J2950">
            <v>46301</v>
          </cell>
          <cell r="K2950">
            <v>100</v>
          </cell>
          <cell r="L2950">
            <v>46281</v>
          </cell>
          <cell r="M2950">
            <v>-27329</v>
          </cell>
          <cell r="N2950">
            <v>972671</v>
          </cell>
        </row>
        <row r="2951">
          <cell r="A2951">
            <v>82551</v>
          </cell>
          <cell r="B2951">
            <v>2945</v>
          </cell>
          <cell r="C2951" t="str">
            <v>IASWD2408001104</v>
          </cell>
          <cell r="D2951">
            <v>45526</v>
          </cell>
          <cell r="E2951">
            <v>46243</v>
          </cell>
          <cell r="F2951" t="str">
            <v>82551</v>
          </cell>
          <cell r="G2951" t="str">
            <v>朋程一</v>
          </cell>
          <cell r="H2951">
            <v>300000</v>
          </cell>
          <cell r="I2951">
            <v>2.6</v>
          </cell>
          <cell r="J2951">
            <v>46243</v>
          </cell>
          <cell r="K2951">
            <v>100</v>
          </cell>
          <cell r="L2951">
            <v>46224</v>
          </cell>
          <cell r="M2951">
            <v>-5684</v>
          </cell>
          <cell r="N2951">
            <v>294316</v>
          </cell>
        </row>
        <row r="2952">
          <cell r="A2952">
            <v>34834</v>
          </cell>
          <cell r="B2952">
            <v>2946</v>
          </cell>
          <cell r="C2952" t="str">
            <v>IASWD2408001106</v>
          </cell>
          <cell r="D2952">
            <v>45526</v>
          </cell>
          <cell r="E2952">
            <v>46529</v>
          </cell>
          <cell r="F2952" t="str">
            <v>34834</v>
          </cell>
          <cell r="G2952" t="str">
            <v>力致四</v>
          </cell>
          <cell r="H2952">
            <v>100000</v>
          </cell>
          <cell r="I2952">
            <v>3.75</v>
          </cell>
          <cell r="J2952">
            <v>46529</v>
          </cell>
          <cell r="K2952">
            <v>100</v>
          </cell>
          <cell r="L2952">
            <v>46511</v>
          </cell>
          <cell r="M2952">
            <v>-2733</v>
          </cell>
          <cell r="N2952">
            <v>97267</v>
          </cell>
        </row>
        <row r="2953">
          <cell r="A2953">
            <v>52091</v>
          </cell>
          <cell r="B2953">
            <v>2947</v>
          </cell>
          <cell r="C2953" t="str">
            <v>IASWD2408001111</v>
          </cell>
          <cell r="D2953">
            <v>45526</v>
          </cell>
          <cell r="E2953">
            <v>46301</v>
          </cell>
          <cell r="F2953" t="str">
            <v>52091</v>
          </cell>
          <cell r="G2953" t="str">
            <v>新鼎一</v>
          </cell>
          <cell r="H2953">
            <v>2000000</v>
          </cell>
          <cell r="I2953">
            <v>3.75</v>
          </cell>
          <cell r="J2953">
            <v>46301</v>
          </cell>
          <cell r="K2953">
            <v>100</v>
          </cell>
          <cell r="L2953">
            <v>46281</v>
          </cell>
          <cell r="M2953">
            <v>-54658</v>
          </cell>
          <cell r="N2953">
            <v>1945342</v>
          </cell>
        </row>
        <row r="2954">
          <cell r="A2954">
            <v>64145</v>
          </cell>
          <cell r="B2954">
            <v>2948</v>
          </cell>
          <cell r="C2954" t="str">
            <v>IASWD2408001116</v>
          </cell>
          <cell r="D2954">
            <v>45526</v>
          </cell>
          <cell r="E2954">
            <v>46250</v>
          </cell>
          <cell r="F2954" t="str">
            <v>64145</v>
          </cell>
          <cell r="G2954" t="str">
            <v>樺漢五</v>
          </cell>
          <cell r="H2954">
            <v>100000</v>
          </cell>
          <cell r="I2954">
            <v>3</v>
          </cell>
          <cell r="J2954">
            <v>46250</v>
          </cell>
          <cell r="K2954">
            <v>100</v>
          </cell>
          <cell r="L2954">
            <v>46231</v>
          </cell>
          <cell r="M2954">
            <v>-2186</v>
          </cell>
          <cell r="N2954">
            <v>97814</v>
          </cell>
        </row>
        <row r="2955">
          <cell r="A2955">
            <v>61394</v>
          </cell>
          <cell r="B2955">
            <v>2949</v>
          </cell>
          <cell r="C2955" t="str">
            <v>IASWD2408001117</v>
          </cell>
          <cell r="D2955">
            <v>45526</v>
          </cell>
          <cell r="E2955">
            <v>46047</v>
          </cell>
          <cell r="F2955" t="str">
            <v>61394</v>
          </cell>
          <cell r="G2955" t="str">
            <v>亞翔四</v>
          </cell>
          <cell r="H2955">
            <v>1900000</v>
          </cell>
          <cell r="I2955">
            <v>3</v>
          </cell>
          <cell r="J2955">
            <v>46047</v>
          </cell>
          <cell r="K2955">
            <v>101.0025</v>
          </cell>
          <cell r="L2955">
            <v>46028</v>
          </cell>
          <cell r="M2955">
            <v>-41540</v>
          </cell>
          <cell r="N2955">
            <v>1858460</v>
          </cell>
        </row>
        <row r="2956">
          <cell r="A2956">
            <v>61394</v>
          </cell>
          <cell r="B2956">
            <v>2950</v>
          </cell>
          <cell r="C2956" t="str">
            <v>IASWD2408001120</v>
          </cell>
          <cell r="D2956">
            <v>45526</v>
          </cell>
          <cell r="E2956">
            <v>46047</v>
          </cell>
          <cell r="F2956" t="str">
            <v>61394</v>
          </cell>
          <cell r="G2956" t="str">
            <v>亞翔四</v>
          </cell>
          <cell r="H2956">
            <v>200000</v>
          </cell>
          <cell r="I2956">
            <v>3</v>
          </cell>
          <cell r="J2956">
            <v>46047</v>
          </cell>
          <cell r="K2956">
            <v>101.0025</v>
          </cell>
          <cell r="L2956">
            <v>46028</v>
          </cell>
          <cell r="M2956">
            <v>-4373</v>
          </cell>
          <cell r="N2956">
            <v>195627</v>
          </cell>
        </row>
        <row r="2957">
          <cell r="A2957">
            <v>22013</v>
          </cell>
          <cell r="B2957">
            <v>2951</v>
          </cell>
          <cell r="C2957" t="str">
            <v>IASWD2408001122</v>
          </cell>
          <cell r="D2957">
            <v>45527</v>
          </cell>
          <cell r="E2957">
            <v>46167</v>
          </cell>
          <cell r="F2957" t="str">
            <v>22013</v>
          </cell>
          <cell r="G2957" t="str">
            <v>裕隆三</v>
          </cell>
          <cell r="H2957">
            <v>100000</v>
          </cell>
          <cell r="I2957">
            <v>3</v>
          </cell>
          <cell r="J2957">
            <v>46167</v>
          </cell>
          <cell r="K2957">
            <v>100.75190000000001</v>
          </cell>
          <cell r="L2957">
            <v>46147</v>
          </cell>
          <cell r="M2957">
            <v>-2178</v>
          </cell>
          <cell r="N2957">
            <v>97822</v>
          </cell>
        </row>
        <row r="2958">
          <cell r="A2958">
            <v>36804</v>
          </cell>
          <cell r="B2958">
            <v>2952</v>
          </cell>
          <cell r="C2958" t="str">
            <v>IASWD2408001125</v>
          </cell>
          <cell r="D2958">
            <v>45527</v>
          </cell>
          <cell r="E2958">
            <v>45948</v>
          </cell>
          <cell r="F2958" t="str">
            <v>36804</v>
          </cell>
          <cell r="G2958" t="str">
            <v>家登四</v>
          </cell>
          <cell r="H2958">
            <v>200000</v>
          </cell>
          <cell r="I2958">
            <v>3.2</v>
          </cell>
          <cell r="J2958">
            <v>45948</v>
          </cell>
          <cell r="K2958">
            <v>100</v>
          </cell>
          <cell r="L2958">
            <v>45926</v>
          </cell>
          <cell r="M2958">
            <v>-4647</v>
          </cell>
          <cell r="N2958">
            <v>195353</v>
          </cell>
        </row>
        <row r="2959">
          <cell r="A2959">
            <v>35482</v>
          </cell>
          <cell r="B2959">
            <v>2953</v>
          </cell>
          <cell r="C2959" t="str">
            <v>IASWD2408001127</v>
          </cell>
          <cell r="D2959">
            <v>45527</v>
          </cell>
          <cell r="E2959">
            <v>46395</v>
          </cell>
          <cell r="F2959" t="str">
            <v>35482</v>
          </cell>
          <cell r="G2959" t="str">
            <v>兆利二</v>
          </cell>
          <cell r="H2959">
            <v>200000</v>
          </cell>
          <cell r="I2959">
            <v>3</v>
          </cell>
          <cell r="J2959">
            <v>46395</v>
          </cell>
          <cell r="K2959">
            <v>100</v>
          </cell>
          <cell r="L2959">
            <v>46377</v>
          </cell>
          <cell r="M2959">
            <v>-4356</v>
          </cell>
          <cell r="N2959">
            <v>195644</v>
          </cell>
        </row>
        <row r="2960">
          <cell r="A2960">
            <v>65096</v>
          </cell>
          <cell r="B2960">
            <v>2954</v>
          </cell>
          <cell r="C2960" t="str">
            <v>IASWD2408001128</v>
          </cell>
          <cell r="D2960">
            <v>45527</v>
          </cell>
          <cell r="E2960">
            <v>46206</v>
          </cell>
          <cell r="F2960" t="str">
            <v>65096</v>
          </cell>
          <cell r="G2960" t="str">
            <v>聚和六</v>
          </cell>
          <cell r="H2960">
            <v>100000</v>
          </cell>
          <cell r="I2960">
            <v>3.1</v>
          </cell>
          <cell r="J2960">
            <v>46206</v>
          </cell>
          <cell r="K2960">
            <v>100</v>
          </cell>
          <cell r="L2960">
            <v>46188</v>
          </cell>
          <cell r="M2960">
            <v>-2251</v>
          </cell>
          <cell r="N2960">
            <v>97749</v>
          </cell>
        </row>
        <row r="2961">
          <cell r="A2961">
            <v>50097</v>
          </cell>
          <cell r="B2961">
            <v>2955</v>
          </cell>
          <cell r="C2961" t="str">
            <v>IASWD2408001132</v>
          </cell>
          <cell r="D2961">
            <v>45527</v>
          </cell>
          <cell r="E2961">
            <v>46234</v>
          </cell>
          <cell r="F2961" t="str">
            <v>50097</v>
          </cell>
          <cell r="G2961" t="str">
            <v>榮剛七</v>
          </cell>
          <cell r="H2961">
            <v>100000</v>
          </cell>
          <cell r="I2961">
            <v>4.2</v>
          </cell>
          <cell r="J2961">
            <v>46234</v>
          </cell>
          <cell r="K2961">
            <v>101.51</v>
          </cell>
          <cell r="L2961">
            <v>46216</v>
          </cell>
          <cell r="M2961">
            <v>-3049</v>
          </cell>
          <cell r="N2961">
            <v>96951</v>
          </cell>
        </row>
        <row r="2962">
          <cell r="A2962">
            <v>22013</v>
          </cell>
          <cell r="B2962">
            <v>2956</v>
          </cell>
          <cell r="C2962" t="str">
            <v>IASWD2408001139</v>
          </cell>
          <cell r="D2962">
            <v>45527</v>
          </cell>
          <cell r="E2962">
            <v>46167</v>
          </cell>
          <cell r="F2962" t="str">
            <v>22013</v>
          </cell>
          <cell r="G2962" t="str">
            <v>裕隆三</v>
          </cell>
          <cell r="H2962">
            <v>100000</v>
          </cell>
          <cell r="I2962">
            <v>3</v>
          </cell>
          <cell r="J2962">
            <v>46167</v>
          </cell>
          <cell r="K2962">
            <v>100.75190000000001</v>
          </cell>
          <cell r="L2962">
            <v>46147</v>
          </cell>
          <cell r="M2962">
            <v>-2178</v>
          </cell>
          <cell r="N2962">
            <v>97822</v>
          </cell>
        </row>
        <row r="2963">
          <cell r="A2963">
            <v>22013</v>
          </cell>
          <cell r="B2963">
            <v>2957</v>
          </cell>
          <cell r="C2963" t="str">
            <v>IASWD2408001140</v>
          </cell>
          <cell r="D2963">
            <v>45527</v>
          </cell>
          <cell r="E2963">
            <v>46167</v>
          </cell>
          <cell r="F2963" t="str">
            <v>22013</v>
          </cell>
          <cell r="G2963" t="str">
            <v>裕隆三</v>
          </cell>
          <cell r="H2963">
            <v>100000</v>
          </cell>
          <cell r="I2963">
            <v>3</v>
          </cell>
          <cell r="J2963">
            <v>46167</v>
          </cell>
          <cell r="K2963">
            <v>100.75190000000001</v>
          </cell>
          <cell r="L2963">
            <v>46147</v>
          </cell>
          <cell r="M2963">
            <v>-2178</v>
          </cell>
          <cell r="N2963">
            <v>97822</v>
          </cell>
        </row>
        <row r="2964">
          <cell r="A2964">
            <v>61394</v>
          </cell>
          <cell r="B2964">
            <v>2958</v>
          </cell>
          <cell r="C2964" t="str">
            <v>IASWD2408001151</v>
          </cell>
          <cell r="D2964">
            <v>45527</v>
          </cell>
          <cell r="E2964">
            <v>46047</v>
          </cell>
          <cell r="F2964" t="str">
            <v>61394</v>
          </cell>
          <cell r="G2964" t="str">
            <v>亞翔四</v>
          </cell>
          <cell r="H2964">
            <v>200000</v>
          </cell>
          <cell r="I2964">
            <v>3</v>
          </cell>
          <cell r="J2964">
            <v>46047</v>
          </cell>
          <cell r="K2964">
            <v>101.0025</v>
          </cell>
          <cell r="L2964">
            <v>46028</v>
          </cell>
          <cell r="M2964">
            <v>-4356</v>
          </cell>
          <cell r="N2964">
            <v>195644</v>
          </cell>
        </row>
        <row r="2965">
          <cell r="A2965">
            <v>61394</v>
          </cell>
          <cell r="B2965">
            <v>2959</v>
          </cell>
          <cell r="C2965" t="str">
            <v>IASWD2408001152</v>
          </cell>
          <cell r="D2965">
            <v>45527</v>
          </cell>
          <cell r="E2965">
            <v>46047</v>
          </cell>
          <cell r="F2965" t="str">
            <v>61394</v>
          </cell>
          <cell r="G2965" t="str">
            <v>亞翔四</v>
          </cell>
          <cell r="H2965">
            <v>1000000</v>
          </cell>
          <cell r="I2965">
            <v>3</v>
          </cell>
          <cell r="J2965">
            <v>46047</v>
          </cell>
          <cell r="K2965">
            <v>101.0025</v>
          </cell>
          <cell r="L2965">
            <v>46028</v>
          </cell>
          <cell r="M2965">
            <v>-21781</v>
          </cell>
          <cell r="N2965">
            <v>978219</v>
          </cell>
        </row>
        <row r="2966">
          <cell r="A2966">
            <v>36804</v>
          </cell>
          <cell r="B2966">
            <v>2960</v>
          </cell>
          <cell r="C2966" t="str">
            <v>IASWD2408001155</v>
          </cell>
          <cell r="D2966">
            <v>45527</v>
          </cell>
          <cell r="E2966">
            <v>45948</v>
          </cell>
          <cell r="F2966" t="str">
            <v>36804</v>
          </cell>
          <cell r="G2966" t="str">
            <v>家登四</v>
          </cell>
          <cell r="H2966">
            <v>100000</v>
          </cell>
          <cell r="I2966">
            <v>3.2</v>
          </cell>
          <cell r="J2966">
            <v>45948</v>
          </cell>
          <cell r="K2966">
            <v>100</v>
          </cell>
          <cell r="L2966">
            <v>45926</v>
          </cell>
          <cell r="M2966">
            <v>-2323</v>
          </cell>
          <cell r="N2966">
            <v>97677</v>
          </cell>
        </row>
        <row r="2967">
          <cell r="A2967">
            <v>22013</v>
          </cell>
          <cell r="B2967">
            <v>2961</v>
          </cell>
          <cell r="C2967" t="str">
            <v>IASWD2408001204</v>
          </cell>
          <cell r="D2967">
            <v>45530</v>
          </cell>
          <cell r="E2967">
            <v>46167</v>
          </cell>
          <cell r="F2967" t="str">
            <v>22013</v>
          </cell>
          <cell r="G2967" t="str">
            <v>裕隆三</v>
          </cell>
          <cell r="H2967">
            <v>500000</v>
          </cell>
          <cell r="I2967">
            <v>3</v>
          </cell>
          <cell r="J2967">
            <v>46167</v>
          </cell>
          <cell r="K2967">
            <v>100.75190000000001</v>
          </cell>
          <cell r="L2967">
            <v>46147</v>
          </cell>
          <cell r="M2967">
            <v>-10767</v>
          </cell>
          <cell r="N2967">
            <v>489233</v>
          </cell>
        </row>
        <row r="2968">
          <cell r="A2968">
            <v>22013</v>
          </cell>
          <cell r="B2968">
            <v>2962</v>
          </cell>
          <cell r="C2968" t="str">
            <v>IASWD2408001209</v>
          </cell>
          <cell r="D2968">
            <v>45530</v>
          </cell>
          <cell r="E2968">
            <v>46167</v>
          </cell>
          <cell r="F2968" t="str">
            <v>22013</v>
          </cell>
          <cell r="G2968" t="str">
            <v>裕隆三</v>
          </cell>
          <cell r="H2968">
            <v>100000</v>
          </cell>
          <cell r="I2968">
            <v>3</v>
          </cell>
          <cell r="J2968">
            <v>46167</v>
          </cell>
          <cell r="K2968">
            <v>100.75190000000001</v>
          </cell>
          <cell r="L2968">
            <v>46147</v>
          </cell>
          <cell r="M2968">
            <v>-2153</v>
          </cell>
          <cell r="N2968">
            <v>97847</v>
          </cell>
        </row>
        <row r="2969">
          <cell r="A2969">
            <v>61965</v>
          </cell>
          <cell r="B2969">
            <v>2963</v>
          </cell>
          <cell r="C2969" t="str">
            <v>IASWD2408001215</v>
          </cell>
          <cell r="D2969">
            <v>45530</v>
          </cell>
          <cell r="E2969">
            <v>46200</v>
          </cell>
          <cell r="F2969" t="str">
            <v>61965</v>
          </cell>
          <cell r="G2969" t="str">
            <v>帆宣五</v>
          </cell>
          <cell r="H2969">
            <v>100000</v>
          </cell>
          <cell r="I2969">
            <v>3</v>
          </cell>
          <cell r="J2969">
            <v>46200</v>
          </cell>
          <cell r="K2969">
            <v>100</v>
          </cell>
          <cell r="L2969">
            <v>46182</v>
          </cell>
          <cell r="M2969">
            <v>-2153</v>
          </cell>
          <cell r="N2969">
            <v>97847</v>
          </cell>
        </row>
        <row r="2970">
          <cell r="A2970">
            <v>22013</v>
          </cell>
          <cell r="B2970">
            <v>2964</v>
          </cell>
          <cell r="C2970" t="str">
            <v>IASWD2408001217</v>
          </cell>
          <cell r="D2970">
            <v>45530</v>
          </cell>
          <cell r="E2970">
            <v>46167</v>
          </cell>
          <cell r="F2970" t="str">
            <v>22013</v>
          </cell>
          <cell r="G2970" t="str">
            <v>裕隆三</v>
          </cell>
          <cell r="H2970">
            <v>100000</v>
          </cell>
          <cell r="I2970">
            <v>3</v>
          </cell>
          <cell r="J2970">
            <v>46167</v>
          </cell>
          <cell r="K2970">
            <v>100.75190000000001</v>
          </cell>
          <cell r="L2970">
            <v>46147</v>
          </cell>
          <cell r="M2970">
            <v>-2153</v>
          </cell>
          <cell r="N2970">
            <v>97847</v>
          </cell>
        </row>
        <row r="2971">
          <cell r="A2971">
            <v>56086</v>
          </cell>
          <cell r="B2971">
            <v>2965</v>
          </cell>
          <cell r="C2971" t="str">
            <v>IASWD2408001218</v>
          </cell>
          <cell r="D2971">
            <v>45530</v>
          </cell>
          <cell r="E2971">
            <v>46194</v>
          </cell>
          <cell r="F2971" t="str">
            <v>56086</v>
          </cell>
          <cell r="G2971" t="str">
            <v>四維航六</v>
          </cell>
          <cell r="H2971">
            <v>300000</v>
          </cell>
          <cell r="I2971">
            <v>2.35</v>
          </cell>
          <cell r="J2971">
            <v>46194</v>
          </cell>
          <cell r="K2971">
            <v>100</v>
          </cell>
          <cell r="L2971">
            <v>46175</v>
          </cell>
          <cell r="M2971">
            <v>-5061</v>
          </cell>
          <cell r="N2971">
            <v>294939</v>
          </cell>
        </row>
        <row r="2972">
          <cell r="A2972">
            <v>64145</v>
          </cell>
          <cell r="B2972">
            <v>2966</v>
          </cell>
          <cell r="C2972" t="str">
            <v>IASWD2408001221</v>
          </cell>
          <cell r="D2972">
            <v>45530</v>
          </cell>
          <cell r="E2972">
            <v>46250</v>
          </cell>
          <cell r="F2972" t="str">
            <v>64145</v>
          </cell>
          <cell r="G2972" t="str">
            <v>樺漢五</v>
          </cell>
          <cell r="H2972">
            <v>100000</v>
          </cell>
          <cell r="I2972">
            <v>3</v>
          </cell>
          <cell r="J2972">
            <v>46250</v>
          </cell>
          <cell r="K2972">
            <v>100</v>
          </cell>
          <cell r="L2972">
            <v>46231</v>
          </cell>
          <cell r="M2972">
            <v>-2153</v>
          </cell>
          <cell r="N2972">
            <v>97847</v>
          </cell>
        </row>
        <row r="2973">
          <cell r="A2973">
            <v>84781</v>
          </cell>
          <cell r="B2973">
            <v>2967</v>
          </cell>
          <cell r="C2973" t="str">
            <v>IASWD2408001234</v>
          </cell>
          <cell r="D2973">
            <v>45530</v>
          </cell>
          <cell r="E2973">
            <v>46583</v>
          </cell>
          <cell r="F2973" t="str">
            <v>84781</v>
          </cell>
          <cell r="G2973" t="str">
            <v>東哥遊艇一</v>
          </cell>
          <cell r="H2973">
            <v>100000</v>
          </cell>
          <cell r="I2973">
            <v>3.1</v>
          </cell>
          <cell r="J2973">
            <v>46583</v>
          </cell>
          <cell r="K2973">
            <v>100</v>
          </cell>
          <cell r="L2973">
            <v>46563</v>
          </cell>
          <cell r="M2973">
            <v>-2225</v>
          </cell>
          <cell r="N2973">
            <v>97775</v>
          </cell>
        </row>
        <row r="2974">
          <cell r="A2974">
            <v>22013</v>
          </cell>
          <cell r="B2974">
            <v>2968</v>
          </cell>
          <cell r="C2974" t="str">
            <v>IASWD2408001241</v>
          </cell>
          <cell r="D2974">
            <v>45530</v>
          </cell>
          <cell r="E2974">
            <v>46167</v>
          </cell>
          <cell r="F2974" t="str">
            <v>22013</v>
          </cell>
          <cell r="G2974" t="str">
            <v>裕隆三</v>
          </cell>
          <cell r="H2974">
            <v>100000</v>
          </cell>
          <cell r="I2974">
            <v>3</v>
          </cell>
          <cell r="J2974">
            <v>46167</v>
          </cell>
          <cell r="K2974">
            <v>100.75190000000001</v>
          </cell>
          <cell r="L2974">
            <v>46147</v>
          </cell>
          <cell r="M2974">
            <v>-2153</v>
          </cell>
          <cell r="N2974">
            <v>97847</v>
          </cell>
        </row>
        <row r="2975">
          <cell r="A2975">
            <v>82551</v>
          </cell>
          <cell r="B2975">
            <v>2969</v>
          </cell>
          <cell r="C2975" t="str">
            <v>IASWD2408001243</v>
          </cell>
          <cell r="D2975">
            <v>45530</v>
          </cell>
          <cell r="E2975">
            <v>46243</v>
          </cell>
          <cell r="F2975" t="str">
            <v>82551</v>
          </cell>
          <cell r="G2975" t="str">
            <v>朋程一</v>
          </cell>
          <cell r="H2975">
            <v>100000</v>
          </cell>
          <cell r="I2975">
            <v>2.6</v>
          </cell>
          <cell r="J2975">
            <v>46243</v>
          </cell>
          <cell r="K2975">
            <v>100</v>
          </cell>
          <cell r="L2975">
            <v>46224</v>
          </cell>
          <cell r="M2975">
            <v>-1866</v>
          </cell>
          <cell r="N2975">
            <v>98134</v>
          </cell>
        </row>
        <row r="2976">
          <cell r="A2976">
            <v>84673</v>
          </cell>
          <cell r="B2976">
            <v>2970</v>
          </cell>
          <cell r="C2976" t="str">
            <v>IASWD2408001247</v>
          </cell>
          <cell r="D2976">
            <v>45530</v>
          </cell>
          <cell r="E2976">
            <v>46538</v>
          </cell>
          <cell r="F2976" t="str">
            <v>84673</v>
          </cell>
          <cell r="G2976" t="str">
            <v>波力三KY</v>
          </cell>
          <cell r="H2976">
            <v>100000</v>
          </cell>
          <cell r="I2976">
            <v>4.2</v>
          </cell>
          <cell r="J2976">
            <v>46538</v>
          </cell>
          <cell r="K2976">
            <v>100</v>
          </cell>
          <cell r="L2976">
            <v>46518</v>
          </cell>
          <cell r="M2976">
            <v>-3015</v>
          </cell>
          <cell r="N2976">
            <v>96985</v>
          </cell>
        </row>
        <row r="2977">
          <cell r="A2977">
            <v>50097</v>
          </cell>
          <cell r="B2977">
            <v>2971</v>
          </cell>
          <cell r="C2977" t="str">
            <v>IASWD2408001248</v>
          </cell>
          <cell r="D2977">
            <v>45530</v>
          </cell>
          <cell r="E2977">
            <v>46234</v>
          </cell>
          <cell r="F2977" t="str">
            <v>50097</v>
          </cell>
          <cell r="G2977" t="str">
            <v>榮剛七</v>
          </cell>
          <cell r="H2977">
            <v>100000</v>
          </cell>
          <cell r="I2977">
            <v>4.2</v>
          </cell>
          <cell r="J2977">
            <v>46234</v>
          </cell>
          <cell r="K2977">
            <v>101.51</v>
          </cell>
          <cell r="L2977">
            <v>46216</v>
          </cell>
          <cell r="M2977">
            <v>-3015</v>
          </cell>
          <cell r="N2977">
            <v>96985</v>
          </cell>
        </row>
        <row r="2978">
          <cell r="A2978">
            <v>84781</v>
          </cell>
          <cell r="B2978">
            <v>2972</v>
          </cell>
          <cell r="C2978" t="str">
            <v>IASWD2408001250</v>
          </cell>
          <cell r="D2978">
            <v>45531</v>
          </cell>
          <cell r="E2978">
            <v>46583</v>
          </cell>
          <cell r="F2978" t="str">
            <v>84781</v>
          </cell>
          <cell r="G2978" t="str">
            <v>東哥遊艇一</v>
          </cell>
          <cell r="H2978">
            <v>200000</v>
          </cell>
          <cell r="I2978">
            <v>3.1</v>
          </cell>
          <cell r="J2978">
            <v>46583</v>
          </cell>
          <cell r="K2978">
            <v>100</v>
          </cell>
          <cell r="L2978">
            <v>46563</v>
          </cell>
          <cell r="M2978">
            <v>-4433</v>
          </cell>
          <cell r="N2978">
            <v>195567</v>
          </cell>
        </row>
        <row r="2979">
          <cell r="A2979">
            <v>34843</v>
          </cell>
          <cell r="B2979">
            <v>2973</v>
          </cell>
          <cell r="C2979" t="str">
            <v>IASWD2408001252</v>
          </cell>
          <cell r="D2979">
            <v>45531</v>
          </cell>
          <cell r="E2979">
            <v>46136</v>
          </cell>
          <cell r="F2979" t="str">
            <v>34843</v>
          </cell>
          <cell r="G2979" t="str">
            <v>崧騰三</v>
          </cell>
          <cell r="H2979">
            <v>100000</v>
          </cell>
          <cell r="I2979">
            <v>3.5</v>
          </cell>
          <cell r="J2979">
            <v>46136</v>
          </cell>
          <cell r="K2979">
            <v>100.75</v>
          </cell>
          <cell r="L2979">
            <v>46118</v>
          </cell>
          <cell r="M2979">
            <v>-2503</v>
          </cell>
          <cell r="N2979">
            <v>97497</v>
          </cell>
        </row>
        <row r="2980">
          <cell r="A2980">
            <v>64145</v>
          </cell>
          <cell r="B2980">
            <v>2974</v>
          </cell>
          <cell r="C2980" t="str">
            <v>IASWD2408001253</v>
          </cell>
          <cell r="D2980">
            <v>45531</v>
          </cell>
          <cell r="E2980">
            <v>46250</v>
          </cell>
          <cell r="F2980" t="str">
            <v>64145</v>
          </cell>
          <cell r="G2980" t="str">
            <v>樺漢五</v>
          </cell>
          <cell r="H2980">
            <v>100000</v>
          </cell>
          <cell r="I2980">
            <v>3</v>
          </cell>
          <cell r="J2980">
            <v>46250</v>
          </cell>
          <cell r="K2980">
            <v>100</v>
          </cell>
          <cell r="L2980">
            <v>46231</v>
          </cell>
          <cell r="M2980">
            <v>-2145</v>
          </cell>
          <cell r="N2980">
            <v>97855</v>
          </cell>
        </row>
        <row r="2981">
          <cell r="A2981">
            <v>811210</v>
          </cell>
          <cell r="B2981">
            <v>2975</v>
          </cell>
          <cell r="C2981" t="str">
            <v>IASWD2408001254</v>
          </cell>
          <cell r="D2981">
            <v>45531</v>
          </cell>
          <cell r="E2981">
            <v>46531</v>
          </cell>
          <cell r="F2981" t="str">
            <v>811210</v>
          </cell>
          <cell r="G2981" t="str">
            <v>至上十</v>
          </cell>
          <cell r="H2981">
            <v>100000</v>
          </cell>
          <cell r="I2981">
            <v>3.7</v>
          </cell>
          <cell r="J2981">
            <v>46531</v>
          </cell>
          <cell r="K2981">
            <v>100</v>
          </cell>
          <cell r="L2981">
            <v>46511</v>
          </cell>
          <cell r="M2981">
            <v>-2646</v>
          </cell>
          <cell r="N2981">
            <v>97354</v>
          </cell>
        </row>
        <row r="2982">
          <cell r="A2982">
            <v>811210</v>
          </cell>
          <cell r="B2982">
            <v>2976</v>
          </cell>
          <cell r="C2982" t="str">
            <v>IASWD2408001256</v>
          </cell>
          <cell r="D2982">
            <v>45531</v>
          </cell>
          <cell r="E2982">
            <v>46531</v>
          </cell>
          <cell r="F2982" t="str">
            <v>811210</v>
          </cell>
          <cell r="G2982" t="str">
            <v>至上十</v>
          </cell>
          <cell r="H2982">
            <v>100000</v>
          </cell>
          <cell r="I2982">
            <v>3.7</v>
          </cell>
          <cell r="J2982">
            <v>46531</v>
          </cell>
          <cell r="K2982">
            <v>100</v>
          </cell>
          <cell r="L2982">
            <v>46511</v>
          </cell>
          <cell r="M2982">
            <v>-2646</v>
          </cell>
          <cell r="N2982">
            <v>97354</v>
          </cell>
        </row>
        <row r="2983">
          <cell r="A2983">
            <v>52091</v>
          </cell>
          <cell r="B2983">
            <v>2977</v>
          </cell>
          <cell r="C2983" t="str">
            <v>IASWD2408001257</v>
          </cell>
          <cell r="D2983">
            <v>45531</v>
          </cell>
          <cell r="E2983">
            <v>46301</v>
          </cell>
          <cell r="F2983" t="str">
            <v>52091</v>
          </cell>
          <cell r="G2983" t="str">
            <v>新鼎一</v>
          </cell>
          <cell r="H2983">
            <v>1000000</v>
          </cell>
          <cell r="I2983">
            <v>3.75</v>
          </cell>
          <cell r="J2983">
            <v>46301</v>
          </cell>
          <cell r="K2983">
            <v>100</v>
          </cell>
          <cell r="L2983">
            <v>46281</v>
          </cell>
          <cell r="M2983">
            <v>-26815</v>
          </cell>
          <cell r="N2983">
            <v>973185</v>
          </cell>
        </row>
        <row r="2984">
          <cell r="A2984">
            <v>50097</v>
          </cell>
          <cell r="B2984">
            <v>2978</v>
          </cell>
          <cell r="C2984" t="str">
            <v>IASWD2408001262</v>
          </cell>
          <cell r="D2984">
            <v>45531</v>
          </cell>
          <cell r="E2984">
            <v>46234</v>
          </cell>
          <cell r="F2984" t="str">
            <v>50097</v>
          </cell>
          <cell r="G2984" t="str">
            <v>榮剛七</v>
          </cell>
          <cell r="H2984">
            <v>200000</v>
          </cell>
          <cell r="I2984">
            <v>4.2</v>
          </cell>
          <cell r="J2984">
            <v>46234</v>
          </cell>
          <cell r="K2984">
            <v>101.51</v>
          </cell>
          <cell r="L2984">
            <v>46216</v>
          </cell>
          <cell r="M2984">
            <v>-6007</v>
          </cell>
          <cell r="N2984">
            <v>193993</v>
          </cell>
        </row>
        <row r="2985">
          <cell r="A2985">
            <v>811210</v>
          </cell>
          <cell r="B2985">
            <v>2979</v>
          </cell>
          <cell r="C2985" t="str">
            <v>IASWD2408001265</v>
          </cell>
          <cell r="D2985">
            <v>45531</v>
          </cell>
          <cell r="E2985">
            <v>46531</v>
          </cell>
          <cell r="F2985" t="str">
            <v>811210</v>
          </cell>
          <cell r="G2985" t="str">
            <v>至上十</v>
          </cell>
          <cell r="H2985">
            <v>200000</v>
          </cell>
          <cell r="I2985">
            <v>3.7</v>
          </cell>
          <cell r="J2985">
            <v>46531</v>
          </cell>
          <cell r="K2985">
            <v>100</v>
          </cell>
          <cell r="L2985">
            <v>46511</v>
          </cell>
          <cell r="M2985">
            <v>-5292</v>
          </cell>
          <cell r="N2985">
            <v>194708</v>
          </cell>
        </row>
        <row r="2986">
          <cell r="A2986">
            <v>64145</v>
          </cell>
          <cell r="B2986">
            <v>2980</v>
          </cell>
          <cell r="C2986" t="str">
            <v>IASWD2408001267</v>
          </cell>
          <cell r="D2986">
            <v>45531</v>
          </cell>
          <cell r="E2986">
            <v>46250</v>
          </cell>
          <cell r="F2986" t="str">
            <v>64145</v>
          </cell>
          <cell r="G2986" t="str">
            <v>樺漢五</v>
          </cell>
          <cell r="H2986">
            <v>100000</v>
          </cell>
          <cell r="I2986">
            <v>3</v>
          </cell>
          <cell r="J2986">
            <v>46250</v>
          </cell>
          <cell r="K2986">
            <v>100</v>
          </cell>
          <cell r="L2986">
            <v>46231</v>
          </cell>
          <cell r="M2986">
            <v>-2145</v>
          </cell>
          <cell r="N2986">
            <v>97855</v>
          </cell>
        </row>
        <row r="2987">
          <cell r="A2987">
            <v>22013</v>
          </cell>
          <cell r="B2987">
            <v>2981</v>
          </cell>
          <cell r="C2987" t="str">
            <v>IASWD2408001270</v>
          </cell>
          <cell r="D2987">
            <v>45531</v>
          </cell>
          <cell r="E2987">
            <v>46167</v>
          </cell>
          <cell r="F2987" t="str">
            <v>22013</v>
          </cell>
          <cell r="G2987" t="str">
            <v>裕隆三</v>
          </cell>
          <cell r="H2987">
            <v>100000</v>
          </cell>
          <cell r="I2987">
            <v>3</v>
          </cell>
          <cell r="J2987">
            <v>46167</v>
          </cell>
          <cell r="K2987">
            <v>100.75190000000001</v>
          </cell>
          <cell r="L2987">
            <v>46147</v>
          </cell>
          <cell r="M2987">
            <v>-2145</v>
          </cell>
          <cell r="N2987">
            <v>97855</v>
          </cell>
        </row>
        <row r="2988">
          <cell r="A2988">
            <v>50097</v>
          </cell>
          <cell r="B2988">
            <v>2982</v>
          </cell>
          <cell r="C2988" t="str">
            <v>IASWD2408001271</v>
          </cell>
          <cell r="D2988">
            <v>45531</v>
          </cell>
          <cell r="E2988">
            <v>46234</v>
          </cell>
          <cell r="F2988" t="str">
            <v>50097</v>
          </cell>
          <cell r="G2988" t="str">
            <v>榮剛七</v>
          </cell>
          <cell r="H2988">
            <v>300000</v>
          </cell>
          <cell r="I2988">
            <v>4.2</v>
          </cell>
          <cell r="J2988">
            <v>46234</v>
          </cell>
          <cell r="K2988">
            <v>101.51</v>
          </cell>
          <cell r="L2988">
            <v>46216</v>
          </cell>
          <cell r="M2988">
            <v>-9010</v>
          </cell>
          <cell r="N2988">
            <v>290990</v>
          </cell>
        </row>
        <row r="2989">
          <cell r="A2989">
            <v>36804</v>
          </cell>
          <cell r="B2989">
            <v>2983</v>
          </cell>
          <cell r="C2989" t="str">
            <v>IASWD2408001275</v>
          </cell>
          <cell r="D2989">
            <v>45531</v>
          </cell>
          <cell r="E2989">
            <v>45948</v>
          </cell>
          <cell r="F2989" t="str">
            <v>36804</v>
          </cell>
          <cell r="G2989" t="str">
            <v>家登四</v>
          </cell>
          <cell r="H2989">
            <v>100000</v>
          </cell>
          <cell r="I2989">
            <v>3.2</v>
          </cell>
          <cell r="J2989">
            <v>45948</v>
          </cell>
          <cell r="K2989">
            <v>100</v>
          </cell>
          <cell r="L2989">
            <v>45926</v>
          </cell>
          <cell r="M2989">
            <v>-2288</v>
          </cell>
          <cell r="N2989">
            <v>97712</v>
          </cell>
        </row>
        <row r="2990">
          <cell r="A2990">
            <v>27323</v>
          </cell>
          <cell r="B2990">
            <v>2984</v>
          </cell>
          <cell r="C2990" t="str">
            <v>IASWD2408001276</v>
          </cell>
          <cell r="D2990">
            <v>45531</v>
          </cell>
          <cell r="E2990">
            <v>46048</v>
          </cell>
          <cell r="F2990" t="str">
            <v>27323</v>
          </cell>
          <cell r="G2990" t="str">
            <v>六角三</v>
          </cell>
          <cell r="H2990">
            <v>100000</v>
          </cell>
          <cell r="I2990">
            <v>3</v>
          </cell>
          <cell r="J2990">
            <v>46048</v>
          </cell>
          <cell r="K2990">
            <v>101</v>
          </cell>
          <cell r="L2990">
            <v>46028</v>
          </cell>
          <cell r="M2990">
            <v>-2145</v>
          </cell>
          <cell r="N2990">
            <v>97855</v>
          </cell>
        </row>
        <row r="2991">
          <cell r="A2991">
            <v>22013</v>
          </cell>
          <cell r="B2991">
            <v>2985</v>
          </cell>
          <cell r="C2991" t="str">
            <v>IASWD2408001280</v>
          </cell>
          <cell r="D2991">
            <v>45531</v>
          </cell>
          <cell r="E2991">
            <v>46167</v>
          </cell>
          <cell r="F2991" t="str">
            <v>22013</v>
          </cell>
          <cell r="G2991" t="str">
            <v>裕隆三</v>
          </cell>
          <cell r="H2991">
            <v>100000</v>
          </cell>
          <cell r="I2991">
            <v>3</v>
          </cell>
          <cell r="J2991">
            <v>46167</v>
          </cell>
          <cell r="K2991">
            <v>100.75190000000001</v>
          </cell>
          <cell r="L2991">
            <v>46147</v>
          </cell>
          <cell r="M2991">
            <v>-2145</v>
          </cell>
          <cell r="N2991">
            <v>97855</v>
          </cell>
        </row>
        <row r="2992">
          <cell r="A2992">
            <v>84781</v>
          </cell>
          <cell r="B2992">
            <v>2986</v>
          </cell>
          <cell r="C2992" t="str">
            <v>IASWD2408001286</v>
          </cell>
          <cell r="D2992">
            <v>45532</v>
          </cell>
          <cell r="E2992">
            <v>46583</v>
          </cell>
          <cell r="F2992" t="str">
            <v>84781</v>
          </cell>
          <cell r="G2992" t="str">
            <v>東哥遊艇一</v>
          </cell>
          <cell r="H2992">
            <v>400000</v>
          </cell>
          <cell r="I2992">
            <v>3.1</v>
          </cell>
          <cell r="J2992">
            <v>46583</v>
          </cell>
          <cell r="K2992">
            <v>100</v>
          </cell>
          <cell r="L2992">
            <v>46563</v>
          </cell>
          <cell r="M2992">
            <v>-8833</v>
          </cell>
          <cell r="N2992">
            <v>391167</v>
          </cell>
        </row>
        <row r="2993">
          <cell r="A2993">
            <v>22013</v>
          </cell>
          <cell r="B2993">
            <v>2987</v>
          </cell>
          <cell r="C2993" t="str">
            <v>IASWD2408001287</v>
          </cell>
          <cell r="D2993">
            <v>45532</v>
          </cell>
          <cell r="E2993">
            <v>46167</v>
          </cell>
          <cell r="F2993" t="str">
            <v>22013</v>
          </cell>
          <cell r="G2993" t="str">
            <v>裕隆三</v>
          </cell>
          <cell r="H2993">
            <v>200000</v>
          </cell>
          <cell r="I2993">
            <v>3</v>
          </cell>
          <cell r="J2993">
            <v>46167</v>
          </cell>
          <cell r="K2993">
            <v>100.75190000000001</v>
          </cell>
          <cell r="L2993">
            <v>46147</v>
          </cell>
          <cell r="M2993">
            <v>-4274</v>
          </cell>
          <cell r="N2993">
            <v>195726</v>
          </cell>
        </row>
        <row r="2994">
          <cell r="A2994">
            <v>64145</v>
          </cell>
          <cell r="B2994">
            <v>2988</v>
          </cell>
          <cell r="C2994" t="str">
            <v>IASWD2408001293</v>
          </cell>
          <cell r="D2994">
            <v>45532</v>
          </cell>
          <cell r="E2994">
            <v>46250</v>
          </cell>
          <cell r="F2994" t="str">
            <v>64145</v>
          </cell>
          <cell r="G2994" t="str">
            <v>樺漢五</v>
          </cell>
          <cell r="H2994">
            <v>100000</v>
          </cell>
          <cell r="I2994">
            <v>3</v>
          </cell>
          <cell r="J2994">
            <v>46250</v>
          </cell>
          <cell r="K2994">
            <v>100</v>
          </cell>
          <cell r="L2994">
            <v>46231</v>
          </cell>
          <cell r="M2994">
            <v>-2137</v>
          </cell>
          <cell r="N2994">
            <v>97863</v>
          </cell>
        </row>
        <row r="2995">
          <cell r="A2995">
            <v>22313</v>
          </cell>
          <cell r="B2995">
            <v>2989</v>
          </cell>
          <cell r="C2995" t="str">
            <v>IASWD2408001294</v>
          </cell>
          <cell r="D2995">
            <v>45532</v>
          </cell>
          <cell r="E2995">
            <v>45898</v>
          </cell>
          <cell r="F2995" t="str">
            <v>22313</v>
          </cell>
          <cell r="G2995" t="str">
            <v>為升三</v>
          </cell>
          <cell r="H2995">
            <v>100000</v>
          </cell>
          <cell r="I2995">
            <v>3.5</v>
          </cell>
          <cell r="J2995">
            <v>45898</v>
          </cell>
          <cell r="K2995">
            <v>101.50749999999999</v>
          </cell>
          <cell r="L2995">
            <v>45880</v>
          </cell>
          <cell r="M2995">
            <v>-2493</v>
          </cell>
          <cell r="N2995">
            <v>97507</v>
          </cell>
        </row>
        <row r="2996">
          <cell r="A2996">
            <v>35482</v>
          </cell>
          <cell r="B2996">
            <v>2990</v>
          </cell>
          <cell r="C2996" t="str">
            <v>IASWD2408001296</v>
          </cell>
          <cell r="D2996">
            <v>45532</v>
          </cell>
          <cell r="E2996">
            <v>46395</v>
          </cell>
          <cell r="F2996" t="str">
            <v>35482</v>
          </cell>
          <cell r="G2996" t="str">
            <v>兆利二</v>
          </cell>
          <cell r="H2996">
            <v>3000000</v>
          </cell>
          <cell r="I2996">
            <v>3</v>
          </cell>
          <cell r="J2996">
            <v>46395</v>
          </cell>
          <cell r="K2996">
            <v>100</v>
          </cell>
          <cell r="L2996">
            <v>46377</v>
          </cell>
          <cell r="M2996">
            <v>-64110</v>
          </cell>
          <cell r="N2996">
            <v>2935890</v>
          </cell>
        </row>
        <row r="2997">
          <cell r="A2997">
            <v>36804</v>
          </cell>
          <cell r="B2997">
            <v>2991</v>
          </cell>
          <cell r="C2997" t="str">
            <v>IASWD2408001299</v>
          </cell>
          <cell r="D2997">
            <v>45532</v>
          </cell>
          <cell r="E2997">
            <v>45948</v>
          </cell>
          <cell r="F2997" t="str">
            <v>36804</v>
          </cell>
          <cell r="G2997" t="str">
            <v>家登四</v>
          </cell>
          <cell r="H2997">
            <v>100000</v>
          </cell>
          <cell r="I2997">
            <v>3.2</v>
          </cell>
          <cell r="J2997">
            <v>45948</v>
          </cell>
          <cell r="K2997">
            <v>100</v>
          </cell>
          <cell r="L2997">
            <v>45926</v>
          </cell>
          <cell r="M2997">
            <v>-2279</v>
          </cell>
          <cell r="N2997">
            <v>97721</v>
          </cell>
        </row>
        <row r="2998">
          <cell r="A2998">
            <v>35482</v>
          </cell>
          <cell r="B2998">
            <v>2992</v>
          </cell>
          <cell r="C2998" t="str">
            <v>IASWD2408001304</v>
          </cell>
          <cell r="D2998">
            <v>45532</v>
          </cell>
          <cell r="E2998">
            <v>46395</v>
          </cell>
          <cell r="F2998" t="str">
            <v>35482</v>
          </cell>
          <cell r="G2998" t="str">
            <v>兆利二</v>
          </cell>
          <cell r="H2998">
            <v>100000</v>
          </cell>
          <cell r="I2998">
            <v>3</v>
          </cell>
          <cell r="J2998">
            <v>46395</v>
          </cell>
          <cell r="K2998">
            <v>100</v>
          </cell>
          <cell r="L2998">
            <v>46377</v>
          </cell>
          <cell r="M2998">
            <v>-2137</v>
          </cell>
          <cell r="N2998">
            <v>97863</v>
          </cell>
        </row>
        <row r="2999">
          <cell r="A2999">
            <v>140202</v>
          </cell>
          <cell r="B2999">
            <v>2993</v>
          </cell>
          <cell r="C2999" t="str">
            <v>IASWD2408001305</v>
          </cell>
          <cell r="D2999">
            <v>45532</v>
          </cell>
          <cell r="E2999">
            <v>46607</v>
          </cell>
          <cell r="F2999" t="str">
            <v>140202</v>
          </cell>
          <cell r="G2999" t="str">
            <v>遠東新E2永</v>
          </cell>
          <cell r="H2999">
            <v>200000</v>
          </cell>
          <cell r="I2999">
            <v>2.5</v>
          </cell>
          <cell r="J2999">
            <v>46607</v>
          </cell>
          <cell r="K2999">
            <v>100</v>
          </cell>
          <cell r="L2999">
            <v>46588</v>
          </cell>
          <cell r="M2999">
            <v>-3562</v>
          </cell>
          <cell r="N2999">
            <v>196438</v>
          </cell>
        </row>
        <row r="3000">
          <cell r="A3000">
            <v>64145</v>
          </cell>
          <cell r="B3000">
            <v>2994</v>
          </cell>
          <cell r="C3000" t="str">
            <v>IASWD2408001306</v>
          </cell>
          <cell r="D3000">
            <v>45532</v>
          </cell>
          <cell r="E3000">
            <v>46250</v>
          </cell>
          <cell r="F3000" t="str">
            <v>64145</v>
          </cell>
          <cell r="G3000" t="str">
            <v>樺漢五</v>
          </cell>
          <cell r="H3000">
            <v>100000</v>
          </cell>
          <cell r="I3000">
            <v>3</v>
          </cell>
          <cell r="J3000">
            <v>46250</v>
          </cell>
          <cell r="K3000">
            <v>100</v>
          </cell>
          <cell r="L3000">
            <v>46231</v>
          </cell>
          <cell r="M3000">
            <v>-2137</v>
          </cell>
          <cell r="N3000">
            <v>97863</v>
          </cell>
        </row>
        <row r="3001">
          <cell r="A3001">
            <v>140202</v>
          </cell>
          <cell r="B3001">
            <v>2995</v>
          </cell>
          <cell r="C3001" t="str">
            <v>IASWD2408001307</v>
          </cell>
          <cell r="D3001">
            <v>45532</v>
          </cell>
          <cell r="E3001">
            <v>46607</v>
          </cell>
          <cell r="F3001" t="str">
            <v>140202</v>
          </cell>
          <cell r="G3001" t="str">
            <v>遠東新E2永</v>
          </cell>
          <cell r="H3001">
            <v>200000</v>
          </cell>
          <cell r="I3001">
            <v>2.5</v>
          </cell>
          <cell r="J3001">
            <v>46607</v>
          </cell>
          <cell r="K3001">
            <v>100</v>
          </cell>
          <cell r="L3001">
            <v>46588</v>
          </cell>
          <cell r="M3001">
            <v>-3562</v>
          </cell>
          <cell r="N3001">
            <v>196438</v>
          </cell>
        </row>
        <row r="3002">
          <cell r="A3002">
            <v>34843</v>
          </cell>
          <cell r="B3002">
            <v>2996</v>
          </cell>
          <cell r="C3002" t="str">
            <v>IASWD2408001310</v>
          </cell>
          <cell r="D3002">
            <v>45532</v>
          </cell>
          <cell r="E3002">
            <v>46136</v>
          </cell>
          <cell r="F3002" t="str">
            <v>34843</v>
          </cell>
          <cell r="G3002" t="str">
            <v>崧騰三</v>
          </cell>
          <cell r="H3002">
            <v>100000</v>
          </cell>
          <cell r="I3002">
            <v>3.5</v>
          </cell>
          <cell r="J3002">
            <v>46136</v>
          </cell>
          <cell r="K3002">
            <v>100.75</v>
          </cell>
          <cell r="L3002">
            <v>46118</v>
          </cell>
          <cell r="M3002">
            <v>-2493</v>
          </cell>
          <cell r="N3002">
            <v>97507</v>
          </cell>
        </row>
        <row r="3003">
          <cell r="A3003">
            <v>22013</v>
          </cell>
          <cell r="B3003">
            <v>2997</v>
          </cell>
          <cell r="C3003" t="str">
            <v>IASWD2408001313</v>
          </cell>
          <cell r="D3003">
            <v>45532</v>
          </cell>
          <cell r="E3003">
            <v>46167</v>
          </cell>
          <cell r="F3003" t="str">
            <v>22013</v>
          </cell>
          <cell r="G3003" t="str">
            <v>裕隆三</v>
          </cell>
          <cell r="H3003">
            <v>200000</v>
          </cell>
          <cell r="I3003">
            <v>3</v>
          </cell>
          <cell r="J3003">
            <v>46167</v>
          </cell>
          <cell r="K3003">
            <v>100.75190000000001</v>
          </cell>
          <cell r="L3003">
            <v>46147</v>
          </cell>
          <cell r="M3003">
            <v>-4274</v>
          </cell>
          <cell r="N3003">
            <v>195726</v>
          </cell>
        </row>
        <row r="3004">
          <cell r="A3004">
            <v>22013</v>
          </cell>
          <cell r="B3004">
            <v>2998</v>
          </cell>
          <cell r="C3004" t="str">
            <v>IASWD2408001315</v>
          </cell>
          <cell r="D3004">
            <v>45532</v>
          </cell>
          <cell r="E3004">
            <v>46167</v>
          </cell>
          <cell r="F3004" t="str">
            <v>22013</v>
          </cell>
          <cell r="G3004" t="str">
            <v>裕隆三</v>
          </cell>
          <cell r="H3004">
            <v>100000</v>
          </cell>
          <cell r="I3004">
            <v>3</v>
          </cell>
          <cell r="J3004">
            <v>46167</v>
          </cell>
          <cell r="K3004">
            <v>100.75190000000001</v>
          </cell>
          <cell r="L3004">
            <v>46147</v>
          </cell>
          <cell r="M3004">
            <v>-2137</v>
          </cell>
          <cell r="N3004">
            <v>97863</v>
          </cell>
        </row>
        <row r="3005">
          <cell r="A3005">
            <v>811210</v>
          </cell>
          <cell r="B3005">
            <v>2999</v>
          </cell>
          <cell r="C3005" t="str">
            <v>IASWD2408001316</v>
          </cell>
          <cell r="D3005">
            <v>45532</v>
          </cell>
          <cell r="E3005">
            <v>46531</v>
          </cell>
          <cell r="F3005" t="str">
            <v>811210</v>
          </cell>
          <cell r="G3005" t="str">
            <v>至上十</v>
          </cell>
          <cell r="H3005">
            <v>100000</v>
          </cell>
          <cell r="I3005">
            <v>3.7</v>
          </cell>
          <cell r="J3005">
            <v>46531</v>
          </cell>
          <cell r="K3005">
            <v>100</v>
          </cell>
          <cell r="L3005">
            <v>46511</v>
          </cell>
          <cell r="M3005">
            <v>-2636</v>
          </cell>
          <cell r="N3005">
            <v>97364</v>
          </cell>
        </row>
        <row r="3006">
          <cell r="A3006">
            <v>50097</v>
          </cell>
          <cell r="B3006">
            <v>3000</v>
          </cell>
          <cell r="C3006" t="str">
            <v>IASWD2408001317</v>
          </cell>
          <cell r="D3006">
            <v>45532</v>
          </cell>
          <cell r="E3006">
            <v>46234</v>
          </cell>
          <cell r="F3006" t="str">
            <v>50097</v>
          </cell>
          <cell r="G3006" t="str">
            <v>榮剛七</v>
          </cell>
          <cell r="H3006">
            <v>100000</v>
          </cell>
          <cell r="I3006">
            <v>4.2</v>
          </cell>
          <cell r="J3006">
            <v>46234</v>
          </cell>
          <cell r="K3006">
            <v>101.51</v>
          </cell>
          <cell r="L3006">
            <v>46216</v>
          </cell>
          <cell r="M3006">
            <v>-2992</v>
          </cell>
          <cell r="N3006">
            <v>97008</v>
          </cell>
        </row>
        <row r="3007">
          <cell r="A3007">
            <v>50097</v>
          </cell>
          <cell r="B3007">
            <v>3001</v>
          </cell>
          <cell r="C3007" t="str">
            <v>IASWD2408001318</v>
          </cell>
          <cell r="D3007">
            <v>45532</v>
          </cell>
          <cell r="E3007">
            <v>46234</v>
          </cell>
          <cell r="F3007" t="str">
            <v>50097</v>
          </cell>
          <cell r="G3007" t="str">
            <v>榮剛七</v>
          </cell>
          <cell r="H3007">
            <v>100000</v>
          </cell>
          <cell r="I3007">
            <v>4.2</v>
          </cell>
          <cell r="J3007">
            <v>46234</v>
          </cell>
          <cell r="K3007">
            <v>101.51</v>
          </cell>
          <cell r="L3007">
            <v>46216</v>
          </cell>
          <cell r="M3007">
            <v>-2992</v>
          </cell>
          <cell r="N3007">
            <v>97008</v>
          </cell>
        </row>
        <row r="3008">
          <cell r="A3008">
            <v>22013</v>
          </cell>
          <cell r="B3008">
            <v>3002</v>
          </cell>
          <cell r="C3008" t="str">
            <v>IASWD2408001321</v>
          </cell>
          <cell r="D3008">
            <v>45532</v>
          </cell>
          <cell r="E3008">
            <v>46167</v>
          </cell>
          <cell r="F3008" t="str">
            <v>22013</v>
          </cell>
          <cell r="G3008" t="str">
            <v>裕隆三</v>
          </cell>
          <cell r="H3008">
            <v>500000</v>
          </cell>
          <cell r="I3008">
            <v>3</v>
          </cell>
          <cell r="J3008">
            <v>46167</v>
          </cell>
          <cell r="K3008">
            <v>100.75190000000001</v>
          </cell>
          <cell r="L3008">
            <v>46147</v>
          </cell>
          <cell r="M3008">
            <v>-10685</v>
          </cell>
          <cell r="N3008">
            <v>489315</v>
          </cell>
        </row>
        <row r="3009">
          <cell r="A3009">
            <v>61394</v>
          </cell>
          <cell r="B3009">
            <v>3003</v>
          </cell>
          <cell r="C3009" t="str">
            <v>IASWD2408001324</v>
          </cell>
          <cell r="D3009">
            <v>45532</v>
          </cell>
          <cell r="E3009">
            <v>46047</v>
          </cell>
          <cell r="F3009" t="str">
            <v>61394</v>
          </cell>
          <cell r="G3009" t="str">
            <v>亞翔四</v>
          </cell>
          <cell r="H3009">
            <v>100000</v>
          </cell>
          <cell r="I3009">
            <v>3</v>
          </cell>
          <cell r="J3009">
            <v>46047</v>
          </cell>
          <cell r="K3009">
            <v>101.0025</v>
          </cell>
          <cell r="L3009">
            <v>46028</v>
          </cell>
          <cell r="M3009">
            <v>-2137</v>
          </cell>
          <cell r="N3009">
            <v>97863</v>
          </cell>
        </row>
        <row r="3010">
          <cell r="A3010">
            <v>61875</v>
          </cell>
          <cell r="B3010">
            <v>3004</v>
          </cell>
          <cell r="C3010" t="str">
            <v>IASWD2408001327</v>
          </cell>
          <cell r="D3010">
            <v>45532</v>
          </cell>
          <cell r="E3010">
            <v>46578</v>
          </cell>
          <cell r="F3010" t="str">
            <v>61875</v>
          </cell>
          <cell r="G3010" t="str">
            <v>萬潤五</v>
          </cell>
          <cell r="H3010">
            <v>100000</v>
          </cell>
          <cell r="I3010">
            <v>3.1</v>
          </cell>
          <cell r="J3010">
            <v>46578</v>
          </cell>
          <cell r="K3010">
            <v>100</v>
          </cell>
          <cell r="L3010">
            <v>46560</v>
          </cell>
          <cell r="M3010">
            <v>-2208</v>
          </cell>
          <cell r="N3010">
            <v>97792</v>
          </cell>
        </row>
        <row r="3011">
          <cell r="A3011">
            <v>36894</v>
          </cell>
          <cell r="B3011">
            <v>3005</v>
          </cell>
          <cell r="C3011" t="str">
            <v>IASWD2408001328</v>
          </cell>
          <cell r="D3011">
            <v>45532</v>
          </cell>
          <cell r="E3011">
            <v>46086</v>
          </cell>
          <cell r="F3011" t="str">
            <v>36894</v>
          </cell>
          <cell r="G3011" t="str">
            <v>湧德四</v>
          </cell>
          <cell r="H3011">
            <v>300000</v>
          </cell>
          <cell r="I3011">
            <v>3.25</v>
          </cell>
          <cell r="J3011">
            <v>46086</v>
          </cell>
          <cell r="K3011">
            <v>100</v>
          </cell>
          <cell r="L3011">
            <v>46066</v>
          </cell>
          <cell r="M3011">
            <v>-6945</v>
          </cell>
          <cell r="N3011">
            <v>293055</v>
          </cell>
        </row>
        <row r="3012">
          <cell r="A3012">
            <v>22013</v>
          </cell>
          <cell r="B3012">
            <v>3006</v>
          </cell>
          <cell r="C3012" t="str">
            <v>IASWD2408001329</v>
          </cell>
          <cell r="D3012">
            <v>45532</v>
          </cell>
          <cell r="E3012">
            <v>46167</v>
          </cell>
          <cell r="F3012" t="str">
            <v>22013</v>
          </cell>
          <cell r="G3012" t="str">
            <v>裕隆三</v>
          </cell>
          <cell r="H3012">
            <v>100000</v>
          </cell>
          <cell r="I3012">
            <v>3</v>
          </cell>
          <cell r="J3012">
            <v>46167</v>
          </cell>
          <cell r="K3012">
            <v>100.75190000000001</v>
          </cell>
          <cell r="L3012">
            <v>46147</v>
          </cell>
          <cell r="M3012">
            <v>-2137</v>
          </cell>
          <cell r="N3012">
            <v>97863</v>
          </cell>
        </row>
        <row r="3013">
          <cell r="A3013">
            <v>22013</v>
          </cell>
          <cell r="B3013">
            <v>3007</v>
          </cell>
          <cell r="C3013" t="str">
            <v>IASWD2408001330</v>
          </cell>
          <cell r="D3013">
            <v>45533</v>
          </cell>
          <cell r="E3013">
            <v>46167</v>
          </cell>
          <cell r="F3013" t="str">
            <v>22013</v>
          </cell>
          <cell r="G3013" t="str">
            <v>裕隆三</v>
          </cell>
          <cell r="H3013">
            <v>100000</v>
          </cell>
          <cell r="I3013">
            <v>3</v>
          </cell>
          <cell r="J3013">
            <v>46167</v>
          </cell>
          <cell r="K3013">
            <v>100.75190000000001</v>
          </cell>
          <cell r="L3013">
            <v>46147</v>
          </cell>
          <cell r="M3013">
            <v>-2129</v>
          </cell>
          <cell r="N3013">
            <v>97871</v>
          </cell>
        </row>
        <row r="3014">
          <cell r="A3014">
            <v>64145</v>
          </cell>
          <cell r="B3014">
            <v>3008</v>
          </cell>
          <cell r="C3014" t="str">
            <v>IASWD2408001332</v>
          </cell>
          <cell r="D3014">
            <v>45533</v>
          </cell>
          <cell r="E3014">
            <v>46250</v>
          </cell>
          <cell r="F3014" t="str">
            <v>64145</v>
          </cell>
          <cell r="G3014" t="str">
            <v>樺漢五</v>
          </cell>
          <cell r="H3014">
            <v>100000</v>
          </cell>
          <cell r="I3014">
            <v>3</v>
          </cell>
          <cell r="J3014">
            <v>46250</v>
          </cell>
          <cell r="K3014">
            <v>100</v>
          </cell>
          <cell r="L3014">
            <v>46231</v>
          </cell>
          <cell r="M3014">
            <v>-2129</v>
          </cell>
          <cell r="N3014">
            <v>97871</v>
          </cell>
        </row>
        <row r="3015">
          <cell r="A3015">
            <v>64145</v>
          </cell>
          <cell r="B3015">
            <v>3009</v>
          </cell>
          <cell r="C3015" t="str">
            <v>IASWD2408001337</v>
          </cell>
          <cell r="D3015">
            <v>45533</v>
          </cell>
          <cell r="E3015">
            <v>46250</v>
          </cell>
          <cell r="F3015" t="str">
            <v>64145</v>
          </cell>
          <cell r="G3015" t="str">
            <v>樺漢五</v>
          </cell>
          <cell r="H3015">
            <v>300000</v>
          </cell>
          <cell r="I3015">
            <v>3</v>
          </cell>
          <cell r="J3015">
            <v>46250</v>
          </cell>
          <cell r="K3015">
            <v>100</v>
          </cell>
          <cell r="L3015">
            <v>46231</v>
          </cell>
          <cell r="M3015">
            <v>-6386</v>
          </cell>
          <cell r="N3015">
            <v>293614</v>
          </cell>
        </row>
        <row r="3016">
          <cell r="A3016">
            <v>22013</v>
          </cell>
          <cell r="B3016">
            <v>3010</v>
          </cell>
          <cell r="C3016" t="str">
            <v>IASWD2408001338</v>
          </cell>
          <cell r="D3016">
            <v>45533</v>
          </cell>
          <cell r="E3016">
            <v>46167</v>
          </cell>
          <cell r="F3016" t="str">
            <v>22013</v>
          </cell>
          <cell r="G3016" t="str">
            <v>裕隆三</v>
          </cell>
          <cell r="H3016">
            <v>100000</v>
          </cell>
          <cell r="I3016">
            <v>3</v>
          </cell>
          <cell r="J3016">
            <v>46167</v>
          </cell>
          <cell r="K3016">
            <v>100.75190000000001</v>
          </cell>
          <cell r="L3016">
            <v>46147</v>
          </cell>
          <cell r="M3016">
            <v>-2129</v>
          </cell>
          <cell r="N3016">
            <v>97871</v>
          </cell>
        </row>
        <row r="3017">
          <cell r="A3017">
            <v>22013</v>
          </cell>
          <cell r="B3017">
            <v>3011</v>
          </cell>
          <cell r="C3017" t="str">
            <v>IASWD2408001341</v>
          </cell>
          <cell r="D3017">
            <v>45533</v>
          </cell>
          <cell r="E3017">
            <v>46167</v>
          </cell>
          <cell r="F3017" t="str">
            <v>22013</v>
          </cell>
          <cell r="G3017" t="str">
            <v>裕隆三</v>
          </cell>
          <cell r="H3017">
            <v>300000</v>
          </cell>
          <cell r="I3017">
            <v>3</v>
          </cell>
          <cell r="J3017">
            <v>46167</v>
          </cell>
          <cell r="K3017">
            <v>100.75190000000001</v>
          </cell>
          <cell r="L3017">
            <v>46147</v>
          </cell>
          <cell r="M3017">
            <v>-6386</v>
          </cell>
          <cell r="N3017">
            <v>293614</v>
          </cell>
        </row>
        <row r="3018">
          <cell r="A3018">
            <v>84781</v>
          </cell>
          <cell r="B3018">
            <v>3012</v>
          </cell>
          <cell r="C3018" t="str">
            <v>IASWD2408001343</v>
          </cell>
          <cell r="D3018">
            <v>45533</v>
          </cell>
          <cell r="E3018">
            <v>46583</v>
          </cell>
          <cell r="F3018" t="str">
            <v>84781</v>
          </cell>
          <cell r="G3018" t="str">
            <v>東哥遊艇一</v>
          </cell>
          <cell r="H3018">
            <v>200000</v>
          </cell>
          <cell r="I3018">
            <v>3.1</v>
          </cell>
          <cell r="J3018">
            <v>46583</v>
          </cell>
          <cell r="K3018">
            <v>100</v>
          </cell>
          <cell r="L3018">
            <v>46563</v>
          </cell>
          <cell r="M3018">
            <v>-4399</v>
          </cell>
          <cell r="N3018">
            <v>195601</v>
          </cell>
        </row>
        <row r="3019">
          <cell r="A3019">
            <v>36804</v>
          </cell>
          <cell r="B3019">
            <v>3013</v>
          </cell>
          <cell r="C3019" t="str">
            <v>IASWD2408001346</v>
          </cell>
          <cell r="D3019">
            <v>45533</v>
          </cell>
          <cell r="E3019">
            <v>45948</v>
          </cell>
          <cell r="F3019" t="str">
            <v>36804</v>
          </cell>
          <cell r="G3019" t="str">
            <v>家登四</v>
          </cell>
          <cell r="H3019">
            <v>100000</v>
          </cell>
          <cell r="I3019">
            <v>3.2</v>
          </cell>
          <cell r="J3019">
            <v>45948</v>
          </cell>
          <cell r="K3019">
            <v>100</v>
          </cell>
          <cell r="L3019">
            <v>45926</v>
          </cell>
          <cell r="M3019">
            <v>-2271</v>
          </cell>
          <cell r="N3019">
            <v>97729</v>
          </cell>
        </row>
        <row r="3020">
          <cell r="A3020">
            <v>89277</v>
          </cell>
          <cell r="B3020">
            <v>3014</v>
          </cell>
          <cell r="C3020" t="str">
            <v>IASWD2408001349</v>
          </cell>
          <cell r="D3020">
            <v>45533</v>
          </cell>
          <cell r="E3020">
            <v>46615</v>
          </cell>
          <cell r="F3020" t="str">
            <v>89277</v>
          </cell>
          <cell r="G3020" t="str">
            <v>北基七</v>
          </cell>
          <cell r="H3020">
            <v>100000</v>
          </cell>
          <cell r="I3020">
            <v>2.2000000000000002</v>
          </cell>
          <cell r="J3020">
            <v>46615</v>
          </cell>
          <cell r="K3020">
            <v>101.50749999999999</v>
          </cell>
          <cell r="L3020">
            <v>46595</v>
          </cell>
          <cell r="M3020">
            <v>-1561</v>
          </cell>
          <cell r="N3020">
            <v>98439</v>
          </cell>
        </row>
        <row r="3021">
          <cell r="A3021">
            <v>89277</v>
          </cell>
          <cell r="B3021">
            <v>3015</v>
          </cell>
          <cell r="C3021" t="str">
            <v>IASWD2408001350</v>
          </cell>
          <cell r="D3021">
            <v>45533</v>
          </cell>
          <cell r="E3021">
            <v>46615</v>
          </cell>
          <cell r="F3021" t="str">
            <v>89277</v>
          </cell>
          <cell r="G3021" t="str">
            <v>北基七</v>
          </cell>
          <cell r="H3021">
            <v>200000</v>
          </cell>
          <cell r="I3021">
            <v>2.2000000000000002</v>
          </cell>
          <cell r="J3021">
            <v>46615</v>
          </cell>
          <cell r="K3021">
            <v>101.50749999999999</v>
          </cell>
          <cell r="L3021">
            <v>46595</v>
          </cell>
          <cell r="M3021">
            <v>-3122</v>
          </cell>
          <cell r="N3021">
            <v>196878</v>
          </cell>
        </row>
        <row r="3022">
          <cell r="A3022">
            <v>35266</v>
          </cell>
          <cell r="B3022">
            <v>3016</v>
          </cell>
          <cell r="C3022" t="str">
            <v>IASWD2408001351</v>
          </cell>
          <cell r="D3022">
            <v>45533</v>
          </cell>
          <cell r="E3022">
            <v>46416</v>
          </cell>
          <cell r="F3022" t="str">
            <v>35266</v>
          </cell>
          <cell r="G3022" t="str">
            <v>凡甲六</v>
          </cell>
          <cell r="H3022">
            <v>100000</v>
          </cell>
          <cell r="I3022">
            <v>3.5</v>
          </cell>
          <cell r="J3022">
            <v>46416</v>
          </cell>
          <cell r="K3022">
            <v>100</v>
          </cell>
          <cell r="L3022">
            <v>46398</v>
          </cell>
          <cell r="M3022">
            <v>-2484</v>
          </cell>
          <cell r="N3022">
            <v>97516</v>
          </cell>
        </row>
        <row r="3023">
          <cell r="A3023">
            <v>34843</v>
          </cell>
          <cell r="B3023">
            <v>3017</v>
          </cell>
          <cell r="C3023" t="str">
            <v>IASWD2408001352</v>
          </cell>
          <cell r="D3023">
            <v>45533</v>
          </cell>
          <cell r="E3023">
            <v>46136</v>
          </cell>
          <cell r="F3023" t="str">
            <v>34843</v>
          </cell>
          <cell r="G3023" t="str">
            <v>崧騰三</v>
          </cell>
          <cell r="H3023">
            <v>4000000</v>
          </cell>
          <cell r="I3023">
            <v>3.5</v>
          </cell>
          <cell r="J3023">
            <v>46136</v>
          </cell>
          <cell r="K3023">
            <v>100.75</v>
          </cell>
          <cell r="L3023">
            <v>46118</v>
          </cell>
          <cell r="M3023">
            <v>-99342</v>
          </cell>
          <cell r="N3023">
            <v>3900658</v>
          </cell>
        </row>
        <row r="3024">
          <cell r="A3024">
            <v>61875</v>
          </cell>
          <cell r="B3024">
            <v>3018</v>
          </cell>
          <cell r="C3024" t="str">
            <v>IASWD2408001353</v>
          </cell>
          <cell r="D3024">
            <v>45533</v>
          </cell>
          <cell r="E3024">
            <v>46578</v>
          </cell>
          <cell r="F3024" t="str">
            <v>61875</v>
          </cell>
          <cell r="G3024" t="str">
            <v>萬潤五</v>
          </cell>
          <cell r="H3024">
            <v>100000</v>
          </cell>
          <cell r="I3024">
            <v>3.1</v>
          </cell>
          <cell r="J3024">
            <v>46578</v>
          </cell>
          <cell r="K3024">
            <v>100</v>
          </cell>
          <cell r="L3024">
            <v>46560</v>
          </cell>
          <cell r="M3024">
            <v>-2200</v>
          </cell>
          <cell r="N3024">
            <v>97800</v>
          </cell>
        </row>
        <row r="3025">
          <cell r="A3025">
            <v>89277</v>
          </cell>
          <cell r="B3025">
            <v>3019</v>
          </cell>
          <cell r="C3025" t="str">
            <v>IASWD2408001355</v>
          </cell>
          <cell r="D3025">
            <v>45533</v>
          </cell>
          <cell r="E3025">
            <v>46615</v>
          </cell>
          <cell r="F3025" t="str">
            <v>89277</v>
          </cell>
          <cell r="G3025" t="str">
            <v>北基七</v>
          </cell>
          <cell r="H3025">
            <v>100000</v>
          </cell>
          <cell r="I3025">
            <v>2.2000000000000002</v>
          </cell>
          <cell r="J3025">
            <v>46615</v>
          </cell>
          <cell r="K3025">
            <v>101.50749999999999</v>
          </cell>
          <cell r="L3025">
            <v>46595</v>
          </cell>
          <cell r="M3025">
            <v>-1561</v>
          </cell>
          <cell r="N3025">
            <v>98439</v>
          </cell>
        </row>
        <row r="3026">
          <cell r="A3026">
            <v>22013</v>
          </cell>
          <cell r="B3026">
            <v>3020</v>
          </cell>
          <cell r="C3026" t="str">
            <v>IASWD2408001356</v>
          </cell>
          <cell r="D3026">
            <v>45533</v>
          </cell>
          <cell r="E3026">
            <v>46167</v>
          </cell>
          <cell r="F3026" t="str">
            <v>22013</v>
          </cell>
          <cell r="G3026" t="str">
            <v>裕隆三</v>
          </cell>
          <cell r="H3026">
            <v>400000</v>
          </cell>
          <cell r="I3026">
            <v>3</v>
          </cell>
          <cell r="J3026">
            <v>46167</v>
          </cell>
          <cell r="K3026">
            <v>100.75190000000001</v>
          </cell>
          <cell r="L3026">
            <v>46147</v>
          </cell>
          <cell r="M3026">
            <v>-8515</v>
          </cell>
          <cell r="N3026">
            <v>391485</v>
          </cell>
        </row>
        <row r="3027">
          <cell r="A3027">
            <v>89277</v>
          </cell>
          <cell r="B3027">
            <v>3021</v>
          </cell>
          <cell r="C3027" t="str">
            <v>IASWD2408001358</v>
          </cell>
          <cell r="D3027">
            <v>45533</v>
          </cell>
          <cell r="E3027">
            <v>46615</v>
          </cell>
          <cell r="F3027" t="str">
            <v>89277</v>
          </cell>
          <cell r="G3027" t="str">
            <v>北基七</v>
          </cell>
          <cell r="H3027">
            <v>100000</v>
          </cell>
          <cell r="I3027">
            <v>2.2000000000000002</v>
          </cell>
          <cell r="J3027">
            <v>46615</v>
          </cell>
          <cell r="K3027">
            <v>101.50749999999999</v>
          </cell>
          <cell r="L3027">
            <v>46595</v>
          </cell>
          <cell r="M3027">
            <v>-1561</v>
          </cell>
          <cell r="N3027">
            <v>98439</v>
          </cell>
        </row>
        <row r="3028">
          <cell r="A3028">
            <v>61394</v>
          </cell>
          <cell r="B3028">
            <v>3022</v>
          </cell>
          <cell r="C3028" t="str">
            <v>IASWD2408001360</v>
          </cell>
          <cell r="D3028">
            <v>45533</v>
          </cell>
          <cell r="E3028">
            <v>46047</v>
          </cell>
          <cell r="F3028" t="str">
            <v>61394</v>
          </cell>
          <cell r="G3028" t="str">
            <v>亞翔四</v>
          </cell>
          <cell r="H3028">
            <v>400000</v>
          </cell>
          <cell r="I3028">
            <v>3</v>
          </cell>
          <cell r="J3028">
            <v>46047</v>
          </cell>
          <cell r="K3028">
            <v>101.0025</v>
          </cell>
          <cell r="L3028">
            <v>46028</v>
          </cell>
          <cell r="M3028">
            <v>-8515</v>
          </cell>
          <cell r="N3028">
            <v>391485</v>
          </cell>
        </row>
        <row r="3029">
          <cell r="A3029">
            <v>22013</v>
          </cell>
          <cell r="B3029">
            <v>3023</v>
          </cell>
          <cell r="C3029" t="str">
            <v>IASWD2408001361</v>
          </cell>
          <cell r="D3029">
            <v>45533</v>
          </cell>
          <cell r="E3029">
            <v>46167</v>
          </cell>
          <cell r="F3029" t="str">
            <v>22013</v>
          </cell>
          <cell r="G3029" t="str">
            <v>裕隆三</v>
          </cell>
          <cell r="H3029">
            <v>500000</v>
          </cell>
          <cell r="I3029">
            <v>3</v>
          </cell>
          <cell r="J3029">
            <v>46167</v>
          </cell>
          <cell r="K3029">
            <v>100.75190000000001</v>
          </cell>
          <cell r="L3029">
            <v>46147</v>
          </cell>
          <cell r="M3029">
            <v>-10644</v>
          </cell>
          <cell r="N3029">
            <v>489356</v>
          </cell>
        </row>
        <row r="3030">
          <cell r="A3030">
            <v>22013</v>
          </cell>
          <cell r="B3030">
            <v>3024</v>
          </cell>
          <cell r="C3030" t="str">
            <v>IASWD2408001367</v>
          </cell>
          <cell r="D3030">
            <v>45534</v>
          </cell>
          <cell r="E3030">
            <v>46167</v>
          </cell>
          <cell r="F3030" t="str">
            <v>22013</v>
          </cell>
          <cell r="G3030" t="str">
            <v>裕隆三</v>
          </cell>
          <cell r="H3030">
            <v>100000</v>
          </cell>
          <cell r="I3030">
            <v>3</v>
          </cell>
          <cell r="J3030">
            <v>46167</v>
          </cell>
          <cell r="K3030">
            <v>100.75190000000001</v>
          </cell>
          <cell r="L3030">
            <v>46147</v>
          </cell>
          <cell r="M3030">
            <v>-2121</v>
          </cell>
          <cell r="N3030">
            <v>97879</v>
          </cell>
        </row>
        <row r="3031">
          <cell r="A3031">
            <v>84781</v>
          </cell>
          <cell r="B3031">
            <v>3025</v>
          </cell>
          <cell r="C3031" t="str">
            <v>IASWD2408001368</v>
          </cell>
          <cell r="D3031">
            <v>45534</v>
          </cell>
          <cell r="E3031">
            <v>46583</v>
          </cell>
          <cell r="F3031" t="str">
            <v>84781</v>
          </cell>
          <cell r="G3031" t="str">
            <v>東哥遊艇一</v>
          </cell>
          <cell r="H3031">
            <v>100000</v>
          </cell>
          <cell r="I3031">
            <v>3.1</v>
          </cell>
          <cell r="J3031">
            <v>46583</v>
          </cell>
          <cell r="K3031">
            <v>100</v>
          </cell>
          <cell r="L3031">
            <v>46563</v>
          </cell>
          <cell r="M3031">
            <v>-2191</v>
          </cell>
          <cell r="N3031">
            <v>97809</v>
          </cell>
        </row>
        <row r="3032">
          <cell r="A3032">
            <v>22013</v>
          </cell>
          <cell r="B3032">
            <v>3026</v>
          </cell>
          <cell r="C3032" t="str">
            <v>IASWD2408001369</v>
          </cell>
          <cell r="D3032">
            <v>45534</v>
          </cell>
          <cell r="E3032">
            <v>46167</v>
          </cell>
          <cell r="F3032" t="str">
            <v>22013</v>
          </cell>
          <cell r="G3032" t="str">
            <v>裕隆三</v>
          </cell>
          <cell r="H3032">
            <v>300000</v>
          </cell>
          <cell r="I3032">
            <v>3</v>
          </cell>
          <cell r="J3032">
            <v>46167</v>
          </cell>
          <cell r="K3032">
            <v>100.75190000000001</v>
          </cell>
          <cell r="L3032">
            <v>46147</v>
          </cell>
          <cell r="M3032">
            <v>-6362</v>
          </cell>
          <cell r="N3032">
            <v>293638</v>
          </cell>
        </row>
        <row r="3033">
          <cell r="A3033">
            <v>20632</v>
          </cell>
          <cell r="B3033">
            <v>3027</v>
          </cell>
          <cell r="C3033" t="str">
            <v>IASWD2408001371</v>
          </cell>
          <cell r="D3033">
            <v>45534</v>
          </cell>
          <cell r="E3033">
            <v>45971</v>
          </cell>
          <cell r="F3033" t="str">
            <v>20632</v>
          </cell>
          <cell r="G3033" t="str">
            <v>世鎧二</v>
          </cell>
          <cell r="H3033">
            <v>100000</v>
          </cell>
          <cell r="I3033">
            <v>3.25</v>
          </cell>
          <cell r="J3033">
            <v>45971</v>
          </cell>
          <cell r="K3033">
            <v>100</v>
          </cell>
          <cell r="L3033">
            <v>45951</v>
          </cell>
          <cell r="M3033">
            <v>-2297</v>
          </cell>
          <cell r="N3033">
            <v>97703</v>
          </cell>
        </row>
        <row r="3034">
          <cell r="A3034">
            <v>89277</v>
          </cell>
          <cell r="B3034">
            <v>3028</v>
          </cell>
          <cell r="C3034" t="str">
            <v>IASWD2408001372</v>
          </cell>
          <cell r="D3034">
            <v>45534</v>
          </cell>
          <cell r="E3034">
            <v>46615</v>
          </cell>
          <cell r="F3034" t="str">
            <v>89277</v>
          </cell>
          <cell r="G3034" t="str">
            <v>北基七</v>
          </cell>
          <cell r="H3034">
            <v>300000</v>
          </cell>
          <cell r="I3034">
            <v>2.2000000000000002</v>
          </cell>
          <cell r="J3034">
            <v>46615</v>
          </cell>
          <cell r="K3034">
            <v>101.50749999999999</v>
          </cell>
          <cell r="L3034">
            <v>46595</v>
          </cell>
          <cell r="M3034">
            <v>-4665</v>
          </cell>
          <cell r="N3034">
            <v>295335</v>
          </cell>
        </row>
        <row r="3035">
          <cell r="A3035">
            <v>811210</v>
          </cell>
          <cell r="B3035">
            <v>3029</v>
          </cell>
          <cell r="C3035" t="str">
            <v>IASWD2408001373</v>
          </cell>
          <cell r="D3035">
            <v>45534</v>
          </cell>
          <cell r="E3035">
            <v>46531</v>
          </cell>
          <cell r="F3035" t="str">
            <v>811210</v>
          </cell>
          <cell r="G3035" t="str">
            <v>至上十</v>
          </cell>
          <cell r="H3035">
            <v>100000</v>
          </cell>
          <cell r="I3035">
            <v>3.7</v>
          </cell>
          <cell r="J3035">
            <v>46531</v>
          </cell>
          <cell r="K3035">
            <v>100</v>
          </cell>
          <cell r="L3035">
            <v>46511</v>
          </cell>
          <cell r="M3035">
            <v>-2615</v>
          </cell>
          <cell r="N3035">
            <v>97385</v>
          </cell>
        </row>
        <row r="3036">
          <cell r="A3036">
            <v>84781</v>
          </cell>
          <cell r="B3036">
            <v>3030</v>
          </cell>
          <cell r="C3036" t="str">
            <v>IASWD2408001374</v>
          </cell>
          <cell r="D3036">
            <v>45534</v>
          </cell>
          <cell r="E3036">
            <v>46583</v>
          </cell>
          <cell r="F3036" t="str">
            <v>84781</v>
          </cell>
          <cell r="G3036" t="str">
            <v>東哥遊艇一</v>
          </cell>
          <cell r="H3036">
            <v>100000</v>
          </cell>
          <cell r="I3036">
            <v>3.1</v>
          </cell>
          <cell r="J3036">
            <v>46583</v>
          </cell>
          <cell r="K3036">
            <v>100</v>
          </cell>
          <cell r="L3036">
            <v>46563</v>
          </cell>
          <cell r="M3036">
            <v>-2191</v>
          </cell>
          <cell r="N3036">
            <v>97809</v>
          </cell>
        </row>
        <row r="3037">
          <cell r="A3037">
            <v>84781</v>
          </cell>
          <cell r="B3037">
            <v>3031</v>
          </cell>
          <cell r="C3037" t="str">
            <v>IASWD2408001376</v>
          </cell>
          <cell r="D3037">
            <v>45534</v>
          </cell>
          <cell r="E3037">
            <v>46583</v>
          </cell>
          <cell r="F3037" t="str">
            <v>84781</v>
          </cell>
          <cell r="G3037" t="str">
            <v>東哥遊艇一</v>
          </cell>
          <cell r="H3037">
            <v>100000</v>
          </cell>
          <cell r="I3037">
            <v>3.1</v>
          </cell>
          <cell r="J3037">
            <v>46583</v>
          </cell>
          <cell r="K3037">
            <v>100</v>
          </cell>
          <cell r="L3037">
            <v>46563</v>
          </cell>
          <cell r="M3037">
            <v>-2191</v>
          </cell>
          <cell r="N3037">
            <v>97809</v>
          </cell>
        </row>
        <row r="3038">
          <cell r="A3038">
            <v>89277</v>
          </cell>
          <cell r="B3038">
            <v>3032</v>
          </cell>
          <cell r="C3038" t="str">
            <v>IASWD2408001379</v>
          </cell>
          <cell r="D3038">
            <v>45534</v>
          </cell>
          <cell r="E3038">
            <v>46615</v>
          </cell>
          <cell r="F3038" t="str">
            <v>89277</v>
          </cell>
          <cell r="G3038" t="str">
            <v>北基七</v>
          </cell>
          <cell r="H3038">
            <v>100000</v>
          </cell>
          <cell r="I3038">
            <v>2.2000000000000002</v>
          </cell>
          <cell r="J3038">
            <v>46615</v>
          </cell>
          <cell r="K3038">
            <v>101.50749999999999</v>
          </cell>
          <cell r="L3038">
            <v>46595</v>
          </cell>
          <cell r="M3038">
            <v>-1555</v>
          </cell>
          <cell r="N3038">
            <v>98445</v>
          </cell>
        </row>
        <row r="3039">
          <cell r="A3039">
            <v>35482</v>
          </cell>
          <cell r="B3039">
            <v>3033</v>
          </cell>
          <cell r="C3039" t="str">
            <v>IASWD2408001380</v>
          </cell>
          <cell r="D3039">
            <v>45534</v>
          </cell>
          <cell r="E3039">
            <v>46395</v>
          </cell>
          <cell r="F3039" t="str">
            <v>35482</v>
          </cell>
          <cell r="G3039" t="str">
            <v>兆利二</v>
          </cell>
          <cell r="H3039">
            <v>100000</v>
          </cell>
          <cell r="I3039">
            <v>3</v>
          </cell>
          <cell r="J3039">
            <v>46395</v>
          </cell>
          <cell r="K3039">
            <v>100</v>
          </cell>
          <cell r="L3039">
            <v>46377</v>
          </cell>
          <cell r="M3039">
            <v>-2121</v>
          </cell>
          <cell r="N3039">
            <v>97879</v>
          </cell>
        </row>
        <row r="3040">
          <cell r="A3040">
            <v>35482</v>
          </cell>
          <cell r="B3040">
            <v>3034</v>
          </cell>
          <cell r="C3040" t="str">
            <v>IASWD2408001381</v>
          </cell>
          <cell r="D3040">
            <v>45534</v>
          </cell>
          <cell r="E3040">
            <v>46395</v>
          </cell>
          <cell r="F3040" t="str">
            <v>35482</v>
          </cell>
          <cell r="G3040" t="str">
            <v>兆利二</v>
          </cell>
          <cell r="H3040">
            <v>100000</v>
          </cell>
          <cell r="I3040">
            <v>3</v>
          </cell>
          <cell r="J3040">
            <v>46395</v>
          </cell>
          <cell r="K3040">
            <v>100</v>
          </cell>
          <cell r="L3040">
            <v>46377</v>
          </cell>
          <cell r="M3040">
            <v>-2121</v>
          </cell>
          <cell r="N3040">
            <v>97879</v>
          </cell>
        </row>
        <row r="3041">
          <cell r="A3041">
            <v>22013</v>
          </cell>
          <cell r="B3041">
            <v>3035</v>
          </cell>
          <cell r="C3041" t="str">
            <v>IASWD2408001382</v>
          </cell>
          <cell r="D3041">
            <v>45534</v>
          </cell>
          <cell r="E3041">
            <v>46167</v>
          </cell>
          <cell r="F3041" t="str">
            <v>22013</v>
          </cell>
          <cell r="G3041" t="str">
            <v>裕隆三</v>
          </cell>
          <cell r="H3041">
            <v>100000</v>
          </cell>
          <cell r="I3041">
            <v>3</v>
          </cell>
          <cell r="J3041">
            <v>46167</v>
          </cell>
          <cell r="K3041">
            <v>100.75190000000001</v>
          </cell>
          <cell r="L3041">
            <v>46147</v>
          </cell>
          <cell r="M3041">
            <v>-2121</v>
          </cell>
          <cell r="N3041">
            <v>97879</v>
          </cell>
        </row>
        <row r="3042">
          <cell r="A3042">
            <v>61394</v>
          </cell>
          <cell r="B3042">
            <v>3036</v>
          </cell>
          <cell r="C3042" t="str">
            <v>IASWD2408001383</v>
          </cell>
          <cell r="D3042">
            <v>45534</v>
          </cell>
          <cell r="E3042">
            <v>46047</v>
          </cell>
          <cell r="F3042" t="str">
            <v>61394</v>
          </cell>
          <cell r="G3042" t="str">
            <v>亞翔四</v>
          </cell>
          <cell r="H3042">
            <v>200000</v>
          </cell>
          <cell r="I3042">
            <v>3</v>
          </cell>
          <cell r="J3042">
            <v>46047</v>
          </cell>
          <cell r="K3042">
            <v>101.0025</v>
          </cell>
          <cell r="L3042">
            <v>46028</v>
          </cell>
          <cell r="M3042">
            <v>-4241</v>
          </cell>
          <cell r="N3042">
            <v>195759</v>
          </cell>
        </row>
        <row r="3043">
          <cell r="A3043">
            <v>35482</v>
          </cell>
          <cell r="B3043">
            <v>3037</v>
          </cell>
          <cell r="C3043" t="str">
            <v>IASWD2408001384</v>
          </cell>
          <cell r="D3043">
            <v>45534</v>
          </cell>
          <cell r="E3043">
            <v>46395</v>
          </cell>
          <cell r="F3043" t="str">
            <v>35482</v>
          </cell>
          <cell r="G3043" t="str">
            <v>兆利二</v>
          </cell>
          <cell r="H3043">
            <v>100000</v>
          </cell>
          <cell r="I3043">
            <v>3</v>
          </cell>
          <cell r="J3043">
            <v>46395</v>
          </cell>
          <cell r="K3043">
            <v>100</v>
          </cell>
          <cell r="L3043">
            <v>46377</v>
          </cell>
          <cell r="M3043">
            <v>-2121</v>
          </cell>
          <cell r="N3043">
            <v>97879</v>
          </cell>
        </row>
        <row r="3044">
          <cell r="A3044">
            <v>22013</v>
          </cell>
          <cell r="B3044">
            <v>3038</v>
          </cell>
          <cell r="C3044" t="str">
            <v>IASWD2408001385</v>
          </cell>
          <cell r="D3044">
            <v>45534</v>
          </cell>
          <cell r="E3044">
            <v>46167</v>
          </cell>
          <cell r="F3044" t="str">
            <v>22013</v>
          </cell>
          <cell r="G3044" t="str">
            <v>裕隆三</v>
          </cell>
          <cell r="H3044">
            <v>100000</v>
          </cell>
          <cell r="I3044">
            <v>3</v>
          </cell>
          <cell r="J3044">
            <v>46167</v>
          </cell>
          <cell r="K3044">
            <v>100.75190000000001</v>
          </cell>
          <cell r="L3044">
            <v>46147</v>
          </cell>
          <cell r="M3044">
            <v>-2121</v>
          </cell>
          <cell r="N3044">
            <v>97879</v>
          </cell>
        </row>
        <row r="3045">
          <cell r="A3045">
            <v>64145</v>
          </cell>
          <cell r="B3045">
            <v>3039</v>
          </cell>
          <cell r="C3045" t="str">
            <v>IASWD2408001388</v>
          </cell>
          <cell r="D3045">
            <v>45534</v>
          </cell>
          <cell r="E3045">
            <v>46250</v>
          </cell>
          <cell r="F3045" t="str">
            <v>64145</v>
          </cell>
          <cell r="G3045" t="str">
            <v>樺漢五</v>
          </cell>
          <cell r="H3045">
            <v>100000</v>
          </cell>
          <cell r="I3045">
            <v>3</v>
          </cell>
          <cell r="J3045">
            <v>46250</v>
          </cell>
          <cell r="K3045">
            <v>100</v>
          </cell>
          <cell r="L3045">
            <v>46231</v>
          </cell>
          <cell r="M3045">
            <v>-2121</v>
          </cell>
          <cell r="N3045">
            <v>97879</v>
          </cell>
        </row>
        <row r="3046">
          <cell r="A3046">
            <v>35482</v>
          </cell>
          <cell r="B3046">
            <v>3040</v>
          </cell>
          <cell r="C3046" t="str">
            <v>IASWD2408001389</v>
          </cell>
          <cell r="D3046">
            <v>45534</v>
          </cell>
          <cell r="E3046">
            <v>46395</v>
          </cell>
          <cell r="F3046" t="str">
            <v>35482</v>
          </cell>
          <cell r="G3046" t="str">
            <v>兆利二</v>
          </cell>
          <cell r="H3046">
            <v>100000</v>
          </cell>
          <cell r="I3046">
            <v>3</v>
          </cell>
          <cell r="J3046">
            <v>46395</v>
          </cell>
          <cell r="K3046">
            <v>100</v>
          </cell>
          <cell r="L3046">
            <v>46377</v>
          </cell>
          <cell r="M3046">
            <v>-2121</v>
          </cell>
          <cell r="N3046">
            <v>97879</v>
          </cell>
        </row>
        <row r="3047">
          <cell r="A3047">
            <v>36804</v>
          </cell>
          <cell r="B3047">
            <v>3041</v>
          </cell>
          <cell r="C3047" t="str">
            <v>IASWD2408001390</v>
          </cell>
          <cell r="D3047">
            <v>45534</v>
          </cell>
          <cell r="E3047">
            <v>45948</v>
          </cell>
          <cell r="F3047" t="str">
            <v>36804</v>
          </cell>
          <cell r="G3047" t="str">
            <v>家登四</v>
          </cell>
          <cell r="H3047">
            <v>1500000</v>
          </cell>
          <cell r="I3047">
            <v>3.2</v>
          </cell>
          <cell r="J3047">
            <v>45948</v>
          </cell>
          <cell r="K3047">
            <v>100</v>
          </cell>
          <cell r="L3047">
            <v>45926</v>
          </cell>
          <cell r="M3047">
            <v>-33929</v>
          </cell>
          <cell r="N3047">
            <v>1466071</v>
          </cell>
        </row>
        <row r="3048">
          <cell r="A3048">
            <v>35482</v>
          </cell>
          <cell r="B3048">
            <v>3042</v>
          </cell>
          <cell r="C3048" t="str">
            <v>IASWD2408001391</v>
          </cell>
          <cell r="D3048">
            <v>45534</v>
          </cell>
          <cell r="E3048">
            <v>46395</v>
          </cell>
          <cell r="F3048" t="str">
            <v>35482</v>
          </cell>
          <cell r="G3048" t="str">
            <v>兆利二</v>
          </cell>
          <cell r="H3048">
            <v>200000</v>
          </cell>
          <cell r="I3048">
            <v>3</v>
          </cell>
          <cell r="J3048">
            <v>46395</v>
          </cell>
          <cell r="K3048">
            <v>100</v>
          </cell>
          <cell r="L3048">
            <v>46377</v>
          </cell>
          <cell r="M3048">
            <v>-4241</v>
          </cell>
          <cell r="N3048">
            <v>195759</v>
          </cell>
        </row>
        <row r="3049">
          <cell r="A3049">
            <v>811210</v>
          </cell>
          <cell r="B3049">
            <v>3043</v>
          </cell>
          <cell r="C3049" t="str">
            <v>IASWD2408001393</v>
          </cell>
          <cell r="D3049">
            <v>45534</v>
          </cell>
          <cell r="E3049">
            <v>46531</v>
          </cell>
          <cell r="F3049" t="str">
            <v>811210</v>
          </cell>
          <cell r="G3049" t="str">
            <v>至上十</v>
          </cell>
          <cell r="H3049">
            <v>100000</v>
          </cell>
          <cell r="I3049">
            <v>3.7</v>
          </cell>
          <cell r="J3049">
            <v>46531</v>
          </cell>
          <cell r="K3049">
            <v>100</v>
          </cell>
          <cell r="L3049">
            <v>46511</v>
          </cell>
          <cell r="M3049">
            <v>-2615</v>
          </cell>
          <cell r="N3049">
            <v>97385</v>
          </cell>
        </row>
        <row r="3050">
          <cell r="A3050">
            <v>34843</v>
          </cell>
          <cell r="B3050">
            <v>3044</v>
          </cell>
          <cell r="C3050" t="str">
            <v>IASWD2408001394</v>
          </cell>
          <cell r="D3050">
            <v>45534</v>
          </cell>
          <cell r="E3050">
            <v>46136</v>
          </cell>
          <cell r="F3050" t="str">
            <v>34843</v>
          </cell>
          <cell r="G3050" t="str">
            <v>崧騰三</v>
          </cell>
          <cell r="H3050">
            <v>100000</v>
          </cell>
          <cell r="I3050">
            <v>3.5</v>
          </cell>
          <cell r="J3050">
            <v>46136</v>
          </cell>
          <cell r="K3050">
            <v>100.75</v>
          </cell>
          <cell r="L3050">
            <v>46118</v>
          </cell>
          <cell r="M3050">
            <v>-2474</v>
          </cell>
          <cell r="N3050">
            <v>97526</v>
          </cell>
        </row>
        <row r="3051">
          <cell r="A3051">
            <v>34843</v>
          </cell>
          <cell r="B3051">
            <v>3045</v>
          </cell>
          <cell r="C3051" t="str">
            <v>IASWD2408001396</v>
          </cell>
          <cell r="D3051">
            <v>45534</v>
          </cell>
          <cell r="E3051">
            <v>46136</v>
          </cell>
          <cell r="F3051" t="str">
            <v>34843</v>
          </cell>
          <cell r="G3051" t="str">
            <v>崧騰三</v>
          </cell>
          <cell r="H3051">
            <v>300000</v>
          </cell>
          <cell r="I3051">
            <v>3.5</v>
          </cell>
          <cell r="J3051">
            <v>46136</v>
          </cell>
          <cell r="K3051">
            <v>100.75</v>
          </cell>
          <cell r="L3051">
            <v>46118</v>
          </cell>
          <cell r="M3051">
            <v>-7422</v>
          </cell>
          <cell r="N3051">
            <v>292578</v>
          </cell>
        </row>
        <row r="3052">
          <cell r="A3052">
            <v>84781</v>
          </cell>
          <cell r="B3052">
            <v>3046</v>
          </cell>
          <cell r="C3052" t="str">
            <v>IASWD2408001397</v>
          </cell>
          <cell r="D3052">
            <v>45534</v>
          </cell>
          <cell r="E3052">
            <v>46583</v>
          </cell>
          <cell r="F3052" t="str">
            <v>84781</v>
          </cell>
          <cell r="G3052" t="str">
            <v>東哥遊艇一</v>
          </cell>
          <cell r="H3052">
            <v>100000</v>
          </cell>
          <cell r="I3052">
            <v>3.1</v>
          </cell>
          <cell r="J3052">
            <v>46583</v>
          </cell>
          <cell r="K3052">
            <v>100</v>
          </cell>
          <cell r="L3052">
            <v>46563</v>
          </cell>
          <cell r="M3052">
            <v>-2191</v>
          </cell>
          <cell r="N3052">
            <v>97809</v>
          </cell>
        </row>
        <row r="3053">
          <cell r="A3053">
            <v>22013</v>
          </cell>
          <cell r="B3053">
            <v>3047</v>
          </cell>
          <cell r="C3053" t="str">
            <v>IASWD2408001399</v>
          </cell>
          <cell r="D3053">
            <v>45534</v>
          </cell>
          <cell r="E3053">
            <v>46167</v>
          </cell>
          <cell r="F3053" t="str">
            <v>22013</v>
          </cell>
          <cell r="G3053" t="str">
            <v>裕隆三</v>
          </cell>
          <cell r="H3053">
            <v>500000</v>
          </cell>
          <cell r="I3053">
            <v>3</v>
          </cell>
          <cell r="J3053">
            <v>46167</v>
          </cell>
          <cell r="K3053">
            <v>100.75190000000001</v>
          </cell>
          <cell r="L3053">
            <v>46147</v>
          </cell>
          <cell r="M3053">
            <v>-10603</v>
          </cell>
          <cell r="N3053">
            <v>489397</v>
          </cell>
        </row>
        <row r="3054">
          <cell r="A3054">
            <v>34834</v>
          </cell>
          <cell r="B3054">
            <v>3048</v>
          </cell>
          <cell r="C3054" t="str">
            <v>IASWD2408001400</v>
          </cell>
          <cell r="D3054">
            <v>45534</v>
          </cell>
          <cell r="E3054">
            <v>46529</v>
          </cell>
          <cell r="F3054" t="str">
            <v>34834</v>
          </cell>
          <cell r="G3054" t="str">
            <v>力致四</v>
          </cell>
          <cell r="H3054">
            <v>100000</v>
          </cell>
          <cell r="I3054">
            <v>3.75</v>
          </cell>
          <cell r="J3054">
            <v>46529</v>
          </cell>
          <cell r="K3054">
            <v>100</v>
          </cell>
          <cell r="L3054">
            <v>46511</v>
          </cell>
          <cell r="M3054">
            <v>-2651</v>
          </cell>
          <cell r="N3054">
            <v>97349</v>
          </cell>
        </row>
        <row r="3055">
          <cell r="A3055">
            <v>61875</v>
          </cell>
          <cell r="B3055">
            <v>3049</v>
          </cell>
          <cell r="C3055" t="str">
            <v>IASWD2408001401</v>
          </cell>
          <cell r="D3055">
            <v>45534</v>
          </cell>
          <cell r="E3055">
            <v>46578</v>
          </cell>
          <cell r="F3055" t="str">
            <v>61875</v>
          </cell>
          <cell r="G3055" t="str">
            <v>萬潤五</v>
          </cell>
          <cell r="H3055">
            <v>100000</v>
          </cell>
          <cell r="I3055">
            <v>3.1</v>
          </cell>
          <cell r="J3055">
            <v>46578</v>
          </cell>
          <cell r="K3055">
            <v>100</v>
          </cell>
          <cell r="L3055">
            <v>46560</v>
          </cell>
          <cell r="M3055">
            <v>-2191</v>
          </cell>
          <cell r="N3055">
            <v>97809</v>
          </cell>
        </row>
        <row r="3056">
          <cell r="A3056">
            <v>61875</v>
          </cell>
          <cell r="B3056">
            <v>3050</v>
          </cell>
          <cell r="C3056" t="str">
            <v>IASWD2408001402</v>
          </cell>
          <cell r="D3056">
            <v>45534</v>
          </cell>
          <cell r="E3056">
            <v>46578</v>
          </cell>
          <cell r="F3056" t="str">
            <v>61875</v>
          </cell>
          <cell r="G3056" t="str">
            <v>萬潤五</v>
          </cell>
          <cell r="H3056">
            <v>100000</v>
          </cell>
          <cell r="I3056">
            <v>3.1</v>
          </cell>
          <cell r="J3056">
            <v>46578</v>
          </cell>
          <cell r="K3056">
            <v>100</v>
          </cell>
          <cell r="L3056">
            <v>46560</v>
          </cell>
          <cell r="M3056">
            <v>-2191</v>
          </cell>
          <cell r="N3056">
            <v>97809</v>
          </cell>
        </row>
        <row r="3057">
          <cell r="A3057">
            <v>82551</v>
          </cell>
          <cell r="B3057">
            <v>3051</v>
          </cell>
          <cell r="C3057" t="str">
            <v>IASWD2408001403</v>
          </cell>
          <cell r="D3057">
            <v>45534</v>
          </cell>
          <cell r="E3057">
            <v>46243</v>
          </cell>
          <cell r="F3057" t="str">
            <v>82551</v>
          </cell>
          <cell r="G3057" t="str">
            <v>朋程一</v>
          </cell>
          <cell r="H3057">
            <v>100000</v>
          </cell>
          <cell r="I3057">
            <v>2.6</v>
          </cell>
          <cell r="J3057">
            <v>46243</v>
          </cell>
          <cell r="K3057">
            <v>100</v>
          </cell>
          <cell r="L3057">
            <v>46224</v>
          </cell>
          <cell r="M3057">
            <v>-1838</v>
          </cell>
          <cell r="N3057">
            <v>98162</v>
          </cell>
        </row>
        <row r="3058">
          <cell r="A3058">
            <v>35482</v>
          </cell>
          <cell r="B3058">
            <v>3052</v>
          </cell>
          <cell r="C3058" t="str">
            <v>IASWD2408001404</v>
          </cell>
          <cell r="D3058">
            <v>45534</v>
          </cell>
          <cell r="E3058">
            <v>46395</v>
          </cell>
          <cell r="F3058" t="str">
            <v>35482</v>
          </cell>
          <cell r="G3058" t="str">
            <v>兆利二</v>
          </cell>
          <cell r="H3058">
            <v>200000</v>
          </cell>
          <cell r="I3058">
            <v>3</v>
          </cell>
          <cell r="J3058">
            <v>46395</v>
          </cell>
          <cell r="K3058">
            <v>100</v>
          </cell>
          <cell r="L3058">
            <v>46377</v>
          </cell>
          <cell r="M3058">
            <v>-4241</v>
          </cell>
          <cell r="N3058">
            <v>195759</v>
          </cell>
        </row>
        <row r="3059">
          <cell r="A3059">
            <v>61875</v>
          </cell>
          <cell r="B3059">
            <v>3053</v>
          </cell>
          <cell r="C3059" t="str">
            <v>IASWD2408001405</v>
          </cell>
          <cell r="D3059">
            <v>45534</v>
          </cell>
          <cell r="E3059">
            <v>46578</v>
          </cell>
          <cell r="F3059" t="str">
            <v>61875</v>
          </cell>
          <cell r="G3059" t="str">
            <v>萬潤五</v>
          </cell>
          <cell r="H3059">
            <v>100000</v>
          </cell>
          <cell r="I3059">
            <v>3.1</v>
          </cell>
          <cell r="J3059">
            <v>46578</v>
          </cell>
          <cell r="K3059">
            <v>100</v>
          </cell>
          <cell r="L3059">
            <v>46560</v>
          </cell>
          <cell r="M3059">
            <v>-2191</v>
          </cell>
          <cell r="N3059">
            <v>97809</v>
          </cell>
        </row>
        <row r="3060">
          <cell r="A3060">
            <v>35482</v>
          </cell>
          <cell r="B3060">
            <v>3054</v>
          </cell>
          <cell r="C3060" t="str">
            <v>IASWD2408001406</v>
          </cell>
          <cell r="D3060">
            <v>45534</v>
          </cell>
          <cell r="E3060">
            <v>46395</v>
          </cell>
          <cell r="F3060" t="str">
            <v>35482</v>
          </cell>
          <cell r="G3060" t="str">
            <v>兆利二</v>
          </cell>
          <cell r="H3060">
            <v>100000</v>
          </cell>
          <cell r="I3060">
            <v>3</v>
          </cell>
          <cell r="J3060">
            <v>46395</v>
          </cell>
          <cell r="K3060">
            <v>100</v>
          </cell>
          <cell r="L3060">
            <v>46377</v>
          </cell>
          <cell r="M3060">
            <v>-2121</v>
          </cell>
          <cell r="N3060">
            <v>97879</v>
          </cell>
        </row>
        <row r="3061">
          <cell r="A3061">
            <v>22013</v>
          </cell>
          <cell r="B3061">
            <v>3055</v>
          </cell>
          <cell r="C3061" t="str">
            <v>IASWD2408001407</v>
          </cell>
          <cell r="D3061">
            <v>45534</v>
          </cell>
          <cell r="E3061">
            <v>46167</v>
          </cell>
          <cell r="F3061" t="str">
            <v>22013</v>
          </cell>
          <cell r="G3061" t="str">
            <v>裕隆三</v>
          </cell>
          <cell r="H3061">
            <v>100000</v>
          </cell>
          <cell r="I3061">
            <v>3</v>
          </cell>
          <cell r="J3061">
            <v>46167</v>
          </cell>
          <cell r="K3061">
            <v>100.75190000000001</v>
          </cell>
          <cell r="L3061">
            <v>46147</v>
          </cell>
          <cell r="M3061">
            <v>-2121</v>
          </cell>
          <cell r="N3061">
            <v>97879</v>
          </cell>
        </row>
        <row r="3062">
          <cell r="A3062">
            <v>34163</v>
          </cell>
          <cell r="B3062">
            <v>3056</v>
          </cell>
          <cell r="C3062" t="str">
            <v>IASWD2409000001</v>
          </cell>
          <cell r="D3062">
            <v>45537</v>
          </cell>
          <cell r="E3062">
            <v>46047</v>
          </cell>
          <cell r="F3062" t="str">
            <v>34163</v>
          </cell>
          <cell r="G3062" t="str">
            <v>融程電三</v>
          </cell>
          <cell r="H3062">
            <v>400000</v>
          </cell>
          <cell r="I3062">
            <v>3</v>
          </cell>
          <cell r="J3062">
            <v>46047</v>
          </cell>
          <cell r="K3062">
            <v>100.5</v>
          </cell>
          <cell r="L3062">
            <v>46028</v>
          </cell>
          <cell r="M3062">
            <v>-8384</v>
          </cell>
          <cell r="N3062">
            <v>391616</v>
          </cell>
        </row>
        <row r="3063">
          <cell r="A3063">
            <v>36804</v>
          </cell>
          <cell r="B3063">
            <v>3057</v>
          </cell>
          <cell r="C3063" t="str">
            <v>IASWD2409000002</v>
          </cell>
          <cell r="D3063">
            <v>45537</v>
          </cell>
          <cell r="E3063">
            <v>45948</v>
          </cell>
          <cell r="F3063" t="str">
            <v>36804</v>
          </cell>
          <cell r="G3063" t="str">
            <v>家登四</v>
          </cell>
          <cell r="H3063">
            <v>100000</v>
          </cell>
          <cell r="I3063">
            <v>3.2</v>
          </cell>
          <cell r="J3063">
            <v>45948</v>
          </cell>
          <cell r="K3063">
            <v>100</v>
          </cell>
          <cell r="L3063">
            <v>45926</v>
          </cell>
          <cell r="M3063">
            <v>-2236</v>
          </cell>
          <cell r="N3063">
            <v>97764</v>
          </cell>
        </row>
        <row r="3064">
          <cell r="A3064">
            <v>35266</v>
          </cell>
          <cell r="B3064">
            <v>3058</v>
          </cell>
          <cell r="C3064" t="str">
            <v>IASWD2409000003</v>
          </cell>
          <cell r="D3064">
            <v>45537</v>
          </cell>
          <cell r="E3064">
            <v>46416</v>
          </cell>
          <cell r="F3064" t="str">
            <v>35266</v>
          </cell>
          <cell r="G3064" t="str">
            <v>凡甲六</v>
          </cell>
          <cell r="H3064">
            <v>100000</v>
          </cell>
          <cell r="I3064">
            <v>3.5</v>
          </cell>
          <cell r="J3064">
            <v>46416</v>
          </cell>
          <cell r="K3064">
            <v>100</v>
          </cell>
          <cell r="L3064">
            <v>46398</v>
          </cell>
          <cell r="M3064">
            <v>-2445</v>
          </cell>
          <cell r="N3064">
            <v>97555</v>
          </cell>
        </row>
        <row r="3065">
          <cell r="A3065">
            <v>35482</v>
          </cell>
          <cell r="B3065">
            <v>3059</v>
          </cell>
          <cell r="C3065" t="str">
            <v>IASWD2409000004</v>
          </cell>
          <cell r="D3065">
            <v>45537</v>
          </cell>
          <cell r="E3065">
            <v>46395</v>
          </cell>
          <cell r="F3065" t="str">
            <v>35482</v>
          </cell>
          <cell r="G3065" t="str">
            <v>兆利二</v>
          </cell>
          <cell r="H3065">
            <v>200000</v>
          </cell>
          <cell r="I3065">
            <v>3</v>
          </cell>
          <cell r="J3065">
            <v>46395</v>
          </cell>
          <cell r="K3065">
            <v>100</v>
          </cell>
          <cell r="L3065">
            <v>46377</v>
          </cell>
          <cell r="M3065">
            <v>-4192</v>
          </cell>
          <cell r="N3065">
            <v>195808</v>
          </cell>
        </row>
        <row r="3066">
          <cell r="A3066">
            <v>61875</v>
          </cell>
          <cell r="B3066">
            <v>3060</v>
          </cell>
          <cell r="C3066" t="str">
            <v>IASWD2409000005</v>
          </cell>
          <cell r="D3066">
            <v>45537</v>
          </cell>
          <cell r="E3066">
            <v>46578</v>
          </cell>
          <cell r="F3066" t="str">
            <v>61875</v>
          </cell>
          <cell r="G3066" t="str">
            <v>萬潤五</v>
          </cell>
          <cell r="H3066">
            <v>100000</v>
          </cell>
          <cell r="I3066">
            <v>3.1</v>
          </cell>
          <cell r="J3066">
            <v>46578</v>
          </cell>
          <cell r="K3066">
            <v>100</v>
          </cell>
          <cell r="L3066">
            <v>46560</v>
          </cell>
          <cell r="M3066">
            <v>-2166</v>
          </cell>
          <cell r="N3066">
            <v>97834</v>
          </cell>
        </row>
        <row r="3067">
          <cell r="A3067">
            <v>22013</v>
          </cell>
          <cell r="B3067">
            <v>3061</v>
          </cell>
          <cell r="C3067" t="str">
            <v>IASWD2409000006</v>
          </cell>
          <cell r="D3067">
            <v>45537</v>
          </cell>
          <cell r="E3067">
            <v>46167</v>
          </cell>
          <cell r="F3067" t="str">
            <v>22013</v>
          </cell>
          <cell r="G3067" t="str">
            <v>裕隆三</v>
          </cell>
          <cell r="H3067">
            <v>100000</v>
          </cell>
          <cell r="I3067">
            <v>3</v>
          </cell>
          <cell r="J3067">
            <v>46167</v>
          </cell>
          <cell r="K3067">
            <v>100.75190000000001</v>
          </cell>
          <cell r="L3067">
            <v>46147</v>
          </cell>
          <cell r="M3067">
            <v>-2096</v>
          </cell>
          <cell r="N3067">
            <v>97904</v>
          </cell>
        </row>
        <row r="3068">
          <cell r="A3068">
            <v>56086</v>
          </cell>
          <cell r="B3068">
            <v>3062</v>
          </cell>
          <cell r="C3068" t="str">
            <v>IASWD2409000008</v>
          </cell>
          <cell r="D3068">
            <v>45537</v>
          </cell>
          <cell r="E3068">
            <v>46194</v>
          </cell>
          <cell r="F3068" t="str">
            <v>56086</v>
          </cell>
          <cell r="G3068" t="str">
            <v>四維航六</v>
          </cell>
          <cell r="H3068">
            <v>200000</v>
          </cell>
          <cell r="I3068">
            <v>2.35</v>
          </cell>
          <cell r="J3068">
            <v>46194</v>
          </cell>
          <cell r="K3068">
            <v>100</v>
          </cell>
          <cell r="L3068">
            <v>46175</v>
          </cell>
          <cell r="M3068">
            <v>-3284</v>
          </cell>
          <cell r="N3068">
            <v>196716</v>
          </cell>
        </row>
        <row r="3069">
          <cell r="A3069">
            <v>34834</v>
          </cell>
          <cell r="B3069">
            <v>3063</v>
          </cell>
          <cell r="C3069" t="str">
            <v>IASWD2409000010</v>
          </cell>
          <cell r="D3069">
            <v>45537</v>
          </cell>
          <cell r="E3069">
            <v>46529</v>
          </cell>
          <cell r="F3069" t="str">
            <v>34834</v>
          </cell>
          <cell r="G3069" t="str">
            <v>力致四</v>
          </cell>
          <cell r="H3069">
            <v>100000</v>
          </cell>
          <cell r="I3069">
            <v>3.75</v>
          </cell>
          <cell r="J3069">
            <v>46529</v>
          </cell>
          <cell r="K3069">
            <v>100</v>
          </cell>
          <cell r="L3069">
            <v>46511</v>
          </cell>
          <cell r="M3069">
            <v>-2620</v>
          </cell>
          <cell r="N3069">
            <v>97380</v>
          </cell>
        </row>
        <row r="3070">
          <cell r="A3070">
            <v>82551</v>
          </cell>
          <cell r="B3070">
            <v>3064</v>
          </cell>
          <cell r="C3070" t="str">
            <v>IASWD2409000011</v>
          </cell>
          <cell r="D3070">
            <v>45537</v>
          </cell>
          <cell r="E3070">
            <v>46243</v>
          </cell>
          <cell r="F3070" t="str">
            <v>82551</v>
          </cell>
          <cell r="G3070" t="str">
            <v>朋程一</v>
          </cell>
          <cell r="H3070">
            <v>100000</v>
          </cell>
          <cell r="I3070">
            <v>2.6</v>
          </cell>
          <cell r="J3070">
            <v>46243</v>
          </cell>
          <cell r="K3070">
            <v>100</v>
          </cell>
          <cell r="L3070">
            <v>46224</v>
          </cell>
          <cell r="M3070">
            <v>-1816</v>
          </cell>
          <cell r="N3070">
            <v>98184</v>
          </cell>
        </row>
        <row r="3071">
          <cell r="A3071">
            <v>22013</v>
          </cell>
          <cell r="B3071">
            <v>3065</v>
          </cell>
          <cell r="C3071" t="str">
            <v>IASWD2409000012</v>
          </cell>
          <cell r="D3071">
            <v>45537</v>
          </cell>
          <cell r="E3071">
            <v>46167</v>
          </cell>
          <cell r="F3071" t="str">
            <v>22013</v>
          </cell>
          <cell r="G3071" t="str">
            <v>裕隆三</v>
          </cell>
          <cell r="H3071">
            <v>100000</v>
          </cell>
          <cell r="I3071">
            <v>3</v>
          </cell>
          <cell r="J3071">
            <v>46167</v>
          </cell>
          <cell r="K3071">
            <v>100.75190000000001</v>
          </cell>
          <cell r="L3071">
            <v>46147</v>
          </cell>
          <cell r="M3071">
            <v>-2096</v>
          </cell>
          <cell r="N3071">
            <v>97904</v>
          </cell>
        </row>
        <row r="3072">
          <cell r="A3072">
            <v>52091</v>
          </cell>
          <cell r="B3072">
            <v>3066</v>
          </cell>
          <cell r="C3072" t="str">
            <v>IASWD2409000013</v>
          </cell>
          <cell r="D3072">
            <v>45537</v>
          </cell>
          <cell r="E3072">
            <v>46301</v>
          </cell>
          <cell r="F3072" t="str">
            <v>52091</v>
          </cell>
          <cell r="G3072" t="str">
            <v>新鼎一</v>
          </cell>
          <cell r="H3072">
            <v>1000000</v>
          </cell>
          <cell r="I3072">
            <v>3.75</v>
          </cell>
          <cell r="J3072">
            <v>46301</v>
          </cell>
          <cell r="K3072">
            <v>100</v>
          </cell>
          <cell r="L3072">
            <v>46281</v>
          </cell>
          <cell r="M3072">
            <v>-26199</v>
          </cell>
          <cell r="N3072">
            <v>973801</v>
          </cell>
        </row>
        <row r="3073">
          <cell r="A3073">
            <v>35482</v>
          </cell>
          <cell r="B3073">
            <v>3067</v>
          </cell>
          <cell r="C3073" t="str">
            <v>IASWD2409000015</v>
          </cell>
          <cell r="D3073">
            <v>45537</v>
          </cell>
          <cell r="E3073">
            <v>46395</v>
          </cell>
          <cell r="F3073" t="str">
            <v>35482</v>
          </cell>
          <cell r="G3073" t="str">
            <v>兆利二</v>
          </cell>
          <cell r="H3073">
            <v>100000</v>
          </cell>
          <cell r="I3073">
            <v>3</v>
          </cell>
          <cell r="J3073">
            <v>46395</v>
          </cell>
          <cell r="K3073">
            <v>100</v>
          </cell>
          <cell r="L3073">
            <v>46377</v>
          </cell>
          <cell r="M3073">
            <v>-2096</v>
          </cell>
          <cell r="N3073">
            <v>97904</v>
          </cell>
        </row>
        <row r="3074">
          <cell r="A3074">
            <v>36804</v>
          </cell>
          <cell r="B3074">
            <v>3068</v>
          </cell>
          <cell r="C3074" t="str">
            <v>IASWD2409000016</v>
          </cell>
          <cell r="D3074">
            <v>45537</v>
          </cell>
          <cell r="E3074">
            <v>45948</v>
          </cell>
          <cell r="F3074" t="str">
            <v>36804</v>
          </cell>
          <cell r="G3074" t="str">
            <v>家登四</v>
          </cell>
          <cell r="H3074">
            <v>100000</v>
          </cell>
          <cell r="I3074">
            <v>3.2</v>
          </cell>
          <cell r="J3074">
            <v>45948</v>
          </cell>
          <cell r="K3074">
            <v>100</v>
          </cell>
          <cell r="L3074">
            <v>45926</v>
          </cell>
          <cell r="M3074">
            <v>-2236</v>
          </cell>
          <cell r="N3074">
            <v>97764</v>
          </cell>
        </row>
        <row r="3075">
          <cell r="A3075">
            <v>35482</v>
          </cell>
          <cell r="B3075">
            <v>3069</v>
          </cell>
          <cell r="C3075" t="str">
            <v>IASWD2409000017</v>
          </cell>
          <cell r="D3075">
            <v>45537</v>
          </cell>
          <cell r="E3075">
            <v>46395</v>
          </cell>
          <cell r="F3075" t="str">
            <v>35482</v>
          </cell>
          <cell r="G3075" t="str">
            <v>兆利二</v>
          </cell>
          <cell r="H3075">
            <v>100000</v>
          </cell>
          <cell r="I3075">
            <v>3</v>
          </cell>
          <cell r="J3075">
            <v>46395</v>
          </cell>
          <cell r="K3075">
            <v>100</v>
          </cell>
          <cell r="L3075">
            <v>46377</v>
          </cell>
          <cell r="M3075">
            <v>-2096</v>
          </cell>
          <cell r="N3075">
            <v>97904</v>
          </cell>
        </row>
        <row r="3076">
          <cell r="A3076">
            <v>35482</v>
          </cell>
          <cell r="B3076">
            <v>3070</v>
          </cell>
          <cell r="C3076" t="str">
            <v>IASWD2409000019</v>
          </cell>
          <cell r="D3076">
            <v>45537</v>
          </cell>
          <cell r="E3076">
            <v>46395</v>
          </cell>
          <cell r="F3076" t="str">
            <v>35482</v>
          </cell>
          <cell r="G3076" t="str">
            <v>兆利二</v>
          </cell>
          <cell r="H3076">
            <v>100000</v>
          </cell>
          <cell r="I3076">
            <v>3</v>
          </cell>
          <cell r="J3076">
            <v>46395</v>
          </cell>
          <cell r="K3076">
            <v>100</v>
          </cell>
          <cell r="L3076">
            <v>46377</v>
          </cell>
          <cell r="M3076">
            <v>-2096</v>
          </cell>
          <cell r="N3076">
            <v>97904</v>
          </cell>
        </row>
        <row r="3077">
          <cell r="A3077">
            <v>61875</v>
          </cell>
          <cell r="B3077">
            <v>3071</v>
          </cell>
          <cell r="C3077" t="str">
            <v>IASWD2409000020</v>
          </cell>
          <cell r="D3077">
            <v>45537</v>
          </cell>
          <cell r="E3077">
            <v>46578</v>
          </cell>
          <cell r="F3077" t="str">
            <v>61875</v>
          </cell>
          <cell r="G3077" t="str">
            <v>萬潤五</v>
          </cell>
          <cell r="H3077">
            <v>100000</v>
          </cell>
          <cell r="I3077">
            <v>3.1</v>
          </cell>
          <cell r="J3077">
            <v>46578</v>
          </cell>
          <cell r="K3077">
            <v>100</v>
          </cell>
          <cell r="L3077">
            <v>46560</v>
          </cell>
          <cell r="M3077">
            <v>-2166</v>
          </cell>
          <cell r="N3077">
            <v>97834</v>
          </cell>
        </row>
        <row r="3078">
          <cell r="A3078">
            <v>35482</v>
          </cell>
          <cell r="B3078">
            <v>3072</v>
          </cell>
          <cell r="C3078" t="str">
            <v>IASWD2409000021</v>
          </cell>
          <cell r="D3078">
            <v>45537</v>
          </cell>
          <cell r="E3078">
            <v>46395</v>
          </cell>
          <cell r="F3078" t="str">
            <v>35482</v>
          </cell>
          <cell r="G3078" t="str">
            <v>兆利二</v>
          </cell>
          <cell r="H3078">
            <v>200000</v>
          </cell>
          <cell r="I3078">
            <v>3</v>
          </cell>
          <cell r="J3078">
            <v>46395</v>
          </cell>
          <cell r="K3078">
            <v>100</v>
          </cell>
          <cell r="L3078">
            <v>46377</v>
          </cell>
          <cell r="M3078">
            <v>-4192</v>
          </cell>
          <cell r="N3078">
            <v>195808</v>
          </cell>
        </row>
        <row r="3079">
          <cell r="A3079">
            <v>64145</v>
          </cell>
          <cell r="B3079">
            <v>3073</v>
          </cell>
          <cell r="C3079" t="str">
            <v>IASWD2409000022</v>
          </cell>
          <cell r="D3079">
            <v>45537</v>
          </cell>
          <cell r="E3079">
            <v>46250</v>
          </cell>
          <cell r="F3079" t="str">
            <v>64145</v>
          </cell>
          <cell r="G3079" t="str">
            <v>樺漢五</v>
          </cell>
          <cell r="H3079">
            <v>100000</v>
          </cell>
          <cell r="I3079">
            <v>3</v>
          </cell>
          <cell r="J3079">
            <v>46250</v>
          </cell>
          <cell r="K3079">
            <v>100</v>
          </cell>
          <cell r="L3079">
            <v>46231</v>
          </cell>
          <cell r="M3079">
            <v>-2096</v>
          </cell>
          <cell r="N3079">
            <v>97904</v>
          </cell>
        </row>
        <row r="3080">
          <cell r="A3080">
            <v>22013</v>
          </cell>
          <cell r="B3080">
            <v>3074</v>
          </cell>
          <cell r="C3080" t="str">
            <v>IASWD2409000023</v>
          </cell>
          <cell r="D3080">
            <v>45537</v>
          </cell>
          <cell r="E3080">
            <v>46167</v>
          </cell>
          <cell r="F3080" t="str">
            <v>22013</v>
          </cell>
          <cell r="G3080" t="str">
            <v>裕隆三</v>
          </cell>
          <cell r="H3080">
            <v>500000</v>
          </cell>
          <cell r="I3080">
            <v>3</v>
          </cell>
          <cell r="J3080">
            <v>46167</v>
          </cell>
          <cell r="K3080">
            <v>100.75190000000001</v>
          </cell>
          <cell r="L3080">
            <v>46147</v>
          </cell>
          <cell r="M3080">
            <v>-10479</v>
          </cell>
          <cell r="N3080">
            <v>489521</v>
          </cell>
        </row>
        <row r="3081">
          <cell r="A3081">
            <v>36804</v>
          </cell>
          <cell r="B3081">
            <v>3075</v>
          </cell>
          <cell r="C3081" t="str">
            <v>IASWD2409000024</v>
          </cell>
          <cell r="D3081">
            <v>45537</v>
          </cell>
          <cell r="E3081">
            <v>45948</v>
          </cell>
          <cell r="F3081" t="str">
            <v>36804</v>
          </cell>
          <cell r="G3081" t="str">
            <v>家登四</v>
          </cell>
          <cell r="H3081">
            <v>100000</v>
          </cell>
          <cell r="I3081">
            <v>3.2</v>
          </cell>
          <cell r="J3081">
            <v>45948</v>
          </cell>
          <cell r="K3081">
            <v>100</v>
          </cell>
          <cell r="L3081">
            <v>45926</v>
          </cell>
          <cell r="M3081">
            <v>-2236</v>
          </cell>
          <cell r="N3081">
            <v>97764</v>
          </cell>
        </row>
        <row r="3082">
          <cell r="A3082">
            <v>35482</v>
          </cell>
          <cell r="B3082">
            <v>3076</v>
          </cell>
          <cell r="C3082" t="str">
            <v>IASWD2409000028</v>
          </cell>
          <cell r="D3082">
            <v>45537</v>
          </cell>
          <cell r="E3082">
            <v>46395</v>
          </cell>
          <cell r="F3082" t="str">
            <v>35482</v>
          </cell>
          <cell r="G3082" t="str">
            <v>兆利二</v>
          </cell>
          <cell r="H3082">
            <v>100000</v>
          </cell>
          <cell r="I3082">
            <v>3</v>
          </cell>
          <cell r="J3082">
            <v>46395</v>
          </cell>
          <cell r="K3082">
            <v>100</v>
          </cell>
          <cell r="L3082">
            <v>46377</v>
          </cell>
          <cell r="M3082">
            <v>-2096</v>
          </cell>
          <cell r="N3082">
            <v>97904</v>
          </cell>
        </row>
        <row r="3083">
          <cell r="A3083">
            <v>61875</v>
          </cell>
          <cell r="B3083">
            <v>3077</v>
          </cell>
          <cell r="C3083" t="str">
            <v>IASWD2409000029</v>
          </cell>
          <cell r="D3083">
            <v>45537</v>
          </cell>
          <cell r="E3083">
            <v>46578</v>
          </cell>
          <cell r="F3083" t="str">
            <v>61875</v>
          </cell>
          <cell r="G3083" t="str">
            <v>萬潤五</v>
          </cell>
          <cell r="H3083">
            <v>100000</v>
          </cell>
          <cell r="I3083">
            <v>3.1</v>
          </cell>
          <cell r="J3083">
            <v>46578</v>
          </cell>
          <cell r="K3083">
            <v>100</v>
          </cell>
          <cell r="L3083">
            <v>46560</v>
          </cell>
          <cell r="M3083">
            <v>-2166</v>
          </cell>
          <cell r="N3083">
            <v>97834</v>
          </cell>
        </row>
        <row r="3084">
          <cell r="A3084">
            <v>35482</v>
          </cell>
          <cell r="B3084">
            <v>3078</v>
          </cell>
          <cell r="C3084" t="str">
            <v>IASWD2409000030</v>
          </cell>
          <cell r="D3084">
            <v>45537</v>
          </cell>
          <cell r="E3084">
            <v>46395</v>
          </cell>
          <cell r="F3084" t="str">
            <v>35482</v>
          </cell>
          <cell r="G3084" t="str">
            <v>兆利二</v>
          </cell>
          <cell r="H3084">
            <v>100000</v>
          </cell>
          <cell r="I3084">
            <v>3</v>
          </cell>
          <cell r="J3084">
            <v>46395</v>
          </cell>
          <cell r="K3084">
            <v>100</v>
          </cell>
          <cell r="L3084">
            <v>46377</v>
          </cell>
          <cell r="M3084">
            <v>-2096</v>
          </cell>
          <cell r="N3084">
            <v>97904</v>
          </cell>
        </row>
        <row r="3085">
          <cell r="A3085">
            <v>22013</v>
          </cell>
          <cell r="B3085">
            <v>3079</v>
          </cell>
          <cell r="C3085" t="str">
            <v>IASWD2409000031</v>
          </cell>
          <cell r="D3085">
            <v>45537</v>
          </cell>
          <cell r="E3085">
            <v>46167</v>
          </cell>
          <cell r="F3085" t="str">
            <v>22013</v>
          </cell>
          <cell r="G3085" t="str">
            <v>裕隆三</v>
          </cell>
          <cell r="H3085">
            <v>100000</v>
          </cell>
          <cell r="I3085">
            <v>3</v>
          </cell>
          <cell r="J3085">
            <v>46167</v>
          </cell>
          <cell r="K3085">
            <v>100.75190000000001</v>
          </cell>
          <cell r="L3085">
            <v>46147</v>
          </cell>
          <cell r="M3085">
            <v>-2096</v>
          </cell>
          <cell r="N3085">
            <v>97904</v>
          </cell>
        </row>
        <row r="3086">
          <cell r="A3086">
            <v>27323</v>
          </cell>
          <cell r="B3086">
            <v>3080</v>
          </cell>
          <cell r="C3086" t="str">
            <v>IASWD2409000033</v>
          </cell>
          <cell r="D3086">
            <v>45537</v>
          </cell>
          <cell r="E3086">
            <v>46048</v>
          </cell>
          <cell r="F3086" t="str">
            <v>27323</v>
          </cell>
          <cell r="G3086" t="str">
            <v>六角三</v>
          </cell>
          <cell r="H3086">
            <v>100000</v>
          </cell>
          <cell r="I3086">
            <v>3</v>
          </cell>
          <cell r="J3086">
            <v>46048</v>
          </cell>
          <cell r="K3086">
            <v>101</v>
          </cell>
          <cell r="L3086">
            <v>46028</v>
          </cell>
          <cell r="M3086">
            <v>-2096</v>
          </cell>
          <cell r="N3086">
            <v>97904</v>
          </cell>
        </row>
        <row r="3087">
          <cell r="A3087">
            <v>89277</v>
          </cell>
          <cell r="B3087">
            <v>3081</v>
          </cell>
          <cell r="C3087" t="str">
            <v>IASWD2409000034</v>
          </cell>
          <cell r="D3087">
            <v>45537</v>
          </cell>
          <cell r="E3087">
            <v>46615</v>
          </cell>
          <cell r="F3087" t="str">
            <v>89277</v>
          </cell>
          <cell r="G3087" t="str">
            <v>北基七</v>
          </cell>
          <cell r="H3087">
            <v>700000</v>
          </cell>
          <cell r="I3087">
            <v>2.2000000000000002</v>
          </cell>
          <cell r="J3087">
            <v>46615</v>
          </cell>
          <cell r="K3087">
            <v>101.50749999999999</v>
          </cell>
          <cell r="L3087">
            <v>46595</v>
          </cell>
          <cell r="M3087">
            <v>-10759</v>
          </cell>
          <cell r="N3087">
            <v>689241</v>
          </cell>
        </row>
        <row r="3088">
          <cell r="A3088">
            <v>22013</v>
          </cell>
          <cell r="B3088">
            <v>3082</v>
          </cell>
          <cell r="C3088" t="str">
            <v>IASWD2409000035</v>
          </cell>
          <cell r="D3088">
            <v>45537</v>
          </cell>
          <cell r="E3088">
            <v>46167</v>
          </cell>
          <cell r="F3088" t="str">
            <v>22013</v>
          </cell>
          <cell r="G3088" t="str">
            <v>裕隆三</v>
          </cell>
          <cell r="H3088">
            <v>100000</v>
          </cell>
          <cell r="I3088">
            <v>3</v>
          </cell>
          <cell r="J3088">
            <v>46167</v>
          </cell>
          <cell r="K3088">
            <v>100.75190000000001</v>
          </cell>
          <cell r="L3088">
            <v>46147</v>
          </cell>
          <cell r="M3088">
            <v>-2096</v>
          </cell>
          <cell r="N3088">
            <v>97904</v>
          </cell>
        </row>
        <row r="3089">
          <cell r="A3089">
            <v>36804</v>
          </cell>
          <cell r="B3089">
            <v>3083</v>
          </cell>
          <cell r="C3089" t="str">
            <v>IASWD2409000036</v>
          </cell>
          <cell r="D3089">
            <v>45537</v>
          </cell>
          <cell r="E3089">
            <v>45948</v>
          </cell>
          <cell r="F3089" t="str">
            <v>36804</v>
          </cell>
          <cell r="G3089" t="str">
            <v>家登四</v>
          </cell>
          <cell r="H3089">
            <v>100000</v>
          </cell>
          <cell r="I3089">
            <v>3.2</v>
          </cell>
          <cell r="J3089">
            <v>45948</v>
          </cell>
          <cell r="K3089">
            <v>100</v>
          </cell>
          <cell r="L3089">
            <v>45926</v>
          </cell>
          <cell r="M3089">
            <v>-2236</v>
          </cell>
          <cell r="N3089">
            <v>97764</v>
          </cell>
        </row>
        <row r="3090">
          <cell r="A3090">
            <v>35266</v>
          </cell>
          <cell r="B3090">
            <v>3084</v>
          </cell>
          <cell r="C3090" t="str">
            <v>IASWD2409000038</v>
          </cell>
          <cell r="D3090">
            <v>45538</v>
          </cell>
          <cell r="E3090">
            <v>46416</v>
          </cell>
          <cell r="F3090" t="str">
            <v>35266</v>
          </cell>
          <cell r="G3090" t="str">
            <v>凡甲六</v>
          </cell>
          <cell r="H3090">
            <v>100000</v>
          </cell>
          <cell r="I3090">
            <v>3.5</v>
          </cell>
          <cell r="J3090">
            <v>46416</v>
          </cell>
          <cell r="K3090">
            <v>100</v>
          </cell>
          <cell r="L3090">
            <v>46398</v>
          </cell>
          <cell r="M3090">
            <v>-2436</v>
          </cell>
          <cell r="N3090">
            <v>97564</v>
          </cell>
        </row>
        <row r="3091">
          <cell r="A3091">
            <v>84781</v>
          </cell>
          <cell r="B3091">
            <v>3085</v>
          </cell>
          <cell r="C3091" t="str">
            <v>IASWD2409000040</v>
          </cell>
          <cell r="D3091">
            <v>45538</v>
          </cell>
          <cell r="E3091">
            <v>46583</v>
          </cell>
          <cell r="F3091" t="str">
            <v>84781</v>
          </cell>
          <cell r="G3091" t="str">
            <v>東哥遊艇一</v>
          </cell>
          <cell r="H3091">
            <v>200000</v>
          </cell>
          <cell r="I3091">
            <v>3.1</v>
          </cell>
          <cell r="J3091">
            <v>46583</v>
          </cell>
          <cell r="K3091">
            <v>100</v>
          </cell>
          <cell r="L3091">
            <v>46563</v>
          </cell>
          <cell r="M3091">
            <v>-4315</v>
          </cell>
          <cell r="N3091">
            <v>195685</v>
          </cell>
        </row>
        <row r="3092">
          <cell r="A3092">
            <v>22013</v>
          </cell>
          <cell r="B3092">
            <v>3086</v>
          </cell>
          <cell r="C3092" t="str">
            <v>IASWD2409000041</v>
          </cell>
          <cell r="D3092">
            <v>45538</v>
          </cell>
          <cell r="E3092">
            <v>46167</v>
          </cell>
          <cell r="F3092" t="str">
            <v>22013</v>
          </cell>
          <cell r="G3092" t="str">
            <v>裕隆三</v>
          </cell>
          <cell r="H3092">
            <v>200000</v>
          </cell>
          <cell r="I3092">
            <v>3</v>
          </cell>
          <cell r="J3092">
            <v>46167</v>
          </cell>
          <cell r="K3092">
            <v>100.75190000000001</v>
          </cell>
          <cell r="L3092">
            <v>46147</v>
          </cell>
          <cell r="M3092">
            <v>-4175</v>
          </cell>
          <cell r="N3092">
            <v>195825</v>
          </cell>
        </row>
        <row r="3093">
          <cell r="A3093">
            <v>22013</v>
          </cell>
          <cell r="B3093">
            <v>3087</v>
          </cell>
          <cell r="C3093" t="str">
            <v>IASWD2409000042</v>
          </cell>
          <cell r="D3093">
            <v>45538</v>
          </cell>
          <cell r="E3093">
            <v>46167</v>
          </cell>
          <cell r="F3093" t="str">
            <v>22013</v>
          </cell>
          <cell r="G3093" t="str">
            <v>裕隆三</v>
          </cell>
          <cell r="H3093">
            <v>300000</v>
          </cell>
          <cell r="I3093">
            <v>3</v>
          </cell>
          <cell r="J3093">
            <v>46167</v>
          </cell>
          <cell r="K3093">
            <v>100.75190000000001</v>
          </cell>
          <cell r="L3093">
            <v>46147</v>
          </cell>
          <cell r="M3093">
            <v>-6263</v>
          </cell>
          <cell r="N3093">
            <v>293737</v>
          </cell>
        </row>
        <row r="3094">
          <cell r="A3094">
            <v>22013</v>
          </cell>
          <cell r="B3094">
            <v>3088</v>
          </cell>
          <cell r="C3094" t="str">
            <v>IASWD2409000043</v>
          </cell>
          <cell r="D3094">
            <v>45538</v>
          </cell>
          <cell r="E3094">
            <v>46167</v>
          </cell>
          <cell r="F3094" t="str">
            <v>22013</v>
          </cell>
          <cell r="G3094" t="str">
            <v>裕隆三</v>
          </cell>
          <cell r="H3094">
            <v>100000</v>
          </cell>
          <cell r="I3094">
            <v>3</v>
          </cell>
          <cell r="J3094">
            <v>46167</v>
          </cell>
          <cell r="K3094">
            <v>100.75190000000001</v>
          </cell>
          <cell r="L3094">
            <v>46147</v>
          </cell>
          <cell r="M3094">
            <v>-2088</v>
          </cell>
          <cell r="N3094">
            <v>97912</v>
          </cell>
        </row>
        <row r="3095">
          <cell r="A3095">
            <v>20632</v>
          </cell>
          <cell r="B3095">
            <v>3089</v>
          </cell>
          <cell r="C3095" t="str">
            <v>IASWD2409000044</v>
          </cell>
          <cell r="D3095">
            <v>45538</v>
          </cell>
          <cell r="E3095">
            <v>45971</v>
          </cell>
          <cell r="F3095" t="str">
            <v>20632</v>
          </cell>
          <cell r="G3095" t="str">
            <v>世鎧二</v>
          </cell>
          <cell r="H3095">
            <v>100000</v>
          </cell>
          <cell r="I3095">
            <v>3.25</v>
          </cell>
          <cell r="J3095">
            <v>45971</v>
          </cell>
          <cell r="K3095">
            <v>100</v>
          </cell>
          <cell r="L3095">
            <v>45951</v>
          </cell>
          <cell r="M3095">
            <v>-2262</v>
          </cell>
          <cell r="N3095">
            <v>97738</v>
          </cell>
        </row>
        <row r="3096">
          <cell r="A3096">
            <v>35482</v>
          </cell>
          <cell r="B3096">
            <v>3090</v>
          </cell>
          <cell r="C3096" t="str">
            <v>IASWD2409000046</v>
          </cell>
          <cell r="D3096">
            <v>45538</v>
          </cell>
          <cell r="E3096">
            <v>46395</v>
          </cell>
          <cell r="F3096" t="str">
            <v>35482</v>
          </cell>
          <cell r="G3096" t="str">
            <v>兆利二</v>
          </cell>
          <cell r="H3096">
            <v>100000</v>
          </cell>
          <cell r="I3096">
            <v>3</v>
          </cell>
          <cell r="J3096">
            <v>46395</v>
          </cell>
          <cell r="K3096">
            <v>100</v>
          </cell>
          <cell r="L3096">
            <v>46377</v>
          </cell>
          <cell r="M3096">
            <v>-2088</v>
          </cell>
          <cell r="N3096">
            <v>97912</v>
          </cell>
        </row>
        <row r="3097">
          <cell r="A3097">
            <v>22013</v>
          </cell>
          <cell r="B3097">
            <v>3091</v>
          </cell>
          <cell r="C3097" t="str">
            <v>IASWD2409000047</v>
          </cell>
          <cell r="D3097">
            <v>45538</v>
          </cell>
          <cell r="E3097">
            <v>46167</v>
          </cell>
          <cell r="F3097" t="str">
            <v>22013</v>
          </cell>
          <cell r="G3097" t="str">
            <v>裕隆三</v>
          </cell>
          <cell r="H3097">
            <v>100000</v>
          </cell>
          <cell r="I3097">
            <v>3</v>
          </cell>
          <cell r="J3097">
            <v>46167</v>
          </cell>
          <cell r="K3097">
            <v>100.75190000000001</v>
          </cell>
          <cell r="L3097">
            <v>46147</v>
          </cell>
          <cell r="M3097">
            <v>-2088</v>
          </cell>
          <cell r="N3097">
            <v>97912</v>
          </cell>
        </row>
        <row r="3098">
          <cell r="A3098">
            <v>22013</v>
          </cell>
          <cell r="B3098">
            <v>3092</v>
          </cell>
          <cell r="C3098" t="str">
            <v>IASWD2409000048</v>
          </cell>
          <cell r="D3098">
            <v>45538</v>
          </cell>
          <cell r="E3098">
            <v>46167</v>
          </cell>
          <cell r="F3098" t="str">
            <v>22013</v>
          </cell>
          <cell r="G3098" t="str">
            <v>裕隆三</v>
          </cell>
          <cell r="H3098">
            <v>200000</v>
          </cell>
          <cell r="I3098">
            <v>3</v>
          </cell>
          <cell r="J3098">
            <v>46167</v>
          </cell>
          <cell r="K3098">
            <v>100.75190000000001</v>
          </cell>
          <cell r="L3098">
            <v>46147</v>
          </cell>
          <cell r="M3098">
            <v>-4175</v>
          </cell>
          <cell r="N3098">
            <v>195825</v>
          </cell>
        </row>
        <row r="3099">
          <cell r="A3099">
            <v>89277</v>
          </cell>
          <cell r="B3099">
            <v>3093</v>
          </cell>
          <cell r="C3099" t="str">
            <v>IASWD2409000049</v>
          </cell>
          <cell r="D3099">
            <v>45538</v>
          </cell>
          <cell r="E3099">
            <v>46615</v>
          </cell>
          <cell r="F3099" t="str">
            <v>89277</v>
          </cell>
          <cell r="G3099" t="str">
            <v>北基七</v>
          </cell>
          <cell r="H3099">
            <v>1000000</v>
          </cell>
          <cell r="I3099">
            <v>2.2000000000000002</v>
          </cell>
          <cell r="J3099">
            <v>46615</v>
          </cell>
          <cell r="K3099">
            <v>101.50749999999999</v>
          </cell>
          <cell r="L3099">
            <v>46595</v>
          </cell>
          <cell r="M3099">
            <v>-15310</v>
          </cell>
          <cell r="N3099">
            <v>984690</v>
          </cell>
        </row>
        <row r="3100">
          <cell r="A3100">
            <v>89277</v>
          </cell>
          <cell r="B3100">
            <v>3094</v>
          </cell>
          <cell r="C3100" t="str">
            <v>IASWD2409000051</v>
          </cell>
          <cell r="D3100">
            <v>45538</v>
          </cell>
          <cell r="E3100">
            <v>46615</v>
          </cell>
          <cell r="F3100" t="str">
            <v>89277</v>
          </cell>
          <cell r="G3100" t="str">
            <v>北基七</v>
          </cell>
          <cell r="H3100">
            <v>800000</v>
          </cell>
          <cell r="I3100">
            <v>2.2000000000000002</v>
          </cell>
          <cell r="J3100">
            <v>46615</v>
          </cell>
          <cell r="K3100">
            <v>101.50749999999999</v>
          </cell>
          <cell r="L3100">
            <v>46595</v>
          </cell>
          <cell r="M3100">
            <v>-12248</v>
          </cell>
          <cell r="N3100">
            <v>787752</v>
          </cell>
        </row>
        <row r="3101">
          <cell r="A3101">
            <v>89277</v>
          </cell>
          <cell r="B3101">
            <v>3095</v>
          </cell>
          <cell r="C3101" t="str">
            <v>IASWD2409000052</v>
          </cell>
          <cell r="D3101">
            <v>45538</v>
          </cell>
          <cell r="E3101">
            <v>46615</v>
          </cell>
          <cell r="F3101" t="str">
            <v>89277</v>
          </cell>
          <cell r="G3101" t="str">
            <v>北基七</v>
          </cell>
          <cell r="H3101">
            <v>200000</v>
          </cell>
          <cell r="I3101">
            <v>2.2000000000000002</v>
          </cell>
          <cell r="J3101">
            <v>46615</v>
          </cell>
          <cell r="K3101">
            <v>101.50749999999999</v>
          </cell>
          <cell r="L3101">
            <v>46595</v>
          </cell>
          <cell r="M3101">
            <v>-3062</v>
          </cell>
          <cell r="N3101">
            <v>196938</v>
          </cell>
        </row>
        <row r="3102">
          <cell r="A3102">
            <v>89277</v>
          </cell>
          <cell r="B3102">
            <v>3096</v>
          </cell>
          <cell r="C3102" t="str">
            <v>IASWD2409000053</v>
          </cell>
          <cell r="D3102">
            <v>45538</v>
          </cell>
          <cell r="E3102">
            <v>46615</v>
          </cell>
          <cell r="F3102" t="str">
            <v>89277</v>
          </cell>
          <cell r="G3102" t="str">
            <v>北基七</v>
          </cell>
          <cell r="H3102">
            <v>100000</v>
          </cell>
          <cell r="I3102">
            <v>2.2000000000000002</v>
          </cell>
          <cell r="J3102">
            <v>46615</v>
          </cell>
          <cell r="K3102">
            <v>101.50749999999999</v>
          </cell>
          <cell r="L3102">
            <v>46595</v>
          </cell>
          <cell r="M3102">
            <v>-1531</v>
          </cell>
          <cell r="N3102">
            <v>98469</v>
          </cell>
        </row>
        <row r="3103">
          <cell r="A3103">
            <v>84673</v>
          </cell>
          <cell r="B3103">
            <v>3097</v>
          </cell>
          <cell r="C3103" t="str">
            <v>IASWD2409000054</v>
          </cell>
          <cell r="D3103">
            <v>45538</v>
          </cell>
          <cell r="E3103">
            <v>46538</v>
          </cell>
          <cell r="F3103" t="str">
            <v>84673</v>
          </cell>
          <cell r="G3103" t="str">
            <v>波力三KY</v>
          </cell>
          <cell r="H3103">
            <v>100000</v>
          </cell>
          <cell r="I3103">
            <v>4.2</v>
          </cell>
          <cell r="J3103">
            <v>46538</v>
          </cell>
          <cell r="K3103">
            <v>100</v>
          </cell>
          <cell r="L3103">
            <v>46518</v>
          </cell>
          <cell r="M3103">
            <v>-2923</v>
          </cell>
          <cell r="N3103">
            <v>97077</v>
          </cell>
        </row>
        <row r="3104">
          <cell r="A3104">
            <v>22013</v>
          </cell>
          <cell r="B3104">
            <v>3098</v>
          </cell>
          <cell r="C3104" t="str">
            <v>IASWD2409000055</v>
          </cell>
          <cell r="D3104">
            <v>45538</v>
          </cell>
          <cell r="E3104">
            <v>46167</v>
          </cell>
          <cell r="F3104" t="str">
            <v>22013</v>
          </cell>
          <cell r="G3104" t="str">
            <v>裕隆三</v>
          </cell>
          <cell r="H3104">
            <v>300000</v>
          </cell>
          <cell r="I3104">
            <v>3</v>
          </cell>
          <cell r="J3104">
            <v>46167</v>
          </cell>
          <cell r="K3104">
            <v>100.75190000000001</v>
          </cell>
          <cell r="L3104">
            <v>46147</v>
          </cell>
          <cell r="M3104">
            <v>-6263</v>
          </cell>
          <cell r="N3104">
            <v>293737</v>
          </cell>
        </row>
        <row r="3105">
          <cell r="A3105">
            <v>89277</v>
          </cell>
          <cell r="B3105">
            <v>3099</v>
          </cell>
          <cell r="C3105" t="str">
            <v>IASWD2409000056</v>
          </cell>
          <cell r="D3105">
            <v>45538</v>
          </cell>
          <cell r="E3105">
            <v>46615</v>
          </cell>
          <cell r="F3105" t="str">
            <v>89277</v>
          </cell>
          <cell r="G3105" t="str">
            <v>北基七</v>
          </cell>
          <cell r="H3105">
            <v>200000</v>
          </cell>
          <cell r="I3105">
            <v>2.2000000000000002</v>
          </cell>
          <cell r="J3105">
            <v>46615</v>
          </cell>
          <cell r="K3105">
            <v>101.50749999999999</v>
          </cell>
          <cell r="L3105">
            <v>46595</v>
          </cell>
          <cell r="M3105">
            <v>-3062</v>
          </cell>
          <cell r="N3105">
            <v>196938</v>
          </cell>
        </row>
        <row r="3106">
          <cell r="A3106">
            <v>35482</v>
          </cell>
          <cell r="B3106">
            <v>3100</v>
          </cell>
          <cell r="C3106" t="str">
            <v>IASWD2409000057</v>
          </cell>
          <cell r="D3106">
            <v>45538</v>
          </cell>
          <cell r="E3106">
            <v>46395</v>
          </cell>
          <cell r="F3106" t="str">
            <v>35482</v>
          </cell>
          <cell r="G3106" t="str">
            <v>兆利二</v>
          </cell>
          <cell r="H3106">
            <v>200000</v>
          </cell>
          <cell r="I3106">
            <v>3</v>
          </cell>
          <cell r="J3106">
            <v>46395</v>
          </cell>
          <cell r="K3106">
            <v>100</v>
          </cell>
          <cell r="L3106">
            <v>46377</v>
          </cell>
          <cell r="M3106">
            <v>-4175</v>
          </cell>
          <cell r="N3106">
            <v>195825</v>
          </cell>
        </row>
        <row r="3107">
          <cell r="A3107">
            <v>89277</v>
          </cell>
          <cell r="B3107">
            <v>3101</v>
          </cell>
          <cell r="C3107" t="str">
            <v>IASWD2409000058</v>
          </cell>
          <cell r="D3107">
            <v>45538</v>
          </cell>
          <cell r="E3107">
            <v>46615</v>
          </cell>
          <cell r="F3107" t="str">
            <v>89277</v>
          </cell>
          <cell r="G3107" t="str">
            <v>北基七</v>
          </cell>
          <cell r="H3107">
            <v>100000</v>
          </cell>
          <cell r="I3107">
            <v>2.2000000000000002</v>
          </cell>
          <cell r="J3107">
            <v>46615</v>
          </cell>
          <cell r="K3107">
            <v>101.50749999999999</v>
          </cell>
          <cell r="L3107">
            <v>46595</v>
          </cell>
          <cell r="M3107">
            <v>-1531</v>
          </cell>
          <cell r="N3107">
            <v>98469</v>
          </cell>
        </row>
        <row r="3108">
          <cell r="A3108">
            <v>22013</v>
          </cell>
          <cell r="B3108">
            <v>3102</v>
          </cell>
          <cell r="C3108" t="str">
            <v>IASWD2409000059</v>
          </cell>
          <cell r="D3108">
            <v>45538</v>
          </cell>
          <cell r="E3108">
            <v>46167</v>
          </cell>
          <cell r="F3108" t="str">
            <v>22013</v>
          </cell>
          <cell r="G3108" t="str">
            <v>裕隆三</v>
          </cell>
          <cell r="H3108">
            <v>400000</v>
          </cell>
          <cell r="I3108">
            <v>3</v>
          </cell>
          <cell r="J3108">
            <v>46167</v>
          </cell>
          <cell r="K3108">
            <v>100.75190000000001</v>
          </cell>
          <cell r="L3108">
            <v>46147</v>
          </cell>
          <cell r="M3108">
            <v>-8351</v>
          </cell>
          <cell r="N3108">
            <v>391649</v>
          </cell>
        </row>
        <row r="3109">
          <cell r="A3109">
            <v>22013</v>
          </cell>
          <cell r="B3109">
            <v>3103</v>
          </cell>
          <cell r="C3109" t="str">
            <v>IASWD2409000060</v>
          </cell>
          <cell r="D3109">
            <v>45538</v>
          </cell>
          <cell r="E3109">
            <v>46167</v>
          </cell>
          <cell r="F3109" t="str">
            <v>22013</v>
          </cell>
          <cell r="G3109" t="str">
            <v>裕隆三</v>
          </cell>
          <cell r="H3109">
            <v>100000</v>
          </cell>
          <cell r="I3109">
            <v>3</v>
          </cell>
          <cell r="J3109">
            <v>46167</v>
          </cell>
          <cell r="K3109">
            <v>100.75190000000001</v>
          </cell>
          <cell r="L3109">
            <v>46147</v>
          </cell>
          <cell r="M3109">
            <v>-2088</v>
          </cell>
          <cell r="N3109">
            <v>97912</v>
          </cell>
        </row>
        <row r="3110">
          <cell r="A3110">
            <v>64145</v>
          </cell>
          <cell r="B3110">
            <v>3104</v>
          </cell>
          <cell r="C3110" t="str">
            <v>IASWD2409000061</v>
          </cell>
          <cell r="D3110">
            <v>45538</v>
          </cell>
          <cell r="E3110">
            <v>46250</v>
          </cell>
          <cell r="F3110" t="str">
            <v>64145</v>
          </cell>
          <cell r="G3110" t="str">
            <v>樺漢五</v>
          </cell>
          <cell r="H3110">
            <v>100000</v>
          </cell>
          <cell r="I3110">
            <v>3</v>
          </cell>
          <cell r="J3110">
            <v>46250</v>
          </cell>
          <cell r="K3110">
            <v>100</v>
          </cell>
          <cell r="L3110">
            <v>46231</v>
          </cell>
          <cell r="M3110">
            <v>-2088</v>
          </cell>
          <cell r="N3110">
            <v>97912</v>
          </cell>
        </row>
        <row r="3111">
          <cell r="A3111">
            <v>22013</v>
          </cell>
          <cell r="B3111">
            <v>3105</v>
          </cell>
          <cell r="C3111" t="str">
            <v>IASWD2409000062</v>
          </cell>
          <cell r="D3111">
            <v>45538</v>
          </cell>
          <cell r="E3111">
            <v>46167</v>
          </cell>
          <cell r="F3111" t="str">
            <v>22013</v>
          </cell>
          <cell r="G3111" t="str">
            <v>裕隆三</v>
          </cell>
          <cell r="H3111">
            <v>500000</v>
          </cell>
          <cell r="I3111">
            <v>3</v>
          </cell>
          <cell r="J3111">
            <v>46167</v>
          </cell>
          <cell r="K3111">
            <v>100.75190000000001</v>
          </cell>
          <cell r="L3111">
            <v>46147</v>
          </cell>
          <cell r="M3111">
            <v>-10438</v>
          </cell>
          <cell r="N3111">
            <v>489562</v>
          </cell>
        </row>
        <row r="3112">
          <cell r="A3112">
            <v>22013</v>
          </cell>
          <cell r="B3112">
            <v>3106</v>
          </cell>
          <cell r="C3112" t="str">
            <v>IASWD2409000063</v>
          </cell>
          <cell r="D3112">
            <v>45538</v>
          </cell>
          <cell r="E3112">
            <v>46167</v>
          </cell>
          <cell r="F3112" t="str">
            <v>22013</v>
          </cell>
          <cell r="G3112" t="str">
            <v>裕隆三</v>
          </cell>
          <cell r="H3112">
            <v>500000</v>
          </cell>
          <cell r="I3112">
            <v>3</v>
          </cell>
          <cell r="J3112">
            <v>46167</v>
          </cell>
          <cell r="K3112">
            <v>100.75190000000001</v>
          </cell>
          <cell r="L3112">
            <v>46147</v>
          </cell>
          <cell r="M3112">
            <v>-10438</v>
          </cell>
          <cell r="N3112">
            <v>489562</v>
          </cell>
        </row>
        <row r="3113">
          <cell r="A3113">
            <v>22013</v>
          </cell>
          <cell r="B3113">
            <v>3107</v>
          </cell>
          <cell r="C3113" t="str">
            <v>IASWD2409000064</v>
          </cell>
          <cell r="D3113">
            <v>45538</v>
          </cell>
          <cell r="E3113">
            <v>46167</v>
          </cell>
          <cell r="F3113" t="str">
            <v>22013</v>
          </cell>
          <cell r="G3113" t="str">
            <v>裕隆三</v>
          </cell>
          <cell r="H3113">
            <v>100000</v>
          </cell>
          <cell r="I3113">
            <v>3</v>
          </cell>
          <cell r="J3113">
            <v>46167</v>
          </cell>
          <cell r="K3113">
            <v>100.75190000000001</v>
          </cell>
          <cell r="L3113">
            <v>46147</v>
          </cell>
          <cell r="M3113">
            <v>-2088</v>
          </cell>
          <cell r="N3113">
            <v>97912</v>
          </cell>
        </row>
        <row r="3114">
          <cell r="A3114">
            <v>64145</v>
          </cell>
          <cell r="B3114">
            <v>3108</v>
          </cell>
          <cell r="C3114" t="str">
            <v>IASWD2409000065</v>
          </cell>
          <cell r="D3114">
            <v>45538</v>
          </cell>
          <cell r="E3114">
            <v>46250</v>
          </cell>
          <cell r="F3114" t="str">
            <v>64145</v>
          </cell>
          <cell r="G3114" t="str">
            <v>樺漢五</v>
          </cell>
          <cell r="H3114">
            <v>100000</v>
          </cell>
          <cell r="I3114">
            <v>3</v>
          </cell>
          <cell r="J3114">
            <v>46250</v>
          </cell>
          <cell r="K3114">
            <v>100</v>
          </cell>
          <cell r="L3114">
            <v>46231</v>
          </cell>
          <cell r="M3114">
            <v>-2088</v>
          </cell>
          <cell r="N3114">
            <v>97912</v>
          </cell>
        </row>
        <row r="3115">
          <cell r="A3115">
            <v>22013</v>
          </cell>
          <cell r="B3115">
            <v>3109</v>
          </cell>
          <cell r="C3115" t="str">
            <v>IASWD2409000066</v>
          </cell>
          <cell r="D3115">
            <v>45538</v>
          </cell>
          <cell r="E3115">
            <v>46167</v>
          </cell>
          <cell r="F3115" t="str">
            <v>22013</v>
          </cell>
          <cell r="G3115" t="str">
            <v>裕隆三</v>
          </cell>
          <cell r="H3115">
            <v>200000</v>
          </cell>
          <cell r="I3115">
            <v>3</v>
          </cell>
          <cell r="J3115">
            <v>46167</v>
          </cell>
          <cell r="K3115">
            <v>100.75190000000001</v>
          </cell>
          <cell r="L3115">
            <v>46147</v>
          </cell>
          <cell r="M3115">
            <v>-4175</v>
          </cell>
          <cell r="N3115">
            <v>195825</v>
          </cell>
        </row>
        <row r="3116">
          <cell r="A3116">
            <v>22013</v>
          </cell>
          <cell r="B3116">
            <v>3110</v>
          </cell>
          <cell r="C3116" t="str">
            <v>IASWD2409000068</v>
          </cell>
          <cell r="D3116">
            <v>45538</v>
          </cell>
          <cell r="E3116">
            <v>46167</v>
          </cell>
          <cell r="F3116" t="str">
            <v>22013</v>
          </cell>
          <cell r="G3116" t="str">
            <v>裕隆三</v>
          </cell>
          <cell r="H3116">
            <v>3000000</v>
          </cell>
          <cell r="I3116">
            <v>3</v>
          </cell>
          <cell r="J3116">
            <v>46167</v>
          </cell>
          <cell r="K3116">
            <v>100.75190000000001</v>
          </cell>
          <cell r="L3116">
            <v>46147</v>
          </cell>
          <cell r="M3116">
            <v>-62630</v>
          </cell>
          <cell r="N3116">
            <v>2937370</v>
          </cell>
        </row>
        <row r="3117">
          <cell r="A3117">
            <v>22013</v>
          </cell>
          <cell r="B3117">
            <v>3111</v>
          </cell>
          <cell r="C3117" t="str">
            <v>IASWD2409000069</v>
          </cell>
          <cell r="D3117">
            <v>45538</v>
          </cell>
          <cell r="E3117">
            <v>46167</v>
          </cell>
          <cell r="F3117" t="str">
            <v>22013</v>
          </cell>
          <cell r="G3117" t="str">
            <v>裕隆三</v>
          </cell>
          <cell r="H3117">
            <v>100000</v>
          </cell>
          <cell r="I3117">
            <v>3</v>
          </cell>
          <cell r="J3117">
            <v>46167</v>
          </cell>
          <cell r="K3117">
            <v>100.75190000000001</v>
          </cell>
          <cell r="L3117">
            <v>46147</v>
          </cell>
          <cell r="M3117">
            <v>-2088</v>
          </cell>
          <cell r="N3117">
            <v>97912</v>
          </cell>
        </row>
        <row r="3118">
          <cell r="A3118">
            <v>89277</v>
          </cell>
          <cell r="B3118">
            <v>3112</v>
          </cell>
          <cell r="C3118" t="str">
            <v>IASWD2409000070</v>
          </cell>
          <cell r="D3118">
            <v>45538</v>
          </cell>
          <cell r="E3118">
            <v>46615</v>
          </cell>
          <cell r="F3118" t="str">
            <v>89277</v>
          </cell>
          <cell r="G3118" t="str">
            <v>北基七</v>
          </cell>
          <cell r="H3118">
            <v>100000</v>
          </cell>
          <cell r="I3118">
            <v>2.2000000000000002</v>
          </cell>
          <cell r="J3118">
            <v>46615</v>
          </cell>
          <cell r="K3118">
            <v>101.50749999999999</v>
          </cell>
          <cell r="L3118">
            <v>46595</v>
          </cell>
          <cell r="M3118">
            <v>-1531</v>
          </cell>
          <cell r="N3118">
            <v>98469</v>
          </cell>
        </row>
        <row r="3119">
          <cell r="A3119">
            <v>36894</v>
          </cell>
          <cell r="B3119">
            <v>3113</v>
          </cell>
          <cell r="C3119" t="str">
            <v>IASWD2409000072</v>
          </cell>
          <cell r="D3119">
            <v>45539</v>
          </cell>
          <cell r="E3119">
            <v>46086</v>
          </cell>
          <cell r="F3119" t="str">
            <v>36894</v>
          </cell>
          <cell r="G3119" t="str">
            <v>湧德四</v>
          </cell>
          <cell r="H3119">
            <v>100000</v>
          </cell>
          <cell r="I3119">
            <v>3.25</v>
          </cell>
          <cell r="J3119">
            <v>46086</v>
          </cell>
          <cell r="K3119">
            <v>100</v>
          </cell>
          <cell r="L3119">
            <v>46066</v>
          </cell>
          <cell r="M3119">
            <v>-2253</v>
          </cell>
          <cell r="N3119">
            <v>97747</v>
          </cell>
        </row>
        <row r="3120">
          <cell r="A3120">
            <v>89277</v>
          </cell>
          <cell r="B3120">
            <v>3114</v>
          </cell>
          <cell r="C3120" t="str">
            <v>IASWD2409000073</v>
          </cell>
          <cell r="D3120">
            <v>45539</v>
          </cell>
          <cell r="E3120">
            <v>46615</v>
          </cell>
          <cell r="F3120" t="str">
            <v>89277</v>
          </cell>
          <cell r="G3120" t="str">
            <v>北基七</v>
          </cell>
          <cell r="H3120">
            <v>100000</v>
          </cell>
          <cell r="I3120">
            <v>2.2000000000000002</v>
          </cell>
          <cell r="J3120">
            <v>46615</v>
          </cell>
          <cell r="K3120">
            <v>101.50749999999999</v>
          </cell>
          <cell r="L3120">
            <v>46595</v>
          </cell>
          <cell r="M3120">
            <v>-1525</v>
          </cell>
          <cell r="N3120">
            <v>98475</v>
          </cell>
        </row>
        <row r="3121">
          <cell r="A3121">
            <v>22013</v>
          </cell>
          <cell r="B3121">
            <v>3115</v>
          </cell>
          <cell r="C3121" t="str">
            <v>IASWD2409000076</v>
          </cell>
          <cell r="D3121">
            <v>45539</v>
          </cell>
          <cell r="E3121">
            <v>46167</v>
          </cell>
          <cell r="F3121" t="str">
            <v>22013</v>
          </cell>
          <cell r="G3121" t="str">
            <v>裕隆三</v>
          </cell>
          <cell r="H3121">
            <v>200000</v>
          </cell>
          <cell r="I3121">
            <v>3</v>
          </cell>
          <cell r="J3121">
            <v>46167</v>
          </cell>
          <cell r="K3121">
            <v>100.75190000000001</v>
          </cell>
          <cell r="L3121">
            <v>46147</v>
          </cell>
          <cell r="M3121">
            <v>-4159</v>
          </cell>
          <cell r="N3121">
            <v>195841</v>
          </cell>
        </row>
        <row r="3122">
          <cell r="A3122">
            <v>61875</v>
          </cell>
          <cell r="B3122">
            <v>3116</v>
          </cell>
          <cell r="C3122" t="str">
            <v>IASWD2409000077</v>
          </cell>
          <cell r="D3122">
            <v>45539</v>
          </cell>
          <cell r="E3122">
            <v>46578</v>
          </cell>
          <cell r="F3122" t="str">
            <v>61875</v>
          </cell>
          <cell r="G3122" t="str">
            <v>萬潤五</v>
          </cell>
          <cell r="H3122">
            <v>100000</v>
          </cell>
          <cell r="I3122">
            <v>3.1</v>
          </cell>
          <cell r="J3122">
            <v>46578</v>
          </cell>
          <cell r="K3122">
            <v>100</v>
          </cell>
          <cell r="L3122">
            <v>46560</v>
          </cell>
          <cell r="M3122">
            <v>-2149</v>
          </cell>
          <cell r="N3122">
            <v>97851</v>
          </cell>
        </row>
        <row r="3123">
          <cell r="A3123">
            <v>22013</v>
          </cell>
          <cell r="B3123">
            <v>3117</v>
          </cell>
          <cell r="C3123" t="str">
            <v>IASWD2409000079</v>
          </cell>
          <cell r="D3123">
            <v>45539</v>
          </cell>
          <cell r="E3123">
            <v>46167</v>
          </cell>
          <cell r="F3123" t="str">
            <v>22013</v>
          </cell>
          <cell r="G3123" t="str">
            <v>裕隆三</v>
          </cell>
          <cell r="H3123">
            <v>1000000</v>
          </cell>
          <cell r="I3123">
            <v>3</v>
          </cell>
          <cell r="J3123">
            <v>46167</v>
          </cell>
          <cell r="K3123">
            <v>100.75190000000001</v>
          </cell>
          <cell r="L3123">
            <v>46147</v>
          </cell>
          <cell r="M3123">
            <v>-20795</v>
          </cell>
          <cell r="N3123">
            <v>979205</v>
          </cell>
        </row>
        <row r="3124">
          <cell r="A3124">
            <v>64145</v>
          </cell>
          <cell r="B3124">
            <v>3118</v>
          </cell>
          <cell r="C3124" t="str">
            <v>IASWD2409000081</v>
          </cell>
          <cell r="D3124">
            <v>45539</v>
          </cell>
          <cell r="E3124">
            <v>46250</v>
          </cell>
          <cell r="F3124" t="str">
            <v>64145</v>
          </cell>
          <cell r="G3124" t="str">
            <v>樺漢五</v>
          </cell>
          <cell r="H3124">
            <v>200000</v>
          </cell>
          <cell r="I3124">
            <v>3</v>
          </cell>
          <cell r="J3124">
            <v>46250</v>
          </cell>
          <cell r="K3124">
            <v>100</v>
          </cell>
          <cell r="L3124">
            <v>46231</v>
          </cell>
          <cell r="M3124">
            <v>-4159</v>
          </cell>
          <cell r="N3124">
            <v>195841</v>
          </cell>
        </row>
        <row r="3125">
          <cell r="A3125">
            <v>84781</v>
          </cell>
          <cell r="B3125">
            <v>3119</v>
          </cell>
          <cell r="C3125" t="str">
            <v>IASWD2409000082</v>
          </cell>
          <cell r="D3125">
            <v>45539</v>
          </cell>
          <cell r="E3125">
            <v>46583</v>
          </cell>
          <cell r="F3125" t="str">
            <v>84781</v>
          </cell>
          <cell r="G3125" t="str">
            <v>東哥遊艇一</v>
          </cell>
          <cell r="H3125">
            <v>200000</v>
          </cell>
          <cell r="I3125">
            <v>3.1</v>
          </cell>
          <cell r="J3125">
            <v>46583</v>
          </cell>
          <cell r="K3125">
            <v>100</v>
          </cell>
          <cell r="L3125">
            <v>46563</v>
          </cell>
          <cell r="M3125">
            <v>-4298</v>
          </cell>
          <cell r="N3125">
            <v>195702</v>
          </cell>
        </row>
        <row r="3126">
          <cell r="A3126">
            <v>22013</v>
          </cell>
          <cell r="B3126">
            <v>3120</v>
          </cell>
          <cell r="C3126" t="str">
            <v>IASWD2409000083</v>
          </cell>
          <cell r="D3126">
            <v>45539</v>
          </cell>
          <cell r="E3126">
            <v>46167</v>
          </cell>
          <cell r="F3126" t="str">
            <v>22013</v>
          </cell>
          <cell r="G3126" t="str">
            <v>裕隆三</v>
          </cell>
          <cell r="H3126">
            <v>200000</v>
          </cell>
          <cell r="I3126">
            <v>3</v>
          </cell>
          <cell r="J3126">
            <v>46167</v>
          </cell>
          <cell r="K3126">
            <v>100.75190000000001</v>
          </cell>
          <cell r="L3126">
            <v>46147</v>
          </cell>
          <cell r="M3126">
            <v>-4159</v>
          </cell>
          <cell r="N3126">
            <v>195841</v>
          </cell>
        </row>
        <row r="3127">
          <cell r="A3127">
            <v>64145</v>
          </cell>
          <cell r="B3127">
            <v>3121</v>
          </cell>
          <cell r="C3127" t="str">
            <v>IASWD2409000084</v>
          </cell>
          <cell r="D3127">
            <v>45539</v>
          </cell>
          <cell r="E3127">
            <v>46250</v>
          </cell>
          <cell r="F3127" t="str">
            <v>64145</v>
          </cell>
          <cell r="G3127" t="str">
            <v>樺漢五</v>
          </cell>
          <cell r="H3127">
            <v>100000</v>
          </cell>
          <cell r="I3127">
            <v>3</v>
          </cell>
          <cell r="J3127">
            <v>46250</v>
          </cell>
          <cell r="K3127">
            <v>100</v>
          </cell>
          <cell r="L3127">
            <v>46231</v>
          </cell>
          <cell r="M3127">
            <v>-2079</v>
          </cell>
          <cell r="N3127">
            <v>97921</v>
          </cell>
        </row>
        <row r="3128">
          <cell r="A3128">
            <v>811210</v>
          </cell>
          <cell r="B3128">
            <v>3122</v>
          </cell>
          <cell r="C3128" t="str">
            <v>IASWD2409000086</v>
          </cell>
          <cell r="D3128">
            <v>45539</v>
          </cell>
          <cell r="E3128">
            <v>46531</v>
          </cell>
          <cell r="F3128" t="str">
            <v>811210</v>
          </cell>
          <cell r="G3128" t="str">
            <v>至上十</v>
          </cell>
          <cell r="H3128">
            <v>100000</v>
          </cell>
          <cell r="I3128">
            <v>3.7</v>
          </cell>
          <cell r="J3128">
            <v>46531</v>
          </cell>
          <cell r="K3128">
            <v>100</v>
          </cell>
          <cell r="L3128">
            <v>46511</v>
          </cell>
          <cell r="M3128">
            <v>-2565</v>
          </cell>
          <cell r="N3128">
            <v>97435</v>
          </cell>
        </row>
        <row r="3129">
          <cell r="A3129">
            <v>34163</v>
          </cell>
          <cell r="B3129">
            <v>3123</v>
          </cell>
          <cell r="C3129" t="str">
            <v>IASWD2409000087</v>
          </cell>
          <cell r="D3129">
            <v>45539</v>
          </cell>
          <cell r="E3129">
            <v>46047</v>
          </cell>
          <cell r="F3129" t="str">
            <v>34163</v>
          </cell>
          <cell r="G3129" t="str">
            <v>融程電三</v>
          </cell>
          <cell r="H3129">
            <v>100000</v>
          </cell>
          <cell r="I3129">
            <v>3</v>
          </cell>
          <cell r="J3129">
            <v>46047</v>
          </cell>
          <cell r="K3129">
            <v>100.5</v>
          </cell>
          <cell r="L3129">
            <v>46028</v>
          </cell>
          <cell r="M3129">
            <v>-2079</v>
          </cell>
          <cell r="N3129">
            <v>97921</v>
          </cell>
        </row>
        <row r="3130">
          <cell r="A3130">
            <v>34834</v>
          </cell>
          <cell r="B3130">
            <v>3124</v>
          </cell>
          <cell r="C3130" t="str">
            <v>IASWD2409000091</v>
          </cell>
          <cell r="D3130">
            <v>45539</v>
          </cell>
          <cell r="E3130">
            <v>46529</v>
          </cell>
          <cell r="F3130" t="str">
            <v>34834</v>
          </cell>
          <cell r="G3130" t="str">
            <v>力致四</v>
          </cell>
          <cell r="H3130">
            <v>100000</v>
          </cell>
          <cell r="I3130">
            <v>3.75</v>
          </cell>
          <cell r="J3130">
            <v>46529</v>
          </cell>
          <cell r="K3130">
            <v>100</v>
          </cell>
          <cell r="L3130">
            <v>46511</v>
          </cell>
          <cell r="M3130">
            <v>-2599</v>
          </cell>
          <cell r="N3130">
            <v>97401</v>
          </cell>
        </row>
        <row r="3131">
          <cell r="A3131">
            <v>811210</v>
          </cell>
          <cell r="B3131">
            <v>3125</v>
          </cell>
          <cell r="C3131" t="str">
            <v>IASWD2409000092</v>
          </cell>
          <cell r="D3131">
            <v>45539</v>
          </cell>
          <cell r="E3131">
            <v>46531</v>
          </cell>
          <cell r="F3131" t="str">
            <v>811210</v>
          </cell>
          <cell r="G3131" t="str">
            <v>至上十</v>
          </cell>
          <cell r="H3131">
            <v>100000</v>
          </cell>
          <cell r="I3131">
            <v>3.7</v>
          </cell>
          <cell r="J3131">
            <v>46531</v>
          </cell>
          <cell r="K3131">
            <v>100</v>
          </cell>
          <cell r="L3131">
            <v>46511</v>
          </cell>
          <cell r="M3131">
            <v>-2565</v>
          </cell>
          <cell r="N3131">
            <v>97435</v>
          </cell>
        </row>
        <row r="3132">
          <cell r="A3132">
            <v>36804</v>
          </cell>
          <cell r="B3132">
            <v>3126</v>
          </cell>
          <cell r="C3132" t="str">
            <v>IASWD2409000095</v>
          </cell>
          <cell r="D3132">
            <v>45539</v>
          </cell>
          <cell r="E3132">
            <v>45948</v>
          </cell>
          <cell r="F3132" t="str">
            <v>36804</v>
          </cell>
          <cell r="G3132" t="str">
            <v>家登四</v>
          </cell>
          <cell r="H3132">
            <v>300000</v>
          </cell>
          <cell r="I3132">
            <v>3.2</v>
          </cell>
          <cell r="J3132">
            <v>45948</v>
          </cell>
          <cell r="K3132">
            <v>100</v>
          </cell>
          <cell r="L3132">
            <v>45926</v>
          </cell>
          <cell r="M3132">
            <v>-6654</v>
          </cell>
          <cell r="N3132">
            <v>293346</v>
          </cell>
        </row>
        <row r="3133">
          <cell r="A3133">
            <v>64145</v>
          </cell>
          <cell r="B3133">
            <v>3127</v>
          </cell>
          <cell r="C3133" t="str">
            <v>IASWD2409000096</v>
          </cell>
          <cell r="D3133">
            <v>45539</v>
          </cell>
          <cell r="E3133">
            <v>46250</v>
          </cell>
          <cell r="F3133" t="str">
            <v>64145</v>
          </cell>
          <cell r="G3133" t="str">
            <v>樺漢五</v>
          </cell>
          <cell r="H3133">
            <v>100000</v>
          </cell>
          <cell r="I3133">
            <v>3</v>
          </cell>
          <cell r="J3133">
            <v>46250</v>
          </cell>
          <cell r="K3133">
            <v>100</v>
          </cell>
          <cell r="L3133">
            <v>46231</v>
          </cell>
          <cell r="M3133">
            <v>-2079</v>
          </cell>
          <cell r="N3133">
            <v>97921</v>
          </cell>
        </row>
        <row r="3134">
          <cell r="A3134">
            <v>64145</v>
          </cell>
          <cell r="B3134">
            <v>3128</v>
          </cell>
          <cell r="C3134" t="str">
            <v>IASWD2409000101</v>
          </cell>
          <cell r="D3134">
            <v>45539</v>
          </cell>
          <cell r="E3134">
            <v>46250</v>
          </cell>
          <cell r="F3134" t="str">
            <v>64145</v>
          </cell>
          <cell r="G3134" t="str">
            <v>樺漢五</v>
          </cell>
          <cell r="H3134">
            <v>100000</v>
          </cell>
          <cell r="I3134">
            <v>3</v>
          </cell>
          <cell r="J3134">
            <v>46250</v>
          </cell>
          <cell r="K3134">
            <v>100</v>
          </cell>
          <cell r="L3134">
            <v>46231</v>
          </cell>
          <cell r="M3134">
            <v>-2079</v>
          </cell>
          <cell r="N3134">
            <v>97921</v>
          </cell>
        </row>
        <row r="3135">
          <cell r="A3135">
            <v>811210</v>
          </cell>
          <cell r="B3135">
            <v>3129</v>
          </cell>
          <cell r="C3135" t="str">
            <v>IASWD2409000103</v>
          </cell>
          <cell r="D3135">
            <v>45539</v>
          </cell>
          <cell r="E3135">
            <v>46531</v>
          </cell>
          <cell r="F3135" t="str">
            <v>811210</v>
          </cell>
          <cell r="G3135" t="str">
            <v>至上十</v>
          </cell>
          <cell r="H3135">
            <v>100000</v>
          </cell>
          <cell r="I3135">
            <v>3.7</v>
          </cell>
          <cell r="J3135">
            <v>46531</v>
          </cell>
          <cell r="K3135">
            <v>100</v>
          </cell>
          <cell r="L3135">
            <v>46511</v>
          </cell>
          <cell r="M3135">
            <v>-2565</v>
          </cell>
          <cell r="N3135">
            <v>97435</v>
          </cell>
        </row>
        <row r="3136">
          <cell r="A3136">
            <v>811210</v>
          </cell>
          <cell r="B3136">
            <v>3130</v>
          </cell>
          <cell r="C3136" t="str">
            <v>IASWD2409000106</v>
          </cell>
          <cell r="D3136">
            <v>45539</v>
          </cell>
          <cell r="E3136">
            <v>46531</v>
          </cell>
          <cell r="F3136" t="str">
            <v>811210</v>
          </cell>
          <cell r="G3136" t="str">
            <v>至上十</v>
          </cell>
          <cell r="H3136">
            <v>1500000</v>
          </cell>
          <cell r="I3136">
            <v>3.7</v>
          </cell>
          <cell r="J3136">
            <v>46531</v>
          </cell>
          <cell r="K3136">
            <v>100</v>
          </cell>
          <cell r="L3136">
            <v>46511</v>
          </cell>
          <cell r="M3136">
            <v>-38470</v>
          </cell>
          <cell r="N3136">
            <v>1461530</v>
          </cell>
        </row>
        <row r="3137">
          <cell r="A3137">
            <v>64145</v>
          </cell>
          <cell r="B3137">
            <v>3131</v>
          </cell>
          <cell r="C3137" t="str">
            <v>IASWD2409000109</v>
          </cell>
          <cell r="D3137">
            <v>45539</v>
          </cell>
          <cell r="E3137">
            <v>46250</v>
          </cell>
          <cell r="F3137" t="str">
            <v>64145</v>
          </cell>
          <cell r="G3137" t="str">
            <v>樺漢五</v>
          </cell>
          <cell r="H3137">
            <v>100000</v>
          </cell>
          <cell r="I3137">
            <v>3</v>
          </cell>
          <cell r="J3137">
            <v>46250</v>
          </cell>
          <cell r="K3137">
            <v>100</v>
          </cell>
          <cell r="L3137">
            <v>46231</v>
          </cell>
          <cell r="M3137">
            <v>-2079</v>
          </cell>
          <cell r="N3137">
            <v>97921</v>
          </cell>
        </row>
        <row r="3138">
          <cell r="A3138">
            <v>64145</v>
          </cell>
          <cell r="B3138">
            <v>3132</v>
          </cell>
          <cell r="C3138" t="str">
            <v>IASWD2409000110</v>
          </cell>
          <cell r="D3138">
            <v>45539</v>
          </cell>
          <cell r="E3138">
            <v>46250</v>
          </cell>
          <cell r="F3138" t="str">
            <v>64145</v>
          </cell>
          <cell r="G3138" t="str">
            <v>樺漢五</v>
          </cell>
          <cell r="H3138">
            <v>100000</v>
          </cell>
          <cell r="I3138">
            <v>3</v>
          </cell>
          <cell r="J3138">
            <v>46250</v>
          </cell>
          <cell r="K3138">
            <v>100</v>
          </cell>
          <cell r="L3138">
            <v>46231</v>
          </cell>
          <cell r="M3138">
            <v>-2079</v>
          </cell>
          <cell r="N3138">
            <v>97921</v>
          </cell>
        </row>
        <row r="3139">
          <cell r="A3139">
            <v>34843</v>
          </cell>
          <cell r="B3139">
            <v>3133</v>
          </cell>
          <cell r="C3139" t="str">
            <v>IASWD2409000113</v>
          </cell>
          <cell r="D3139">
            <v>45539</v>
          </cell>
          <cell r="E3139">
            <v>46136</v>
          </cell>
          <cell r="F3139" t="str">
            <v>34843</v>
          </cell>
          <cell r="G3139" t="str">
            <v>崧騰三</v>
          </cell>
          <cell r="H3139">
            <v>100000</v>
          </cell>
          <cell r="I3139">
            <v>3.5</v>
          </cell>
          <cell r="J3139">
            <v>46136</v>
          </cell>
          <cell r="K3139">
            <v>100.75</v>
          </cell>
          <cell r="L3139">
            <v>46118</v>
          </cell>
          <cell r="M3139">
            <v>-2426</v>
          </cell>
          <cell r="N3139">
            <v>97574</v>
          </cell>
        </row>
        <row r="3140">
          <cell r="A3140">
            <v>89277</v>
          </cell>
          <cell r="B3140">
            <v>3134</v>
          </cell>
          <cell r="C3140" t="str">
            <v>IASWD2409000115</v>
          </cell>
          <cell r="D3140">
            <v>45539</v>
          </cell>
          <cell r="E3140">
            <v>46615</v>
          </cell>
          <cell r="F3140" t="str">
            <v>89277</v>
          </cell>
          <cell r="G3140" t="str">
            <v>北基七</v>
          </cell>
          <cell r="H3140">
            <v>200000</v>
          </cell>
          <cell r="I3140">
            <v>2.2000000000000002</v>
          </cell>
          <cell r="J3140">
            <v>46615</v>
          </cell>
          <cell r="K3140">
            <v>101.50749999999999</v>
          </cell>
          <cell r="L3140">
            <v>46595</v>
          </cell>
          <cell r="M3140">
            <v>-3050</v>
          </cell>
          <cell r="N3140">
            <v>196950</v>
          </cell>
        </row>
        <row r="3141">
          <cell r="A3141">
            <v>22013</v>
          </cell>
          <cell r="B3141">
            <v>3135</v>
          </cell>
          <cell r="C3141" t="str">
            <v>IASWD2409000116</v>
          </cell>
          <cell r="D3141">
            <v>45539</v>
          </cell>
          <cell r="E3141">
            <v>46167</v>
          </cell>
          <cell r="F3141" t="str">
            <v>22013</v>
          </cell>
          <cell r="G3141" t="str">
            <v>裕隆三</v>
          </cell>
          <cell r="H3141">
            <v>300000</v>
          </cell>
          <cell r="I3141">
            <v>3</v>
          </cell>
          <cell r="J3141">
            <v>46167</v>
          </cell>
          <cell r="K3141">
            <v>100.75190000000001</v>
          </cell>
          <cell r="L3141">
            <v>46147</v>
          </cell>
          <cell r="M3141">
            <v>-6238</v>
          </cell>
          <cell r="N3141">
            <v>293762</v>
          </cell>
        </row>
        <row r="3142">
          <cell r="A3142">
            <v>64145</v>
          </cell>
          <cell r="B3142">
            <v>3136</v>
          </cell>
          <cell r="C3142" t="str">
            <v>IASWD2409000117</v>
          </cell>
          <cell r="D3142">
            <v>45539</v>
          </cell>
          <cell r="E3142">
            <v>46250</v>
          </cell>
          <cell r="F3142" t="str">
            <v>64145</v>
          </cell>
          <cell r="G3142" t="str">
            <v>樺漢五</v>
          </cell>
          <cell r="H3142">
            <v>300000</v>
          </cell>
          <cell r="I3142">
            <v>3</v>
          </cell>
          <cell r="J3142">
            <v>46250</v>
          </cell>
          <cell r="K3142">
            <v>100</v>
          </cell>
          <cell r="L3142">
            <v>46231</v>
          </cell>
          <cell r="M3142">
            <v>-6238</v>
          </cell>
          <cell r="N3142">
            <v>293762</v>
          </cell>
        </row>
        <row r="3143">
          <cell r="A3143">
            <v>89277</v>
          </cell>
          <cell r="B3143">
            <v>3137</v>
          </cell>
          <cell r="C3143" t="str">
            <v>IASWD2409000118</v>
          </cell>
          <cell r="D3143">
            <v>45539</v>
          </cell>
          <cell r="E3143">
            <v>46615</v>
          </cell>
          <cell r="F3143" t="str">
            <v>89277</v>
          </cell>
          <cell r="G3143" t="str">
            <v>北基七</v>
          </cell>
          <cell r="H3143">
            <v>200000</v>
          </cell>
          <cell r="I3143">
            <v>2.2000000000000002</v>
          </cell>
          <cell r="J3143">
            <v>46615</v>
          </cell>
          <cell r="K3143">
            <v>101.50749999999999</v>
          </cell>
          <cell r="L3143">
            <v>46595</v>
          </cell>
          <cell r="M3143">
            <v>-3050</v>
          </cell>
          <cell r="N3143">
            <v>196950</v>
          </cell>
        </row>
        <row r="3144">
          <cell r="A3144">
            <v>64145</v>
          </cell>
          <cell r="B3144">
            <v>3138</v>
          </cell>
          <cell r="C3144" t="str">
            <v>IASWD2409000119</v>
          </cell>
          <cell r="D3144">
            <v>45539</v>
          </cell>
          <cell r="E3144">
            <v>46250</v>
          </cell>
          <cell r="F3144" t="str">
            <v>64145</v>
          </cell>
          <cell r="G3144" t="str">
            <v>樺漢五</v>
          </cell>
          <cell r="H3144">
            <v>100000</v>
          </cell>
          <cell r="I3144">
            <v>3</v>
          </cell>
          <cell r="J3144">
            <v>46250</v>
          </cell>
          <cell r="K3144">
            <v>100</v>
          </cell>
          <cell r="L3144">
            <v>46231</v>
          </cell>
          <cell r="M3144">
            <v>-2079</v>
          </cell>
          <cell r="N3144">
            <v>97921</v>
          </cell>
        </row>
        <row r="3145">
          <cell r="A3145">
            <v>61965</v>
          </cell>
          <cell r="B3145">
            <v>3139</v>
          </cell>
          <cell r="C3145" t="str">
            <v>IASWD2409000120</v>
          </cell>
          <cell r="D3145">
            <v>45539</v>
          </cell>
          <cell r="E3145">
            <v>46200</v>
          </cell>
          <cell r="F3145" t="str">
            <v>61965</v>
          </cell>
          <cell r="G3145" t="str">
            <v>帆宣五</v>
          </cell>
          <cell r="H3145">
            <v>100000</v>
          </cell>
          <cell r="I3145">
            <v>3</v>
          </cell>
          <cell r="J3145">
            <v>46200</v>
          </cell>
          <cell r="K3145">
            <v>100</v>
          </cell>
          <cell r="L3145">
            <v>46182</v>
          </cell>
          <cell r="M3145">
            <v>-2079</v>
          </cell>
          <cell r="N3145">
            <v>97921</v>
          </cell>
        </row>
        <row r="3146">
          <cell r="A3146">
            <v>64145</v>
          </cell>
          <cell r="B3146">
            <v>3140</v>
          </cell>
          <cell r="C3146" t="str">
            <v>IASWD2409000121</v>
          </cell>
          <cell r="D3146">
            <v>45539</v>
          </cell>
          <cell r="E3146">
            <v>46250</v>
          </cell>
          <cell r="F3146" t="str">
            <v>64145</v>
          </cell>
          <cell r="G3146" t="str">
            <v>樺漢五</v>
          </cell>
          <cell r="H3146">
            <v>100000</v>
          </cell>
          <cell r="I3146">
            <v>3</v>
          </cell>
          <cell r="J3146">
            <v>46250</v>
          </cell>
          <cell r="K3146">
            <v>100</v>
          </cell>
          <cell r="L3146">
            <v>46231</v>
          </cell>
          <cell r="M3146">
            <v>-2079</v>
          </cell>
          <cell r="N3146">
            <v>97921</v>
          </cell>
        </row>
        <row r="3147">
          <cell r="A3147">
            <v>35482</v>
          </cell>
          <cell r="B3147">
            <v>3141</v>
          </cell>
          <cell r="C3147" t="str">
            <v>IASWD2409000122</v>
          </cell>
          <cell r="D3147">
            <v>45539</v>
          </cell>
          <cell r="E3147">
            <v>46395</v>
          </cell>
          <cell r="F3147" t="str">
            <v>35482</v>
          </cell>
          <cell r="G3147" t="str">
            <v>兆利二</v>
          </cell>
          <cell r="H3147">
            <v>200000</v>
          </cell>
          <cell r="I3147">
            <v>3</v>
          </cell>
          <cell r="J3147">
            <v>46395</v>
          </cell>
          <cell r="K3147">
            <v>100</v>
          </cell>
          <cell r="L3147">
            <v>46377</v>
          </cell>
          <cell r="M3147">
            <v>-4159</v>
          </cell>
          <cell r="N3147">
            <v>195841</v>
          </cell>
        </row>
        <row r="3148">
          <cell r="A3148">
            <v>22013</v>
          </cell>
          <cell r="B3148">
            <v>3142</v>
          </cell>
          <cell r="C3148" t="str">
            <v>IASWD2409000123</v>
          </cell>
          <cell r="D3148">
            <v>45539</v>
          </cell>
          <cell r="E3148">
            <v>46167</v>
          </cell>
          <cell r="F3148" t="str">
            <v>22013</v>
          </cell>
          <cell r="G3148" t="str">
            <v>裕隆三</v>
          </cell>
          <cell r="H3148">
            <v>600000</v>
          </cell>
          <cell r="I3148">
            <v>3</v>
          </cell>
          <cell r="J3148">
            <v>46167</v>
          </cell>
          <cell r="K3148">
            <v>100.75190000000001</v>
          </cell>
          <cell r="L3148">
            <v>46147</v>
          </cell>
          <cell r="M3148">
            <v>-12477</v>
          </cell>
          <cell r="N3148">
            <v>587523</v>
          </cell>
        </row>
        <row r="3149">
          <cell r="A3149">
            <v>27323</v>
          </cell>
          <cell r="B3149">
            <v>3143</v>
          </cell>
          <cell r="C3149" t="str">
            <v>IASWD2409000124</v>
          </cell>
          <cell r="D3149">
            <v>45539</v>
          </cell>
          <cell r="E3149">
            <v>46048</v>
          </cell>
          <cell r="F3149" t="str">
            <v>27323</v>
          </cell>
          <cell r="G3149" t="str">
            <v>六角三</v>
          </cell>
          <cell r="H3149">
            <v>200000</v>
          </cell>
          <cell r="I3149">
            <v>3</v>
          </cell>
          <cell r="J3149">
            <v>46048</v>
          </cell>
          <cell r="K3149">
            <v>101</v>
          </cell>
          <cell r="L3149">
            <v>46028</v>
          </cell>
          <cell r="M3149">
            <v>-4159</v>
          </cell>
          <cell r="N3149">
            <v>195841</v>
          </cell>
        </row>
        <row r="3150">
          <cell r="A3150">
            <v>64145</v>
          </cell>
          <cell r="B3150">
            <v>3144</v>
          </cell>
          <cell r="C3150" t="str">
            <v>IASWD2409000125</v>
          </cell>
          <cell r="D3150">
            <v>45539</v>
          </cell>
          <cell r="E3150">
            <v>46250</v>
          </cell>
          <cell r="F3150" t="str">
            <v>64145</v>
          </cell>
          <cell r="G3150" t="str">
            <v>樺漢五</v>
          </cell>
          <cell r="H3150">
            <v>500000</v>
          </cell>
          <cell r="I3150">
            <v>3</v>
          </cell>
          <cell r="J3150">
            <v>46250</v>
          </cell>
          <cell r="K3150">
            <v>100</v>
          </cell>
          <cell r="L3150">
            <v>46231</v>
          </cell>
          <cell r="M3150">
            <v>-10397</v>
          </cell>
          <cell r="N3150">
            <v>489603</v>
          </cell>
        </row>
        <row r="3151">
          <cell r="A3151">
            <v>811210</v>
          </cell>
          <cell r="B3151">
            <v>3145</v>
          </cell>
          <cell r="C3151" t="str">
            <v>IASWD2409000126</v>
          </cell>
          <cell r="D3151">
            <v>45539</v>
          </cell>
          <cell r="E3151">
            <v>46531</v>
          </cell>
          <cell r="F3151" t="str">
            <v>811210</v>
          </cell>
          <cell r="G3151" t="str">
            <v>至上十</v>
          </cell>
          <cell r="H3151">
            <v>100000</v>
          </cell>
          <cell r="I3151">
            <v>3.7</v>
          </cell>
          <cell r="J3151">
            <v>46531</v>
          </cell>
          <cell r="K3151">
            <v>100</v>
          </cell>
          <cell r="L3151">
            <v>46511</v>
          </cell>
          <cell r="M3151">
            <v>-2565</v>
          </cell>
          <cell r="N3151">
            <v>97435</v>
          </cell>
        </row>
        <row r="3152">
          <cell r="A3152">
            <v>22013</v>
          </cell>
          <cell r="B3152">
            <v>3146</v>
          </cell>
          <cell r="C3152" t="str">
            <v>IASWD2409000129</v>
          </cell>
          <cell r="D3152">
            <v>45539</v>
          </cell>
          <cell r="E3152">
            <v>46167</v>
          </cell>
          <cell r="F3152" t="str">
            <v>22013</v>
          </cell>
          <cell r="G3152" t="str">
            <v>裕隆三</v>
          </cell>
          <cell r="H3152">
            <v>100000</v>
          </cell>
          <cell r="I3152">
            <v>3</v>
          </cell>
          <cell r="J3152">
            <v>46167</v>
          </cell>
          <cell r="K3152">
            <v>100.75190000000001</v>
          </cell>
          <cell r="L3152">
            <v>46147</v>
          </cell>
          <cell r="M3152">
            <v>-2079</v>
          </cell>
          <cell r="N3152">
            <v>97921</v>
          </cell>
        </row>
        <row r="3153">
          <cell r="A3153">
            <v>34834</v>
          </cell>
          <cell r="B3153">
            <v>3147</v>
          </cell>
          <cell r="C3153" t="str">
            <v>IASWD2409000130</v>
          </cell>
          <cell r="D3153">
            <v>45539</v>
          </cell>
          <cell r="E3153">
            <v>46529</v>
          </cell>
          <cell r="F3153" t="str">
            <v>34834</v>
          </cell>
          <cell r="G3153" t="str">
            <v>力致四</v>
          </cell>
          <cell r="H3153">
            <v>100000</v>
          </cell>
          <cell r="I3153">
            <v>3.75</v>
          </cell>
          <cell r="J3153">
            <v>46529</v>
          </cell>
          <cell r="K3153">
            <v>100</v>
          </cell>
          <cell r="L3153">
            <v>46511</v>
          </cell>
          <cell r="M3153">
            <v>-2599</v>
          </cell>
          <cell r="N3153">
            <v>97401</v>
          </cell>
        </row>
        <row r="3154">
          <cell r="A3154">
            <v>84673</v>
          </cell>
          <cell r="B3154">
            <v>3148</v>
          </cell>
          <cell r="C3154" t="str">
            <v>IASWD2409000132</v>
          </cell>
          <cell r="D3154">
            <v>45539</v>
          </cell>
          <cell r="E3154">
            <v>46538</v>
          </cell>
          <cell r="F3154" t="str">
            <v>84673</v>
          </cell>
          <cell r="G3154" t="str">
            <v>波力三KY</v>
          </cell>
          <cell r="H3154">
            <v>100000</v>
          </cell>
          <cell r="I3154">
            <v>4.2</v>
          </cell>
          <cell r="J3154">
            <v>46538</v>
          </cell>
          <cell r="K3154">
            <v>100</v>
          </cell>
          <cell r="L3154">
            <v>46518</v>
          </cell>
          <cell r="M3154">
            <v>-2911</v>
          </cell>
          <cell r="N3154">
            <v>97089</v>
          </cell>
        </row>
        <row r="3155">
          <cell r="A3155">
            <v>84781</v>
          </cell>
          <cell r="B3155">
            <v>3149</v>
          </cell>
          <cell r="C3155" t="str">
            <v>IASWD2409000133</v>
          </cell>
          <cell r="D3155">
            <v>45539</v>
          </cell>
          <cell r="E3155">
            <v>46583</v>
          </cell>
          <cell r="F3155" t="str">
            <v>84781</v>
          </cell>
          <cell r="G3155" t="str">
            <v>東哥遊艇一</v>
          </cell>
          <cell r="H3155">
            <v>100000</v>
          </cell>
          <cell r="I3155">
            <v>3.1</v>
          </cell>
          <cell r="J3155">
            <v>46583</v>
          </cell>
          <cell r="K3155">
            <v>100</v>
          </cell>
          <cell r="L3155">
            <v>46563</v>
          </cell>
          <cell r="M3155">
            <v>-2149</v>
          </cell>
          <cell r="N3155">
            <v>97851</v>
          </cell>
        </row>
        <row r="3156">
          <cell r="A3156">
            <v>811210</v>
          </cell>
          <cell r="B3156">
            <v>3150</v>
          </cell>
          <cell r="C3156" t="str">
            <v>IASWD2409000134</v>
          </cell>
          <cell r="D3156">
            <v>45539</v>
          </cell>
          <cell r="E3156">
            <v>46531</v>
          </cell>
          <cell r="F3156" t="str">
            <v>811210</v>
          </cell>
          <cell r="G3156" t="str">
            <v>至上十</v>
          </cell>
          <cell r="H3156">
            <v>100000</v>
          </cell>
          <cell r="I3156">
            <v>3.7</v>
          </cell>
          <cell r="J3156">
            <v>46531</v>
          </cell>
          <cell r="K3156">
            <v>100</v>
          </cell>
          <cell r="L3156">
            <v>46511</v>
          </cell>
          <cell r="M3156">
            <v>-2565</v>
          </cell>
          <cell r="N3156">
            <v>97435</v>
          </cell>
        </row>
        <row r="3157">
          <cell r="A3157">
            <v>89277</v>
          </cell>
          <cell r="B3157">
            <v>3151</v>
          </cell>
          <cell r="C3157" t="str">
            <v>IASWD2409000135</v>
          </cell>
          <cell r="D3157">
            <v>45539</v>
          </cell>
          <cell r="E3157">
            <v>46615</v>
          </cell>
          <cell r="F3157" t="str">
            <v>89277</v>
          </cell>
          <cell r="G3157" t="str">
            <v>北基七</v>
          </cell>
          <cell r="H3157">
            <v>100000</v>
          </cell>
          <cell r="I3157">
            <v>2.2000000000000002</v>
          </cell>
          <cell r="J3157">
            <v>46615</v>
          </cell>
          <cell r="K3157">
            <v>101.50749999999999</v>
          </cell>
          <cell r="L3157">
            <v>46595</v>
          </cell>
          <cell r="M3157">
            <v>-1525</v>
          </cell>
          <cell r="N3157">
            <v>98475</v>
          </cell>
        </row>
        <row r="3158">
          <cell r="A3158">
            <v>22013</v>
          </cell>
          <cell r="B3158">
            <v>3152</v>
          </cell>
          <cell r="C3158" t="str">
            <v>IASWD2409000136</v>
          </cell>
          <cell r="D3158">
            <v>45539</v>
          </cell>
          <cell r="E3158">
            <v>46167</v>
          </cell>
          <cell r="F3158" t="str">
            <v>22013</v>
          </cell>
          <cell r="G3158" t="str">
            <v>裕隆三</v>
          </cell>
          <cell r="H3158">
            <v>200000</v>
          </cell>
          <cell r="I3158">
            <v>3</v>
          </cell>
          <cell r="J3158">
            <v>46167</v>
          </cell>
          <cell r="K3158">
            <v>100.75190000000001</v>
          </cell>
          <cell r="L3158">
            <v>46147</v>
          </cell>
          <cell r="M3158">
            <v>-4159</v>
          </cell>
          <cell r="N3158">
            <v>195841</v>
          </cell>
        </row>
        <row r="3159">
          <cell r="A3159">
            <v>811210</v>
          </cell>
          <cell r="B3159">
            <v>3153</v>
          </cell>
          <cell r="C3159" t="str">
            <v>IASWD2409000137</v>
          </cell>
          <cell r="D3159">
            <v>45539</v>
          </cell>
          <cell r="E3159">
            <v>46531</v>
          </cell>
          <cell r="F3159" t="str">
            <v>811210</v>
          </cell>
          <cell r="G3159" t="str">
            <v>至上十</v>
          </cell>
          <cell r="H3159">
            <v>100000</v>
          </cell>
          <cell r="I3159">
            <v>3.7</v>
          </cell>
          <cell r="J3159">
            <v>46531</v>
          </cell>
          <cell r="K3159">
            <v>100</v>
          </cell>
          <cell r="L3159">
            <v>46511</v>
          </cell>
          <cell r="M3159">
            <v>-2565</v>
          </cell>
          <cell r="N3159">
            <v>97435</v>
          </cell>
        </row>
        <row r="3160">
          <cell r="A3160">
            <v>61875</v>
          </cell>
          <cell r="B3160">
            <v>3154</v>
          </cell>
          <cell r="C3160" t="str">
            <v>IASWD2409000138</v>
          </cell>
          <cell r="D3160">
            <v>45539</v>
          </cell>
          <cell r="E3160">
            <v>46578</v>
          </cell>
          <cell r="F3160" t="str">
            <v>61875</v>
          </cell>
          <cell r="G3160" t="str">
            <v>萬潤五</v>
          </cell>
          <cell r="H3160">
            <v>100000</v>
          </cell>
          <cell r="I3160">
            <v>3.1</v>
          </cell>
          <cell r="J3160">
            <v>46578</v>
          </cell>
          <cell r="K3160">
            <v>100</v>
          </cell>
          <cell r="L3160">
            <v>46560</v>
          </cell>
          <cell r="M3160">
            <v>-2149</v>
          </cell>
          <cell r="N3160">
            <v>97851</v>
          </cell>
        </row>
        <row r="3161">
          <cell r="A3161">
            <v>22013</v>
          </cell>
          <cell r="B3161">
            <v>3155</v>
          </cell>
          <cell r="C3161" t="str">
            <v>IASWD2409000141</v>
          </cell>
          <cell r="D3161">
            <v>45539</v>
          </cell>
          <cell r="E3161">
            <v>46167</v>
          </cell>
          <cell r="F3161" t="str">
            <v>22013</v>
          </cell>
          <cell r="G3161" t="str">
            <v>裕隆三</v>
          </cell>
          <cell r="H3161">
            <v>1000000</v>
          </cell>
          <cell r="I3161">
            <v>3</v>
          </cell>
          <cell r="J3161">
            <v>46167</v>
          </cell>
          <cell r="K3161">
            <v>100.75190000000001</v>
          </cell>
          <cell r="L3161">
            <v>46147</v>
          </cell>
          <cell r="M3161">
            <v>-20795</v>
          </cell>
          <cell r="N3161">
            <v>979205</v>
          </cell>
        </row>
        <row r="3162">
          <cell r="A3162">
            <v>61875</v>
          </cell>
          <cell r="B3162">
            <v>3156</v>
          </cell>
          <cell r="C3162" t="str">
            <v>IASWD2409000142</v>
          </cell>
          <cell r="D3162">
            <v>45539</v>
          </cell>
          <cell r="E3162">
            <v>46578</v>
          </cell>
          <cell r="F3162" t="str">
            <v>61875</v>
          </cell>
          <cell r="G3162" t="str">
            <v>萬潤五</v>
          </cell>
          <cell r="H3162">
            <v>200000</v>
          </cell>
          <cell r="I3162">
            <v>3.1</v>
          </cell>
          <cell r="J3162">
            <v>46578</v>
          </cell>
          <cell r="K3162">
            <v>100</v>
          </cell>
          <cell r="L3162">
            <v>46560</v>
          </cell>
          <cell r="M3162">
            <v>-4298</v>
          </cell>
          <cell r="N3162">
            <v>195702</v>
          </cell>
        </row>
        <row r="3163">
          <cell r="A3163">
            <v>64145</v>
          </cell>
          <cell r="B3163">
            <v>3157</v>
          </cell>
          <cell r="C3163" t="str">
            <v>IASWD2409000143</v>
          </cell>
          <cell r="D3163">
            <v>45539</v>
          </cell>
          <cell r="E3163">
            <v>46250</v>
          </cell>
          <cell r="F3163" t="str">
            <v>64145</v>
          </cell>
          <cell r="G3163" t="str">
            <v>樺漢五</v>
          </cell>
          <cell r="H3163">
            <v>100000</v>
          </cell>
          <cell r="I3163">
            <v>3</v>
          </cell>
          <cell r="J3163">
            <v>46250</v>
          </cell>
          <cell r="K3163">
            <v>100</v>
          </cell>
          <cell r="L3163">
            <v>46231</v>
          </cell>
          <cell r="M3163">
            <v>-2079</v>
          </cell>
          <cell r="N3163">
            <v>97921</v>
          </cell>
        </row>
        <row r="3164">
          <cell r="A3164">
            <v>22013</v>
          </cell>
          <cell r="B3164">
            <v>3158</v>
          </cell>
          <cell r="C3164" t="str">
            <v>IASWD2409000145</v>
          </cell>
          <cell r="D3164">
            <v>45540</v>
          </cell>
          <cell r="E3164">
            <v>46167</v>
          </cell>
          <cell r="F3164" t="str">
            <v>22013</v>
          </cell>
          <cell r="G3164" t="str">
            <v>裕隆三</v>
          </cell>
          <cell r="H3164">
            <v>100000</v>
          </cell>
          <cell r="I3164">
            <v>3.25</v>
          </cell>
          <cell r="J3164">
            <v>46167</v>
          </cell>
          <cell r="K3164">
            <v>100.75190000000001</v>
          </cell>
          <cell r="L3164">
            <v>46147</v>
          </cell>
          <cell r="M3164">
            <v>-2244</v>
          </cell>
          <cell r="N3164">
            <v>97756</v>
          </cell>
        </row>
        <row r="3165">
          <cell r="A3165">
            <v>35482</v>
          </cell>
          <cell r="B3165">
            <v>3159</v>
          </cell>
          <cell r="C3165" t="str">
            <v>IASWD2409000148</v>
          </cell>
          <cell r="D3165">
            <v>45540</v>
          </cell>
          <cell r="E3165">
            <v>46395</v>
          </cell>
          <cell r="F3165" t="str">
            <v>35482</v>
          </cell>
          <cell r="G3165" t="str">
            <v>兆利二</v>
          </cell>
          <cell r="H3165">
            <v>100000</v>
          </cell>
          <cell r="I3165">
            <v>3</v>
          </cell>
          <cell r="J3165">
            <v>46395</v>
          </cell>
          <cell r="K3165">
            <v>100</v>
          </cell>
          <cell r="L3165">
            <v>46377</v>
          </cell>
          <cell r="M3165">
            <v>-2071</v>
          </cell>
          <cell r="N3165">
            <v>97929</v>
          </cell>
        </row>
        <row r="3166">
          <cell r="A3166">
            <v>811210</v>
          </cell>
          <cell r="B3166">
            <v>3160</v>
          </cell>
          <cell r="C3166" t="str">
            <v>IASWD2409000150</v>
          </cell>
          <cell r="D3166">
            <v>45540</v>
          </cell>
          <cell r="E3166">
            <v>46531</v>
          </cell>
          <cell r="F3166" t="str">
            <v>811210</v>
          </cell>
          <cell r="G3166" t="str">
            <v>至上十</v>
          </cell>
          <cell r="H3166">
            <v>500000</v>
          </cell>
          <cell r="I3166">
            <v>3.7</v>
          </cell>
          <cell r="J3166">
            <v>46531</v>
          </cell>
          <cell r="K3166">
            <v>100</v>
          </cell>
          <cell r="L3166">
            <v>46511</v>
          </cell>
          <cell r="M3166">
            <v>-12773</v>
          </cell>
          <cell r="N3166">
            <v>487227</v>
          </cell>
        </row>
        <row r="3167">
          <cell r="A3167">
            <v>22013</v>
          </cell>
          <cell r="B3167">
            <v>3161</v>
          </cell>
          <cell r="C3167" t="str">
            <v>IASWD2409000151</v>
          </cell>
          <cell r="D3167">
            <v>45540</v>
          </cell>
          <cell r="E3167">
            <v>46167</v>
          </cell>
          <cell r="F3167" t="str">
            <v>22013</v>
          </cell>
          <cell r="G3167" t="str">
            <v>裕隆三</v>
          </cell>
          <cell r="H3167">
            <v>100000</v>
          </cell>
          <cell r="I3167">
            <v>3.25</v>
          </cell>
          <cell r="J3167">
            <v>46167</v>
          </cell>
          <cell r="K3167">
            <v>100.75190000000001</v>
          </cell>
          <cell r="L3167">
            <v>46147</v>
          </cell>
          <cell r="M3167">
            <v>-2244</v>
          </cell>
          <cell r="N3167">
            <v>97756</v>
          </cell>
        </row>
        <row r="3168">
          <cell r="A3168">
            <v>22013</v>
          </cell>
          <cell r="B3168">
            <v>3162</v>
          </cell>
          <cell r="C3168" t="str">
            <v>IASWD2409000152</v>
          </cell>
          <cell r="D3168">
            <v>45540</v>
          </cell>
          <cell r="E3168">
            <v>46167</v>
          </cell>
          <cell r="F3168" t="str">
            <v>22013</v>
          </cell>
          <cell r="G3168" t="str">
            <v>裕隆三</v>
          </cell>
          <cell r="H3168">
            <v>100000</v>
          </cell>
          <cell r="I3168">
            <v>3.25</v>
          </cell>
          <cell r="J3168">
            <v>46167</v>
          </cell>
          <cell r="K3168">
            <v>100.75190000000001</v>
          </cell>
          <cell r="L3168">
            <v>46147</v>
          </cell>
          <cell r="M3168">
            <v>-2244</v>
          </cell>
          <cell r="N3168">
            <v>97756</v>
          </cell>
        </row>
        <row r="3169">
          <cell r="A3169">
            <v>61965</v>
          </cell>
          <cell r="B3169">
            <v>3163</v>
          </cell>
          <cell r="C3169" t="str">
            <v>IASWD2409000155</v>
          </cell>
          <cell r="D3169">
            <v>45540</v>
          </cell>
          <cell r="E3169">
            <v>46200</v>
          </cell>
          <cell r="F3169" t="str">
            <v>61965</v>
          </cell>
          <cell r="G3169" t="str">
            <v>帆宣五</v>
          </cell>
          <cell r="H3169">
            <v>100000</v>
          </cell>
          <cell r="I3169">
            <v>3</v>
          </cell>
          <cell r="J3169">
            <v>46200</v>
          </cell>
          <cell r="K3169">
            <v>100</v>
          </cell>
          <cell r="L3169">
            <v>46182</v>
          </cell>
          <cell r="M3169">
            <v>-2071</v>
          </cell>
          <cell r="N3169">
            <v>97929</v>
          </cell>
        </row>
        <row r="3170">
          <cell r="A3170">
            <v>84673</v>
          </cell>
          <cell r="B3170">
            <v>3164</v>
          </cell>
          <cell r="C3170" t="str">
            <v>IASWD2409000157</v>
          </cell>
          <cell r="D3170">
            <v>45540</v>
          </cell>
          <cell r="E3170">
            <v>46538</v>
          </cell>
          <cell r="F3170" t="str">
            <v>84673</v>
          </cell>
          <cell r="G3170" t="str">
            <v>波力三KY</v>
          </cell>
          <cell r="H3170">
            <v>100000</v>
          </cell>
          <cell r="I3170">
            <v>4.2</v>
          </cell>
          <cell r="J3170">
            <v>46538</v>
          </cell>
          <cell r="K3170">
            <v>100</v>
          </cell>
          <cell r="L3170">
            <v>46518</v>
          </cell>
          <cell r="M3170">
            <v>-2900</v>
          </cell>
          <cell r="N3170">
            <v>97100</v>
          </cell>
        </row>
        <row r="3171">
          <cell r="A3171">
            <v>36804</v>
          </cell>
          <cell r="B3171">
            <v>3165</v>
          </cell>
          <cell r="C3171" t="str">
            <v>IASWD2409000158</v>
          </cell>
          <cell r="D3171">
            <v>45540</v>
          </cell>
          <cell r="E3171">
            <v>45948</v>
          </cell>
          <cell r="F3171" t="str">
            <v>36804</v>
          </cell>
          <cell r="G3171" t="str">
            <v>家登四</v>
          </cell>
          <cell r="H3171">
            <v>100000</v>
          </cell>
          <cell r="I3171">
            <v>3.2</v>
          </cell>
          <cell r="J3171">
            <v>45948</v>
          </cell>
          <cell r="K3171">
            <v>100</v>
          </cell>
          <cell r="L3171">
            <v>45926</v>
          </cell>
          <cell r="M3171">
            <v>-2209</v>
          </cell>
          <cell r="N3171">
            <v>97791</v>
          </cell>
        </row>
        <row r="3172">
          <cell r="A3172">
            <v>64145</v>
          </cell>
          <cell r="B3172">
            <v>3166</v>
          </cell>
          <cell r="C3172" t="str">
            <v>IASWD2409000159</v>
          </cell>
          <cell r="D3172">
            <v>45540</v>
          </cell>
          <cell r="E3172">
            <v>46250</v>
          </cell>
          <cell r="F3172" t="str">
            <v>64145</v>
          </cell>
          <cell r="G3172" t="str">
            <v>樺漢五</v>
          </cell>
          <cell r="H3172">
            <v>100000</v>
          </cell>
          <cell r="I3172">
            <v>3</v>
          </cell>
          <cell r="J3172">
            <v>46250</v>
          </cell>
          <cell r="K3172">
            <v>100</v>
          </cell>
          <cell r="L3172">
            <v>46231</v>
          </cell>
          <cell r="M3172">
            <v>-2071</v>
          </cell>
          <cell r="N3172">
            <v>97929</v>
          </cell>
        </row>
        <row r="3173">
          <cell r="A3173">
            <v>64145</v>
          </cell>
          <cell r="B3173">
            <v>3167</v>
          </cell>
          <cell r="C3173" t="str">
            <v>IASWD2409000160</v>
          </cell>
          <cell r="D3173">
            <v>45540</v>
          </cell>
          <cell r="E3173">
            <v>46250</v>
          </cell>
          <cell r="F3173" t="str">
            <v>64145</v>
          </cell>
          <cell r="G3173" t="str">
            <v>樺漢五</v>
          </cell>
          <cell r="H3173">
            <v>100000</v>
          </cell>
          <cell r="I3173">
            <v>3</v>
          </cell>
          <cell r="J3173">
            <v>46250</v>
          </cell>
          <cell r="K3173">
            <v>100</v>
          </cell>
          <cell r="L3173">
            <v>46231</v>
          </cell>
          <cell r="M3173">
            <v>-2071</v>
          </cell>
          <cell r="N3173">
            <v>97929</v>
          </cell>
        </row>
        <row r="3174">
          <cell r="A3174">
            <v>22013</v>
          </cell>
          <cell r="B3174">
            <v>3168</v>
          </cell>
          <cell r="C3174" t="str">
            <v>IASWD2409000163</v>
          </cell>
          <cell r="D3174">
            <v>45540</v>
          </cell>
          <cell r="E3174">
            <v>46167</v>
          </cell>
          <cell r="F3174" t="str">
            <v>22013</v>
          </cell>
          <cell r="G3174" t="str">
            <v>裕隆三</v>
          </cell>
          <cell r="H3174">
            <v>100000</v>
          </cell>
          <cell r="I3174">
            <v>3.25</v>
          </cell>
          <cell r="J3174">
            <v>46167</v>
          </cell>
          <cell r="K3174">
            <v>100.75190000000001</v>
          </cell>
          <cell r="L3174">
            <v>46147</v>
          </cell>
          <cell r="M3174">
            <v>-2244</v>
          </cell>
          <cell r="N3174">
            <v>97756</v>
          </cell>
        </row>
        <row r="3175">
          <cell r="A3175">
            <v>84781</v>
          </cell>
          <cell r="B3175">
            <v>3169</v>
          </cell>
          <cell r="C3175" t="str">
            <v>IASWD2409000164</v>
          </cell>
          <cell r="D3175">
            <v>45540</v>
          </cell>
          <cell r="E3175">
            <v>46583</v>
          </cell>
          <cell r="F3175" t="str">
            <v>84781</v>
          </cell>
          <cell r="G3175" t="str">
            <v>東哥遊艇一</v>
          </cell>
          <cell r="H3175">
            <v>400000</v>
          </cell>
          <cell r="I3175">
            <v>3.1</v>
          </cell>
          <cell r="J3175">
            <v>46583</v>
          </cell>
          <cell r="K3175">
            <v>100</v>
          </cell>
          <cell r="L3175">
            <v>46563</v>
          </cell>
          <cell r="M3175">
            <v>-8561</v>
          </cell>
          <cell r="N3175">
            <v>391439</v>
          </cell>
        </row>
        <row r="3176">
          <cell r="A3176">
            <v>64145</v>
          </cell>
          <cell r="B3176">
            <v>3170</v>
          </cell>
          <cell r="C3176" t="str">
            <v>IASWD2409000168</v>
          </cell>
          <cell r="D3176">
            <v>45540</v>
          </cell>
          <cell r="E3176">
            <v>46250</v>
          </cell>
          <cell r="F3176" t="str">
            <v>64145</v>
          </cell>
          <cell r="G3176" t="str">
            <v>樺漢五</v>
          </cell>
          <cell r="H3176">
            <v>100000</v>
          </cell>
          <cell r="I3176">
            <v>3</v>
          </cell>
          <cell r="J3176">
            <v>46250</v>
          </cell>
          <cell r="K3176">
            <v>100</v>
          </cell>
          <cell r="L3176">
            <v>46231</v>
          </cell>
          <cell r="M3176">
            <v>-2071</v>
          </cell>
          <cell r="N3176">
            <v>97929</v>
          </cell>
        </row>
        <row r="3177">
          <cell r="A3177">
            <v>84781</v>
          </cell>
          <cell r="B3177">
            <v>3171</v>
          </cell>
          <cell r="C3177" t="str">
            <v>IASWD2409000169</v>
          </cell>
          <cell r="D3177">
            <v>45540</v>
          </cell>
          <cell r="E3177">
            <v>46583</v>
          </cell>
          <cell r="F3177" t="str">
            <v>84781</v>
          </cell>
          <cell r="G3177" t="str">
            <v>東哥遊艇一</v>
          </cell>
          <cell r="H3177">
            <v>100000</v>
          </cell>
          <cell r="I3177">
            <v>3.1</v>
          </cell>
          <cell r="J3177">
            <v>46583</v>
          </cell>
          <cell r="K3177">
            <v>100</v>
          </cell>
          <cell r="L3177">
            <v>46563</v>
          </cell>
          <cell r="M3177">
            <v>-2140</v>
          </cell>
          <cell r="N3177">
            <v>97860</v>
          </cell>
        </row>
        <row r="3178">
          <cell r="A3178">
            <v>36804</v>
          </cell>
          <cell r="B3178">
            <v>3172</v>
          </cell>
          <cell r="C3178" t="str">
            <v>IASWD2409000170</v>
          </cell>
          <cell r="D3178">
            <v>45540</v>
          </cell>
          <cell r="E3178">
            <v>45948</v>
          </cell>
          <cell r="F3178" t="str">
            <v>36804</v>
          </cell>
          <cell r="G3178" t="str">
            <v>家登四</v>
          </cell>
          <cell r="H3178">
            <v>100000</v>
          </cell>
          <cell r="I3178">
            <v>3.2</v>
          </cell>
          <cell r="J3178">
            <v>45948</v>
          </cell>
          <cell r="K3178">
            <v>100</v>
          </cell>
          <cell r="L3178">
            <v>45926</v>
          </cell>
          <cell r="M3178">
            <v>-2209</v>
          </cell>
          <cell r="N3178">
            <v>97791</v>
          </cell>
        </row>
        <row r="3179">
          <cell r="A3179">
            <v>811210</v>
          </cell>
          <cell r="B3179">
            <v>3173</v>
          </cell>
          <cell r="C3179" t="str">
            <v>IASWD2409000172</v>
          </cell>
          <cell r="D3179">
            <v>45540</v>
          </cell>
          <cell r="E3179">
            <v>46531</v>
          </cell>
          <cell r="F3179" t="str">
            <v>811210</v>
          </cell>
          <cell r="G3179" t="str">
            <v>至上十</v>
          </cell>
          <cell r="H3179">
            <v>100000</v>
          </cell>
          <cell r="I3179">
            <v>3.7</v>
          </cell>
          <cell r="J3179">
            <v>46531</v>
          </cell>
          <cell r="K3179">
            <v>100</v>
          </cell>
          <cell r="L3179">
            <v>46511</v>
          </cell>
          <cell r="M3179">
            <v>-2555</v>
          </cell>
          <cell r="N3179">
            <v>97445</v>
          </cell>
        </row>
        <row r="3180">
          <cell r="A3180">
            <v>84781</v>
          </cell>
          <cell r="B3180">
            <v>3174</v>
          </cell>
          <cell r="C3180" t="str">
            <v>IASWD2409000173</v>
          </cell>
          <cell r="D3180">
            <v>45540</v>
          </cell>
          <cell r="E3180">
            <v>46583</v>
          </cell>
          <cell r="F3180" t="str">
            <v>84781</v>
          </cell>
          <cell r="G3180" t="str">
            <v>東哥遊艇一</v>
          </cell>
          <cell r="H3180">
            <v>100000</v>
          </cell>
          <cell r="I3180">
            <v>3.1</v>
          </cell>
          <cell r="J3180">
            <v>46583</v>
          </cell>
          <cell r="K3180">
            <v>100</v>
          </cell>
          <cell r="L3180">
            <v>46563</v>
          </cell>
          <cell r="M3180">
            <v>-2140</v>
          </cell>
          <cell r="N3180">
            <v>97860</v>
          </cell>
        </row>
        <row r="3181">
          <cell r="A3181">
            <v>36804</v>
          </cell>
          <cell r="B3181">
            <v>3175</v>
          </cell>
          <cell r="C3181" t="str">
            <v>IASWD2409000174</v>
          </cell>
          <cell r="D3181">
            <v>45540</v>
          </cell>
          <cell r="E3181">
            <v>45948</v>
          </cell>
          <cell r="F3181" t="str">
            <v>36804</v>
          </cell>
          <cell r="G3181" t="str">
            <v>家登四</v>
          </cell>
          <cell r="H3181">
            <v>100000</v>
          </cell>
          <cell r="I3181">
            <v>3.2</v>
          </cell>
          <cell r="J3181">
            <v>45948</v>
          </cell>
          <cell r="K3181">
            <v>100</v>
          </cell>
          <cell r="L3181">
            <v>45926</v>
          </cell>
          <cell r="M3181">
            <v>-2209</v>
          </cell>
          <cell r="N3181">
            <v>97791</v>
          </cell>
        </row>
        <row r="3182">
          <cell r="A3182">
            <v>84781</v>
          </cell>
          <cell r="B3182">
            <v>3176</v>
          </cell>
          <cell r="C3182" t="str">
            <v>IASWD2409000175</v>
          </cell>
          <cell r="D3182">
            <v>45540</v>
          </cell>
          <cell r="E3182">
            <v>46583</v>
          </cell>
          <cell r="F3182" t="str">
            <v>84781</v>
          </cell>
          <cell r="G3182" t="str">
            <v>東哥遊艇一</v>
          </cell>
          <cell r="H3182">
            <v>100000</v>
          </cell>
          <cell r="I3182">
            <v>3.1</v>
          </cell>
          <cell r="J3182">
            <v>46583</v>
          </cell>
          <cell r="K3182">
            <v>100</v>
          </cell>
          <cell r="L3182">
            <v>46563</v>
          </cell>
          <cell r="M3182">
            <v>-2140</v>
          </cell>
          <cell r="N3182">
            <v>97860</v>
          </cell>
        </row>
        <row r="3183">
          <cell r="A3183">
            <v>84781</v>
          </cell>
          <cell r="B3183">
            <v>3177</v>
          </cell>
          <cell r="C3183" t="str">
            <v>IASWD2409000177</v>
          </cell>
          <cell r="D3183">
            <v>45540</v>
          </cell>
          <cell r="E3183">
            <v>46583</v>
          </cell>
          <cell r="F3183" t="str">
            <v>84781</v>
          </cell>
          <cell r="G3183" t="str">
            <v>東哥遊艇一</v>
          </cell>
          <cell r="H3183">
            <v>100000</v>
          </cell>
          <cell r="I3183">
            <v>3.1</v>
          </cell>
          <cell r="J3183">
            <v>46583</v>
          </cell>
          <cell r="K3183">
            <v>100</v>
          </cell>
          <cell r="L3183">
            <v>46563</v>
          </cell>
          <cell r="M3183">
            <v>-2140</v>
          </cell>
          <cell r="N3183">
            <v>97860</v>
          </cell>
        </row>
        <row r="3184">
          <cell r="A3184">
            <v>811210</v>
          </cell>
          <cell r="B3184">
            <v>3178</v>
          </cell>
          <cell r="C3184" t="str">
            <v>IASWD2409000178</v>
          </cell>
          <cell r="D3184">
            <v>45540</v>
          </cell>
          <cell r="E3184">
            <v>46531</v>
          </cell>
          <cell r="F3184" t="str">
            <v>811210</v>
          </cell>
          <cell r="G3184" t="str">
            <v>至上十</v>
          </cell>
          <cell r="H3184">
            <v>100000</v>
          </cell>
          <cell r="I3184">
            <v>3.7</v>
          </cell>
          <cell r="J3184">
            <v>46531</v>
          </cell>
          <cell r="K3184">
            <v>100</v>
          </cell>
          <cell r="L3184">
            <v>46511</v>
          </cell>
          <cell r="M3184">
            <v>-2555</v>
          </cell>
          <cell r="N3184">
            <v>97445</v>
          </cell>
        </row>
        <row r="3185">
          <cell r="A3185">
            <v>811210</v>
          </cell>
          <cell r="B3185">
            <v>3179</v>
          </cell>
          <cell r="C3185" t="str">
            <v>IASWD2409000182</v>
          </cell>
          <cell r="D3185">
            <v>45540</v>
          </cell>
          <cell r="E3185">
            <v>46531</v>
          </cell>
          <cell r="F3185" t="str">
            <v>811210</v>
          </cell>
          <cell r="G3185" t="str">
            <v>至上十</v>
          </cell>
          <cell r="H3185">
            <v>100000</v>
          </cell>
          <cell r="I3185">
            <v>3.7</v>
          </cell>
          <cell r="J3185">
            <v>46531</v>
          </cell>
          <cell r="K3185">
            <v>100</v>
          </cell>
          <cell r="L3185">
            <v>46511</v>
          </cell>
          <cell r="M3185">
            <v>-2555</v>
          </cell>
          <cell r="N3185">
            <v>97445</v>
          </cell>
        </row>
        <row r="3186">
          <cell r="A3186">
            <v>61875</v>
          </cell>
          <cell r="B3186">
            <v>3180</v>
          </cell>
          <cell r="C3186" t="str">
            <v>IASWD2409000183</v>
          </cell>
          <cell r="D3186">
            <v>45540</v>
          </cell>
          <cell r="E3186">
            <v>46578</v>
          </cell>
          <cell r="F3186" t="str">
            <v>61875</v>
          </cell>
          <cell r="G3186" t="str">
            <v>萬潤五</v>
          </cell>
          <cell r="H3186">
            <v>200000</v>
          </cell>
          <cell r="I3186">
            <v>3.1</v>
          </cell>
          <cell r="J3186">
            <v>46578</v>
          </cell>
          <cell r="K3186">
            <v>100</v>
          </cell>
          <cell r="L3186">
            <v>46560</v>
          </cell>
          <cell r="M3186">
            <v>-4281</v>
          </cell>
          <cell r="N3186">
            <v>195719</v>
          </cell>
        </row>
        <row r="3187">
          <cell r="A3187">
            <v>82551</v>
          </cell>
          <cell r="B3187">
            <v>3181</v>
          </cell>
          <cell r="C3187" t="str">
            <v>IASWD2409000184</v>
          </cell>
          <cell r="D3187">
            <v>45540</v>
          </cell>
          <cell r="E3187">
            <v>46243</v>
          </cell>
          <cell r="F3187" t="str">
            <v>82551</v>
          </cell>
          <cell r="G3187" t="str">
            <v>朋程一</v>
          </cell>
          <cell r="H3187">
            <v>100000</v>
          </cell>
          <cell r="I3187">
            <v>2.6</v>
          </cell>
          <cell r="J3187">
            <v>46243</v>
          </cell>
          <cell r="K3187">
            <v>100</v>
          </cell>
          <cell r="L3187">
            <v>46224</v>
          </cell>
          <cell r="M3187">
            <v>-1795</v>
          </cell>
          <cell r="N3187">
            <v>98205</v>
          </cell>
        </row>
        <row r="3188">
          <cell r="A3188">
            <v>64145</v>
          </cell>
          <cell r="B3188">
            <v>3182</v>
          </cell>
          <cell r="C3188" t="str">
            <v>IASWD2409000185</v>
          </cell>
          <cell r="D3188">
            <v>45540</v>
          </cell>
          <cell r="E3188">
            <v>46250</v>
          </cell>
          <cell r="F3188" t="str">
            <v>64145</v>
          </cell>
          <cell r="G3188" t="str">
            <v>樺漢五</v>
          </cell>
          <cell r="H3188">
            <v>100000</v>
          </cell>
          <cell r="I3188">
            <v>3</v>
          </cell>
          <cell r="J3188">
            <v>46250</v>
          </cell>
          <cell r="K3188">
            <v>100</v>
          </cell>
          <cell r="L3188">
            <v>46231</v>
          </cell>
          <cell r="M3188">
            <v>-2071</v>
          </cell>
          <cell r="N3188">
            <v>97929</v>
          </cell>
        </row>
        <row r="3189">
          <cell r="A3189">
            <v>34163</v>
          </cell>
          <cell r="B3189">
            <v>3183</v>
          </cell>
          <cell r="C3189" t="str">
            <v>IASWD2409000186</v>
          </cell>
          <cell r="D3189">
            <v>45540</v>
          </cell>
          <cell r="E3189">
            <v>46047</v>
          </cell>
          <cell r="F3189" t="str">
            <v>34163</v>
          </cell>
          <cell r="G3189" t="str">
            <v>融程電三</v>
          </cell>
          <cell r="H3189">
            <v>100000</v>
          </cell>
          <cell r="I3189">
            <v>3</v>
          </cell>
          <cell r="J3189">
            <v>46047</v>
          </cell>
          <cell r="K3189">
            <v>100.5</v>
          </cell>
          <cell r="L3189">
            <v>46028</v>
          </cell>
          <cell r="M3189">
            <v>-2071</v>
          </cell>
          <cell r="N3189">
            <v>97929</v>
          </cell>
        </row>
        <row r="3190">
          <cell r="A3190">
            <v>82551</v>
          </cell>
          <cell r="B3190">
            <v>3184</v>
          </cell>
          <cell r="C3190" t="str">
            <v>IASWD2409000187</v>
          </cell>
          <cell r="D3190">
            <v>45540</v>
          </cell>
          <cell r="E3190">
            <v>46243</v>
          </cell>
          <cell r="F3190" t="str">
            <v>82551</v>
          </cell>
          <cell r="G3190" t="str">
            <v>朋程一</v>
          </cell>
          <cell r="H3190">
            <v>100000</v>
          </cell>
          <cell r="I3190">
            <v>2.6</v>
          </cell>
          <cell r="J3190">
            <v>46243</v>
          </cell>
          <cell r="K3190">
            <v>100</v>
          </cell>
          <cell r="L3190">
            <v>46224</v>
          </cell>
          <cell r="M3190">
            <v>-1795</v>
          </cell>
          <cell r="N3190">
            <v>98205</v>
          </cell>
        </row>
        <row r="3191">
          <cell r="A3191">
            <v>35482</v>
          </cell>
          <cell r="B3191">
            <v>3185</v>
          </cell>
          <cell r="C3191" t="str">
            <v>IASWD2409000189</v>
          </cell>
          <cell r="D3191">
            <v>45540</v>
          </cell>
          <cell r="E3191">
            <v>46395</v>
          </cell>
          <cell r="F3191" t="str">
            <v>35482</v>
          </cell>
          <cell r="G3191" t="str">
            <v>兆利二</v>
          </cell>
          <cell r="H3191">
            <v>100000</v>
          </cell>
          <cell r="I3191">
            <v>3</v>
          </cell>
          <cell r="J3191">
            <v>46395</v>
          </cell>
          <cell r="K3191">
            <v>100</v>
          </cell>
          <cell r="L3191">
            <v>46377</v>
          </cell>
          <cell r="M3191">
            <v>-2071</v>
          </cell>
          <cell r="N3191">
            <v>97929</v>
          </cell>
        </row>
        <row r="3192">
          <cell r="A3192">
            <v>50097</v>
          </cell>
          <cell r="B3192">
            <v>3186</v>
          </cell>
          <cell r="C3192" t="str">
            <v>IASWD2409000190</v>
          </cell>
          <cell r="D3192">
            <v>45540</v>
          </cell>
          <cell r="E3192">
            <v>46234</v>
          </cell>
          <cell r="F3192" t="str">
            <v>50097</v>
          </cell>
          <cell r="G3192" t="str">
            <v>榮剛七</v>
          </cell>
          <cell r="H3192">
            <v>100000</v>
          </cell>
          <cell r="I3192">
            <v>4.2</v>
          </cell>
          <cell r="J3192">
            <v>46234</v>
          </cell>
          <cell r="K3192">
            <v>101.51</v>
          </cell>
          <cell r="L3192">
            <v>46216</v>
          </cell>
          <cell r="M3192">
            <v>-2900</v>
          </cell>
          <cell r="N3192">
            <v>97100</v>
          </cell>
        </row>
        <row r="3193">
          <cell r="A3193">
            <v>35482</v>
          </cell>
          <cell r="B3193">
            <v>3187</v>
          </cell>
          <cell r="C3193" t="str">
            <v>IASWD2409000191</v>
          </cell>
          <cell r="D3193">
            <v>45540</v>
          </cell>
          <cell r="E3193">
            <v>46395</v>
          </cell>
          <cell r="F3193" t="str">
            <v>35482</v>
          </cell>
          <cell r="G3193" t="str">
            <v>兆利二</v>
          </cell>
          <cell r="H3193">
            <v>100000</v>
          </cell>
          <cell r="I3193">
            <v>3</v>
          </cell>
          <cell r="J3193">
            <v>46395</v>
          </cell>
          <cell r="K3193">
            <v>100</v>
          </cell>
          <cell r="L3193">
            <v>46377</v>
          </cell>
          <cell r="M3193">
            <v>-2071</v>
          </cell>
          <cell r="N3193">
            <v>97929</v>
          </cell>
        </row>
        <row r="3194">
          <cell r="A3194">
            <v>811210</v>
          </cell>
          <cell r="B3194">
            <v>3188</v>
          </cell>
          <cell r="C3194" t="str">
            <v>IASWD2409000193</v>
          </cell>
          <cell r="D3194">
            <v>45540</v>
          </cell>
          <cell r="E3194">
            <v>46531</v>
          </cell>
          <cell r="F3194" t="str">
            <v>811210</v>
          </cell>
          <cell r="G3194" t="str">
            <v>至上十</v>
          </cell>
          <cell r="H3194">
            <v>100000</v>
          </cell>
          <cell r="I3194">
            <v>3.7</v>
          </cell>
          <cell r="J3194">
            <v>46531</v>
          </cell>
          <cell r="K3194">
            <v>100</v>
          </cell>
          <cell r="L3194">
            <v>46511</v>
          </cell>
          <cell r="M3194">
            <v>-2555</v>
          </cell>
          <cell r="N3194">
            <v>97445</v>
          </cell>
        </row>
        <row r="3195">
          <cell r="A3195">
            <v>22013</v>
          </cell>
          <cell r="B3195">
            <v>3189</v>
          </cell>
          <cell r="C3195" t="str">
            <v>IASWD2409000196</v>
          </cell>
          <cell r="D3195">
            <v>45540</v>
          </cell>
          <cell r="E3195">
            <v>46167</v>
          </cell>
          <cell r="F3195" t="str">
            <v>22013</v>
          </cell>
          <cell r="G3195" t="str">
            <v>裕隆三</v>
          </cell>
          <cell r="H3195">
            <v>900000</v>
          </cell>
          <cell r="I3195">
            <v>3.25</v>
          </cell>
          <cell r="J3195">
            <v>46167</v>
          </cell>
          <cell r="K3195">
            <v>100.75190000000001</v>
          </cell>
          <cell r="L3195">
            <v>46147</v>
          </cell>
          <cell r="M3195">
            <v>-20195</v>
          </cell>
          <cell r="N3195">
            <v>879805</v>
          </cell>
        </row>
        <row r="3196">
          <cell r="A3196">
            <v>811210</v>
          </cell>
          <cell r="B3196">
            <v>3190</v>
          </cell>
          <cell r="C3196" t="str">
            <v>IASWD2409000197</v>
          </cell>
          <cell r="D3196">
            <v>45541</v>
          </cell>
          <cell r="E3196">
            <v>46531</v>
          </cell>
          <cell r="F3196" t="str">
            <v>811210</v>
          </cell>
          <cell r="G3196" t="str">
            <v>至上十</v>
          </cell>
          <cell r="H3196">
            <v>400000</v>
          </cell>
          <cell r="I3196">
            <v>3.7</v>
          </cell>
          <cell r="J3196">
            <v>46531</v>
          </cell>
          <cell r="K3196">
            <v>100</v>
          </cell>
          <cell r="L3196">
            <v>46511</v>
          </cell>
          <cell r="M3196">
            <v>-10178</v>
          </cell>
          <cell r="N3196">
            <v>389822</v>
          </cell>
        </row>
        <row r="3197">
          <cell r="A3197">
            <v>36804</v>
          </cell>
          <cell r="B3197">
            <v>3191</v>
          </cell>
          <cell r="C3197" t="str">
            <v>IASWD2409000198</v>
          </cell>
          <cell r="D3197">
            <v>45541</v>
          </cell>
          <cell r="E3197">
            <v>45948</v>
          </cell>
          <cell r="F3197" t="str">
            <v>36804</v>
          </cell>
          <cell r="G3197" t="str">
            <v>家登四</v>
          </cell>
          <cell r="H3197">
            <v>100000</v>
          </cell>
          <cell r="I3197">
            <v>3.2</v>
          </cell>
          <cell r="J3197">
            <v>45948</v>
          </cell>
          <cell r="K3197">
            <v>100</v>
          </cell>
          <cell r="L3197">
            <v>45926</v>
          </cell>
          <cell r="M3197">
            <v>-2201</v>
          </cell>
          <cell r="N3197">
            <v>97799</v>
          </cell>
        </row>
        <row r="3198">
          <cell r="A3198">
            <v>811210</v>
          </cell>
          <cell r="B3198">
            <v>3192</v>
          </cell>
          <cell r="C3198" t="str">
            <v>IASWD2409000200</v>
          </cell>
          <cell r="D3198">
            <v>45541</v>
          </cell>
          <cell r="E3198">
            <v>46531</v>
          </cell>
          <cell r="F3198" t="str">
            <v>811210</v>
          </cell>
          <cell r="G3198" t="str">
            <v>至上十</v>
          </cell>
          <cell r="H3198">
            <v>4000000</v>
          </cell>
          <cell r="I3198">
            <v>3.7</v>
          </cell>
          <cell r="J3198">
            <v>46531</v>
          </cell>
          <cell r="K3198">
            <v>100</v>
          </cell>
          <cell r="L3198">
            <v>46511</v>
          </cell>
          <cell r="M3198">
            <v>-101775</v>
          </cell>
          <cell r="N3198">
            <v>3898225</v>
          </cell>
        </row>
        <row r="3199">
          <cell r="A3199">
            <v>84781</v>
          </cell>
          <cell r="B3199">
            <v>3193</v>
          </cell>
          <cell r="C3199" t="str">
            <v>IASWD2409000204</v>
          </cell>
          <cell r="D3199">
            <v>45541</v>
          </cell>
          <cell r="E3199">
            <v>46583</v>
          </cell>
          <cell r="F3199" t="str">
            <v>84781</v>
          </cell>
          <cell r="G3199" t="str">
            <v>東哥遊艇一</v>
          </cell>
          <cell r="H3199">
            <v>200000</v>
          </cell>
          <cell r="I3199">
            <v>3.1</v>
          </cell>
          <cell r="J3199">
            <v>46583</v>
          </cell>
          <cell r="K3199">
            <v>100</v>
          </cell>
          <cell r="L3199">
            <v>46563</v>
          </cell>
          <cell r="M3199">
            <v>-4264</v>
          </cell>
          <cell r="N3199">
            <v>195736</v>
          </cell>
        </row>
        <row r="3200">
          <cell r="A3200">
            <v>22013</v>
          </cell>
          <cell r="B3200">
            <v>3194</v>
          </cell>
          <cell r="C3200" t="str">
            <v>IASWD2409000205</v>
          </cell>
          <cell r="D3200">
            <v>45541</v>
          </cell>
          <cell r="E3200">
            <v>46167</v>
          </cell>
          <cell r="F3200" t="str">
            <v>22013</v>
          </cell>
          <cell r="G3200" t="str">
            <v>裕隆三</v>
          </cell>
          <cell r="H3200">
            <v>300000</v>
          </cell>
          <cell r="I3200">
            <v>3.25</v>
          </cell>
          <cell r="J3200">
            <v>46167</v>
          </cell>
          <cell r="K3200">
            <v>100.75190000000001</v>
          </cell>
          <cell r="L3200">
            <v>46147</v>
          </cell>
          <cell r="M3200">
            <v>-6705</v>
          </cell>
          <cell r="N3200">
            <v>293295</v>
          </cell>
        </row>
        <row r="3201">
          <cell r="A3201">
            <v>64145</v>
          </cell>
          <cell r="B3201">
            <v>3195</v>
          </cell>
          <cell r="C3201" t="str">
            <v>IASWD2409000207</v>
          </cell>
          <cell r="D3201">
            <v>45541</v>
          </cell>
          <cell r="E3201">
            <v>46250</v>
          </cell>
          <cell r="F3201" t="str">
            <v>64145</v>
          </cell>
          <cell r="G3201" t="str">
            <v>樺漢五</v>
          </cell>
          <cell r="H3201">
            <v>100000</v>
          </cell>
          <cell r="I3201">
            <v>3</v>
          </cell>
          <cell r="J3201">
            <v>46250</v>
          </cell>
          <cell r="K3201">
            <v>100</v>
          </cell>
          <cell r="L3201">
            <v>46231</v>
          </cell>
          <cell r="M3201">
            <v>-2063</v>
          </cell>
          <cell r="N3201">
            <v>97937</v>
          </cell>
        </row>
        <row r="3202">
          <cell r="A3202">
            <v>22013</v>
          </cell>
          <cell r="B3202">
            <v>3196</v>
          </cell>
          <cell r="C3202" t="str">
            <v>IASWD2409000209</v>
          </cell>
          <cell r="D3202">
            <v>45541</v>
          </cell>
          <cell r="E3202">
            <v>46167</v>
          </cell>
          <cell r="F3202" t="str">
            <v>22013</v>
          </cell>
          <cell r="G3202" t="str">
            <v>裕隆三</v>
          </cell>
          <cell r="H3202">
            <v>100000</v>
          </cell>
          <cell r="I3202">
            <v>3.25</v>
          </cell>
          <cell r="J3202">
            <v>46167</v>
          </cell>
          <cell r="K3202">
            <v>100.75190000000001</v>
          </cell>
          <cell r="L3202">
            <v>46147</v>
          </cell>
          <cell r="M3202">
            <v>-2235</v>
          </cell>
          <cell r="N3202">
            <v>97765</v>
          </cell>
        </row>
        <row r="3203">
          <cell r="A3203">
            <v>61394</v>
          </cell>
          <cell r="B3203">
            <v>3197</v>
          </cell>
          <cell r="C3203" t="str">
            <v>IASWD2409000212</v>
          </cell>
          <cell r="D3203">
            <v>45541</v>
          </cell>
          <cell r="E3203">
            <v>46047</v>
          </cell>
          <cell r="F3203" t="str">
            <v>61394</v>
          </cell>
          <cell r="G3203" t="str">
            <v>亞翔四</v>
          </cell>
          <cell r="H3203">
            <v>100000</v>
          </cell>
          <cell r="I3203">
            <v>3</v>
          </cell>
          <cell r="J3203">
            <v>46047</v>
          </cell>
          <cell r="K3203">
            <v>101.0025</v>
          </cell>
          <cell r="L3203">
            <v>46028</v>
          </cell>
          <cell r="M3203">
            <v>-2063</v>
          </cell>
          <cell r="N3203">
            <v>97937</v>
          </cell>
        </row>
        <row r="3204">
          <cell r="A3204">
            <v>61875</v>
          </cell>
          <cell r="B3204">
            <v>3198</v>
          </cell>
          <cell r="C3204" t="str">
            <v>IASWD2409000215</v>
          </cell>
          <cell r="D3204">
            <v>45541</v>
          </cell>
          <cell r="E3204">
            <v>46578</v>
          </cell>
          <cell r="F3204" t="str">
            <v>61875</v>
          </cell>
          <cell r="G3204" t="str">
            <v>萬潤五</v>
          </cell>
          <cell r="H3204">
            <v>100000</v>
          </cell>
          <cell r="I3204">
            <v>3.1</v>
          </cell>
          <cell r="J3204">
            <v>46578</v>
          </cell>
          <cell r="K3204">
            <v>100</v>
          </cell>
          <cell r="L3204">
            <v>46560</v>
          </cell>
          <cell r="M3204">
            <v>-2132</v>
          </cell>
          <cell r="N3204">
            <v>97868</v>
          </cell>
        </row>
        <row r="3205">
          <cell r="A3205">
            <v>84673</v>
          </cell>
          <cell r="B3205">
            <v>3199</v>
          </cell>
          <cell r="C3205" t="str">
            <v>IASWD2409000216</v>
          </cell>
          <cell r="D3205">
            <v>45541</v>
          </cell>
          <cell r="E3205">
            <v>46538</v>
          </cell>
          <cell r="F3205" t="str">
            <v>84673</v>
          </cell>
          <cell r="G3205" t="str">
            <v>波力三KY</v>
          </cell>
          <cell r="H3205">
            <v>100000</v>
          </cell>
          <cell r="I3205">
            <v>4.2</v>
          </cell>
          <cell r="J3205">
            <v>46538</v>
          </cell>
          <cell r="K3205">
            <v>100</v>
          </cell>
          <cell r="L3205">
            <v>46518</v>
          </cell>
          <cell r="M3205">
            <v>-2888</v>
          </cell>
          <cell r="N3205">
            <v>97112</v>
          </cell>
        </row>
        <row r="3206">
          <cell r="A3206">
            <v>22013</v>
          </cell>
          <cell r="B3206">
            <v>3200</v>
          </cell>
          <cell r="C3206" t="str">
            <v>IASWD2409000218</v>
          </cell>
          <cell r="D3206">
            <v>45541</v>
          </cell>
          <cell r="E3206">
            <v>46167</v>
          </cell>
          <cell r="F3206" t="str">
            <v>22013</v>
          </cell>
          <cell r="G3206" t="str">
            <v>裕隆三</v>
          </cell>
          <cell r="H3206">
            <v>100000</v>
          </cell>
          <cell r="I3206">
            <v>3.25</v>
          </cell>
          <cell r="J3206">
            <v>46167</v>
          </cell>
          <cell r="K3206">
            <v>100.75190000000001</v>
          </cell>
          <cell r="L3206">
            <v>46147</v>
          </cell>
          <cell r="M3206">
            <v>-2235</v>
          </cell>
          <cell r="N3206">
            <v>97765</v>
          </cell>
        </row>
        <row r="3207">
          <cell r="A3207">
            <v>22013</v>
          </cell>
          <cell r="B3207">
            <v>3201</v>
          </cell>
          <cell r="C3207" t="str">
            <v>IASWD2409000219</v>
          </cell>
          <cell r="D3207">
            <v>45541</v>
          </cell>
          <cell r="E3207">
            <v>46167</v>
          </cell>
          <cell r="F3207" t="str">
            <v>22013</v>
          </cell>
          <cell r="G3207" t="str">
            <v>裕隆三</v>
          </cell>
          <cell r="H3207">
            <v>100000</v>
          </cell>
          <cell r="I3207">
            <v>3.25</v>
          </cell>
          <cell r="J3207">
            <v>46167</v>
          </cell>
          <cell r="K3207">
            <v>100.75190000000001</v>
          </cell>
          <cell r="L3207">
            <v>46147</v>
          </cell>
          <cell r="M3207">
            <v>-2235</v>
          </cell>
          <cell r="N3207">
            <v>97765</v>
          </cell>
        </row>
        <row r="3208">
          <cell r="A3208">
            <v>811210</v>
          </cell>
          <cell r="B3208">
            <v>3202</v>
          </cell>
          <cell r="C3208" t="str">
            <v>IASWD2409000220</v>
          </cell>
          <cell r="D3208">
            <v>45541</v>
          </cell>
          <cell r="E3208">
            <v>46531</v>
          </cell>
          <cell r="F3208" t="str">
            <v>811210</v>
          </cell>
          <cell r="G3208" t="str">
            <v>至上十</v>
          </cell>
          <cell r="H3208">
            <v>500000</v>
          </cell>
          <cell r="I3208">
            <v>3.7</v>
          </cell>
          <cell r="J3208">
            <v>46531</v>
          </cell>
          <cell r="K3208">
            <v>100</v>
          </cell>
          <cell r="L3208">
            <v>46511</v>
          </cell>
          <cell r="M3208">
            <v>-12722</v>
          </cell>
          <cell r="N3208">
            <v>487278</v>
          </cell>
        </row>
        <row r="3209">
          <cell r="A3209">
            <v>64145</v>
          </cell>
          <cell r="B3209">
            <v>3203</v>
          </cell>
          <cell r="C3209" t="str">
            <v>IASWD2409000221</v>
          </cell>
          <cell r="D3209">
            <v>45544</v>
          </cell>
          <cell r="E3209">
            <v>46250</v>
          </cell>
          <cell r="F3209" t="str">
            <v>64145</v>
          </cell>
          <cell r="G3209" t="str">
            <v>樺漢五</v>
          </cell>
          <cell r="H3209">
            <v>200000</v>
          </cell>
          <cell r="I3209">
            <v>3</v>
          </cell>
          <cell r="J3209">
            <v>46250</v>
          </cell>
          <cell r="K3209">
            <v>100</v>
          </cell>
          <cell r="L3209">
            <v>46231</v>
          </cell>
          <cell r="M3209">
            <v>-4077</v>
          </cell>
          <cell r="N3209">
            <v>195923</v>
          </cell>
        </row>
        <row r="3210">
          <cell r="A3210">
            <v>84781</v>
          </cell>
          <cell r="B3210">
            <v>3204</v>
          </cell>
          <cell r="C3210" t="str">
            <v>IASWD2409000223</v>
          </cell>
          <cell r="D3210">
            <v>45544</v>
          </cell>
          <cell r="E3210">
            <v>46583</v>
          </cell>
          <cell r="F3210" t="str">
            <v>84781</v>
          </cell>
          <cell r="G3210" t="str">
            <v>東哥遊艇一</v>
          </cell>
          <cell r="H3210">
            <v>100000</v>
          </cell>
          <cell r="I3210">
            <v>3.1</v>
          </cell>
          <cell r="J3210">
            <v>46583</v>
          </cell>
          <cell r="K3210">
            <v>100</v>
          </cell>
          <cell r="L3210">
            <v>46563</v>
          </cell>
          <cell r="M3210">
            <v>-2106</v>
          </cell>
          <cell r="N3210">
            <v>97894</v>
          </cell>
        </row>
        <row r="3211">
          <cell r="A3211">
            <v>27323</v>
          </cell>
          <cell r="B3211">
            <v>3205</v>
          </cell>
          <cell r="C3211" t="str">
            <v>IASWD2409000225</v>
          </cell>
          <cell r="D3211">
            <v>45544</v>
          </cell>
          <cell r="E3211">
            <v>46048</v>
          </cell>
          <cell r="F3211" t="str">
            <v>27323</v>
          </cell>
          <cell r="G3211" t="str">
            <v>六角三</v>
          </cell>
          <cell r="H3211">
            <v>100000</v>
          </cell>
          <cell r="I3211">
            <v>3</v>
          </cell>
          <cell r="J3211">
            <v>46048</v>
          </cell>
          <cell r="K3211">
            <v>101</v>
          </cell>
          <cell r="L3211">
            <v>46028</v>
          </cell>
          <cell r="M3211">
            <v>-2038</v>
          </cell>
          <cell r="N3211">
            <v>97962</v>
          </cell>
        </row>
        <row r="3212">
          <cell r="A3212">
            <v>47393</v>
          </cell>
          <cell r="B3212">
            <v>3206</v>
          </cell>
          <cell r="C3212" t="str">
            <v>IASWD2409000226</v>
          </cell>
          <cell r="D3212">
            <v>45544</v>
          </cell>
          <cell r="E3212">
            <v>46323</v>
          </cell>
          <cell r="F3212" t="str">
            <v>47393</v>
          </cell>
          <cell r="G3212" t="str">
            <v>康普三</v>
          </cell>
          <cell r="H3212">
            <v>1300000</v>
          </cell>
          <cell r="I3212">
            <v>2.25</v>
          </cell>
          <cell r="J3212">
            <v>46323</v>
          </cell>
          <cell r="K3212">
            <v>100</v>
          </cell>
          <cell r="L3212">
            <v>46303</v>
          </cell>
          <cell r="M3212">
            <v>-19874</v>
          </cell>
          <cell r="N3212">
            <v>1280126</v>
          </cell>
        </row>
        <row r="3213">
          <cell r="A3213">
            <v>64145</v>
          </cell>
          <cell r="B3213">
            <v>3207</v>
          </cell>
          <cell r="C3213" t="str">
            <v>IASWD2409000228</v>
          </cell>
          <cell r="D3213">
            <v>45544</v>
          </cell>
          <cell r="E3213">
            <v>46250</v>
          </cell>
          <cell r="F3213" t="str">
            <v>64145</v>
          </cell>
          <cell r="G3213" t="str">
            <v>樺漢五</v>
          </cell>
          <cell r="H3213">
            <v>100000</v>
          </cell>
          <cell r="I3213">
            <v>3</v>
          </cell>
          <cell r="J3213">
            <v>46250</v>
          </cell>
          <cell r="K3213">
            <v>100</v>
          </cell>
          <cell r="L3213">
            <v>46231</v>
          </cell>
          <cell r="M3213">
            <v>-2038</v>
          </cell>
          <cell r="N3213">
            <v>97962</v>
          </cell>
        </row>
        <row r="3214">
          <cell r="A3214">
            <v>35266</v>
          </cell>
          <cell r="B3214">
            <v>3208</v>
          </cell>
          <cell r="C3214" t="str">
            <v>IASWD2409000229</v>
          </cell>
          <cell r="D3214">
            <v>45544</v>
          </cell>
          <cell r="E3214">
            <v>46416</v>
          </cell>
          <cell r="F3214" t="str">
            <v>35266</v>
          </cell>
          <cell r="G3214" t="str">
            <v>凡甲六</v>
          </cell>
          <cell r="H3214">
            <v>100000</v>
          </cell>
          <cell r="I3214">
            <v>3.5</v>
          </cell>
          <cell r="J3214">
            <v>46416</v>
          </cell>
          <cell r="K3214">
            <v>100</v>
          </cell>
          <cell r="L3214">
            <v>46398</v>
          </cell>
          <cell r="M3214">
            <v>-2378</v>
          </cell>
          <cell r="N3214">
            <v>97622</v>
          </cell>
        </row>
        <row r="3215">
          <cell r="A3215">
            <v>84781</v>
          </cell>
          <cell r="B3215">
            <v>3209</v>
          </cell>
          <cell r="C3215" t="str">
            <v>IASWD2409000230</v>
          </cell>
          <cell r="D3215">
            <v>45544</v>
          </cell>
          <cell r="E3215">
            <v>46583</v>
          </cell>
          <cell r="F3215" t="str">
            <v>84781</v>
          </cell>
          <cell r="G3215" t="str">
            <v>東哥遊艇一</v>
          </cell>
          <cell r="H3215">
            <v>200000</v>
          </cell>
          <cell r="I3215">
            <v>3.1</v>
          </cell>
          <cell r="J3215">
            <v>46583</v>
          </cell>
          <cell r="K3215">
            <v>100</v>
          </cell>
          <cell r="L3215">
            <v>46563</v>
          </cell>
          <cell r="M3215">
            <v>-4213</v>
          </cell>
          <cell r="N3215">
            <v>195787</v>
          </cell>
        </row>
        <row r="3216">
          <cell r="A3216">
            <v>61394</v>
          </cell>
          <cell r="B3216">
            <v>3210</v>
          </cell>
          <cell r="C3216" t="str">
            <v>IASWD2409000231</v>
          </cell>
          <cell r="D3216">
            <v>45544</v>
          </cell>
          <cell r="E3216">
            <v>46047</v>
          </cell>
          <cell r="F3216" t="str">
            <v>61394</v>
          </cell>
          <cell r="G3216" t="str">
            <v>亞翔四</v>
          </cell>
          <cell r="H3216">
            <v>800000</v>
          </cell>
          <cell r="I3216">
            <v>3</v>
          </cell>
          <cell r="J3216">
            <v>46047</v>
          </cell>
          <cell r="K3216">
            <v>101.0025</v>
          </cell>
          <cell r="L3216">
            <v>46028</v>
          </cell>
          <cell r="M3216">
            <v>-16307</v>
          </cell>
          <cell r="N3216">
            <v>783693</v>
          </cell>
        </row>
        <row r="3217">
          <cell r="A3217">
            <v>34834</v>
          </cell>
          <cell r="B3217">
            <v>3211</v>
          </cell>
          <cell r="C3217" t="str">
            <v>IASWD2409000232</v>
          </cell>
          <cell r="D3217">
            <v>45544</v>
          </cell>
          <cell r="E3217">
            <v>46529</v>
          </cell>
          <cell r="F3217" t="str">
            <v>34834</v>
          </cell>
          <cell r="G3217" t="str">
            <v>力致四</v>
          </cell>
          <cell r="H3217">
            <v>100000</v>
          </cell>
          <cell r="I3217">
            <v>3.75</v>
          </cell>
          <cell r="J3217">
            <v>46529</v>
          </cell>
          <cell r="K3217">
            <v>100</v>
          </cell>
          <cell r="L3217">
            <v>46511</v>
          </cell>
          <cell r="M3217">
            <v>-2548</v>
          </cell>
          <cell r="N3217">
            <v>97452</v>
          </cell>
        </row>
        <row r="3218">
          <cell r="A3218">
            <v>61394</v>
          </cell>
          <cell r="B3218">
            <v>3212</v>
          </cell>
          <cell r="C3218" t="str">
            <v>IASWD2409000234</v>
          </cell>
          <cell r="D3218">
            <v>45544</v>
          </cell>
          <cell r="E3218">
            <v>46047</v>
          </cell>
          <cell r="F3218" t="str">
            <v>61394</v>
          </cell>
          <cell r="G3218" t="str">
            <v>亞翔四</v>
          </cell>
          <cell r="H3218">
            <v>800000</v>
          </cell>
          <cell r="I3218">
            <v>3</v>
          </cell>
          <cell r="J3218">
            <v>46047</v>
          </cell>
          <cell r="K3218">
            <v>101.0025</v>
          </cell>
          <cell r="L3218">
            <v>46028</v>
          </cell>
          <cell r="M3218">
            <v>-16307</v>
          </cell>
          <cell r="N3218">
            <v>783693</v>
          </cell>
        </row>
        <row r="3219">
          <cell r="A3219">
            <v>22013</v>
          </cell>
          <cell r="B3219">
            <v>3213</v>
          </cell>
          <cell r="C3219" t="str">
            <v>IASWD2409000235</v>
          </cell>
          <cell r="D3219">
            <v>45544</v>
          </cell>
          <cell r="E3219">
            <v>46167</v>
          </cell>
          <cell r="F3219" t="str">
            <v>22013</v>
          </cell>
          <cell r="G3219" t="str">
            <v>裕隆三</v>
          </cell>
          <cell r="H3219">
            <v>600000</v>
          </cell>
          <cell r="I3219">
            <v>3.25</v>
          </cell>
          <cell r="J3219">
            <v>46167</v>
          </cell>
          <cell r="K3219">
            <v>100.75190000000001</v>
          </cell>
          <cell r="L3219">
            <v>46147</v>
          </cell>
          <cell r="M3219">
            <v>-13249</v>
          </cell>
          <cell r="N3219">
            <v>586751</v>
          </cell>
        </row>
        <row r="3220">
          <cell r="A3220">
            <v>811210</v>
          </cell>
          <cell r="B3220">
            <v>3214</v>
          </cell>
          <cell r="C3220" t="str">
            <v>IASWD2409000236</v>
          </cell>
          <cell r="D3220">
            <v>45544</v>
          </cell>
          <cell r="E3220">
            <v>46531</v>
          </cell>
          <cell r="F3220" t="str">
            <v>811210</v>
          </cell>
          <cell r="G3220" t="str">
            <v>至上十</v>
          </cell>
          <cell r="H3220">
            <v>100000</v>
          </cell>
          <cell r="I3220">
            <v>3.7</v>
          </cell>
          <cell r="J3220">
            <v>46531</v>
          </cell>
          <cell r="K3220">
            <v>100</v>
          </cell>
          <cell r="L3220">
            <v>46511</v>
          </cell>
          <cell r="M3220">
            <v>-2514</v>
          </cell>
          <cell r="N3220">
            <v>97486</v>
          </cell>
        </row>
        <row r="3221">
          <cell r="A3221">
            <v>811210</v>
          </cell>
          <cell r="B3221">
            <v>3215</v>
          </cell>
          <cell r="C3221" t="str">
            <v>IASWD2409000237</v>
          </cell>
          <cell r="D3221">
            <v>45544</v>
          </cell>
          <cell r="E3221">
            <v>46531</v>
          </cell>
          <cell r="F3221" t="str">
            <v>811210</v>
          </cell>
          <cell r="G3221" t="str">
            <v>至上十</v>
          </cell>
          <cell r="H3221">
            <v>100000</v>
          </cell>
          <cell r="I3221">
            <v>3.7</v>
          </cell>
          <cell r="J3221">
            <v>46531</v>
          </cell>
          <cell r="K3221">
            <v>100</v>
          </cell>
          <cell r="L3221">
            <v>46511</v>
          </cell>
          <cell r="M3221">
            <v>-2514</v>
          </cell>
          <cell r="N3221">
            <v>97486</v>
          </cell>
        </row>
        <row r="3222">
          <cell r="A3222">
            <v>22013</v>
          </cell>
          <cell r="B3222">
            <v>3216</v>
          </cell>
          <cell r="C3222" t="str">
            <v>IASWD2409000240</v>
          </cell>
          <cell r="D3222">
            <v>45544</v>
          </cell>
          <cell r="E3222">
            <v>46167</v>
          </cell>
          <cell r="F3222" t="str">
            <v>22013</v>
          </cell>
          <cell r="G3222" t="str">
            <v>裕隆三</v>
          </cell>
          <cell r="H3222">
            <v>200000</v>
          </cell>
          <cell r="I3222">
            <v>3.25</v>
          </cell>
          <cell r="J3222">
            <v>46167</v>
          </cell>
          <cell r="K3222">
            <v>100.75190000000001</v>
          </cell>
          <cell r="L3222">
            <v>46147</v>
          </cell>
          <cell r="M3222">
            <v>-4416</v>
          </cell>
          <cell r="N3222">
            <v>195584</v>
          </cell>
        </row>
        <row r="3223">
          <cell r="A3223">
            <v>22013</v>
          </cell>
          <cell r="B3223">
            <v>3217</v>
          </cell>
          <cell r="C3223" t="str">
            <v>IASWD2409000241</v>
          </cell>
          <cell r="D3223">
            <v>45544</v>
          </cell>
          <cell r="E3223">
            <v>46167</v>
          </cell>
          <cell r="F3223" t="str">
            <v>22013</v>
          </cell>
          <cell r="G3223" t="str">
            <v>裕隆三</v>
          </cell>
          <cell r="H3223">
            <v>100000</v>
          </cell>
          <cell r="I3223">
            <v>3.25</v>
          </cell>
          <cell r="J3223">
            <v>46167</v>
          </cell>
          <cell r="K3223">
            <v>100.75190000000001</v>
          </cell>
          <cell r="L3223">
            <v>46147</v>
          </cell>
          <cell r="M3223">
            <v>-2208</v>
          </cell>
          <cell r="N3223">
            <v>97792</v>
          </cell>
        </row>
        <row r="3224">
          <cell r="A3224">
            <v>20632</v>
          </cell>
          <cell r="B3224">
            <v>3218</v>
          </cell>
          <cell r="C3224" t="str">
            <v>IASWD2409000242</v>
          </cell>
          <cell r="D3224">
            <v>45545</v>
          </cell>
          <cell r="E3224">
            <v>45971</v>
          </cell>
          <cell r="F3224" t="str">
            <v>20632</v>
          </cell>
          <cell r="G3224" t="str">
            <v>世鎧二</v>
          </cell>
          <cell r="H3224">
            <v>400000</v>
          </cell>
          <cell r="I3224">
            <v>3.25</v>
          </cell>
          <cell r="J3224">
            <v>45971</v>
          </cell>
          <cell r="K3224">
            <v>100</v>
          </cell>
          <cell r="L3224">
            <v>45951</v>
          </cell>
          <cell r="M3224">
            <v>-8797</v>
          </cell>
          <cell r="N3224">
            <v>391203</v>
          </cell>
        </row>
        <row r="3225">
          <cell r="A3225">
            <v>22013</v>
          </cell>
          <cell r="B3225">
            <v>3219</v>
          </cell>
          <cell r="C3225" t="str">
            <v>IASWD2409000245</v>
          </cell>
          <cell r="D3225">
            <v>45545</v>
          </cell>
          <cell r="E3225">
            <v>46167</v>
          </cell>
          <cell r="F3225" t="str">
            <v>22013</v>
          </cell>
          <cell r="G3225" t="str">
            <v>裕隆三</v>
          </cell>
          <cell r="H3225">
            <v>100000</v>
          </cell>
          <cell r="I3225">
            <v>3.25</v>
          </cell>
          <cell r="J3225">
            <v>46167</v>
          </cell>
          <cell r="K3225">
            <v>100.75190000000001</v>
          </cell>
          <cell r="L3225">
            <v>46147</v>
          </cell>
          <cell r="M3225">
            <v>-2199</v>
          </cell>
          <cell r="N3225">
            <v>97801</v>
          </cell>
        </row>
        <row r="3226">
          <cell r="A3226">
            <v>22013</v>
          </cell>
          <cell r="B3226">
            <v>3220</v>
          </cell>
          <cell r="C3226" t="str">
            <v>IASWD2409000247</v>
          </cell>
          <cell r="D3226">
            <v>45545</v>
          </cell>
          <cell r="E3226">
            <v>46167</v>
          </cell>
          <cell r="F3226" t="str">
            <v>22013</v>
          </cell>
          <cell r="G3226" t="str">
            <v>裕隆三</v>
          </cell>
          <cell r="H3226">
            <v>1000000</v>
          </cell>
          <cell r="I3226">
            <v>3.25</v>
          </cell>
          <cell r="J3226">
            <v>46167</v>
          </cell>
          <cell r="K3226">
            <v>100.75190000000001</v>
          </cell>
          <cell r="L3226">
            <v>46147</v>
          </cell>
          <cell r="M3226">
            <v>-21993</v>
          </cell>
          <cell r="N3226">
            <v>978007</v>
          </cell>
        </row>
        <row r="3227">
          <cell r="A3227">
            <v>22013</v>
          </cell>
          <cell r="B3227">
            <v>3221</v>
          </cell>
          <cell r="C3227" t="str">
            <v>IASWD2409000248</v>
          </cell>
          <cell r="D3227">
            <v>45545</v>
          </cell>
          <cell r="E3227">
            <v>46167</v>
          </cell>
          <cell r="F3227" t="str">
            <v>22013</v>
          </cell>
          <cell r="G3227" t="str">
            <v>裕隆三</v>
          </cell>
          <cell r="H3227">
            <v>1000000</v>
          </cell>
          <cell r="I3227">
            <v>3.25</v>
          </cell>
          <cell r="J3227">
            <v>46167</v>
          </cell>
          <cell r="K3227">
            <v>100.75190000000001</v>
          </cell>
          <cell r="L3227">
            <v>46147</v>
          </cell>
          <cell r="M3227">
            <v>-21993</v>
          </cell>
          <cell r="N3227">
            <v>978007</v>
          </cell>
        </row>
        <row r="3228">
          <cell r="A3228">
            <v>22013</v>
          </cell>
          <cell r="B3228">
            <v>3222</v>
          </cell>
          <cell r="C3228" t="str">
            <v>IASWD2409000249</v>
          </cell>
          <cell r="D3228">
            <v>45545</v>
          </cell>
          <cell r="E3228">
            <v>46167</v>
          </cell>
          <cell r="F3228" t="str">
            <v>22013</v>
          </cell>
          <cell r="G3228" t="str">
            <v>裕隆三</v>
          </cell>
          <cell r="H3228">
            <v>100000</v>
          </cell>
          <cell r="I3228">
            <v>3.25</v>
          </cell>
          <cell r="J3228">
            <v>46167</v>
          </cell>
          <cell r="K3228">
            <v>100.75190000000001</v>
          </cell>
          <cell r="L3228">
            <v>46147</v>
          </cell>
          <cell r="M3228">
            <v>-2199</v>
          </cell>
          <cell r="N3228">
            <v>97801</v>
          </cell>
        </row>
        <row r="3229">
          <cell r="A3229">
            <v>811210</v>
          </cell>
          <cell r="B3229">
            <v>3223</v>
          </cell>
          <cell r="C3229" t="str">
            <v>IASWD2409000250</v>
          </cell>
          <cell r="D3229">
            <v>45545</v>
          </cell>
          <cell r="E3229">
            <v>46531</v>
          </cell>
          <cell r="F3229" t="str">
            <v>811210</v>
          </cell>
          <cell r="G3229" t="str">
            <v>至上十</v>
          </cell>
          <cell r="H3229">
            <v>100000</v>
          </cell>
          <cell r="I3229">
            <v>3.7</v>
          </cell>
          <cell r="J3229">
            <v>46531</v>
          </cell>
          <cell r="K3229">
            <v>100</v>
          </cell>
          <cell r="L3229">
            <v>46511</v>
          </cell>
          <cell r="M3229">
            <v>-2504</v>
          </cell>
          <cell r="N3229">
            <v>97496</v>
          </cell>
        </row>
        <row r="3230">
          <cell r="A3230">
            <v>84781</v>
          </cell>
          <cell r="B3230">
            <v>3224</v>
          </cell>
          <cell r="C3230" t="str">
            <v>IASWD2409000252</v>
          </cell>
          <cell r="D3230">
            <v>45545</v>
          </cell>
          <cell r="E3230">
            <v>46583</v>
          </cell>
          <cell r="F3230" t="str">
            <v>84781</v>
          </cell>
          <cell r="G3230" t="str">
            <v>東哥遊艇一</v>
          </cell>
          <cell r="H3230">
            <v>200000</v>
          </cell>
          <cell r="I3230">
            <v>3.1</v>
          </cell>
          <cell r="J3230">
            <v>46583</v>
          </cell>
          <cell r="K3230">
            <v>100</v>
          </cell>
          <cell r="L3230">
            <v>46563</v>
          </cell>
          <cell r="M3230">
            <v>-4196</v>
          </cell>
          <cell r="N3230">
            <v>195804</v>
          </cell>
        </row>
        <row r="3231">
          <cell r="A3231">
            <v>64145</v>
          </cell>
          <cell r="B3231">
            <v>3225</v>
          </cell>
          <cell r="C3231" t="str">
            <v>IASWD2409000253</v>
          </cell>
          <cell r="D3231">
            <v>45545</v>
          </cell>
          <cell r="E3231">
            <v>46250</v>
          </cell>
          <cell r="F3231" t="str">
            <v>64145</v>
          </cell>
          <cell r="G3231" t="str">
            <v>樺漢五</v>
          </cell>
          <cell r="H3231">
            <v>200000</v>
          </cell>
          <cell r="I3231">
            <v>3</v>
          </cell>
          <cell r="J3231">
            <v>46250</v>
          </cell>
          <cell r="K3231">
            <v>100</v>
          </cell>
          <cell r="L3231">
            <v>46231</v>
          </cell>
          <cell r="M3231">
            <v>-4060</v>
          </cell>
          <cell r="N3231">
            <v>195940</v>
          </cell>
        </row>
        <row r="3232">
          <cell r="A3232">
            <v>84781</v>
          </cell>
          <cell r="B3232">
            <v>3226</v>
          </cell>
          <cell r="C3232" t="str">
            <v>IASWD2409000256</v>
          </cell>
          <cell r="D3232">
            <v>45545</v>
          </cell>
          <cell r="E3232">
            <v>46583</v>
          </cell>
          <cell r="F3232" t="str">
            <v>84781</v>
          </cell>
          <cell r="G3232" t="str">
            <v>東哥遊艇一</v>
          </cell>
          <cell r="H3232">
            <v>400000</v>
          </cell>
          <cell r="I3232">
            <v>3.1</v>
          </cell>
          <cell r="J3232">
            <v>46583</v>
          </cell>
          <cell r="K3232">
            <v>100</v>
          </cell>
          <cell r="L3232">
            <v>46563</v>
          </cell>
          <cell r="M3232">
            <v>-8391</v>
          </cell>
          <cell r="N3232">
            <v>391609</v>
          </cell>
        </row>
        <row r="3233">
          <cell r="A3233">
            <v>22013</v>
          </cell>
          <cell r="B3233">
            <v>3227</v>
          </cell>
          <cell r="C3233" t="str">
            <v>IASWD2409000260</v>
          </cell>
          <cell r="D3233">
            <v>45545</v>
          </cell>
          <cell r="E3233">
            <v>46167</v>
          </cell>
          <cell r="F3233" t="str">
            <v>22013</v>
          </cell>
          <cell r="G3233" t="str">
            <v>裕隆三</v>
          </cell>
          <cell r="H3233">
            <v>100000</v>
          </cell>
          <cell r="I3233">
            <v>3.25</v>
          </cell>
          <cell r="J3233">
            <v>46167</v>
          </cell>
          <cell r="K3233">
            <v>100.75190000000001</v>
          </cell>
          <cell r="L3233">
            <v>46147</v>
          </cell>
          <cell r="M3233">
            <v>-2199</v>
          </cell>
          <cell r="N3233">
            <v>97801</v>
          </cell>
        </row>
        <row r="3234">
          <cell r="A3234">
            <v>811210</v>
          </cell>
          <cell r="B3234">
            <v>3228</v>
          </cell>
          <cell r="C3234" t="str">
            <v>IASWD2409000261</v>
          </cell>
          <cell r="D3234">
            <v>45545</v>
          </cell>
          <cell r="E3234">
            <v>46531</v>
          </cell>
          <cell r="F3234" t="str">
            <v>811210</v>
          </cell>
          <cell r="G3234" t="str">
            <v>至上十</v>
          </cell>
          <cell r="H3234">
            <v>100000</v>
          </cell>
          <cell r="I3234">
            <v>3.7</v>
          </cell>
          <cell r="J3234">
            <v>46531</v>
          </cell>
          <cell r="K3234">
            <v>100</v>
          </cell>
          <cell r="L3234">
            <v>46511</v>
          </cell>
          <cell r="M3234">
            <v>-2504</v>
          </cell>
          <cell r="N3234">
            <v>97496</v>
          </cell>
        </row>
        <row r="3235">
          <cell r="A3235">
            <v>35266</v>
          </cell>
          <cell r="B3235">
            <v>3229</v>
          </cell>
          <cell r="C3235" t="str">
            <v>IASWD2409000262</v>
          </cell>
          <cell r="D3235">
            <v>45545</v>
          </cell>
          <cell r="E3235">
            <v>46416</v>
          </cell>
          <cell r="F3235" t="str">
            <v>35266</v>
          </cell>
          <cell r="G3235" t="str">
            <v>凡甲六</v>
          </cell>
          <cell r="H3235">
            <v>100000</v>
          </cell>
          <cell r="I3235">
            <v>3.5</v>
          </cell>
          <cell r="J3235">
            <v>46416</v>
          </cell>
          <cell r="K3235">
            <v>100</v>
          </cell>
          <cell r="L3235">
            <v>46398</v>
          </cell>
          <cell r="M3235">
            <v>-2368</v>
          </cell>
          <cell r="N3235">
            <v>97632</v>
          </cell>
        </row>
        <row r="3236">
          <cell r="A3236">
            <v>35266</v>
          </cell>
          <cell r="B3236">
            <v>3230</v>
          </cell>
          <cell r="C3236" t="str">
            <v>IASWD2409000263</v>
          </cell>
          <cell r="D3236">
            <v>45545</v>
          </cell>
          <cell r="E3236">
            <v>46416</v>
          </cell>
          <cell r="F3236" t="str">
            <v>35266</v>
          </cell>
          <cell r="G3236" t="str">
            <v>凡甲六</v>
          </cell>
          <cell r="H3236">
            <v>100000</v>
          </cell>
          <cell r="I3236">
            <v>3.5</v>
          </cell>
          <cell r="J3236">
            <v>46416</v>
          </cell>
          <cell r="K3236">
            <v>100</v>
          </cell>
          <cell r="L3236">
            <v>46398</v>
          </cell>
          <cell r="M3236">
            <v>-2368</v>
          </cell>
          <cell r="N3236">
            <v>97632</v>
          </cell>
        </row>
        <row r="3237">
          <cell r="A3237">
            <v>84781</v>
          </cell>
          <cell r="B3237">
            <v>3231</v>
          </cell>
          <cell r="C3237" t="str">
            <v>IASWD2409000264</v>
          </cell>
          <cell r="D3237">
            <v>45545</v>
          </cell>
          <cell r="E3237">
            <v>46583</v>
          </cell>
          <cell r="F3237" t="str">
            <v>84781</v>
          </cell>
          <cell r="G3237" t="str">
            <v>東哥遊艇一</v>
          </cell>
          <cell r="H3237">
            <v>1500000</v>
          </cell>
          <cell r="I3237">
            <v>3.1</v>
          </cell>
          <cell r="J3237">
            <v>46583</v>
          </cell>
          <cell r="K3237">
            <v>100</v>
          </cell>
          <cell r="L3237">
            <v>46563</v>
          </cell>
          <cell r="M3237">
            <v>-31467</v>
          </cell>
          <cell r="N3237">
            <v>1468533</v>
          </cell>
        </row>
        <row r="3238">
          <cell r="A3238">
            <v>811210</v>
          </cell>
          <cell r="B3238">
            <v>3232</v>
          </cell>
          <cell r="C3238" t="str">
            <v>IASWD2409000265</v>
          </cell>
          <cell r="D3238">
            <v>45545</v>
          </cell>
          <cell r="E3238">
            <v>46531</v>
          </cell>
          <cell r="F3238" t="str">
            <v>811210</v>
          </cell>
          <cell r="G3238" t="str">
            <v>至上十</v>
          </cell>
          <cell r="H3238">
            <v>300000</v>
          </cell>
          <cell r="I3238">
            <v>3.7</v>
          </cell>
          <cell r="J3238">
            <v>46531</v>
          </cell>
          <cell r="K3238">
            <v>100</v>
          </cell>
          <cell r="L3238">
            <v>46511</v>
          </cell>
          <cell r="M3238">
            <v>-7512</v>
          </cell>
          <cell r="N3238">
            <v>292488</v>
          </cell>
        </row>
        <row r="3239">
          <cell r="A3239">
            <v>22013</v>
          </cell>
          <cell r="B3239">
            <v>3233</v>
          </cell>
          <cell r="C3239" t="str">
            <v>IASWD2409000266</v>
          </cell>
          <cell r="D3239">
            <v>45545</v>
          </cell>
          <cell r="E3239">
            <v>46167</v>
          </cell>
          <cell r="F3239" t="str">
            <v>22013</v>
          </cell>
          <cell r="G3239" t="str">
            <v>裕隆三</v>
          </cell>
          <cell r="H3239">
            <v>100000</v>
          </cell>
          <cell r="I3239">
            <v>3.25</v>
          </cell>
          <cell r="J3239">
            <v>46167</v>
          </cell>
          <cell r="K3239">
            <v>100.75190000000001</v>
          </cell>
          <cell r="L3239">
            <v>46147</v>
          </cell>
          <cell r="M3239">
            <v>-2199</v>
          </cell>
          <cell r="N3239">
            <v>97801</v>
          </cell>
        </row>
        <row r="3240">
          <cell r="A3240">
            <v>64145</v>
          </cell>
          <cell r="B3240">
            <v>3234</v>
          </cell>
          <cell r="C3240" t="str">
            <v>IASWD2409000268</v>
          </cell>
          <cell r="D3240">
            <v>45545</v>
          </cell>
          <cell r="E3240">
            <v>46250</v>
          </cell>
          <cell r="F3240" t="str">
            <v>64145</v>
          </cell>
          <cell r="G3240" t="str">
            <v>樺漢五</v>
          </cell>
          <cell r="H3240">
            <v>200000</v>
          </cell>
          <cell r="I3240">
            <v>3</v>
          </cell>
          <cell r="J3240">
            <v>46250</v>
          </cell>
          <cell r="K3240">
            <v>100</v>
          </cell>
          <cell r="L3240">
            <v>46231</v>
          </cell>
          <cell r="M3240">
            <v>-4060</v>
          </cell>
          <cell r="N3240">
            <v>195940</v>
          </cell>
        </row>
        <row r="3241">
          <cell r="A3241">
            <v>84781</v>
          </cell>
          <cell r="B3241">
            <v>3235</v>
          </cell>
          <cell r="C3241" t="str">
            <v>IASWD2409000269</v>
          </cell>
          <cell r="D3241">
            <v>45545</v>
          </cell>
          <cell r="E3241">
            <v>46583</v>
          </cell>
          <cell r="F3241" t="str">
            <v>84781</v>
          </cell>
          <cell r="G3241" t="str">
            <v>東哥遊艇一</v>
          </cell>
          <cell r="H3241">
            <v>100000</v>
          </cell>
          <cell r="I3241">
            <v>3.1</v>
          </cell>
          <cell r="J3241">
            <v>46583</v>
          </cell>
          <cell r="K3241">
            <v>100</v>
          </cell>
          <cell r="L3241">
            <v>46563</v>
          </cell>
          <cell r="M3241">
            <v>-2098</v>
          </cell>
          <cell r="N3241">
            <v>97902</v>
          </cell>
        </row>
        <row r="3242">
          <cell r="A3242">
            <v>22013</v>
          </cell>
          <cell r="B3242">
            <v>3236</v>
          </cell>
          <cell r="C3242" t="str">
            <v>IASWD2409000270</v>
          </cell>
          <cell r="D3242">
            <v>45545</v>
          </cell>
          <cell r="E3242">
            <v>46167</v>
          </cell>
          <cell r="F3242" t="str">
            <v>22013</v>
          </cell>
          <cell r="G3242" t="str">
            <v>裕隆三</v>
          </cell>
          <cell r="H3242">
            <v>200000</v>
          </cell>
          <cell r="I3242">
            <v>3.25</v>
          </cell>
          <cell r="J3242">
            <v>46167</v>
          </cell>
          <cell r="K3242">
            <v>100.75190000000001</v>
          </cell>
          <cell r="L3242">
            <v>46147</v>
          </cell>
          <cell r="M3242">
            <v>-4399</v>
          </cell>
          <cell r="N3242">
            <v>195601</v>
          </cell>
        </row>
        <row r="3243">
          <cell r="A3243">
            <v>22013</v>
          </cell>
          <cell r="B3243">
            <v>3237</v>
          </cell>
          <cell r="C3243" t="str">
            <v>IASWD2409000271</v>
          </cell>
          <cell r="D3243">
            <v>45545</v>
          </cell>
          <cell r="E3243">
            <v>46167</v>
          </cell>
          <cell r="F3243" t="str">
            <v>22013</v>
          </cell>
          <cell r="G3243" t="str">
            <v>裕隆三</v>
          </cell>
          <cell r="H3243">
            <v>900000</v>
          </cell>
          <cell r="I3243">
            <v>3.25</v>
          </cell>
          <cell r="J3243">
            <v>46167</v>
          </cell>
          <cell r="K3243">
            <v>100.75190000000001</v>
          </cell>
          <cell r="L3243">
            <v>46147</v>
          </cell>
          <cell r="M3243">
            <v>-19794</v>
          </cell>
          <cell r="N3243">
            <v>880206</v>
          </cell>
        </row>
        <row r="3244">
          <cell r="A3244">
            <v>35642</v>
          </cell>
          <cell r="B3244">
            <v>3238</v>
          </cell>
          <cell r="C3244" t="str">
            <v>IASWD2409000272</v>
          </cell>
          <cell r="D3244">
            <v>45545</v>
          </cell>
          <cell r="E3244">
            <v>46633</v>
          </cell>
          <cell r="F3244" t="str">
            <v>35642</v>
          </cell>
          <cell r="G3244" t="str">
            <v>其陽二</v>
          </cell>
          <cell r="H3244">
            <v>100000</v>
          </cell>
          <cell r="I3244">
            <v>4</v>
          </cell>
          <cell r="J3244">
            <v>46633</v>
          </cell>
          <cell r="K3244">
            <v>100</v>
          </cell>
          <cell r="L3244">
            <v>46615</v>
          </cell>
          <cell r="M3244">
            <v>-2707</v>
          </cell>
          <cell r="N3244">
            <v>97293</v>
          </cell>
        </row>
        <row r="3245">
          <cell r="A3245">
            <v>61394</v>
          </cell>
          <cell r="B3245">
            <v>3239</v>
          </cell>
          <cell r="C3245" t="str">
            <v>IASWD2409000273</v>
          </cell>
          <cell r="D3245">
            <v>45545</v>
          </cell>
          <cell r="E3245">
            <v>46047</v>
          </cell>
          <cell r="F3245" t="str">
            <v>61394</v>
          </cell>
          <cell r="G3245" t="str">
            <v>亞翔四</v>
          </cell>
          <cell r="H3245">
            <v>100000</v>
          </cell>
          <cell r="I3245">
            <v>3</v>
          </cell>
          <cell r="J3245">
            <v>46047</v>
          </cell>
          <cell r="K3245">
            <v>101.0025</v>
          </cell>
          <cell r="L3245">
            <v>46028</v>
          </cell>
          <cell r="M3245">
            <v>-2030</v>
          </cell>
          <cell r="N3245">
            <v>97970</v>
          </cell>
        </row>
        <row r="3246">
          <cell r="A3246">
            <v>811210</v>
          </cell>
          <cell r="B3246">
            <v>3240</v>
          </cell>
          <cell r="C3246" t="str">
            <v>IASWD2409000274</v>
          </cell>
          <cell r="D3246">
            <v>45545</v>
          </cell>
          <cell r="E3246">
            <v>46531</v>
          </cell>
          <cell r="F3246" t="str">
            <v>811210</v>
          </cell>
          <cell r="G3246" t="str">
            <v>至上十</v>
          </cell>
          <cell r="H3246">
            <v>100000</v>
          </cell>
          <cell r="I3246">
            <v>3.7</v>
          </cell>
          <cell r="J3246">
            <v>46531</v>
          </cell>
          <cell r="K3246">
            <v>100</v>
          </cell>
          <cell r="L3246">
            <v>46511</v>
          </cell>
          <cell r="M3246">
            <v>-2504</v>
          </cell>
          <cell r="N3246">
            <v>97496</v>
          </cell>
        </row>
        <row r="3247">
          <cell r="A3247">
            <v>34834</v>
          </cell>
          <cell r="B3247">
            <v>3241</v>
          </cell>
          <cell r="C3247" t="str">
            <v>IASWD2409000275</v>
          </cell>
          <cell r="D3247">
            <v>45546</v>
          </cell>
          <cell r="E3247">
            <v>46529</v>
          </cell>
          <cell r="F3247" t="str">
            <v>34834</v>
          </cell>
          <cell r="G3247" t="str">
            <v>力致四</v>
          </cell>
          <cell r="H3247">
            <v>100000</v>
          </cell>
          <cell r="I3247">
            <v>3.75</v>
          </cell>
          <cell r="J3247">
            <v>46529</v>
          </cell>
          <cell r="K3247">
            <v>100</v>
          </cell>
          <cell r="L3247">
            <v>46511</v>
          </cell>
          <cell r="M3247">
            <v>-2527</v>
          </cell>
          <cell r="N3247">
            <v>97473</v>
          </cell>
        </row>
        <row r="3248">
          <cell r="A3248">
            <v>811210</v>
          </cell>
          <cell r="B3248">
            <v>3242</v>
          </cell>
          <cell r="C3248" t="str">
            <v>IASWD2409000276</v>
          </cell>
          <cell r="D3248">
            <v>45546</v>
          </cell>
          <cell r="E3248">
            <v>46531</v>
          </cell>
          <cell r="F3248" t="str">
            <v>811210</v>
          </cell>
          <cell r="G3248" t="str">
            <v>至上十</v>
          </cell>
          <cell r="H3248">
            <v>100000</v>
          </cell>
          <cell r="I3248">
            <v>3.7</v>
          </cell>
          <cell r="J3248">
            <v>46531</v>
          </cell>
          <cell r="K3248">
            <v>100</v>
          </cell>
          <cell r="L3248">
            <v>46511</v>
          </cell>
          <cell r="M3248">
            <v>-2494</v>
          </cell>
          <cell r="N3248">
            <v>97506</v>
          </cell>
        </row>
        <row r="3249">
          <cell r="A3249">
            <v>36894</v>
          </cell>
          <cell r="B3249">
            <v>3243</v>
          </cell>
          <cell r="C3249" t="str">
            <v>IASWD2409000277</v>
          </cell>
          <cell r="D3249">
            <v>45546</v>
          </cell>
          <cell r="E3249">
            <v>46086</v>
          </cell>
          <cell r="F3249" t="str">
            <v>36894</v>
          </cell>
          <cell r="G3249" t="str">
            <v>湧德四</v>
          </cell>
          <cell r="H3249">
            <v>200000</v>
          </cell>
          <cell r="I3249">
            <v>3.25</v>
          </cell>
          <cell r="J3249">
            <v>46086</v>
          </cell>
          <cell r="K3249">
            <v>100</v>
          </cell>
          <cell r="L3249">
            <v>46066</v>
          </cell>
          <cell r="M3249">
            <v>-4381</v>
          </cell>
          <cell r="N3249">
            <v>195619</v>
          </cell>
        </row>
        <row r="3250">
          <cell r="A3250">
            <v>64145</v>
          </cell>
          <cell r="B3250">
            <v>3244</v>
          </cell>
          <cell r="C3250" t="str">
            <v>IASWD2409000278</v>
          </cell>
          <cell r="D3250">
            <v>45546</v>
          </cell>
          <cell r="E3250">
            <v>46250</v>
          </cell>
          <cell r="F3250" t="str">
            <v>64145</v>
          </cell>
          <cell r="G3250" t="str">
            <v>樺漢五</v>
          </cell>
          <cell r="H3250">
            <v>100000</v>
          </cell>
          <cell r="I3250">
            <v>3</v>
          </cell>
          <cell r="J3250">
            <v>46250</v>
          </cell>
          <cell r="K3250">
            <v>100</v>
          </cell>
          <cell r="L3250">
            <v>46231</v>
          </cell>
          <cell r="M3250">
            <v>-2022</v>
          </cell>
          <cell r="N3250">
            <v>97978</v>
          </cell>
        </row>
        <row r="3251">
          <cell r="A3251">
            <v>22013</v>
          </cell>
          <cell r="B3251">
            <v>3245</v>
          </cell>
          <cell r="C3251" t="str">
            <v>IASWD2409000279</v>
          </cell>
          <cell r="D3251">
            <v>45546</v>
          </cell>
          <cell r="E3251">
            <v>46167</v>
          </cell>
          <cell r="F3251" t="str">
            <v>22013</v>
          </cell>
          <cell r="G3251" t="str">
            <v>裕隆三</v>
          </cell>
          <cell r="H3251">
            <v>100000</v>
          </cell>
          <cell r="I3251">
            <v>3.25</v>
          </cell>
          <cell r="J3251">
            <v>46167</v>
          </cell>
          <cell r="K3251">
            <v>100.75190000000001</v>
          </cell>
          <cell r="L3251">
            <v>46147</v>
          </cell>
          <cell r="M3251">
            <v>-2190</v>
          </cell>
          <cell r="N3251">
            <v>97810</v>
          </cell>
        </row>
        <row r="3252">
          <cell r="A3252">
            <v>84781</v>
          </cell>
          <cell r="B3252">
            <v>3246</v>
          </cell>
          <cell r="C3252" t="str">
            <v>IASWD2409000280</v>
          </cell>
          <cell r="D3252">
            <v>45546</v>
          </cell>
          <cell r="E3252">
            <v>46583</v>
          </cell>
          <cell r="F3252" t="str">
            <v>84781</v>
          </cell>
          <cell r="G3252" t="str">
            <v>東哥遊艇一</v>
          </cell>
          <cell r="H3252">
            <v>100000</v>
          </cell>
          <cell r="I3252">
            <v>3.1</v>
          </cell>
          <cell r="J3252">
            <v>46583</v>
          </cell>
          <cell r="K3252">
            <v>100</v>
          </cell>
          <cell r="L3252">
            <v>46563</v>
          </cell>
          <cell r="M3252">
            <v>-2089</v>
          </cell>
          <cell r="N3252">
            <v>97911</v>
          </cell>
        </row>
        <row r="3253">
          <cell r="A3253">
            <v>34843</v>
          </cell>
          <cell r="B3253">
            <v>3247</v>
          </cell>
          <cell r="C3253" t="str">
            <v>IASWD2409000281</v>
          </cell>
          <cell r="D3253">
            <v>45546</v>
          </cell>
          <cell r="E3253">
            <v>46136</v>
          </cell>
          <cell r="F3253" t="str">
            <v>34843</v>
          </cell>
          <cell r="G3253" t="str">
            <v>崧騰三</v>
          </cell>
          <cell r="H3253">
            <v>100000</v>
          </cell>
          <cell r="I3253">
            <v>3.5</v>
          </cell>
          <cell r="J3253">
            <v>46136</v>
          </cell>
          <cell r="K3253">
            <v>100.75</v>
          </cell>
          <cell r="L3253">
            <v>46118</v>
          </cell>
          <cell r="M3253">
            <v>-2359</v>
          </cell>
          <cell r="N3253">
            <v>97641</v>
          </cell>
        </row>
        <row r="3254">
          <cell r="A3254">
            <v>34843</v>
          </cell>
          <cell r="B3254">
            <v>3248</v>
          </cell>
          <cell r="C3254" t="str">
            <v>IASWD2409000282</v>
          </cell>
          <cell r="D3254">
            <v>45546</v>
          </cell>
          <cell r="E3254">
            <v>46136</v>
          </cell>
          <cell r="F3254" t="str">
            <v>34843</v>
          </cell>
          <cell r="G3254" t="str">
            <v>崧騰三</v>
          </cell>
          <cell r="H3254">
            <v>200000</v>
          </cell>
          <cell r="I3254">
            <v>3.5</v>
          </cell>
          <cell r="J3254">
            <v>46136</v>
          </cell>
          <cell r="K3254">
            <v>100.75</v>
          </cell>
          <cell r="L3254">
            <v>46118</v>
          </cell>
          <cell r="M3254">
            <v>-4718</v>
          </cell>
          <cell r="N3254">
            <v>195282</v>
          </cell>
        </row>
        <row r="3255">
          <cell r="A3255">
            <v>20632</v>
          </cell>
          <cell r="B3255">
            <v>3249</v>
          </cell>
          <cell r="C3255" t="str">
            <v>IASWD2409000283</v>
          </cell>
          <cell r="D3255">
            <v>45546</v>
          </cell>
          <cell r="E3255">
            <v>45971</v>
          </cell>
          <cell r="F3255" t="str">
            <v>20632</v>
          </cell>
          <cell r="G3255" t="str">
            <v>世鎧二</v>
          </cell>
          <cell r="H3255">
            <v>200000</v>
          </cell>
          <cell r="I3255">
            <v>3.25</v>
          </cell>
          <cell r="J3255">
            <v>45971</v>
          </cell>
          <cell r="K3255">
            <v>100</v>
          </cell>
          <cell r="L3255">
            <v>45951</v>
          </cell>
          <cell r="M3255">
            <v>-4381</v>
          </cell>
          <cell r="N3255">
            <v>195619</v>
          </cell>
        </row>
        <row r="3256">
          <cell r="A3256">
            <v>811210</v>
          </cell>
          <cell r="B3256">
            <v>3250</v>
          </cell>
          <cell r="C3256" t="str">
            <v>IASWD2409000284</v>
          </cell>
          <cell r="D3256">
            <v>45546</v>
          </cell>
          <cell r="E3256">
            <v>46531</v>
          </cell>
          <cell r="F3256" t="str">
            <v>811210</v>
          </cell>
          <cell r="G3256" t="str">
            <v>至上十</v>
          </cell>
          <cell r="H3256">
            <v>100000</v>
          </cell>
          <cell r="I3256">
            <v>3.7</v>
          </cell>
          <cell r="J3256">
            <v>46531</v>
          </cell>
          <cell r="K3256">
            <v>100</v>
          </cell>
          <cell r="L3256">
            <v>46511</v>
          </cell>
          <cell r="M3256">
            <v>-2494</v>
          </cell>
          <cell r="N3256">
            <v>97506</v>
          </cell>
        </row>
        <row r="3257">
          <cell r="A3257">
            <v>22013</v>
          </cell>
          <cell r="B3257">
            <v>3251</v>
          </cell>
          <cell r="C3257" t="str">
            <v>IASWD2409000285</v>
          </cell>
          <cell r="D3257">
            <v>45546</v>
          </cell>
          <cell r="E3257">
            <v>46167</v>
          </cell>
          <cell r="F3257" t="str">
            <v>22013</v>
          </cell>
          <cell r="G3257" t="str">
            <v>裕隆三</v>
          </cell>
          <cell r="H3257">
            <v>100000</v>
          </cell>
          <cell r="I3257">
            <v>3.25</v>
          </cell>
          <cell r="J3257">
            <v>46167</v>
          </cell>
          <cell r="K3257">
            <v>100.75190000000001</v>
          </cell>
          <cell r="L3257">
            <v>46147</v>
          </cell>
          <cell r="M3257">
            <v>-2190</v>
          </cell>
          <cell r="N3257">
            <v>97810</v>
          </cell>
        </row>
        <row r="3258">
          <cell r="A3258">
            <v>22013</v>
          </cell>
          <cell r="B3258">
            <v>3252</v>
          </cell>
          <cell r="C3258" t="str">
            <v>IASWD2409000286</v>
          </cell>
          <cell r="D3258">
            <v>45546</v>
          </cell>
          <cell r="E3258">
            <v>46167</v>
          </cell>
          <cell r="F3258" t="str">
            <v>22013</v>
          </cell>
          <cell r="G3258" t="str">
            <v>裕隆三</v>
          </cell>
          <cell r="H3258">
            <v>200000</v>
          </cell>
          <cell r="I3258">
            <v>3.25</v>
          </cell>
          <cell r="J3258">
            <v>46167</v>
          </cell>
          <cell r="K3258">
            <v>100.75190000000001</v>
          </cell>
          <cell r="L3258">
            <v>46147</v>
          </cell>
          <cell r="M3258">
            <v>-4381</v>
          </cell>
          <cell r="N3258">
            <v>195619</v>
          </cell>
        </row>
        <row r="3259">
          <cell r="A3259">
            <v>811210</v>
          </cell>
          <cell r="B3259">
            <v>3253</v>
          </cell>
          <cell r="C3259" t="str">
            <v>IASWD2409000288</v>
          </cell>
          <cell r="D3259">
            <v>45546</v>
          </cell>
          <cell r="E3259">
            <v>46531</v>
          </cell>
          <cell r="F3259" t="str">
            <v>811210</v>
          </cell>
          <cell r="G3259" t="str">
            <v>至上十</v>
          </cell>
          <cell r="H3259">
            <v>200000</v>
          </cell>
          <cell r="I3259">
            <v>3.7</v>
          </cell>
          <cell r="J3259">
            <v>46531</v>
          </cell>
          <cell r="K3259">
            <v>100</v>
          </cell>
          <cell r="L3259">
            <v>46511</v>
          </cell>
          <cell r="M3259">
            <v>-4987</v>
          </cell>
          <cell r="N3259">
            <v>195013</v>
          </cell>
        </row>
        <row r="3260">
          <cell r="A3260">
            <v>15364</v>
          </cell>
          <cell r="B3260">
            <v>3254</v>
          </cell>
          <cell r="C3260" t="str">
            <v>IASWD2409000289</v>
          </cell>
          <cell r="D3260">
            <v>45546</v>
          </cell>
          <cell r="E3260">
            <v>46246</v>
          </cell>
          <cell r="F3260" t="str">
            <v>15364</v>
          </cell>
          <cell r="G3260" t="str">
            <v>和大四</v>
          </cell>
          <cell r="H3260">
            <v>1900000</v>
          </cell>
          <cell r="I3260">
            <v>4.2</v>
          </cell>
          <cell r="J3260">
            <v>46246</v>
          </cell>
          <cell r="K3260">
            <v>100</v>
          </cell>
          <cell r="L3260">
            <v>46226</v>
          </cell>
          <cell r="M3260">
            <v>-53783</v>
          </cell>
          <cell r="N3260">
            <v>1846217</v>
          </cell>
        </row>
        <row r="3261">
          <cell r="A3261">
            <v>64145</v>
          </cell>
          <cell r="B3261">
            <v>3255</v>
          </cell>
          <cell r="C3261" t="str">
            <v>IASWD2409000290</v>
          </cell>
          <cell r="D3261">
            <v>45546</v>
          </cell>
          <cell r="E3261">
            <v>46250</v>
          </cell>
          <cell r="F3261" t="str">
            <v>64145</v>
          </cell>
          <cell r="G3261" t="str">
            <v>樺漢五</v>
          </cell>
          <cell r="H3261">
            <v>100000</v>
          </cell>
          <cell r="I3261">
            <v>3</v>
          </cell>
          <cell r="J3261">
            <v>46250</v>
          </cell>
          <cell r="K3261">
            <v>100</v>
          </cell>
          <cell r="L3261">
            <v>46231</v>
          </cell>
          <cell r="M3261">
            <v>-2022</v>
          </cell>
          <cell r="N3261">
            <v>97978</v>
          </cell>
        </row>
        <row r="3262">
          <cell r="A3262">
            <v>22013</v>
          </cell>
          <cell r="B3262">
            <v>3256</v>
          </cell>
          <cell r="C3262" t="str">
            <v>IASWD2409000292</v>
          </cell>
          <cell r="D3262">
            <v>45546</v>
          </cell>
          <cell r="E3262">
            <v>46167</v>
          </cell>
          <cell r="F3262" t="str">
            <v>22013</v>
          </cell>
          <cell r="G3262" t="str">
            <v>裕隆三</v>
          </cell>
          <cell r="H3262">
            <v>100000</v>
          </cell>
          <cell r="I3262">
            <v>3.25</v>
          </cell>
          <cell r="J3262">
            <v>46167</v>
          </cell>
          <cell r="K3262">
            <v>100.75190000000001</v>
          </cell>
          <cell r="L3262">
            <v>46147</v>
          </cell>
          <cell r="M3262">
            <v>-2190</v>
          </cell>
          <cell r="N3262">
            <v>97810</v>
          </cell>
        </row>
        <row r="3263">
          <cell r="A3263">
            <v>811210</v>
          </cell>
          <cell r="B3263">
            <v>3257</v>
          </cell>
          <cell r="C3263" t="str">
            <v>IASWD2409000294</v>
          </cell>
          <cell r="D3263">
            <v>45546</v>
          </cell>
          <cell r="E3263">
            <v>46531</v>
          </cell>
          <cell r="F3263" t="str">
            <v>811210</v>
          </cell>
          <cell r="G3263" t="str">
            <v>至上十</v>
          </cell>
          <cell r="H3263">
            <v>300000</v>
          </cell>
          <cell r="I3263">
            <v>3.7</v>
          </cell>
          <cell r="J3263">
            <v>46531</v>
          </cell>
          <cell r="K3263">
            <v>100</v>
          </cell>
          <cell r="L3263">
            <v>46511</v>
          </cell>
          <cell r="M3263">
            <v>-7481</v>
          </cell>
          <cell r="N3263">
            <v>292519</v>
          </cell>
        </row>
        <row r="3264">
          <cell r="A3264">
            <v>811210</v>
          </cell>
          <cell r="B3264">
            <v>3258</v>
          </cell>
          <cell r="C3264" t="str">
            <v>IASWD2409000295</v>
          </cell>
          <cell r="D3264">
            <v>45546</v>
          </cell>
          <cell r="E3264">
            <v>46531</v>
          </cell>
          <cell r="F3264" t="str">
            <v>811210</v>
          </cell>
          <cell r="G3264" t="str">
            <v>至上十</v>
          </cell>
          <cell r="H3264">
            <v>100000</v>
          </cell>
          <cell r="I3264">
            <v>3.7</v>
          </cell>
          <cell r="J3264">
            <v>46531</v>
          </cell>
          <cell r="K3264">
            <v>100</v>
          </cell>
          <cell r="L3264">
            <v>46511</v>
          </cell>
          <cell r="M3264">
            <v>-2494</v>
          </cell>
          <cell r="N3264">
            <v>97506</v>
          </cell>
        </row>
        <row r="3265">
          <cell r="A3265">
            <v>811210</v>
          </cell>
          <cell r="B3265">
            <v>3259</v>
          </cell>
          <cell r="C3265" t="str">
            <v>IASWD2409000297</v>
          </cell>
          <cell r="D3265">
            <v>45546</v>
          </cell>
          <cell r="E3265">
            <v>46531</v>
          </cell>
          <cell r="F3265" t="str">
            <v>811210</v>
          </cell>
          <cell r="G3265" t="str">
            <v>至上十</v>
          </cell>
          <cell r="H3265">
            <v>100000</v>
          </cell>
          <cell r="I3265">
            <v>3.7</v>
          </cell>
          <cell r="J3265">
            <v>46531</v>
          </cell>
          <cell r="K3265">
            <v>100</v>
          </cell>
          <cell r="L3265">
            <v>46511</v>
          </cell>
          <cell r="M3265">
            <v>-2494</v>
          </cell>
          <cell r="N3265">
            <v>97506</v>
          </cell>
        </row>
        <row r="3266">
          <cell r="A3266">
            <v>15364</v>
          </cell>
          <cell r="B3266">
            <v>3260</v>
          </cell>
          <cell r="C3266" t="str">
            <v>IASWD2409000298</v>
          </cell>
          <cell r="D3266">
            <v>45546</v>
          </cell>
          <cell r="E3266">
            <v>46246</v>
          </cell>
          <cell r="F3266" t="str">
            <v>15364</v>
          </cell>
          <cell r="G3266" t="str">
            <v>和大四</v>
          </cell>
          <cell r="H3266">
            <v>100000</v>
          </cell>
          <cell r="I3266">
            <v>4.2</v>
          </cell>
          <cell r="J3266">
            <v>46246</v>
          </cell>
          <cell r="K3266">
            <v>100</v>
          </cell>
          <cell r="L3266">
            <v>46226</v>
          </cell>
          <cell r="M3266">
            <v>-2831</v>
          </cell>
          <cell r="N3266">
            <v>97169</v>
          </cell>
        </row>
        <row r="3267">
          <cell r="A3267">
            <v>35642</v>
          </cell>
          <cell r="B3267">
            <v>3261</v>
          </cell>
          <cell r="C3267" t="str">
            <v>IASWD2409000301</v>
          </cell>
          <cell r="D3267">
            <v>45546</v>
          </cell>
          <cell r="E3267">
            <v>46633</v>
          </cell>
          <cell r="F3267" t="str">
            <v>35642</v>
          </cell>
          <cell r="G3267" t="str">
            <v>其陽二</v>
          </cell>
          <cell r="H3267">
            <v>100000</v>
          </cell>
          <cell r="I3267">
            <v>4</v>
          </cell>
          <cell r="J3267">
            <v>46633</v>
          </cell>
          <cell r="K3267">
            <v>100</v>
          </cell>
          <cell r="L3267">
            <v>46615</v>
          </cell>
          <cell r="M3267">
            <v>-2696</v>
          </cell>
          <cell r="N3267">
            <v>97304</v>
          </cell>
        </row>
        <row r="3268">
          <cell r="A3268">
            <v>36894</v>
          </cell>
          <cell r="B3268">
            <v>3262</v>
          </cell>
          <cell r="C3268" t="str">
            <v>IASWD2409000302</v>
          </cell>
          <cell r="D3268">
            <v>45546</v>
          </cell>
          <cell r="E3268">
            <v>46086</v>
          </cell>
          <cell r="F3268" t="str">
            <v>36894</v>
          </cell>
          <cell r="G3268" t="str">
            <v>湧德四</v>
          </cell>
          <cell r="H3268">
            <v>100000</v>
          </cell>
          <cell r="I3268">
            <v>3.25</v>
          </cell>
          <cell r="J3268">
            <v>46086</v>
          </cell>
          <cell r="K3268">
            <v>100</v>
          </cell>
          <cell r="L3268">
            <v>46066</v>
          </cell>
          <cell r="M3268">
            <v>-2190</v>
          </cell>
          <cell r="N3268">
            <v>97810</v>
          </cell>
        </row>
        <row r="3269">
          <cell r="A3269">
            <v>64145</v>
          </cell>
          <cell r="B3269">
            <v>3263</v>
          </cell>
          <cell r="C3269" t="str">
            <v>IASWD2409000303</v>
          </cell>
          <cell r="D3269">
            <v>45546</v>
          </cell>
          <cell r="E3269">
            <v>46250</v>
          </cell>
          <cell r="F3269" t="str">
            <v>64145</v>
          </cell>
          <cell r="G3269" t="str">
            <v>樺漢五</v>
          </cell>
          <cell r="H3269">
            <v>300000</v>
          </cell>
          <cell r="I3269">
            <v>3</v>
          </cell>
          <cell r="J3269">
            <v>46250</v>
          </cell>
          <cell r="K3269">
            <v>100</v>
          </cell>
          <cell r="L3269">
            <v>46231</v>
          </cell>
          <cell r="M3269">
            <v>-6066</v>
          </cell>
          <cell r="N3269">
            <v>293934</v>
          </cell>
        </row>
        <row r="3270">
          <cell r="A3270">
            <v>811210</v>
          </cell>
          <cell r="B3270">
            <v>3264</v>
          </cell>
          <cell r="C3270" t="str">
            <v>IASWD2409000304</v>
          </cell>
          <cell r="D3270">
            <v>45546</v>
          </cell>
          <cell r="E3270">
            <v>46531</v>
          </cell>
          <cell r="F3270" t="str">
            <v>811210</v>
          </cell>
          <cell r="G3270" t="str">
            <v>至上十</v>
          </cell>
          <cell r="H3270">
            <v>100000</v>
          </cell>
          <cell r="I3270">
            <v>3.7</v>
          </cell>
          <cell r="J3270">
            <v>46531</v>
          </cell>
          <cell r="K3270">
            <v>100</v>
          </cell>
          <cell r="L3270">
            <v>46511</v>
          </cell>
          <cell r="M3270">
            <v>-2494</v>
          </cell>
          <cell r="N3270">
            <v>97506</v>
          </cell>
        </row>
        <row r="3271">
          <cell r="A3271">
            <v>811210</v>
          </cell>
          <cell r="B3271">
            <v>3265</v>
          </cell>
          <cell r="C3271" t="str">
            <v>IASWD2409000306</v>
          </cell>
          <cell r="D3271">
            <v>45547</v>
          </cell>
          <cell r="E3271">
            <v>46531</v>
          </cell>
          <cell r="F3271" t="str">
            <v>811210</v>
          </cell>
          <cell r="G3271" t="str">
            <v>至上十</v>
          </cell>
          <cell r="H3271">
            <v>300000</v>
          </cell>
          <cell r="I3271">
            <v>3.7</v>
          </cell>
          <cell r="J3271">
            <v>46531</v>
          </cell>
          <cell r="K3271">
            <v>100</v>
          </cell>
          <cell r="L3271">
            <v>46511</v>
          </cell>
          <cell r="M3271">
            <v>-7451</v>
          </cell>
          <cell r="N3271">
            <v>292549</v>
          </cell>
        </row>
        <row r="3272">
          <cell r="A3272">
            <v>140202</v>
          </cell>
          <cell r="B3272">
            <v>3266</v>
          </cell>
          <cell r="C3272" t="str">
            <v>IASWD2409000307</v>
          </cell>
          <cell r="D3272">
            <v>45547</v>
          </cell>
          <cell r="E3272">
            <v>46607</v>
          </cell>
          <cell r="F3272" t="str">
            <v>140202</v>
          </cell>
          <cell r="G3272" t="str">
            <v>遠東新E2永</v>
          </cell>
          <cell r="H3272">
            <v>100000</v>
          </cell>
          <cell r="I3272">
            <v>2.5</v>
          </cell>
          <cell r="J3272">
            <v>46607</v>
          </cell>
          <cell r="K3272">
            <v>100</v>
          </cell>
          <cell r="L3272">
            <v>46588</v>
          </cell>
          <cell r="M3272">
            <v>-1678</v>
          </cell>
          <cell r="N3272">
            <v>98322</v>
          </cell>
        </row>
        <row r="3273">
          <cell r="A3273">
            <v>15364</v>
          </cell>
          <cell r="B3273">
            <v>3267</v>
          </cell>
          <cell r="C3273" t="str">
            <v>IASWD2409000308</v>
          </cell>
          <cell r="D3273">
            <v>45547</v>
          </cell>
          <cell r="E3273">
            <v>46246</v>
          </cell>
          <cell r="F3273" t="str">
            <v>15364</v>
          </cell>
          <cell r="G3273" t="str">
            <v>和大四</v>
          </cell>
          <cell r="H3273">
            <v>100000</v>
          </cell>
          <cell r="I3273">
            <v>4.2</v>
          </cell>
          <cell r="J3273">
            <v>46246</v>
          </cell>
          <cell r="K3273">
            <v>100</v>
          </cell>
          <cell r="L3273">
            <v>46226</v>
          </cell>
          <cell r="M3273">
            <v>-2819</v>
          </cell>
          <cell r="N3273">
            <v>97181</v>
          </cell>
        </row>
        <row r="3274">
          <cell r="A3274">
            <v>15364</v>
          </cell>
          <cell r="B3274">
            <v>3268</v>
          </cell>
          <cell r="C3274" t="str">
            <v>IASWD2409000310</v>
          </cell>
          <cell r="D3274">
            <v>45547</v>
          </cell>
          <cell r="E3274">
            <v>46246</v>
          </cell>
          <cell r="F3274" t="str">
            <v>15364</v>
          </cell>
          <cell r="G3274" t="str">
            <v>和大四</v>
          </cell>
          <cell r="H3274">
            <v>200000</v>
          </cell>
          <cell r="I3274">
            <v>4.2</v>
          </cell>
          <cell r="J3274">
            <v>46246</v>
          </cell>
          <cell r="K3274">
            <v>100</v>
          </cell>
          <cell r="L3274">
            <v>46226</v>
          </cell>
          <cell r="M3274">
            <v>-5638</v>
          </cell>
          <cell r="N3274">
            <v>194362</v>
          </cell>
        </row>
        <row r="3275">
          <cell r="A3275">
            <v>61875</v>
          </cell>
          <cell r="B3275">
            <v>3269</v>
          </cell>
          <cell r="C3275" t="str">
            <v>IASWD2409000311</v>
          </cell>
          <cell r="D3275">
            <v>45547</v>
          </cell>
          <cell r="E3275">
            <v>46578</v>
          </cell>
          <cell r="F3275" t="str">
            <v>61875</v>
          </cell>
          <cell r="G3275" t="str">
            <v>萬潤五</v>
          </cell>
          <cell r="H3275">
            <v>300000</v>
          </cell>
          <cell r="I3275">
            <v>3.1</v>
          </cell>
          <cell r="J3275">
            <v>46578</v>
          </cell>
          <cell r="K3275">
            <v>100</v>
          </cell>
          <cell r="L3275">
            <v>46560</v>
          </cell>
          <cell r="M3275">
            <v>-6242</v>
          </cell>
          <cell r="N3275">
            <v>293758</v>
          </cell>
        </row>
        <row r="3276">
          <cell r="A3276">
            <v>22013</v>
          </cell>
          <cell r="B3276">
            <v>3270</v>
          </cell>
          <cell r="C3276" t="str">
            <v>IASWD2409000312</v>
          </cell>
          <cell r="D3276">
            <v>45547</v>
          </cell>
          <cell r="E3276">
            <v>46167</v>
          </cell>
          <cell r="F3276" t="str">
            <v>22013</v>
          </cell>
          <cell r="G3276" t="str">
            <v>裕隆三</v>
          </cell>
          <cell r="H3276">
            <v>100000</v>
          </cell>
          <cell r="I3276">
            <v>3.25</v>
          </cell>
          <cell r="J3276">
            <v>46167</v>
          </cell>
          <cell r="K3276">
            <v>100.75190000000001</v>
          </cell>
          <cell r="L3276">
            <v>46147</v>
          </cell>
          <cell r="M3276">
            <v>-2182</v>
          </cell>
          <cell r="N3276">
            <v>97818</v>
          </cell>
        </row>
        <row r="3277">
          <cell r="A3277">
            <v>22013</v>
          </cell>
          <cell r="B3277">
            <v>3271</v>
          </cell>
          <cell r="C3277" t="str">
            <v>IASWD2409000315</v>
          </cell>
          <cell r="D3277">
            <v>45547</v>
          </cell>
          <cell r="E3277">
            <v>46167</v>
          </cell>
          <cell r="F3277" t="str">
            <v>22013</v>
          </cell>
          <cell r="G3277" t="str">
            <v>裕隆三</v>
          </cell>
          <cell r="H3277">
            <v>100000</v>
          </cell>
          <cell r="I3277">
            <v>3.25</v>
          </cell>
          <cell r="J3277">
            <v>46167</v>
          </cell>
          <cell r="K3277">
            <v>100.75190000000001</v>
          </cell>
          <cell r="L3277">
            <v>46147</v>
          </cell>
          <cell r="M3277">
            <v>-2182</v>
          </cell>
          <cell r="N3277">
            <v>97818</v>
          </cell>
        </row>
        <row r="3278">
          <cell r="A3278">
            <v>56086</v>
          </cell>
          <cell r="B3278">
            <v>3272</v>
          </cell>
          <cell r="C3278" t="str">
            <v>IASWD2409000318</v>
          </cell>
          <cell r="D3278">
            <v>45547</v>
          </cell>
          <cell r="E3278">
            <v>46194</v>
          </cell>
          <cell r="F3278" t="str">
            <v>56086</v>
          </cell>
          <cell r="G3278" t="str">
            <v>四維航六</v>
          </cell>
          <cell r="H3278">
            <v>400000</v>
          </cell>
          <cell r="I3278">
            <v>2.35</v>
          </cell>
          <cell r="J3278">
            <v>46194</v>
          </cell>
          <cell r="K3278">
            <v>100</v>
          </cell>
          <cell r="L3278">
            <v>46175</v>
          </cell>
          <cell r="M3278">
            <v>-6310</v>
          </cell>
          <cell r="N3278">
            <v>393690</v>
          </cell>
        </row>
        <row r="3279">
          <cell r="A3279">
            <v>22013</v>
          </cell>
          <cell r="B3279">
            <v>3273</v>
          </cell>
          <cell r="C3279" t="str">
            <v>IASWD2409000319</v>
          </cell>
          <cell r="D3279">
            <v>45547</v>
          </cell>
          <cell r="E3279">
            <v>46167</v>
          </cell>
          <cell r="F3279" t="str">
            <v>22013</v>
          </cell>
          <cell r="G3279" t="str">
            <v>裕隆三</v>
          </cell>
          <cell r="H3279">
            <v>200000</v>
          </cell>
          <cell r="I3279">
            <v>3.25</v>
          </cell>
          <cell r="J3279">
            <v>46167</v>
          </cell>
          <cell r="K3279">
            <v>100.75190000000001</v>
          </cell>
          <cell r="L3279">
            <v>46147</v>
          </cell>
          <cell r="M3279">
            <v>-4363</v>
          </cell>
          <cell r="N3279">
            <v>195637</v>
          </cell>
        </row>
        <row r="3280">
          <cell r="A3280">
            <v>35642</v>
          </cell>
          <cell r="B3280">
            <v>3274</v>
          </cell>
          <cell r="C3280" t="str">
            <v>IASWD2409000320</v>
          </cell>
          <cell r="D3280">
            <v>45547</v>
          </cell>
          <cell r="E3280">
            <v>46633</v>
          </cell>
          <cell r="F3280" t="str">
            <v>35642</v>
          </cell>
          <cell r="G3280" t="str">
            <v>其陽二</v>
          </cell>
          <cell r="H3280">
            <v>1300000</v>
          </cell>
          <cell r="I3280">
            <v>4</v>
          </cell>
          <cell r="J3280">
            <v>46633</v>
          </cell>
          <cell r="K3280">
            <v>100</v>
          </cell>
          <cell r="L3280">
            <v>46615</v>
          </cell>
          <cell r="M3280">
            <v>-34904</v>
          </cell>
          <cell r="N3280">
            <v>1265096</v>
          </cell>
        </row>
        <row r="3281">
          <cell r="A3281">
            <v>50097</v>
          </cell>
          <cell r="B3281">
            <v>3275</v>
          </cell>
          <cell r="C3281" t="str">
            <v>IASWD2409000321</v>
          </cell>
          <cell r="D3281">
            <v>45547</v>
          </cell>
          <cell r="E3281">
            <v>46234</v>
          </cell>
          <cell r="F3281" t="str">
            <v>50097</v>
          </cell>
          <cell r="G3281" t="str">
            <v>榮剛七</v>
          </cell>
          <cell r="H3281">
            <v>100000</v>
          </cell>
          <cell r="I3281">
            <v>4.2</v>
          </cell>
          <cell r="J3281">
            <v>46234</v>
          </cell>
          <cell r="K3281">
            <v>101.51</v>
          </cell>
          <cell r="L3281">
            <v>46216</v>
          </cell>
          <cell r="M3281">
            <v>-2819</v>
          </cell>
          <cell r="N3281">
            <v>97181</v>
          </cell>
        </row>
        <row r="3282">
          <cell r="A3282">
            <v>22013</v>
          </cell>
          <cell r="B3282">
            <v>3276</v>
          </cell>
          <cell r="C3282" t="str">
            <v>IASWD2409000322</v>
          </cell>
          <cell r="D3282">
            <v>45547</v>
          </cell>
          <cell r="E3282">
            <v>46167</v>
          </cell>
          <cell r="F3282" t="str">
            <v>22013</v>
          </cell>
          <cell r="G3282" t="str">
            <v>裕隆三</v>
          </cell>
          <cell r="H3282">
            <v>100000</v>
          </cell>
          <cell r="I3282">
            <v>3.25</v>
          </cell>
          <cell r="J3282">
            <v>46167</v>
          </cell>
          <cell r="K3282">
            <v>100.75190000000001</v>
          </cell>
          <cell r="L3282">
            <v>46147</v>
          </cell>
          <cell r="M3282">
            <v>-2182</v>
          </cell>
          <cell r="N3282">
            <v>97818</v>
          </cell>
        </row>
        <row r="3283">
          <cell r="A3283">
            <v>36804</v>
          </cell>
          <cell r="B3283">
            <v>3277</v>
          </cell>
          <cell r="C3283" t="str">
            <v>IASWD2409000323</v>
          </cell>
          <cell r="D3283">
            <v>45547</v>
          </cell>
          <cell r="E3283">
            <v>45948</v>
          </cell>
          <cell r="F3283" t="str">
            <v>36804</v>
          </cell>
          <cell r="G3283" t="str">
            <v>家登四</v>
          </cell>
          <cell r="H3283">
            <v>100000</v>
          </cell>
          <cell r="I3283">
            <v>3.2</v>
          </cell>
          <cell r="J3283">
            <v>45948</v>
          </cell>
          <cell r="K3283">
            <v>100</v>
          </cell>
          <cell r="L3283">
            <v>45926</v>
          </cell>
          <cell r="M3283">
            <v>-2148</v>
          </cell>
          <cell r="N3283">
            <v>97852</v>
          </cell>
        </row>
        <row r="3284">
          <cell r="A3284">
            <v>36894</v>
          </cell>
          <cell r="B3284">
            <v>3278</v>
          </cell>
          <cell r="C3284" t="str">
            <v>IASWD2409000325</v>
          </cell>
          <cell r="D3284">
            <v>45547</v>
          </cell>
          <cell r="E3284">
            <v>46086</v>
          </cell>
          <cell r="F3284" t="str">
            <v>36894</v>
          </cell>
          <cell r="G3284" t="str">
            <v>湧德四</v>
          </cell>
          <cell r="H3284">
            <v>200000</v>
          </cell>
          <cell r="I3284">
            <v>3.25</v>
          </cell>
          <cell r="J3284">
            <v>46086</v>
          </cell>
          <cell r="K3284">
            <v>100</v>
          </cell>
          <cell r="L3284">
            <v>46066</v>
          </cell>
          <cell r="M3284">
            <v>-4363</v>
          </cell>
          <cell r="N3284">
            <v>195637</v>
          </cell>
        </row>
        <row r="3285">
          <cell r="A3285">
            <v>50097</v>
          </cell>
          <cell r="B3285">
            <v>3279</v>
          </cell>
          <cell r="C3285" t="str">
            <v>IASWD2409000326</v>
          </cell>
          <cell r="D3285">
            <v>45547</v>
          </cell>
          <cell r="E3285">
            <v>46234</v>
          </cell>
          <cell r="F3285" t="str">
            <v>50097</v>
          </cell>
          <cell r="G3285" t="str">
            <v>榮剛七</v>
          </cell>
          <cell r="H3285">
            <v>100000</v>
          </cell>
          <cell r="I3285">
            <v>4.2</v>
          </cell>
          <cell r="J3285">
            <v>46234</v>
          </cell>
          <cell r="K3285">
            <v>101.51</v>
          </cell>
          <cell r="L3285">
            <v>46216</v>
          </cell>
          <cell r="M3285">
            <v>-2819</v>
          </cell>
          <cell r="N3285">
            <v>97181</v>
          </cell>
        </row>
        <row r="3286">
          <cell r="A3286">
            <v>22013</v>
          </cell>
          <cell r="B3286">
            <v>3280</v>
          </cell>
          <cell r="C3286" t="str">
            <v>IASWD2409000327</v>
          </cell>
          <cell r="D3286">
            <v>45547</v>
          </cell>
          <cell r="E3286">
            <v>46167</v>
          </cell>
          <cell r="F3286" t="str">
            <v>22013</v>
          </cell>
          <cell r="G3286" t="str">
            <v>裕隆三</v>
          </cell>
          <cell r="H3286">
            <v>200000</v>
          </cell>
          <cell r="I3286">
            <v>3.25</v>
          </cell>
          <cell r="J3286">
            <v>46167</v>
          </cell>
          <cell r="K3286">
            <v>100.75190000000001</v>
          </cell>
          <cell r="L3286">
            <v>46147</v>
          </cell>
          <cell r="M3286">
            <v>-4363</v>
          </cell>
          <cell r="N3286">
            <v>195637</v>
          </cell>
        </row>
        <row r="3287">
          <cell r="A3287">
            <v>22013</v>
          </cell>
          <cell r="B3287">
            <v>3281</v>
          </cell>
          <cell r="C3287" t="str">
            <v>IASWD2409000330</v>
          </cell>
          <cell r="D3287">
            <v>45547</v>
          </cell>
          <cell r="E3287">
            <v>46167</v>
          </cell>
          <cell r="F3287" t="str">
            <v>22013</v>
          </cell>
          <cell r="G3287" t="str">
            <v>裕隆三</v>
          </cell>
          <cell r="H3287">
            <v>300000</v>
          </cell>
          <cell r="I3287">
            <v>3.25</v>
          </cell>
          <cell r="J3287">
            <v>46167</v>
          </cell>
          <cell r="K3287">
            <v>100.75190000000001</v>
          </cell>
          <cell r="L3287">
            <v>46147</v>
          </cell>
          <cell r="M3287">
            <v>-6545</v>
          </cell>
          <cell r="N3287">
            <v>293455</v>
          </cell>
        </row>
        <row r="3288">
          <cell r="A3288">
            <v>35266</v>
          </cell>
          <cell r="B3288">
            <v>3282</v>
          </cell>
          <cell r="C3288" t="str">
            <v>IASWD2409000331</v>
          </cell>
          <cell r="D3288">
            <v>45547</v>
          </cell>
          <cell r="E3288">
            <v>46416</v>
          </cell>
          <cell r="F3288" t="str">
            <v>35266</v>
          </cell>
          <cell r="G3288" t="str">
            <v>凡甲六</v>
          </cell>
          <cell r="H3288">
            <v>100000</v>
          </cell>
          <cell r="I3288">
            <v>3.5</v>
          </cell>
          <cell r="J3288">
            <v>46416</v>
          </cell>
          <cell r="K3288">
            <v>100</v>
          </cell>
          <cell r="L3288">
            <v>46398</v>
          </cell>
          <cell r="M3288">
            <v>-2349</v>
          </cell>
          <cell r="N3288">
            <v>97651</v>
          </cell>
        </row>
        <row r="3289">
          <cell r="A3289">
            <v>22013</v>
          </cell>
          <cell r="B3289">
            <v>3283</v>
          </cell>
          <cell r="C3289" t="str">
            <v>IASWD2409000332</v>
          </cell>
          <cell r="D3289">
            <v>45547</v>
          </cell>
          <cell r="E3289">
            <v>46167</v>
          </cell>
          <cell r="F3289" t="str">
            <v>22013</v>
          </cell>
          <cell r="G3289" t="str">
            <v>裕隆三</v>
          </cell>
          <cell r="H3289">
            <v>100000</v>
          </cell>
          <cell r="I3289">
            <v>3.25</v>
          </cell>
          <cell r="J3289">
            <v>46167</v>
          </cell>
          <cell r="K3289">
            <v>100.75190000000001</v>
          </cell>
          <cell r="L3289">
            <v>46147</v>
          </cell>
          <cell r="M3289">
            <v>-2182</v>
          </cell>
          <cell r="N3289">
            <v>97818</v>
          </cell>
        </row>
        <row r="3290">
          <cell r="A3290">
            <v>34834</v>
          </cell>
          <cell r="B3290">
            <v>3284</v>
          </cell>
          <cell r="C3290" t="str">
            <v>IASWD2409000333</v>
          </cell>
          <cell r="D3290">
            <v>45547</v>
          </cell>
          <cell r="E3290">
            <v>46529</v>
          </cell>
          <cell r="F3290" t="str">
            <v>34834</v>
          </cell>
          <cell r="G3290" t="str">
            <v>力致四</v>
          </cell>
          <cell r="H3290">
            <v>100000</v>
          </cell>
          <cell r="I3290">
            <v>3.75</v>
          </cell>
          <cell r="J3290">
            <v>46529</v>
          </cell>
          <cell r="K3290">
            <v>100</v>
          </cell>
          <cell r="L3290">
            <v>46511</v>
          </cell>
          <cell r="M3290">
            <v>-2517</v>
          </cell>
          <cell r="N3290">
            <v>97483</v>
          </cell>
        </row>
        <row r="3291">
          <cell r="A3291">
            <v>811210</v>
          </cell>
          <cell r="B3291">
            <v>3285</v>
          </cell>
          <cell r="C3291" t="str">
            <v>IASWD2409000335</v>
          </cell>
          <cell r="D3291">
            <v>45547</v>
          </cell>
          <cell r="E3291">
            <v>46531</v>
          </cell>
          <cell r="F3291" t="str">
            <v>811210</v>
          </cell>
          <cell r="G3291" t="str">
            <v>至上十</v>
          </cell>
          <cell r="H3291">
            <v>400000</v>
          </cell>
          <cell r="I3291">
            <v>3.7</v>
          </cell>
          <cell r="J3291">
            <v>46531</v>
          </cell>
          <cell r="K3291">
            <v>100</v>
          </cell>
          <cell r="L3291">
            <v>46511</v>
          </cell>
          <cell r="M3291">
            <v>-9934</v>
          </cell>
          <cell r="N3291">
            <v>390066</v>
          </cell>
        </row>
        <row r="3292">
          <cell r="A3292">
            <v>34834</v>
          </cell>
          <cell r="B3292">
            <v>3286</v>
          </cell>
          <cell r="C3292" t="str">
            <v>IASWD2409000336</v>
          </cell>
          <cell r="D3292">
            <v>45547</v>
          </cell>
          <cell r="E3292">
            <v>46529</v>
          </cell>
          <cell r="F3292" t="str">
            <v>34834</v>
          </cell>
          <cell r="G3292" t="str">
            <v>力致四</v>
          </cell>
          <cell r="H3292">
            <v>500000</v>
          </cell>
          <cell r="I3292">
            <v>3.75</v>
          </cell>
          <cell r="J3292">
            <v>46529</v>
          </cell>
          <cell r="K3292">
            <v>100</v>
          </cell>
          <cell r="L3292">
            <v>46511</v>
          </cell>
          <cell r="M3292">
            <v>-12586</v>
          </cell>
          <cell r="N3292">
            <v>487414</v>
          </cell>
        </row>
        <row r="3293">
          <cell r="A3293">
            <v>22013</v>
          </cell>
          <cell r="B3293">
            <v>3287</v>
          </cell>
          <cell r="C3293" t="str">
            <v>IASWD2409000337</v>
          </cell>
          <cell r="D3293">
            <v>45547</v>
          </cell>
          <cell r="E3293">
            <v>46167</v>
          </cell>
          <cell r="F3293" t="str">
            <v>22013</v>
          </cell>
          <cell r="G3293" t="str">
            <v>裕隆三</v>
          </cell>
          <cell r="H3293">
            <v>100000</v>
          </cell>
          <cell r="I3293">
            <v>3.25</v>
          </cell>
          <cell r="J3293">
            <v>46167</v>
          </cell>
          <cell r="K3293">
            <v>100.75190000000001</v>
          </cell>
          <cell r="L3293">
            <v>46147</v>
          </cell>
          <cell r="M3293">
            <v>-2182</v>
          </cell>
          <cell r="N3293">
            <v>97818</v>
          </cell>
        </row>
        <row r="3294">
          <cell r="A3294">
            <v>15364</v>
          </cell>
          <cell r="B3294">
            <v>3288</v>
          </cell>
          <cell r="C3294" t="str">
            <v>IASWD2409000340</v>
          </cell>
          <cell r="D3294">
            <v>45548</v>
          </cell>
          <cell r="E3294">
            <v>46246</v>
          </cell>
          <cell r="F3294" t="str">
            <v>15364</v>
          </cell>
          <cell r="G3294" t="str">
            <v>和大四</v>
          </cell>
          <cell r="H3294">
            <v>500000</v>
          </cell>
          <cell r="I3294">
            <v>4.2</v>
          </cell>
          <cell r="J3294">
            <v>46246</v>
          </cell>
          <cell r="K3294">
            <v>100</v>
          </cell>
          <cell r="L3294">
            <v>46226</v>
          </cell>
          <cell r="M3294">
            <v>-14038</v>
          </cell>
          <cell r="N3294">
            <v>485962</v>
          </cell>
        </row>
        <row r="3295">
          <cell r="A3295">
            <v>35266</v>
          </cell>
          <cell r="B3295">
            <v>3289</v>
          </cell>
          <cell r="C3295" t="str">
            <v>IASWD2409000341</v>
          </cell>
          <cell r="D3295">
            <v>45548</v>
          </cell>
          <cell r="E3295">
            <v>46416</v>
          </cell>
          <cell r="F3295" t="str">
            <v>35266</v>
          </cell>
          <cell r="G3295" t="str">
            <v>凡甲六</v>
          </cell>
          <cell r="H3295">
            <v>100000</v>
          </cell>
          <cell r="I3295">
            <v>3.5</v>
          </cell>
          <cell r="J3295">
            <v>46416</v>
          </cell>
          <cell r="K3295">
            <v>100</v>
          </cell>
          <cell r="L3295">
            <v>46398</v>
          </cell>
          <cell r="M3295">
            <v>-2340</v>
          </cell>
          <cell r="N3295">
            <v>97660</v>
          </cell>
        </row>
        <row r="3296">
          <cell r="A3296">
            <v>61875</v>
          </cell>
          <cell r="B3296">
            <v>3290</v>
          </cell>
          <cell r="C3296" t="str">
            <v>IASWD2409000344</v>
          </cell>
          <cell r="D3296">
            <v>45548</v>
          </cell>
          <cell r="E3296">
            <v>46578</v>
          </cell>
          <cell r="F3296" t="str">
            <v>61875</v>
          </cell>
          <cell r="G3296" t="str">
            <v>萬潤五</v>
          </cell>
          <cell r="H3296">
            <v>100000</v>
          </cell>
          <cell r="I3296">
            <v>3.1</v>
          </cell>
          <cell r="J3296">
            <v>46578</v>
          </cell>
          <cell r="K3296">
            <v>100</v>
          </cell>
          <cell r="L3296">
            <v>46560</v>
          </cell>
          <cell r="M3296">
            <v>-2072</v>
          </cell>
          <cell r="N3296">
            <v>97928</v>
          </cell>
        </row>
        <row r="3297">
          <cell r="A3297">
            <v>84781</v>
          </cell>
          <cell r="B3297">
            <v>3291</v>
          </cell>
          <cell r="C3297" t="str">
            <v>IASWD2409000345</v>
          </cell>
          <cell r="D3297">
            <v>45548</v>
          </cell>
          <cell r="E3297">
            <v>46583</v>
          </cell>
          <cell r="F3297" t="str">
            <v>84781</v>
          </cell>
          <cell r="G3297" t="str">
            <v>東哥遊艇一</v>
          </cell>
          <cell r="H3297">
            <v>100000</v>
          </cell>
          <cell r="I3297">
            <v>3.1</v>
          </cell>
          <cell r="J3297">
            <v>46583</v>
          </cell>
          <cell r="K3297">
            <v>100</v>
          </cell>
          <cell r="L3297">
            <v>46563</v>
          </cell>
          <cell r="M3297">
            <v>-2072</v>
          </cell>
          <cell r="N3297">
            <v>97928</v>
          </cell>
        </row>
        <row r="3298">
          <cell r="A3298">
            <v>811210</v>
          </cell>
          <cell r="B3298">
            <v>3292</v>
          </cell>
          <cell r="C3298" t="str">
            <v>IASWD2409000346</v>
          </cell>
          <cell r="D3298">
            <v>45548</v>
          </cell>
          <cell r="E3298">
            <v>46531</v>
          </cell>
          <cell r="F3298" t="str">
            <v>811210</v>
          </cell>
          <cell r="G3298" t="str">
            <v>至上十</v>
          </cell>
          <cell r="H3298">
            <v>200000</v>
          </cell>
          <cell r="I3298">
            <v>3.7</v>
          </cell>
          <cell r="J3298">
            <v>46531</v>
          </cell>
          <cell r="K3298">
            <v>100</v>
          </cell>
          <cell r="L3298">
            <v>46511</v>
          </cell>
          <cell r="M3298">
            <v>-4947</v>
          </cell>
          <cell r="N3298">
            <v>195053</v>
          </cell>
        </row>
        <row r="3299">
          <cell r="A3299">
            <v>84781</v>
          </cell>
          <cell r="B3299">
            <v>3293</v>
          </cell>
          <cell r="C3299" t="str">
            <v>IASWD2409000347</v>
          </cell>
          <cell r="D3299">
            <v>45548</v>
          </cell>
          <cell r="E3299">
            <v>46583</v>
          </cell>
          <cell r="F3299" t="str">
            <v>84781</v>
          </cell>
          <cell r="G3299" t="str">
            <v>東哥遊艇一</v>
          </cell>
          <cell r="H3299">
            <v>100000</v>
          </cell>
          <cell r="I3299">
            <v>3.1</v>
          </cell>
          <cell r="J3299">
            <v>46583</v>
          </cell>
          <cell r="K3299">
            <v>100</v>
          </cell>
          <cell r="L3299">
            <v>46563</v>
          </cell>
          <cell r="M3299">
            <v>-2072</v>
          </cell>
          <cell r="N3299">
            <v>97928</v>
          </cell>
        </row>
        <row r="3300">
          <cell r="A3300">
            <v>811210</v>
          </cell>
          <cell r="B3300">
            <v>3294</v>
          </cell>
          <cell r="C3300" t="str">
            <v>IASWD2409000349</v>
          </cell>
          <cell r="D3300">
            <v>45548</v>
          </cell>
          <cell r="E3300">
            <v>46531</v>
          </cell>
          <cell r="F3300" t="str">
            <v>811210</v>
          </cell>
          <cell r="G3300" t="str">
            <v>至上十</v>
          </cell>
          <cell r="H3300">
            <v>100000</v>
          </cell>
          <cell r="I3300">
            <v>3.7</v>
          </cell>
          <cell r="J3300">
            <v>46531</v>
          </cell>
          <cell r="K3300">
            <v>100</v>
          </cell>
          <cell r="L3300">
            <v>46511</v>
          </cell>
          <cell r="M3300">
            <v>-2473</v>
          </cell>
          <cell r="N3300">
            <v>97527</v>
          </cell>
        </row>
        <row r="3301">
          <cell r="A3301">
            <v>61875</v>
          </cell>
          <cell r="B3301">
            <v>3295</v>
          </cell>
          <cell r="C3301" t="str">
            <v>IASWD2409000350</v>
          </cell>
          <cell r="D3301">
            <v>45548</v>
          </cell>
          <cell r="E3301">
            <v>46578</v>
          </cell>
          <cell r="F3301" t="str">
            <v>61875</v>
          </cell>
          <cell r="G3301" t="str">
            <v>萬潤五</v>
          </cell>
          <cell r="H3301">
            <v>100000</v>
          </cell>
          <cell r="I3301">
            <v>3.1</v>
          </cell>
          <cell r="J3301">
            <v>46578</v>
          </cell>
          <cell r="K3301">
            <v>100</v>
          </cell>
          <cell r="L3301">
            <v>46560</v>
          </cell>
          <cell r="M3301">
            <v>-2072</v>
          </cell>
          <cell r="N3301">
            <v>97928</v>
          </cell>
        </row>
        <row r="3302">
          <cell r="A3302">
            <v>61875</v>
          </cell>
          <cell r="B3302">
            <v>3296</v>
          </cell>
          <cell r="C3302" t="str">
            <v>IASWD2409000351</v>
          </cell>
          <cell r="D3302">
            <v>45548</v>
          </cell>
          <cell r="E3302">
            <v>46578</v>
          </cell>
          <cell r="F3302" t="str">
            <v>61875</v>
          </cell>
          <cell r="G3302" t="str">
            <v>萬潤五</v>
          </cell>
          <cell r="H3302">
            <v>100000</v>
          </cell>
          <cell r="I3302">
            <v>3.1</v>
          </cell>
          <cell r="J3302">
            <v>46578</v>
          </cell>
          <cell r="K3302">
            <v>100</v>
          </cell>
          <cell r="L3302">
            <v>46560</v>
          </cell>
          <cell r="M3302">
            <v>-2072</v>
          </cell>
          <cell r="N3302">
            <v>97928</v>
          </cell>
        </row>
        <row r="3303">
          <cell r="A3303">
            <v>811210</v>
          </cell>
          <cell r="B3303">
            <v>3297</v>
          </cell>
          <cell r="C3303" t="str">
            <v>IASWD2409000352</v>
          </cell>
          <cell r="D3303">
            <v>45548</v>
          </cell>
          <cell r="E3303">
            <v>46531</v>
          </cell>
          <cell r="F3303" t="str">
            <v>811210</v>
          </cell>
          <cell r="G3303" t="str">
            <v>至上十</v>
          </cell>
          <cell r="H3303">
            <v>100000</v>
          </cell>
          <cell r="I3303">
            <v>3.7</v>
          </cell>
          <cell r="J3303">
            <v>46531</v>
          </cell>
          <cell r="K3303">
            <v>100</v>
          </cell>
          <cell r="L3303">
            <v>46511</v>
          </cell>
          <cell r="M3303">
            <v>-2473</v>
          </cell>
          <cell r="N3303">
            <v>97527</v>
          </cell>
        </row>
        <row r="3304">
          <cell r="A3304">
            <v>84781</v>
          </cell>
          <cell r="B3304">
            <v>3298</v>
          </cell>
          <cell r="C3304" t="str">
            <v>IASWD2409000353</v>
          </cell>
          <cell r="D3304">
            <v>45548</v>
          </cell>
          <cell r="E3304">
            <v>46583</v>
          </cell>
          <cell r="F3304" t="str">
            <v>84781</v>
          </cell>
          <cell r="G3304" t="str">
            <v>東哥遊艇一</v>
          </cell>
          <cell r="H3304">
            <v>100000</v>
          </cell>
          <cell r="I3304">
            <v>3.1</v>
          </cell>
          <cell r="J3304">
            <v>46583</v>
          </cell>
          <cell r="K3304">
            <v>100</v>
          </cell>
          <cell r="L3304">
            <v>46563</v>
          </cell>
          <cell r="M3304">
            <v>-2072</v>
          </cell>
          <cell r="N3304">
            <v>97928</v>
          </cell>
        </row>
        <row r="3305">
          <cell r="A3305">
            <v>22013</v>
          </cell>
          <cell r="B3305">
            <v>3299</v>
          </cell>
          <cell r="C3305" t="str">
            <v>IASWD2409000354</v>
          </cell>
          <cell r="D3305">
            <v>45548</v>
          </cell>
          <cell r="E3305">
            <v>46167</v>
          </cell>
          <cell r="F3305" t="str">
            <v>22013</v>
          </cell>
          <cell r="G3305" t="str">
            <v>裕隆三</v>
          </cell>
          <cell r="H3305">
            <v>5000000</v>
          </cell>
          <cell r="I3305">
            <v>3.25</v>
          </cell>
          <cell r="J3305">
            <v>46167</v>
          </cell>
          <cell r="K3305">
            <v>100.75190000000001</v>
          </cell>
          <cell r="L3305">
            <v>46147</v>
          </cell>
          <cell r="M3305">
            <v>-108630</v>
          </cell>
          <cell r="N3305">
            <v>4891370</v>
          </cell>
        </row>
        <row r="3306">
          <cell r="A3306">
            <v>84781</v>
          </cell>
          <cell r="B3306">
            <v>3300</v>
          </cell>
          <cell r="C3306" t="str">
            <v>IASWD2409000355</v>
          </cell>
          <cell r="D3306">
            <v>45548</v>
          </cell>
          <cell r="E3306">
            <v>46583</v>
          </cell>
          <cell r="F3306" t="str">
            <v>84781</v>
          </cell>
          <cell r="G3306" t="str">
            <v>東哥遊艇一</v>
          </cell>
          <cell r="H3306">
            <v>200000</v>
          </cell>
          <cell r="I3306">
            <v>3.1</v>
          </cell>
          <cell r="J3306">
            <v>46583</v>
          </cell>
          <cell r="K3306">
            <v>100</v>
          </cell>
          <cell r="L3306">
            <v>46563</v>
          </cell>
          <cell r="M3306">
            <v>-4145</v>
          </cell>
          <cell r="N3306">
            <v>195855</v>
          </cell>
        </row>
        <row r="3307">
          <cell r="A3307">
            <v>811210</v>
          </cell>
          <cell r="B3307">
            <v>3301</v>
          </cell>
          <cell r="C3307" t="str">
            <v>IASWD2409000357</v>
          </cell>
          <cell r="D3307">
            <v>45548</v>
          </cell>
          <cell r="E3307">
            <v>46531</v>
          </cell>
          <cell r="F3307" t="str">
            <v>811210</v>
          </cell>
          <cell r="G3307" t="str">
            <v>至上十</v>
          </cell>
          <cell r="H3307">
            <v>100000</v>
          </cell>
          <cell r="I3307">
            <v>3.7</v>
          </cell>
          <cell r="J3307">
            <v>46531</v>
          </cell>
          <cell r="K3307">
            <v>100</v>
          </cell>
          <cell r="L3307">
            <v>46511</v>
          </cell>
          <cell r="M3307">
            <v>-2473</v>
          </cell>
          <cell r="N3307">
            <v>97527</v>
          </cell>
        </row>
        <row r="3308">
          <cell r="A3308">
            <v>22013</v>
          </cell>
          <cell r="B3308">
            <v>3302</v>
          </cell>
          <cell r="C3308" t="str">
            <v>IASWD2409000358</v>
          </cell>
          <cell r="D3308">
            <v>45548</v>
          </cell>
          <cell r="E3308">
            <v>46167</v>
          </cell>
          <cell r="F3308" t="str">
            <v>22013</v>
          </cell>
          <cell r="G3308" t="str">
            <v>裕隆三</v>
          </cell>
          <cell r="H3308">
            <v>100000</v>
          </cell>
          <cell r="I3308">
            <v>3.25</v>
          </cell>
          <cell r="J3308">
            <v>46167</v>
          </cell>
          <cell r="K3308">
            <v>100.75190000000001</v>
          </cell>
          <cell r="L3308">
            <v>46147</v>
          </cell>
          <cell r="M3308">
            <v>-2173</v>
          </cell>
          <cell r="N3308">
            <v>97827</v>
          </cell>
        </row>
        <row r="3309">
          <cell r="A3309">
            <v>84781</v>
          </cell>
          <cell r="B3309">
            <v>3303</v>
          </cell>
          <cell r="C3309" t="str">
            <v>IASWD2409000360</v>
          </cell>
          <cell r="D3309">
            <v>45551</v>
          </cell>
          <cell r="E3309">
            <v>46583</v>
          </cell>
          <cell r="F3309" t="str">
            <v>84781</v>
          </cell>
          <cell r="G3309" t="str">
            <v>東哥遊艇一</v>
          </cell>
          <cell r="H3309">
            <v>100000</v>
          </cell>
          <cell r="I3309">
            <v>3.1</v>
          </cell>
          <cell r="J3309">
            <v>46583</v>
          </cell>
          <cell r="K3309">
            <v>100</v>
          </cell>
          <cell r="L3309">
            <v>46563</v>
          </cell>
          <cell r="M3309">
            <v>-2047</v>
          </cell>
          <cell r="N3309">
            <v>97953</v>
          </cell>
        </row>
        <row r="3310">
          <cell r="A3310">
            <v>82551</v>
          </cell>
          <cell r="B3310">
            <v>3304</v>
          </cell>
          <cell r="C3310" t="str">
            <v>IASWD2409000361</v>
          </cell>
          <cell r="D3310">
            <v>45551</v>
          </cell>
          <cell r="E3310">
            <v>46243</v>
          </cell>
          <cell r="F3310" t="str">
            <v>82551</v>
          </cell>
          <cell r="G3310" t="str">
            <v>朋程一</v>
          </cell>
          <cell r="H3310">
            <v>100000</v>
          </cell>
          <cell r="I3310">
            <v>2.6</v>
          </cell>
          <cell r="J3310">
            <v>46243</v>
          </cell>
          <cell r="K3310">
            <v>100</v>
          </cell>
          <cell r="L3310">
            <v>46224</v>
          </cell>
          <cell r="M3310">
            <v>-1717</v>
          </cell>
          <cell r="N3310">
            <v>98283</v>
          </cell>
        </row>
        <row r="3311">
          <cell r="A3311">
            <v>61965</v>
          </cell>
          <cell r="B3311">
            <v>3305</v>
          </cell>
          <cell r="C3311" t="str">
            <v>IASWD2409000362</v>
          </cell>
          <cell r="D3311">
            <v>45551</v>
          </cell>
          <cell r="E3311">
            <v>46200</v>
          </cell>
          <cell r="F3311" t="str">
            <v>61965</v>
          </cell>
          <cell r="G3311" t="str">
            <v>帆宣五</v>
          </cell>
          <cell r="H3311">
            <v>200000</v>
          </cell>
          <cell r="I3311">
            <v>3</v>
          </cell>
          <cell r="J3311">
            <v>46200</v>
          </cell>
          <cell r="K3311">
            <v>100</v>
          </cell>
          <cell r="L3311">
            <v>46182</v>
          </cell>
          <cell r="M3311">
            <v>-3962</v>
          </cell>
          <cell r="N3311">
            <v>196038</v>
          </cell>
        </row>
        <row r="3312">
          <cell r="A3312">
            <v>140202</v>
          </cell>
          <cell r="B3312">
            <v>3306</v>
          </cell>
          <cell r="C3312" t="str">
            <v>IASWD2409000363</v>
          </cell>
          <cell r="D3312">
            <v>45551</v>
          </cell>
          <cell r="E3312">
            <v>46607</v>
          </cell>
          <cell r="F3312" t="str">
            <v>140202</v>
          </cell>
          <cell r="G3312" t="str">
            <v>遠東新E2永</v>
          </cell>
          <cell r="H3312">
            <v>400000</v>
          </cell>
          <cell r="I3312">
            <v>2.5</v>
          </cell>
          <cell r="J3312">
            <v>46607</v>
          </cell>
          <cell r="K3312">
            <v>100</v>
          </cell>
          <cell r="L3312">
            <v>46588</v>
          </cell>
          <cell r="M3312">
            <v>-6603</v>
          </cell>
          <cell r="N3312">
            <v>393397</v>
          </cell>
        </row>
        <row r="3313">
          <cell r="A3313">
            <v>61965</v>
          </cell>
          <cell r="B3313">
            <v>3307</v>
          </cell>
          <cell r="C3313" t="str">
            <v>IASWD2409000365</v>
          </cell>
          <cell r="D3313">
            <v>45551</v>
          </cell>
          <cell r="E3313">
            <v>46200</v>
          </cell>
          <cell r="F3313" t="str">
            <v>61965</v>
          </cell>
          <cell r="G3313" t="str">
            <v>帆宣五</v>
          </cell>
          <cell r="H3313">
            <v>200000</v>
          </cell>
          <cell r="I3313">
            <v>3</v>
          </cell>
          <cell r="J3313">
            <v>46200</v>
          </cell>
          <cell r="K3313">
            <v>100</v>
          </cell>
          <cell r="L3313">
            <v>46182</v>
          </cell>
          <cell r="M3313">
            <v>-3962</v>
          </cell>
          <cell r="N3313">
            <v>196038</v>
          </cell>
        </row>
        <row r="3314">
          <cell r="A3314">
            <v>36804</v>
          </cell>
          <cell r="B3314">
            <v>3308</v>
          </cell>
          <cell r="C3314" t="str">
            <v>IASWD2409000368</v>
          </cell>
          <cell r="D3314">
            <v>45551</v>
          </cell>
          <cell r="E3314">
            <v>45948</v>
          </cell>
          <cell r="F3314" t="str">
            <v>36804</v>
          </cell>
          <cell r="G3314" t="str">
            <v>家登四</v>
          </cell>
          <cell r="H3314">
            <v>100000</v>
          </cell>
          <cell r="I3314">
            <v>3.2</v>
          </cell>
          <cell r="J3314">
            <v>45948</v>
          </cell>
          <cell r="K3314">
            <v>100</v>
          </cell>
          <cell r="L3314">
            <v>45926</v>
          </cell>
          <cell r="M3314">
            <v>-2113</v>
          </cell>
          <cell r="N3314">
            <v>97887</v>
          </cell>
        </row>
        <row r="3315">
          <cell r="A3315">
            <v>22013</v>
          </cell>
          <cell r="B3315">
            <v>3309</v>
          </cell>
          <cell r="C3315" t="str">
            <v>IASWD2409000369</v>
          </cell>
          <cell r="D3315">
            <v>45551</v>
          </cell>
          <cell r="E3315">
            <v>46167</v>
          </cell>
          <cell r="F3315" t="str">
            <v>22013</v>
          </cell>
          <cell r="G3315" t="str">
            <v>裕隆三</v>
          </cell>
          <cell r="H3315">
            <v>300000</v>
          </cell>
          <cell r="I3315">
            <v>3.25</v>
          </cell>
          <cell r="J3315">
            <v>46167</v>
          </cell>
          <cell r="K3315">
            <v>100.75190000000001</v>
          </cell>
          <cell r="L3315">
            <v>46147</v>
          </cell>
          <cell r="M3315">
            <v>-6438</v>
          </cell>
          <cell r="N3315">
            <v>293562</v>
          </cell>
        </row>
        <row r="3316">
          <cell r="A3316">
            <v>56086</v>
          </cell>
          <cell r="B3316">
            <v>3310</v>
          </cell>
          <cell r="C3316" t="str">
            <v>IASWD2409000370</v>
          </cell>
          <cell r="D3316">
            <v>45551</v>
          </cell>
          <cell r="E3316">
            <v>46194</v>
          </cell>
          <cell r="F3316" t="str">
            <v>56086</v>
          </cell>
          <cell r="G3316" t="str">
            <v>四維航六</v>
          </cell>
          <cell r="H3316">
            <v>500000</v>
          </cell>
          <cell r="I3316">
            <v>2.35</v>
          </cell>
          <cell r="J3316">
            <v>46194</v>
          </cell>
          <cell r="K3316">
            <v>100</v>
          </cell>
          <cell r="L3316">
            <v>46175</v>
          </cell>
          <cell r="M3316">
            <v>-7758</v>
          </cell>
          <cell r="N3316">
            <v>492242</v>
          </cell>
        </row>
        <row r="3317">
          <cell r="A3317">
            <v>82551</v>
          </cell>
          <cell r="B3317">
            <v>3311</v>
          </cell>
          <cell r="C3317" t="str">
            <v>IASWD2409000371</v>
          </cell>
          <cell r="D3317">
            <v>45551</v>
          </cell>
          <cell r="E3317">
            <v>46243</v>
          </cell>
          <cell r="F3317" t="str">
            <v>82551</v>
          </cell>
          <cell r="G3317" t="str">
            <v>朋程一</v>
          </cell>
          <cell r="H3317">
            <v>200000</v>
          </cell>
          <cell r="I3317">
            <v>2.6</v>
          </cell>
          <cell r="J3317">
            <v>46243</v>
          </cell>
          <cell r="K3317">
            <v>100</v>
          </cell>
          <cell r="L3317">
            <v>46224</v>
          </cell>
          <cell r="M3317">
            <v>-3433</v>
          </cell>
          <cell r="N3317">
            <v>196567</v>
          </cell>
        </row>
        <row r="3318">
          <cell r="A3318">
            <v>34834</v>
          </cell>
          <cell r="B3318">
            <v>3312</v>
          </cell>
          <cell r="C3318" t="str">
            <v>IASWD2409000373</v>
          </cell>
          <cell r="D3318">
            <v>45551</v>
          </cell>
          <cell r="E3318">
            <v>46529</v>
          </cell>
          <cell r="F3318" t="str">
            <v>34834</v>
          </cell>
          <cell r="G3318" t="str">
            <v>力致四</v>
          </cell>
          <cell r="H3318">
            <v>100000</v>
          </cell>
          <cell r="I3318">
            <v>3.75</v>
          </cell>
          <cell r="J3318">
            <v>46529</v>
          </cell>
          <cell r="K3318">
            <v>100</v>
          </cell>
          <cell r="L3318">
            <v>46511</v>
          </cell>
          <cell r="M3318">
            <v>-2476</v>
          </cell>
          <cell r="N3318">
            <v>97524</v>
          </cell>
        </row>
        <row r="3319">
          <cell r="A3319">
            <v>61965</v>
          </cell>
          <cell r="B3319">
            <v>3313</v>
          </cell>
          <cell r="C3319" t="str">
            <v>IASWD2409000376</v>
          </cell>
          <cell r="D3319">
            <v>45551</v>
          </cell>
          <cell r="E3319">
            <v>46200</v>
          </cell>
          <cell r="F3319" t="str">
            <v>61965</v>
          </cell>
          <cell r="G3319" t="str">
            <v>帆宣五</v>
          </cell>
          <cell r="H3319">
            <v>100000</v>
          </cell>
          <cell r="I3319">
            <v>3</v>
          </cell>
          <cell r="J3319">
            <v>46200</v>
          </cell>
          <cell r="K3319">
            <v>100</v>
          </cell>
          <cell r="L3319">
            <v>46182</v>
          </cell>
          <cell r="M3319">
            <v>-1981</v>
          </cell>
          <cell r="N3319">
            <v>98019</v>
          </cell>
        </row>
        <row r="3320">
          <cell r="A3320">
            <v>22013</v>
          </cell>
          <cell r="B3320">
            <v>3314</v>
          </cell>
          <cell r="C3320" t="str">
            <v>IASWD2409000377</v>
          </cell>
          <cell r="D3320">
            <v>45551</v>
          </cell>
          <cell r="E3320">
            <v>46167</v>
          </cell>
          <cell r="F3320" t="str">
            <v>22013</v>
          </cell>
          <cell r="G3320" t="str">
            <v>裕隆三</v>
          </cell>
          <cell r="H3320">
            <v>500000</v>
          </cell>
          <cell r="I3320">
            <v>3.25</v>
          </cell>
          <cell r="J3320">
            <v>46167</v>
          </cell>
          <cell r="K3320">
            <v>100.75190000000001</v>
          </cell>
          <cell r="L3320">
            <v>46147</v>
          </cell>
          <cell r="M3320">
            <v>-10729</v>
          </cell>
          <cell r="N3320">
            <v>489271</v>
          </cell>
        </row>
        <row r="3321">
          <cell r="A3321">
            <v>22013</v>
          </cell>
          <cell r="B3321">
            <v>3315</v>
          </cell>
          <cell r="C3321" t="str">
            <v>IASWD2409000378</v>
          </cell>
          <cell r="D3321">
            <v>45551</v>
          </cell>
          <cell r="E3321">
            <v>46167</v>
          </cell>
          <cell r="F3321" t="str">
            <v>22013</v>
          </cell>
          <cell r="G3321" t="str">
            <v>裕隆三</v>
          </cell>
          <cell r="H3321">
            <v>200000</v>
          </cell>
          <cell r="I3321">
            <v>3.25</v>
          </cell>
          <cell r="J3321">
            <v>46167</v>
          </cell>
          <cell r="K3321">
            <v>100.75190000000001</v>
          </cell>
          <cell r="L3321">
            <v>46147</v>
          </cell>
          <cell r="M3321">
            <v>-4292</v>
          </cell>
          <cell r="N3321">
            <v>195708</v>
          </cell>
        </row>
        <row r="3322">
          <cell r="A3322">
            <v>61965</v>
          </cell>
          <cell r="B3322">
            <v>3316</v>
          </cell>
          <cell r="C3322" t="str">
            <v>IASWD2409000379</v>
          </cell>
          <cell r="D3322">
            <v>45551</v>
          </cell>
          <cell r="E3322">
            <v>46200</v>
          </cell>
          <cell r="F3322" t="str">
            <v>61965</v>
          </cell>
          <cell r="G3322" t="str">
            <v>帆宣五</v>
          </cell>
          <cell r="H3322">
            <v>200000</v>
          </cell>
          <cell r="I3322">
            <v>3</v>
          </cell>
          <cell r="J3322">
            <v>46200</v>
          </cell>
          <cell r="K3322">
            <v>100</v>
          </cell>
          <cell r="L3322">
            <v>46182</v>
          </cell>
          <cell r="M3322">
            <v>-3962</v>
          </cell>
          <cell r="N3322">
            <v>196038</v>
          </cell>
        </row>
        <row r="3323">
          <cell r="A3323">
            <v>22013</v>
          </cell>
          <cell r="B3323">
            <v>3317</v>
          </cell>
          <cell r="C3323" t="str">
            <v>IASWD2409000380</v>
          </cell>
          <cell r="D3323">
            <v>45551</v>
          </cell>
          <cell r="E3323">
            <v>46167</v>
          </cell>
          <cell r="F3323" t="str">
            <v>22013</v>
          </cell>
          <cell r="G3323" t="str">
            <v>裕隆三</v>
          </cell>
          <cell r="H3323">
            <v>100000</v>
          </cell>
          <cell r="I3323">
            <v>3.25</v>
          </cell>
          <cell r="J3323">
            <v>46167</v>
          </cell>
          <cell r="K3323">
            <v>100.75190000000001</v>
          </cell>
          <cell r="L3323">
            <v>46147</v>
          </cell>
          <cell r="M3323">
            <v>-2146</v>
          </cell>
          <cell r="N3323">
            <v>97854</v>
          </cell>
        </row>
        <row r="3324">
          <cell r="A3324">
            <v>22013</v>
          </cell>
          <cell r="B3324">
            <v>3318</v>
          </cell>
          <cell r="C3324" t="str">
            <v>IASWD2409000382</v>
          </cell>
          <cell r="D3324">
            <v>45551</v>
          </cell>
          <cell r="E3324">
            <v>46167</v>
          </cell>
          <cell r="F3324" t="str">
            <v>22013</v>
          </cell>
          <cell r="G3324" t="str">
            <v>裕隆三</v>
          </cell>
          <cell r="H3324">
            <v>100000</v>
          </cell>
          <cell r="I3324">
            <v>3.25</v>
          </cell>
          <cell r="J3324">
            <v>46167</v>
          </cell>
          <cell r="K3324">
            <v>100.75190000000001</v>
          </cell>
          <cell r="L3324">
            <v>46147</v>
          </cell>
          <cell r="M3324">
            <v>-2146</v>
          </cell>
          <cell r="N3324">
            <v>97854</v>
          </cell>
        </row>
        <row r="3325">
          <cell r="A3325">
            <v>61875</v>
          </cell>
          <cell r="B3325">
            <v>3319</v>
          </cell>
          <cell r="C3325" t="str">
            <v>IASWD2409000383</v>
          </cell>
          <cell r="D3325">
            <v>45551</v>
          </cell>
          <cell r="E3325">
            <v>46578</v>
          </cell>
          <cell r="F3325" t="str">
            <v>61875</v>
          </cell>
          <cell r="G3325" t="str">
            <v>萬潤五</v>
          </cell>
          <cell r="H3325">
            <v>300000</v>
          </cell>
          <cell r="I3325">
            <v>3.1</v>
          </cell>
          <cell r="J3325">
            <v>46578</v>
          </cell>
          <cell r="K3325">
            <v>100</v>
          </cell>
          <cell r="L3325">
            <v>46560</v>
          </cell>
          <cell r="M3325">
            <v>-6141</v>
          </cell>
          <cell r="N3325">
            <v>293859</v>
          </cell>
        </row>
        <row r="3326">
          <cell r="A3326">
            <v>15364</v>
          </cell>
          <cell r="B3326">
            <v>3320</v>
          </cell>
          <cell r="C3326" t="str">
            <v>IASWD2409000384</v>
          </cell>
          <cell r="D3326">
            <v>45551</v>
          </cell>
          <cell r="E3326">
            <v>46246</v>
          </cell>
          <cell r="F3326" t="str">
            <v>15364</v>
          </cell>
          <cell r="G3326" t="str">
            <v>和大四</v>
          </cell>
          <cell r="H3326">
            <v>500000</v>
          </cell>
          <cell r="I3326">
            <v>4.2</v>
          </cell>
          <cell r="J3326">
            <v>46246</v>
          </cell>
          <cell r="K3326">
            <v>100</v>
          </cell>
          <cell r="L3326">
            <v>46226</v>
          </cell>
          <cell r="M3326">
            <v>-13866</v>
          </cell>
          <cell r="N3326">
            <v>486134</v>
          </cell>
        </row>
        <row r="3327">
          <cell r="A3327">
            <v>22013</v>
          </cell>
          <cell r="B3327">
            <v>3321</v>
          </cell>
          <cell r="C3327" t="str">
            <v>IASWD2409000385</v>
          </cell>
          <cell r="D3327">
            <v>45551</v>
          </cell>
          <cell r="E3327">
            <v>46167</v>
          </cell>
          <cell r="F3327" t="str">
            <v>22013</v>
          </cell>
          <cell r="G3327" t="str">
            <v>裕隆三</v>
          </cell>
          <cell r="H3327">
            <v>100000</v>
          </cell>
          <cell r="I3327">
            <v>3.25</v>
          </cell>
          <cell r="J3327">
            <v>46167</v>
          </cell>
          <cell r="K3327">
            <v>100.75190000000001</v>
          </cell>
          <cell r="L3327">
            <v>46147</v>
          </cell>
          <cell r="M3327">
            <v>-2146</v>
          </cell>
          <cell r="N3327">
            <v>97854</v>
          </cell>
        </row>
        <row r="3328">
          <cell r="A3328">
            <v>22013</v>
          </cell>
          <cell r="B3328">
            <v>3322</v>
          </cell>
          <cell r="C3328" t="str">
            <v>IASWD2409000406</v>
          </cell>
          <cell r="D3328">
            <v>45553</v>
          </cell>
          <cell r="E3328">
            <v>46167</v>
          </cell>
          <cell r="F3328" t="str">
            <v>22013</v>
          </cell>
          <cell r="G3328" t="str">
            <v>裕隆三</v>
          </cell>
          <cell r="H3328">
            <v>1300000</v>
          </cell>
          <cell r="I3328">
            <v>3.25</v>
          </cell>
          <cell r="J3328">
            <v>46167</v>
          </cell>
          <cell r="K3328">
            <v>100.75190000000001</v>
          </cell>
          <cell r="L3328">
            <v>46147</v>
          </cell>
          <cell r="M3328">
            <v>-27665</v>
          </cell>
          <cell r="N3328">
            <v>1272335</v>
          </cell>
        </row>
        <row r="3329">
          <cell r="A3329">
            <v>82551</v>
          </cell>
          <cell r="B3329">
            <v>3323</v>
          </cell>
          <cell r="C3329" t="str">
            <v>IASWD2409000408</v>
          </cell>
          <cell r="D3329">
            <v>45553</v>
          </cell>
          <cell r="E3329">
            <v>46243</v>
          </cell>
          <cell r="F3329" t="str">
            <v>82551</v>
          </cell>
          <cell r="G3329" t="str">
            <v>朋程一</v>
          </cell>
          <cell r="H3329">
            <v>200000</v>
          </cell>
          <cell r="I3329">
            <v>2.6</v>
          </cell>
          <cell r="J3329">
            <v>46243</v>
          </cell>
          <cell r="K3329">
            <v>100</v>
          </cell>
          <cell r="L3329">
            <v>46224</v>
          </cell>
          <cell r="M3329">
            <v>-3405</v>
          </cell>
          <cell r="N3329">
            <v>196595</v>
          </cell>
        </row>
        <row r="3330">
          <cell r="A3330">
            <v>20632</v>
          </cell>
          <cell r="B3330">
            <v>3324</v>
          </cell>
          <cell r="C3330" t="str">
            <v>IASWD2409000409</v>
          </cell>
          <cell r="D3330">
            <v>45553</v>
          </cell>
          <cell r="E3330">
            <v>45971</v>
          </cell>
          <cell r="F3330" t="str">
            <v>20632</v>
          </cell>
          <cell r="G3330" t="str">
            <v>世鎧二</v>
          </cell>
          <cell r="H3330">
            <v>100000</v>
          </cell>
          <cell r="I3330">
            <v>3.25</v>
          </cell>
          <cell r="J3330">
            <v>45971</v>
          </cell>
          <cell r="K3330">
            <v>100</v>
          </cell>
          <cell r="L3330">
            <v>45951</v>
          </cell>
          <cell r="M3330">
            <v>-2128</v>
          </cell>
          <cell r="N3330">
            <v>97872</v>
          </cell>
        </row>
        <row r="3331">
          <cell r="A3331">
            <v>22013</v>
          </cell>
          <cell r="B3331">
            <v>3325</v>
          </cell>
          <cell r="C3331" t="str">
            <v>IASWD2409000410</v>
          </cell>
          <cell r="D3331">
            <v>45553</v>
          </cell>
          <cell r="E3331">
            <v>46167</v>
          </cell>
          <cell r="F3331" t="str">
            <v>22013</v>
          </cell>
          <cell r="G3331" t="str">
            <v>裕隆三</v>
          </cell>
          <cell r="H3331">
            <v>100000</v>
          </cell>
          <cell r="I3331">
            <v>3.25</v>
          </cell>
          <cell r="J3331">
            <v>46167</v>
          </cell>
          <cell r="K3331">
            <v>100.75190000000001</v>
          </cell>
          <cell r="L3331">
            <v>46147</v>
          </cell>
          <cell r="M3331">
            <v>-2128</v>
          </cell>
          <cell r="N3331">
            <v>97872</v>
          </cell>
        </row>
        <row r="3332">
          <cell r="A3332">
            <v>22013</v>
          </cell>
          <cell r="B3332">
            <v>3326</v>
          </cell>
          <cell r="C3332" t="str">
            <v>IASWD2409000413</v>
          </cell>
          <cell r="D3332">
            <v>45553</v>
          </cell>
          <cell r="E3332">
            <v>46167</v>
          </cell>
          <cell r="F3332" t="str">
            <v>22013</v>
          </cell>
          <cell r="G3332" t="str">
            <v>裕隆三</v>
          </cell>
          <cell r="H3332">
            <v>100000</v>
          </cell>
          <cell r="I3332">
            <v>3.25</v>
          </cell>
          <cell r="J3332">
            <v>46167</v>
          </cell>
          <cell r="K3332">
            <v>100.75190000000001</v>
          </cell>
          <cell r="L3332">
            <v>46147</v>
          </cell>
          <cell r="M3332">
            <v>-2128</v>
          </cell>
          <cell r="N3332">
            <v>97872</v>
          </cell>
        </row>
        <row r="3333">
          <cell r="A3333">
            <v>22013</v>
          </cell>
          <cell r="B3333">
            <v>3327</v>
          </cell>
          <cell r="C3333" t="str">
            <v>IASWD2409000415</v>
          </cell>
          <cell r="D3333">
            <v>45553</v>
          </cell>
          <cell r="E3333">
            <v>46167</v>
          </cell>
          <cell r="F3333" t="str">
            <v>22013</v>
          </cell>
          <cell r="G3333" t="str">
            <v>裕隆三</v>
          </cell>
          <cell r="H3333">
            <v>200000</v>
          </cell>
          <cell r="I3333">
            <v>3.25</v>
          </cell>
          <cell r="J3333">
            <v>46167</v>
          </cell>
          <cell r="K3333">
            <v>100.75190000000001</v>
          </cell>
          <cell r="L3333">
            <v>46147</v>
          </cell>
          <cell r="M3333">
            <v>-4256</v>
          </cell>
          <cell r="N3333">
            <v>195744</v>
          </cell>
        </row>
        <row r="3334">
          <cell r="A3334">
            <v>30337</v>
          </cell>
          <cell r="B3334">
            <v>3328</v>
          </cell>
          <cell r="C3334" t="str">
            <v>IASWD2409000419</v>
          </cell>
          <cell r="D3334">
            <v>45554</v>
          </cell>
          <cell r="E3334">
            <v>46641</v>
          </cell>
          <cell r="F3334" t="str">
            <v>30337</v>
          </cell>
          <cell r="G3334" t="str">
            <v>威健七</v>
          </cell>
          <cell r="H3334">
            <v>1800000</v>
          </cell>
          <cell r="I3334">
            <v>3.75</v>
          </cell>
          <cell r="J3334">
            <v>46641</v>
          </cell>
          <cell r="K3334">
            <v>100</v>
          </cell>
          <cell r="L3334">
            <v>46623</v>
          </cell>
          <cell r="M3334">
            <v>-44014</v>
          </cell>
          <cell r="N3334">
            <v>1755986</v>
          </cell>
        </row>
        <row r="3335">
          <cell r="A3335">
            <v>30337</v>
          </cell>
          <cell r="B3335">
            <v>3329</v>
          </cell>
          <cell r="C3335" t="str">
            <v>IASWD2409000420</v>
          </cell>
          <cell r="D3335">
            <v>45554</v>
          </cell>
          <cell r="E3335">
            <v>46641</v>
          </cell>
          <cell r="F3335" t="str">
            <v>30337</v>
          </cell>
          <cell r="G3335" t="str">
            <v>威健七</v>
          </cell>
          <cell r="H3335">
            <v>700000</v>
          </cell>
          <cell r="I3335">
            <v>3.75</v>
          </cell>
          <cell r="J3335">
            <v>46641</v>
          </cell>
          <cell r="K3335">
            <v>100</v>
          </cell>
          <cell r="L3335">
            <v>46623</v>
          </cell>
          <cell r="M3335">
            <v>-17116</v>
          </cell>
          <cell r="N3335">
            <v>682884</v>
          </cell>
        </row>
        <row r="3336">
          <cell r="A3336">
            <v>56086</v>
          </cell>
          <cell r="B3336">
            <v>3330</v>
          </cell>
          <cell r="C3336" t="str">
            <v>IASWD2409000424</v>
          </cell>
          <cell r="D3336">
            <v>45554</v>
          </cell>
          <cell r="E3336">
            <v>46194</v>
          </cell>
          <cell r="F3336" t="str">
            <v>56086</v>
          </cell>
          <cell r="G3336" t="str">
            <v>四維航六</v>
          </cell>
          <cell r="H3336">
            <v>200000</v>
          </cell>
          <cell r="I3336">
            <v>2.35</v>
          </cell>
          <cell r="J3336">
            <v>46194</v>
          </cell>
          <cell r="K3336">
            <v>100</v>
          </cell>
          <cell r="L3336">
            <v>46175</v>
          </cell>
          <cell r="M3336">
            <v>-3065</v>
          </cell>
          <cell r="N3336">
            <v>196935</v>
          </cell>
        </row>
        <row r="3337">
          <cell r="A3337">
            <v>30337</v>
          </cell>
          <cell r="B3337">
            <v>3331</v>
          </cell>
          <cell r="C3337" t="str">
            <v>IASWD2409000425</v>
          </cell>
          <cell r="D3337">
            <v>45554</v>
          </cell>
          <cell r="E3337">
            <v>46641</v>
          </cell>
          <cell r="F3337" t="str">
            <v>30337</v>
          </cell>
          <cell r="G3337" t="str">
            <v>威健七</v>
          </cell>
          <cell r="H3337">
            <v>3000000</v>
          </cell>
          <cell r="I3337">
            <v>3.75</v>
          </cell>
          <cell r="J3337">
            <v>46641</v>
          </cell>
          <cell r="K3337">
            <v>100</v>
          </cell>
          <cell r="L3337">
            <v>46623</v>
          </cell>
          <cell r="M3337">
            <v>-73356</v>
          </cell>
          <cell r="N3337">
            <v>2926644</v>
          </cell>
        </row>
        <row r="3338">
          <cell r="A3338">
            <v>30337</v>
          </cell>
          <cell r="B3338">
            <v>3332</v>
          </cell>
          <cell r="C3338" t="str">
            <v>IASWD2409000426</v>
          </cell>
          <cell r="D3338">
            <v>45554</v>
          </cell>
          <cell r="E3338">
            <v>46641</v>
          </cell>
          <cell r="F3338" t="str">
            <v>30337</v>
          </cell>
          <cell r="G3338" t="str">
            <v>威健七</v>
          </cell>
          <cell r="H3338">
            <v>1000000</v>
          </cell>
          <cell r="I3338">
            <v>3.75</v>
          </cell>
          <cell r="J3338">
            <v>46641</v>
          </cell>
          <cell r="K3338">
            <v>100</v>
          </cell>
          <cell r="L3338">
            <v>46623</v>
          </cell>
          <cell r="M3338">
            <v>-24452</v>
          </cell>
          <cell r="N3338">
            <v>975548</v>
          </cell>
        </row>
        <row r="3339">
          <cell r="A3339">
            <v>30337</v>
          </cell>
          <cell r="B3339">
            <v>3333</v>
          </cell>
          <cell r="C3339" t="str">
            <v>IASWD2409000427</v>
          </cell>
          <cell r="D3339">
            <v>45554</v>
          </cell>
          <cell r="E3339">
            <v>46641</v>
          </cell>
          <cell r="F3339" t="str">
            <v>30337</v>
          </cell>
          <cell r="G3339" t="str">
            <v>威健七</v>
          </cell>
          <cell r="H3339">
            <v>200000</v>
          </cell>
          <cell r="I3339">
            <v>3.75</v>
          </cell>
          <cell r="J3339">
            <v>46641</v>
          </cell>
          <cell r="K3339">
            <v>100</v>
          </cell>
          <cell r="L3339">
            <v>46623</v>
          </cell>
          <cell r="M3339">
            <v>-4890</v>
          </cell>
          <cell r="N3339">
            <v>195110</v>
          </cell>
        </row>
        <row r="3340">
          <cell r="A3340">
            <v>22013</v>
          </cell>
          <cell r="B3340">
            <v>3334</v>
          </cell>
          <cell r="C3340" t="str">
            <v>IASWD2409000428</v>
          </cell>
          <cell r="D3340">
            <v>45554</v>
          </cell>
          <cell r="E3340">
            <v>46167</v>
          </cell>
          <cell r="F3340" t="str">
            <v>22013</v>
          </cell>
          <cell r="G3340" t="str">
            <v>裕隆三</v>
          </cell>
          <cell r="H3340">
            <v>100000</v>
          </cell>
          <cell r="I3340">
            <v>3.25</v>
          </cell>
          <cell r="J3340">
            <v>46167</v>
          </cell>
          <cell r="K3340">
            <v>100.75190000000001</v>
          </cell>
          <cell r="L3340">
            <v>46147</v>
          </cell>
          <cell r="M3340">
            <v>-2119</v>
          </cell>
          <cell r="N3340">
            <v>97881</v>
          </cell>
        </row>
        <row r="3341">
          <cell r="A3341">
            <v>30337</v>
          </cell>
          <cell r="B3341">
            <v>3335</v>
          </cell>
          <cell r="C3341" t="str">
            <v>IASWD2409000429</v>
          </cell>
          <cell r="D3341">
            <v>45554</v>
          </cell>
          <cell r="E3341">
            <v>46641</v>
          </cell>
          <cell r="F3341" t="str">
            <v>30337</v>
          </cell>
          <cell r="G3341" t="str">
            <v>威健七</v>
          </cell>
          <cell r="H3341">
            <v>100000</v>
          </cell>
          <cell r="I3341">
            <v>3.75</v>
          </cell>
          <cell r="J3341">
            <v>46641</v>
          </cell>
          <cell r="K3341">
            <v>100</v>
          </cell>
          <cell r="L3341">
            <v>46623</v>
          </cell>
          <cell r="M3341">
            <v>-2445</v>
          </cell>
          <cell r="N3341">
            <v>97555</v>
          </cell>
        </row>
        <row r="3342">
          <cell r="A3342">
            <v>30337</v>
          </cell>
          <cell r="B3342">
            <v>3336</v>
          </cell>
          <cell r="C3342" t="str">
            <v>IASWD2409000431</v>
          </cell>
          <cell r="D3342">
            <v>45554</v>
          </cell>
          <cell r="E3342">
            <v>46641</v>
          </cell>
          <cell r="F3342" t="str">
            <v>30337</v>
          </cell>
          <cell r="G3342" t="str">
            <v>威健七</v>
          </cell>
          <cell r="H3342">
            <v>100000</v>
          </cell>
          <cell r="I3342">
            <v>3.75</v>
          </cell>
          <cell r="J3342">
            <v>46641</v>
          </cell>
          <cell r="K3342">
            <v>100</v>
          </cell>
          <cell r="L3342">
            <v>46623</v>
          </cell>
          <cell r="M3342">
            <v>-2445</v>
          </cell>
          <cell r="N3342">
            <v>97555</v>
          </cell>
        </row>
        <row r="3343">
          <cell r="A3343">
            <v>20632</v>
          </cell>
          <cell r="B3343">
            <v>3337</v>
          </cell>
          <cell r="C3343" t="str">
            <v>IASWD2409000432</v>
          </cell>
          <cell r="D3343">
            <v>45554</v>
          </cell>
          <cell r="E3343">
            <v>45971</v>
          </cell>
          <cell r="F3343" t="str">
            <v>20632</v>
          </cell>
          <cell r="G3343" t="str">
            <v>世鎧二</v>
          </cell>
          <cell r="H3343">
            <v>500000</v>
          </cell>
          <cell r="I3343">
            <v>3.25</v>
          </cell>
          <cell r="J3343">
            <v>45971</v>
          </cell>
          <cell r="K3343">
            <v>100</v>
          </cell>
          <cell r="L3343">
            <v>45951</v>
          </cell>
          <cell r="M3343">
            <v>-10596</v>
          </cell>
          <cell r="N3343">
            <v>489404</v>
          </cell>
        </row>
        <row r="3344">
          <cell r="A3344">
            <v>30337</v>
          </cell>
          <cell r="B3344">
            <v>3338</v>
          </cell>
          <cell r="C3344" t="str">
            <v>IASWD2409000434</v>
          </cell>
          <cell r="D3344">
            <v>45554</v>
          </cell>
          <cell r="E3344">
            <v>46641</v>
          </cell>
          <cell r="F3344" t="str">
            <v>30337</v>
          </cell>
          <cell r="G3344" t="str">
            <v>威健七</v>
          </cell>
          <cell r="H3344">
            <v>3000000</v>
          </cell>
          <cell r="I3344">
            <v>3.75</v>
          </cell>
          <cell r="J3344">
            <v>46641</v>
          </cell>
          <cell r="K3344">
            <v>100</v>
          </cell>
          <cell r="L3344">
            <v>46623</v>
          </cell>
          <cell r="M3344">
            <v>-73356</v>
          </cell>
          <cell r="N3344">
            <v>2926644</v>
          </cell>
        </row>
        <row r="3345">
          <cell r="A3345">
            <v>30337</v>
          </cell>
          <cell r="B3345">
            <v>3339</v>
          </cell>
          <cell r="C3345" t="str">
            <v>IASWD2409000435</v>
          </cell>
          <cell r="D3345">
            <v>45554</v>
          </cell>
          <cell r="E3345">
            <v>46641</v>
          </cell>
          <cell r="F3345" t="str">
            <v>30337</v>
          </cell>
          <cell r="G3345" t="str">
            <v>威健七</v>
          </cell>
          <cell r="H3345">
            <v>500000</v>
          </cell>
          <cell r="I3345">
            <v>3.75</v>
          </cell>
          <cell r="J3345">
            <v>46641</v>
          </cell>
          <cell r="K3345">
            <v>100</v>
          </cell>
          <cell r="L3345">
            <v>46623</v>
          </cell>
          <cell r="M3345">
            <v>-12226</v>
          </cell>
          <cell r="N3345">
            <v>487774</v>
          </cell>
        </row>
        <row r="3346">
          <cell r="A3346">
            <v>30337</v>
          </cell>
          <cell r="B3346">
            <v>3340</v>
          </cell>
          <cell r="C3346" t="str">
            <v>IASWD2409000436</v>
          </cell>
          <cell r="D3346">
            <v>45554</v>
          </cell>
          <cell r="E3346">
            <v>46641</v>
          </cell>
          <cell r="F3346" t="str">
            <v>30337</v>
          </cell>
          <cell r="G3346" t="str">
            <v>威健七</v>
          </cell>
          <cell r="H3346">
            <v>500000</v>
          </cell>
          <cell r="I3346">
            <v>3.75</v>
          </cell>
          <cell r="J3346">
            <v>46641</v>
          </cell>
          <cell r="K3346">
            <v>100</v>
          </cell>
          <cell r="L3346">
            <v>46623</v>
          </cell>
          <cell r="M3346">
            <v>-12226</v>
          </cell>
          <cell r="N3346">
            <v>487774</v>
          </cell>
        </row>
        <row r="3347">
          <cell r="A3347">
            <v>30337</v>
          </cell>
          <cell r="B3347">
            <v>3341</v>
          </cell>
          <cell r="C3347" t="str">
            <v>IASWD2409000439</v>
          </cell>
          <cell r="D3347">
            <v>45554</v>
          </cell>
          <cell r="E3347">
            <v>46641</v>
          </cell>
          <cell r="F3347" t="str">
            <v>30337</v>
          </cell>
          <cell r="G3347" t="str">
            <v>威健七</v>
          </cell>
          <cell r="H3347">
            <v>200000</v>
          </cell>
          <cell r="I3347">
            <v>3.75</v>
          </cell>
          <cell r="J3347">
            <v>46641</v>
          </cell>
          <cell r="K3347">
            <v>100</v>
          </cell>
          <cell r="L3347">
            <v>46623</v>
          </cell>
          <cell r="M3347">
            <v>-4890</v>
          </cell>
          <cell r="N3347">
            <v>195110</v>
          </cell>
        </row>
        <row r="3348">
          <cell r="A3348">
            <v>84673</v>
          </cell>
          <cell r="B3348">
            <v>3342</v>
          </cell>
          <cell r="C3348" t="str">
            <v>IASWD2409000440</v>
          </cell>
          <cell r="D3348">
            <v>45554</v>
          </cell>
          <cell r="E3348">
            <v>46538</v>
          </cell>
          <cell r="F3348" t="str">
            <v>84673</v>
          </cell>
          <cell r="G3348" t="str">
            <v>波力三KY</v>
          </cell>
          <cell r="H3348">
            <v>100000</v>
          </cell>
          <cell r="I3348">
            <v>4.2</v>
          </cell>
          <cell r="J3348">
            <v>46538</v>
          </cell>
          <cell r="K3348">
            <v>100</v>
          </cell>
          <cell r="L3348">
            <v>46518</v>
          </cell>
          <cell r="M3348">
            <v>-2739</v>
          </cell>
          <cell r="N3348">
            <v>97261</v>
          </cell>
        </row>
        <row r="3349">
          <cell r="A3349">
            <v>30337</v>
          </cell>
          <cell r="B3349">
            <v>3343</v>
          </cell>
          <cell r="C3349" t="str">
            <v>IASWD2409000441</v>
          </cell>
          <cell r="D3349">
            <v>45554</v>
          </cell>
          <cell r="E3349">
            <v>46641</v>
          </cell>
          <cell r="F3349" t="str">
            <v>30337</v>
          </cell>
          <cell r="G3349" t="str">
            <v>威健七</v>
          </cell>
          <cell r="H3349">
            <v>3000000</v>
          </cell>
          <cell r="I3349">
            <v>3.75</v>
          </cell>
          <cell r="J3349">
            <v>46641</v>
          </cell>
          <cell r="K3349">
            <v>100</v>
          </cell>
          <cell r="L3349">
            <v>46623</v>
          </cell>
          <cell r="M3349">
            <v>-73356</v>
          </cell>
          <cell r="N3349">
            <v>2926644</v>
          </cell>
        </row>
        <row r="3350">
          <cell r="A3350">
            <v>22013</v>
          </cell>
          <cell r="B3350">
            <v>3344</v>
          </cell>
          <cell r="C3350" t="str">
            <v>IASWD2409000443</v>
          </cell>
          <cell r="D3350">
            <v>45554</v>
          </cell>
          <cell r="E3350">
            <v>46167</v>
          </cell>
          <cell r="F3350" t="str">
            <v>22013</v>
          </cell>
          <cell r="G3350" t="str">
            <v>裕隆三</v>
          </cell>
          <cell r="H3350">
            <v>200000</v>
          </cell>
          <cell r="I3350">
            <v>3.25</v>
          </cell>
          <cell r="J3350">
            <v>46167</v>
          </cell>
          <cell r="K3350">
            <v>100.75190000000001</v>
          </cell>
          <cell r="L3350">
            <v>46147</v>
          </cell>
          <cell r="M3350">
            <v>-4238</v>
          </cell>
          <cell r="N3350">
            <v>195762</v>
          </cell>
        </row>
        <row r="3351">
          <cell r="A3351">
            <v>30337</v>
          </cell>
          <cell r="B3351">
            <v>3345</v>
          </cell>
          <cell r="C3351" t="str">
            <v>IASWD2409000445</v>
          </cell>
          <cell r="D3351">
            <v>45554</v>
          </cell>
          <cell r="E3351">
            <v>46641</v>
          </cell>
          <cell r="F3351" t="str">
            <v>30337</v>
          </cell>
          <cell r="G3351" t="str">
            <v>威健七</v>
          </cell>
          <cell r="H3351">
            <v>100000</v>
          </cell>
          <cell r="I3351">
            <v>3.75</v>
          </cell>
          <cell r="J3351">
            <v>46641</v>
          </cell>
          <cell r="K3351">
            <v>100</v>
          </cell>
          <cell r="L3351">
            <v>46623</v>
          </cell>
          <cell r="M3351">
            <v>-2445</v>
          </cell>
          <cell r="N3351">
            <v>97555</v>
          </cell>
        </row>
        <row r="3352">
          <cell r="A3352">
            <v>30337</v>
          </cell>
          <cell r="B3352">
            <v>3346</v>
          </cell>
          <cell r="C3352" t="str">
            <v>IASWD2409000447</v>
          </cell>
          <cell r="D3352">
            <v>45554</v>
          </cell>
          <cell r="E3352">
            <v>46641</v>
          </cell>
          <cell r="F3352" t="str">
            <v>30337</v>
          </cell>
          <cell r="G3352" t="str">
            <v>威健七</v>
          </cell>
          <cell r="H3352">
            <v>1000000</v>
          </cell>
          <cell r="I3352">
            <v>3.75</v>
          </cell>
          <cell r="J3352">
            <v>46641</v>
          </cell>
          <cell r="K3352">
            <v>100</v>
          </cell>
          <cell r="L3352">
            <v>46623</v>
          </cell>
          <cell r="M3352">
            <v>-24452</v>
          </cell>
          <cell r="N3352">
            <v>975548</v>
          </cell>
        </row>
        <row r="3353">
          <cell r="A3353">
            <v>36804</v>
          </cell>
          <cell r="B3353">
            <v>3347</v>
          </cell>
          <cell r="C3353" t="str">
            <v>IASWD2409000448</v>
          </cell>
          <cell r="D3353">
            <v>45554</v>
          </cell>
          <cell r="E3353">
            <v>45948</v>
          </cell>
          <cell r="F3353" t="str">
            <v>36804</v>
          </cell>
          <cell r="G3353" t="str">
            <v>家登四</v>
          </cell>
          <cell r="H3353">
            <v>200000</v>
          </cell>
          <cell r="I3353">
            <v>3.2</v>
          </cell>
          <cell r="J3353">
            <v>45948</v>
          </cell>
          <cell r="K3353">
            <v>100</v>
          </cell>
          <cell r="L3353">
            <v>45926</v>
          </cell>
          <cell r="M3353">
            <v>-4173</v>
          </cell>
          <cell r="N3353">
            <v>195827</v>
          </cell>
        </row>
        <row r="3354">
          <cell r="A3354">
            <v>64145</v>
          </cell>
          <cell r="B3354">
            <v>3348</v>
          </cell>
          <cell r="C3354" t="str">
            <v>IASWD2409000449</v>
          </cell>
          <cell r="D3354">
            <v>45554</v>
          </cell>
          <cell r="E3354">
            <v>46250</v>
          </cell>
          <cell r="F3354" t="str">
            <v>64145</v>
          </cell>
          <cell r="G3354" t="str">
            <v>樺漢五</v>
          </cell>
          <cell r="H3354">
            <v>500000</v>
          </cell>
          <cell r="I3354">
            <v>3</v>
          </cell>
          <cell r="J3354">
            <v>46250</v>
          </cell>
          <cell r="K3354">
            <v>100</v>
          </cell>
          <cell r="L3354">
            <v>46231</v>
          </cell>
          <cell r="M3354">
            <v>-9781</v>
          </cell>
          <cell r="N3354">
            <v>490219</v>
          </cell>
        </row>
        <row r="3355">
          <cell r="A3355">
            <v>30337</v>
          </cell>
          <cell r="B3355">
            <v>3349</v>
          </cell>
          <cell r="C3355" t="str">
            <v>IASWD2409000450</v>
          </cell>
          <cell r="D3355">
            <v>45554</v>
          </cell>
          <cell r="E3355">
            <v>46641</v>
          </cell>
          <cell r="F3355" t="str">
            <v>30337</v>
          </cell>
          <cell r="G3355" t="str">
            <v>威健七</v>
          </cell>
          <cell r="H3355">
            <v>700000</v>
          </cell>
          <cell r="I3355">
            <v>3.75</v>
          </cell>
          <cell r="J3355">
            <v>46641</v>
          </cell>
          <cell r="K3355">
            <v>100</v>
          </cell>
          <cell r="L3355">
            <v>46623</v>
          </cell>
          <cell r="M3355">
            <v>-17116</v>
          </cell>
          <cell r="N3355">
            <v>682884</v>
          </cell>
        </row>
        <row r="3356">
          <cell r="A3356">
            <v>30337</v>
          </cell>
          <cell r="B3356">
            <v>3350</v>
          </cell>
          <cell r="C3356" t="str">
            <v>IASWD2409000451</v>
          </cell>
          <cell r="D3356">
            <v>45554</v>
          </cell>
          <cell r="E3356">
            <v>46641</v>
          </cell>
          <cell r="F3356" t="str">
            <v>30337</v>
          </cell>
          <cell r="G3356" t="str">
            <v>威健七</v>
          </cell>
          <cell r="H3356">
            <v>1000000</v>
          </cell>
          <cell r="I3356">
            <v>3.75</v>
          </cell>
          <cell r="J3356">
            <v>46641</v>
          </cell>
          <cell r="K3356">
            <v>100</v>
          </cell>
          <cell r="L3356">
            <v>46623</v>
          </cell>
          <cell r="M3356">
            <v>-24452</v>
          </cell>
          <cell r="N3356">
            <v>975548</v>
          </cell>
        </row>
        <row r="3357">
          <cell r="A3357">
            <v>30337</v>
          </cell>
          <cell r="B3357">
            <v>3351</v>
          </cell>
          <cell r="C3357" t="str">
            <v>IASWD2409000452</v>
          </cell>
          <cell r="D3357">
            <v>45554</v>
          </cell>
          <cell r="E3357">
            <v>46641</v>
          </cell>
          <cell r="F3357" t="str">
            <v>30337</v>
          </cell>
          <cell r="G3357" t="str">
            <v>威健七</v>
          </cell>
          <cell r="H3357">
            <v>1000000</v>
          </cell>
          <cell r="I3357">
            <v>3.75</v>
          </cell>
          <cell r="J3357">
            <v>46641</v>
          </cell>
          <cell r="K3357">
            <v>100</v>
          </cell>
          <cell r="L3357">
            <v>46623</v>
          </cell>
          <cell r="M3357">
            <v>-24452</v>
          </cell>
          <cell r="N3357">
            <v>975548</v>
          </cell>
        </row>
        <row r="3358">
          <cell r="A3358">
            <v>80914</v>
          </cell>
          <cell r="B3358">
            <v>3352</v>
          </cell>
          <cell r="C3358" t="str">
            <v>IASWD2409000454</v>
          </cell>
          <cell r="D3358">
            <v>45555</v>
          </cell>
          <cell r="E3358">
            <v>46249</v>
          </cell>
          <cell r="F3358" t="str">
            <v>80914</v>
          </cell>
          <cell r="G3358" t="str">
            <v>翔名四</v>
          </cell>
          <cell r="H3358">
            <v>500000</v>
          </cell>
          <cell r="I3358">
            <v>3.1</v>
          </cell>
          <cell r="J3358">
            <v>46249</v>
          </cell>
          <cell r="K3358">
            <v>100.25</v>
          </cell>
          <cell r="L3358">
            <v>46231</v>
          </cell>
          <cell r="M3358">
            <v>-10064</v>
          </cell>
          <cell r="N3358">
            <v>489936</v>
          </cell>
        </row>
        <row r="3359">
          <cell r="A3359">
            <v>82551</v>
          </cell>
          <cell r="B3359">
            <v>3353</v>
          </cell>
          <cell r="C3359" t="str">
            <v>IASWD2409000458</v>
          </cell>
          <cell r="D3359">
            <v>45555</v>
          </cell>
          <cell r="E3359">
            <v>46243</v>
          </cell>
          <cell r="F3359" t="str">
            <v>82551</v>
          </cell>
          <cell r="G3359" t="str">
            <v>朋程一</v>
          </cell>
          <cell r="H3359">
            <v>200000</v>
          </cell>
          <cell r="I3359">
            <v>2.6</v>
          </cell>
          <cell r="J3359">
            <v>46243</v>
          </cell>
          <cell r="K3359">
            <v>100</v>
          </cell>
          <cell r="L3359">
            <v>46224</v>
          </cell>
          <cell r="M3359">
            <v>-3376</v>
          </cell>
          <cell r="N3359">
            <v>196624</v>
          </cell>
        </row>
        <row r="3360">
          <cell r="A3360">
            <v>36804</v>
          </cell>
          <cell r="B3360">
            <v>3354</v>
          </cell>
          <cell r="C3360" t="str">
            <v>IASWD2409000459</v>
          </cell>
          <cell r="D3360">
            <v>45555</v>
          </cell>
          <cell r="E3360">
            <v>45948</v>
          </cell>
          <cell r="F3360" t="str">
            <v>36804</v>
          </cell>
          <cell r="G3360" t="str">
            <v>家登四</v>
          </cell>
          <cell r="H3360">
            <v>100000</v>
          </cell>
          <cell r="I3360">
            <v>3.2</v>
          </cell>
          <cell r="J3360">
            <v>45948</v>
          </cell>
          <cell r="K3360">
            <v>100</v>
          </cell>
          <cell r="L3360">
            <v>45926</v>
          </cell>
          <cell r="M3360">
            <v>-2078</v>
          </cell>
          <cell r="N3360">
            <v>97922</v>
          </cell>
        </row>
        <row r="3361">
          <cell r="A3361">
            <v>82551</v>
          </cell>
          <cell r="B3361">
            <v>3355</v>
          </cell>
          <cell r="C3361" t="str">
            <v>IASWD2409000460</v>
          </cell>
          <cell r="D3361">
            <v>45555</v>
          </cell>
          <cell r="E3361">
            <v>46243</v>
          </cell>
          <cell r="F3361" t="str">
            <v>82551</v>
          </cell>
          <cell r="G3361" t="str">
            <v>朋程一</v>
          </cell>
          <cell r="H3361">
            <v>100000</v>
          </cell>
          <cell r="I3361">
            <v>2.6</v>
          </cell>
          <cell r="J3361">
            <v>46243</v>
          </cell>
          <cell r="K3361">
            <v>100</v>
          </cell>
          <cell r="L3361">
            <v>46224</v>
          </cell>
          <cell r="M3361">
            <v>-1688</v>
          </cell>
          <cell r="N3361">
            <v>98312</v>
          </cell>
        </row>
        <row r="3362">
          <cell r="A3362">
            <v>15364</v>
          </cell>
          <cell r="B3362">
            <v>3356</v>
          </cell>
          <cell r="C3362" t="str">
            <v>IASWD2409000461</v>
          </cell>
          <cell r="D3362">
            <v>45555</v>
          </cell>
          <cell r="E3362">
            <v>46246</v>
          </cell>
          <cell r="F3362" t="str">
            <v>15364</v>
          </cell>
          <cell r="G3362" t="str">
            <v>和大四</v>
          </cell>
          <cell r="H3362">
            <v>200000</v>
          </cell>
          <cell r="I3362">
            <v>4.2</v>
          </cell>
          <cell r="J3362">
            <v>46246</v>
          </cell>
          <cell r="K3362">
            <v>100</v>
          </cell>
          <cell r="L3362">
            <v>46226</v>
          </cell>
          <cell r="M3362">
            <v>-5454</v>
          </cell>
          <cell r="N3362">
            <v>194546</v>
          </cell>
        </row>
        <row r="3363">
          <cell r="A3363">
            <v>80914</v>
          </cell>
          <cell r="B3363">
            <v>3357</v>
          </cell>
          <cell r="C3363" t="str">
            <v>IASWD2409000464</v>
          </cell>
          <cell r="D3363">
            <v>45555</v>
          </cell>
          <cell r="E3363">
            <v>46249</v>
          </cell>
          <cell r="F3363" t="str">
            <v>80914</v>
          </cell>
          <cell r="G3363" t="str">
            <v>翔名四</v>
          </cell>
          <cell r="H3363">
            <v>100000</v>
          </cell>
          <cell r="I3363">
            <v>3.1</v>
          </cell>
          <cell r="J3363">
            <v>46249</v>
          </cell>
          <cell r="K3363">
            <v>100.25</v>
          </cell>
          <cell r="L3363">
            <v>46231</v>
          </cell>
          <cell r="M3363">
            <v>-2013</v>
          </cell>
          <cell r="N3363">
            <v>97987</v>
          </cell>
        </row>
        <row r="3364">
          <cell r="A3364">
            <v>22013</v>
          </cell>
          <cell r="B3364">
            <v>3358</v>
          </cell>
          <cell r="C3364" t="str">
            <v>IASWD2409000467</v>
          </cell>
          <cell r="D3364">
            <v>45558</v>
          </cell>
          <cell r="E3364">
            <v>46167</v>
          </cell>
          <cell r="F3364" t="str">
            <v>22013</v>
          </cell>
          <cell r="G3364" t="str">
            <v>裕隆三</v>
          </cell>
          <cell r="H3364">
            <v>1000000</v>
          </cell>
          <cell r="I3364">
            <v>3.25</v>
          </cell>
          <cell r="J3364">
            <v>46167</v>
          </cell>
          <cell r="K3364">
            <v>100.75190000000001</v>
          </cell>
          <cell r="L3364">
            <v>46147</v>
          </cell>
          <cell r="M3364">
            <v>-20836</v>
          </cell>
          <cell r="N3364">
            <v>979164</v>
          </cell>
        </row>
        <row r="3365">
          <cell r="A3365">
            <v>53064</v>
          </cell>
          <cell r="B3365">
            <v>3359</v>
          </cell>
          <cell r="C3365" t="str">
            <v>IASWD2409000468</v>
          </cell>
          <cell r="D3365">
            <v>45558</v>
          </cell>
          <cell r="E3365">
            <v>46334</v>
          </cell>
          <cell r="F3365" t="str">
            <v>53064</v>
          </cell>
          <cell r="G3365" t="str">
            <v>桂盟四</v>
          </cell>
          <cell r="H3365">
            <v>100000</v>
          </cell>
          <cell r="I3365">
            <v>2.2000000000000002</v>
          </cell>
          <cell r="J3365">
            <v>46334</v>
          </cell>
          <cell r="K3365">
            <v>100</v>
          </cell>
          <cell r="L3365">
            <v>46315</v>
          </cell>
          <cell r="M3365">
            <v>-1410</v>
          </cell>
          <cell r="N3365">
            <v>98590</v>
          </cell>
        </row>
        <row r="3366">
          <cell r="A3366">
            <v>140202</v>
          </cell>
          <cell r="B3366">
            <v>3360</v>
          </cell>
          <cell r="C3366" t="str">
            <v>IASWD2409000470</v>
          </cell>
          <cell r="D3366">
            <v>45558</v>
          </cell>
          <cell r="E3366">
            <v>46607</v>
          </cell>
          <cell r="F3366" t="str">
            <v>140202</v>
          </cell>
          <cell r="G3366" t="str">
            <v>遠東新E2永</v>
          </cell>
          <cell r="H3366">
            <v>500000</v>
          </cell>
          <cell r="I3366">
            <v>2.5</v>
          </cell>
          <cell r="J3366">
            <v>46607</v>
          </cell>
          <cell r="K3366">
            <v>100</v>
          </cell>
          <cell r="L3366">
            <v>46588</v>
          </cell>
          <cell r="M3366">
            <v>-8014</v>
          </cell>
          <cell r="N3366">
            <v>491986</v>
          </cell>
        </row>
        <row r="3367">
          <cell r="A3367">
            <v>22013</v>
          </cell>
          <cell r="B3367">
            <v>3361</v>
          </cell>
          <cell r="C3367" t="str">
            <v>IASWD2409000471</v>
          </cell>
          <cell r="D3367">
            <v>45558</v>
          </cell>
          <cell r="E3367">
            <v>46167</v>
          </cell>
          <cell r="F3367" t="str">
            <v>22013</v>
          </cell>
          <cell r="G3367" t="str">
            <v>裕隆三</v>
          </cell>
          <cell r="H3367">
            <v>600000</v>
          </cell>
          <cell r="I3367">
            <v>3.25</v>
          </cell>
          <cell r="J3367">
            <v>46167</v>
          </cell>
          <cell r="K3367">
            <v>100.75190000000001</v>
          </cell>
          <cell r="L3367">
            <v>46147</v>
          </cell>
          <cell r="M3367">
            <v>-12501</v>
          </cell>
          <cell r="N3367">
            <v>587499</v>
          </cell>
        </row>
        <row r="3368">
          <cell r="A3368">
            <v>36894</v>
          </cell>
          <cell r="B3368">
            <v>3362</v>
          </cell>
          <cell r="C3368" t="str">
            <v>IASWD2409000472</v>
          </cell>
          <cell r="D3368">
            <v>45558</v>
          </cell>
          <cell r="E3368">
            <v>46086</v>
          </cell>
          <cell r="F3368" t="str">
            <v>36894</v>
          </cell>
          <cell r="G3368" t="str">
            <v>湧德四</v>
          </cell>
          <cell r="H3368">
            <v>100000</v>
          </cell>
          <cell r="I3368">
            <v>3.25</v>
          </cell>
          <cell r="J3368">
            <v>46086</v>
          </cell>
          <cell r="K3368">
            <v>100</v>
          </cell>
          <cell r="L3368">
            <v>46066</v>
          </cell>
          <cell r="M3368">
            <v>-2084</v>
          </cell>
          <cell r="N3368">
            <v>97916</v>
          </cell>
        </row>
        <row r="3369">
          <cell r="A3369">
            <v>22013</v>
          </cell>
          <cell r="B3369">
            <v>3363</v>
          </cell>
          <cell r="C3369" t="str">
            <v>IASWD2409000473</v>
          </cell>
          <cell r="D3369">
            <v>45558</v>
          </cell>
          <cell r="E3369">
            <v>46167</v>
          </cell>
          <cell r="F3369" t="str">
            <v>22013</v>
          </cell>
          <cell r="G3369" t="str">
            <v>裕隆三</v>
          </cell>
          <cell r="H3369">
            <v>200000</v>
          </cell>
          <cell r="I3369">
            <v>3.25</v>
          </cell>
          <cell r="J3369">
            <v>46167</v>
          </cell>
          <cell r="K3369">
            <v>100.75190000000001</v>
          </cell>
          <cell r="L3369">
            <v>46147</v>
          </cell>
          <cell r="M3369">
            <v>-4167</v>
          </cell>
          <cell r="N3369">
            <v>195833</v>
          </cell>
        </row>
        <row r="3370">
          <cell r="A3370">
            <v>82551</v>
          </cell>
          <cell r="B3370">
            <v>3364</v>
          </cell>
          <cell r="C3370" t="str">
            <v>IASWD2409000474</v>
          </cell>
          <cell r="D3370">
            <v>45558</v>
          </cell>
          <cell r="E3370">
            <v>46243</v>
          </cell>
          <cell r="F3370" t="str">
            <v>82551</v>
          </cell>
          <cell r="G3370" t="str">
            <v>朋程一</v>
          </cell>
          <cell r="H3370">
            <v>100000</v>
          </cell>
          <cell r="I3370">
            <v>2.6</v>
          </cell>
          <cell r="J3370">
            <v>46243</v>
          </cell>
          <cell r="K3370">
            <v>100</v>
          </cell>
          <cell r="L3370">
            <v>46224</v>
          </cell>
          <cell r="M3370">
            <v>-1667</v>
          </cell>
          <cell r="N3370">
            <v>98333</v>
          </cell>
        </row>
        <row r="3371">
          <cell r="A3371">
            <v>82551</v>
          </cell>
          <cell r="B3371">
            <v>3365</v>
          </cell>
          <cell r="C3371" t="str">
            <v>IASWD2409000476</v>
          </cell>
          <cell r="D3371">
            <v>45558</v>
          </cell>
          <cell r="E3371">
            <v>46243</v>
          </cell>
          <cell r="F3371" t="str">
            <v>82551</v>
          </cell>
          <cell r="G3371" t="str">
            <v>朋程一</v>
          </cell>
          <cell r="H3371">
            <v>100000</v>
          </cell>
          <cell r="I3371">
            <v>2.6</v>
          </cell>
          <cell r="J3371">
            <v>46243</v>
          </cell>
          <cell r="K3371">
            <v>100</v>
          </cell>
          <cell r="L3371">
            <v>46224</v>
          </cell>
          <cell r="M3371">
            <v>-1667</v>
          </cell>
          <cell r="N3371">
            <v>98333</v>
          </cell>
        </row>
        <row r="3372">
          <cell r="A3372">
            <v>56086</v>
          </cell>
          <cell r="B3372">
            <v>3366</v>
          </cell>
          <cell r="C3372" t="str">
            <v>IASWD2409000481</v>
          </cell>
          <cell r="D3372">
            <v>45558</v>
          </cell>
          <cell r="E3372">
            <v>46194</v>
          </cell>
          <cell r="F3372" t="str">
            <v>56086</v>
          </cell>
          <cell r="G3372" t="str">
            <v>四維航六</v>
          </cell>
          <cell r="H3372">
            <v>100000</v>
          </cell>
          <cell r="I3372">
            <v>2.35</v>
          </cell>
          <cell r="J3372">
            <v>46194</v>
          </cell>
          <cell r="K3372">
            <v>100</v>
          </cell>
          <cell r="L3372">
            <v>46175</v>
          </cell>
          <cell r="M3372">
            <v>-1507</v>
          </cell>
          <cell r="N3372">
            <v>98493</v>
          </cell>
        </row>
        <row r="3373">
          <cell r="A3373">
            <v>15364</v>
          </cell>
          <cell r="B3373">
            <v>3367</v>
          </cell>
          <cell r="C3373" t="str">
            <v>IASWD2409000482</v>
          </cell>
          <cell r="D3373">
            <v>45558</v>
          </cell>
          <cell r="E3373">
            <v>46246</v>
          </cell>
          <cell r="F3373" t="str">
            <v>15364</v>
          </cell>
          <cell r="G3373" t="str">
            <v>和大四</v>
          </cell>
          <cell r="H3373">
            <v>200000</v>
          </cell>
          <cell r="I3373">
            <v>4.2</v>
          </cell>
          <cell r="J3373">
            <v>46246</v>
          </cell>
          <cell r="K3373">
            <v>100</v>
          </cell>
          <cell r="L3373">
            <v>46226</v>
          </cell>
          <cell r="M3373">
            <v>-5385</v>
          </cell>
          <cell r="N3373">
            <v>194615</v>
          </cell>
        </row>
        <row r="3374">
          <cell r="A3374">
            <v>50097</v>
          </cell>
          <cell r="B3374">
            <v>3368</v>
          </cell>
          <cell r="C3374" t="str">
            <v>IASWD2409000483</v>
          </cell>
          <cell r="D3374">
            <v>45558</v>
          </cell>
          <cell r="E3374">
            <v>46234</v>
          </cell>
          <cell r="F3374" t="str">
            <v>50097</v>
          </cell>
          <cell r="G3374" t="str">
            <v>榮剛七</v>
          </cell>
          <cell r="H3374">
            <v>300000</v>
          </cell>
          <cell r="I3374">
            <v>4.2</v>
          </cell>
          <cell r="J3374">
            <v>46234</v>
          </cell>
          <cell r="K3374">
            <v>101.51</v>
          </cell>
          <cell r="L3374">
            <v>46216</v>
          </cell>
          <cell r="M3374">
            <v>-8078</v>
          </cell>
          <cell r="N3374">
            <v>291922</v>
          </cell>
        </row>
        <row r="3375">
          <cell r="A3375">
            <v>22013</v>
          </cell>
          <cell r="B3375">
            <v>3369</v>
          </cell>
          <cell r="C3375" t="str">
            <v>IASWD2409000485</v>
          </cell>
          <cell r="D3375">
            <v>45558</v>
          </cell>
          <cell r="E3375">
            <v>46167</v>
          </cell>
          <cell r="F3375" t="str">
            <v>22013</v>
          </cell>
          <cell r="G3375" t="str">
            <v>裕隆三</v>
          </cell>
          <cell r="H3375">
            <v>100000</v>
          </cell>
          <cell r="I3375">
            <v>3.25</v>
          </cell>
          <cell r="J3375">
            <v>46167</v>
          </cell>
          <cell r="K3375">
            <v>100.75190000000001</v>
          </cell>
          <cell r="L3375">
            <v>46147</v>
          </cell>
          <cell r="M3375">
            <v>-2084</v>
          </cell>
          <cell r="N3375">
            <v>97916</v>
          </cell>
        </row>
        <row r="3376">
          <cell r="A3376">
            <v>61965</v>
          </cell>
          <cell r="B3376">
            <v>3370</v>
          </cell>
          <cell r="C3376" t="str">
            <v>IASWD2409000486</v>
          </cell>
          <cell r="D3376">
            <v>45558</v>
          </cell>
          <cell r="E3376">
            <v>46200</v>
          </cell>
          <cell r="F3376" t="str">
            <v>61965</v>
          </cell>
          <cell r="G3376" t="str">
            <v>帆宣五</v>
          </cell>
          <cell r="H3376">
            <v>200000</v>
          </cell>
          <cell r="I3376">
            <v>3</v>
          </cell>
          <cell r="J3376">
            <v>46200</v>
          </cell>
          <cell r="K3376">
            <v>100</v>
          </cell>
          <cell r="L3376">
            <v>46182</v>
          </cell>
          <cell r="M3376">
            <v>-3847</v>
          </cell>
          <cell r="N3376">
            <v>196153</v>
          </cell>
        </row>
        <row r="3377">
          <cell r="A3377">
            <v>84781</v>
          </cell>
          <cell r="B3377">
            <v>3371</v>
          </cell>
          <cell r="C3377" t="str">
            <v>IASWD2409000490</v>
          </cell>
          <cell r="D3377">
            <v>45558</v>
          </cell>
          <cell r="E3377">
            <v>46583</v>
          </cell>
          <cell r="F3377" t="str">
            <v>84781</v>
          </cell>
          <cell r="G3377" t="str">
            <v>東哥遊艇一</v>
          </cell>
          <cell r="H3377">
            <v>200000</v>
          </cell>
          <cell r="I3377">
            <v>3.1</v>
          </cell>
          <cell r="J3377">
            <v>46583</v>
          </cell>
          <cell r="K3377">
            <v>100</v>
          </cell>
          <cell r="L3377">
            <v>46563</v>
          </cell>
          <cell r="M3377">
            <v>-3975</v>
          </cell>
          <cell r="N3377">
            <v>196025</v>
          </cell>
        </row>
        <row r="3378">
          <cell r="A3378">
            <v>84881</v>
          </cell>
          <cell r="B3378">
            <v>3372</v>
          </cell>
          <cell r="C3378" t="str">
            <v>IASWD2409000491</v>
          </cell>
          <cell r="D3378">
            <v>45558</v>
          </cell>
          <cell r="E3378">
            <v>46375</v>
          </cell>
          <cell r="F3378" t="str">
            <v>84881</v>
          </cell>
          <cell r="G3378" t="str">
            <v>吉源一KY</v>
          </cell>
          <cell r="H3378">
            <v>500000</v>
          </cell>
          <cell r="I3378">
            <v>2.2000000000000002</v>
          </cell>
          <cell r="J3378">
            <v>46375</v>
          </cell>
          <cell r="K3378">
            <v>100</v>
          </cell>
          <cell r="L3378">
            <v>46357</v>
          </cell>
          <cell r="M3378">
            <v>-7052</v>
          </cell>
          <cell r="N3378">
            <v>492948</v>
          </cell>
        </row>
        <row r="3379">
          <cell r="A3379">
            <v>53064</v>
          </cell>
          <cell r="B3379">
            <v>3373</v>
          </cell>
          <cell r="C3379" t="str">
            <v>IASWD2409000493</v>
          </cell>
          <cell r="D3379">
            <v>45558</v>
          </cell>
          <cell r="E3379">
            <v>46334</v>
          </cell>
          <cell r="F3379" t="str">
            <v>53064</v>
          </cell>
          <cell r="G3379" t="str">
            <v>桂盟四</v>
          </cell>
          <cell r="H3379">
            <v>100000</v>
          </cell>
          <cell r="I3379">
            <v>2.2000000000000002</v>
          </cell>
          <cell r="J3379">
            <v>46334</v>
          </cell>
          <cell r="K3379">
            <v>100</v>
          </cell>
          <cell r="L3379">
            <v>46315</v>
          </cell>
          <cell r="M3379">
            <v>-1410</v>
          </cell>
          <cell r="N3379">
            <v>98590</v>
          </cell>
        </row>
        <row r="3380">
          <cell r="A3380">
            <v>34843</v>
          </cell>
          <cell r="B3380">
            <v>3374</v>
          </cell>
          <cell r="C3380" t="str">
            <v>IASWD2409000494</v>
          </cell>
          <cell r="D3380">
            <v>45558</v>
          </cell>
          <cell r="E3380">
            <v>46136</v>
          </cell>
          <cell r="F3380" t="str">
            <v>34843</v>
          </cell>
          <cell r="G3380" t="str">
            <v>崧騰三</v>
          </cell>
          <cell r="H3380">
            <v>100000</v>
          </cell>
          <cell r="I3380">
            <v>3.5</v>
          </cell>
          <cell r="J3380">
            <v>46136</v>
          </cell>
          <cell r="K3380">
            <v>100.75</v>
          </cell>
          <cell r="L3380">
            <v>46118</v>
          </cell>
          <cell r="M3380">
            <v>-2244</v>
          </cell>
          <cell r="N3380">
            <v>97756</v>
          </cell>
        </row>
        <row r="3381">
          <cell r="A3381">
            <v>65096</v>
          </cell>
          <cell r="B3381">
            <v>3375</v>
          </cell>
          <cell r="C3381" t="str">
            <v>IASWD2409000495</v>
          </cell>
          <cell r="D3381">
            <v>45558</v>
          </cell>
          <cell r="E3381">
            <v>46206</v>
          </cell>
          <cell r="F3381" t="str">
            <v>65096</v>
          </cell>
          <cell r="G3381" t="str">
            <v>聚和六</v>
          </cell>
          <cell r="H3381">
            <v>100000</v>
          </cell>
          <cell r="I3381">
            <v>3.1</v>
          </cell>
          <cell r="J3381">
            <v>46206</v>
          </cell>
          <cell r="K3381">
            <v>100</v>
          </cell>
          <cell r="L3381">
            <v>46188</v>
          </cell>
          <cell r="M3381">
            <v>-1987</v>
          </cell>
          <cell r="N3381">
            <v>98013</v>
          </cell>
        </row>
        <row r="3382">
          <cell r="A3382">
            <v>35266</v>
          </cell>
          <cell r="B3382">
            <v>3376</v>
          </cell>
          <cell r="C3382" t="str">
            <v>IASWD2409000496</v>
          </cell>
          <cell r="D3382">
            <v>45558</v>
          </cell>
          <cell r="E3382">
            <v>46416</v>
          </cell>
          <cell r="F3382" t="str">
            <v>35266</v>
          </cell>
          <cell r="G3382" t="str">
            <v>凡甲六</v>
          </cell>
          <cell r="H3382">
            <v>100000</v>
          </cell>
          <cell r="I3382">
            <v>3.5</v>
          </cell>
          <cell r="J3382">
            <v>46416</v>
          </cell>
          <cell r="K3382">
            <v>100</v>
          </cell>
          <cell r="L3382">
            <v>46398</v>
          </cell>
          <cell r="M3382">
            <v>-2244</v>
          </cell>
          <cell r="N3382">
            <v>97756</v>
          </cell>
        </row>
        <row r="3383">
          <cell r="A3383">
            <v>35266</v>
          </cell>
          <cell r="B3383">
            <v>3377</v>
          </cell>
          <cell r="C3383" t="str">
            <v>IASWD2409000497</v>
          </cell>
          <cell r="D3383">
            <v>45558</v>
          </cell>
          <cell r="E3383">
            <v>46416</v>
          </cell>
          <cell r="F3383" t="str">
            <v>35266</v>
          </cell>
          <cell r="G3383" t="str">
            <v>凡甲六</v>
          </cell>
          <cell r="H3383">
            <v>400000</v>
          </cell>
          <cell r="I3383">
            <v>3.5</v>
          </cell>
          <cell r="J3383">
            <v>46416</v>
          </cell>
          <cell r="K3383">
            <v>100</v>
          </cell>
          <cell r="L3383">
            <v>46398</v>
          </cell>
          <cell r="M3383">
            <v>-8975</v>
          </cell>
          <cell r="N3383">
            <v>391025</v>
          </cell>
        </row>
        <row r="3384">
          <cell r="A3384">
            <v>47393</v>
          </cell>
          <cell r="B3384">
            <v>3378</v>
          </cell>
          <cell r="C3384" t="str">
            <v>IASWD2409000498</v>
          </cell>
          <cell r="D3384">
            <v>45558</v>
          </cell>
          <cell r="E3384">
            <v>46323</v>
          </cell>
          <cell r="F3384" t="str">
            <v>47393</v>
          </cell>
          <cell r="G3384" t="str">
            <v>康普三</v>
          </cell>
          <cell r="H3384">
            <v>200000</v>
          </cell>
          <cell r="I3384">
            <v>2.25</v>
          </cell>
          <cell r="J3384">
            <v>46323</v>
          </cell>
          <cell r="K3384">
            <v>100</v>
          </cell>
          <cell r="L3384">
            <v>46303</v>
          </cell>
          <cell r="M3384">
            <v>-2885</v>
          </cell>
          <cell r="N3384">
            <v>197115</v>
          </cell>
        </row>
        <row r="3385">
          <cell r="A3385">
            <v>84781</v>
          </cell>
          <cell r="B3385">
            <v>3379</v>
          </cell>
          <cell r="C3385" t="str">
            <v>IASWD2409000499</v>
          </cell>
          <cell r="D3385">
            <v>45558</v>
          </cell>
          <cell r="E3385">
            <v>46583</v>
          </cell>
          <cell r="F3385" t="str">
            <v>84781</v>
          </cell>
          <cell r="G3385" t="str">
            <v>東哥遊艇一</v>
          </cell>
          <cell r="H3385">
            <v>200000</v>
          </cell>
          <cell r="I3385">
            <v>3.1</v>
          </cell>
          <cell r="J3385">
            <v>46583</v>
          </cell>
          <cell r="K3385">
            <v>100</v>
          </cell>
          <cell r="L3385">
            <v>46563</v>
          </cell>
          <cell r="M3385">
            <v>-3975</v>
          </cell>
          <cell r="N3385">
            <v>196025</v>
          </cell>
        </row>
        <row r="3386">
          <cell r="A3386">
            <v>61965</v>
          </cell>
          <cell r="B3386">
            <v>3380</v>
          </cell>
          <cell r="C3386" t="str">
            <v>IASWD2409000500</v>
          </cell>
          <cell r="D3386">
            <v>45558</v>
          </cell>
          <cell r="E3386">
            <v>46200</v>
          </cell>
          <cell r="F3386" t="str">
            <v>61965</v>
          </cell>
          <cell r="G3386" t="str">
            <v>帆宣五</v>
          </cell>
          <cell r="H3386">
            <v>100000</v>
          </cell>
          <cell r="I3386">
            <v>3</v>
          </cell>
          <cell r="J3386">
            <v>46200</v>
          </cell>
          <cell r="K3386">
            <v>100</v>
          </cell>
          <cell r="L3386">
            <v>46182</v>
          </cell>
          <cell r="M3386">
            <v>-1923</v>
          </cell>
          <cell r="N3386">
            <v>98077</v>
          </cell>
        </row>
        <row r="3387">
          <cell r="A3387">
            <v>61394</v>
          </cell>
          <cell r="B3387">
            <v>3381</v>
          </cell>
          <cell r="C3387" t="str">
            <v>IASWD2409000501</v>
          </cell>
          <cell r="D3387">
            <v>45558</v>
          </cell>
          <cell r="E3387">
            <v>46047</v>
          </cell>
          <cell r="F3387" t="str">
            <v>61394</v>
          </cell>
          <cell r="G3387" t="str">
            <v>亞翔四</v>
          </cell>
          <cell r="H3387">
            <v>100000</v>
          </cell>
          <cell r="I3387">
            <v>3</v>
          </cell>
          <cell r="J3387">
            <v>46047</v>
          </cell>
          <cell r="K3387">
            <v>101.0025</v>
          </cell>
          <cell r="L3387">
            <v>46028</v>
          </cell>
          <cell r="M3387">
            <v>-1923</v>
          </cell>
          <cell r="N3387">
            <v>98077</v>
          </cell>
        </row>
        <row r="3388">
          <cell r="A3388">
            <v>65096</v>
          </cell>
          <cell r="B3388">
            <v>3382</v>
          </cell>
          <cell r="C3388" t="str">
            <v>IASWD2409000503</v>
          </cell>
          <cell r="D3388">
            <v>45558</v>
          </cell>
          <cell r="E3388">
            <v>46206</v>
          </cell>
          <cell r="F3388" t="str">
            <v>65096</v>
          </cell>
          <cell r="G3388" t="str">
            <v>聚和六</v>
          </cell>
          <cell r="H3388">
            <v>500000</v>
          </cell>
          <cell r="I3388">
            <v>3.1</v>
          </cell>
          <cell r="J3388">
            <v>46206</v>
          </cell>
          <cell r="K3388">
            <v>100</v>
          </cell>
          <cell r="L3388">
            <v>46188</v>
          </cell>
          <cell r="M3388">
            <v>-9937</v>
          </cell>
          <cell r="N3388">
            <v>490063</v>
          </cell>
        </row>
        <row r="3389">
          <cell r="A3389">
            <v>82551</v>
          </cell>
          <cell r="B3389">
            <v>3383</v>
          </cell>
          <cell r="C3389" t="str">
            <v>IASWD2409000505</v>
          </cell>
          <cell r="D3389">
            <v>45558</v>
          </cell>
          <cell r="E3389">
            <v>46243</v>
          </cell>
          <cell r="F3389" t="str">
            <v>82551</v>
          </cell>
          <cell r="G3389" t="str">
            <v>朋程一</v>
          </cell>
          <cell r="H3389">
            <v>100000</v>
          </cell>
          <cell r="I3389">
            <v>2.6</v>
          </cell>
          <cell r="J3389">
            <v>46243</v>
          </cell>
          <cell r="K3389">
            <v>100</v>
          </cell>
          <cell r="L3389">
            <v>46224</v>
          </cell>
          <cell r="M3389">
            <v>-1667</v>
          </cell>
          <cell r="N3389">
            <v>98333</v>
          </cell>
        </row>
        <row r="3390">
          <cell r="A3390">
            <v>82551</v>
          </cell>
          <cell r="B3390">
            <v>3384</v>
          </cell>
          <cell r="C3390" t="str">
            <v>IASWD2409000506</v>
          </cell>
          <cell r="D3390">
            <v>45558</v>
          </cell>
          <cell r="E3390">
            <v>46243</v>
          </cell>
          <cell r="F3390" t="str">
            <v>82551</v>
          </cell>
          <cell r="G3390" t="str">
            <v>朋程一</v>
          </cell>
          <cell r="H3390">
            <v>100000</v>
          </cell>
          <cell r="I3390">
            <v>2.6</v>
          </cell>
          <cell r="J3390">
            <v>46243</v>
          </cell>
          <cell r="K3390">
            <v>100</v>
          </cell>
          <cell r="L3390">
            <v>46224</v>
          </cell>
          <cell r="M3390">
            <v>-1667</v>
          </cell>
          <cell r="N3390">
            <v>98333</v>
          </cell>
        </row>
        <row r="3391">
          <cell r="A3391">
            <v>53064</v>
          </cell>
          <cell r="B3391">
            <v>3385</v>
          </cell>
          <cell r="C3391" t="str">
            <v>IASWD2409000507</v>
          </cell>
          <cell r="D3391">
            <v>45558</v>
          </cell>
          <cell r="E3391">
            <v>46334</v>
          </cell>
          <cell r="F3391" t="str">
            <v>53064</v>
          </cell>
          <cell r="G3391" t="str">
            <v>桂盟四</v>
          </cell>
          <cell r="H3391">
            <v>100000</v>
          </cell>
          <cell r="I3391">
            <v>2.2000000000000002</v>
          </cell>
          <cell r="J3391">
            <v>46334</v>
          </cell>
          <cell r="K3391">
            <v>100</v>
          </cell>
          <cell r="L3391">
            <v>46315</v>
          </cell>
          <cell r="M3391">
            <v>-1410</v>
          </cell>
          <cell r="N3391">
            <v>98590</v>
          </cell>
        </row>
        <row r="3392">
          <cell r="A3392">
            <v>140202</v>
          </cell>
          <cell r="B3392">
            <v>3386</v>
          </cell>
          <cell r="C3392" t="str">
            <v>IASWD2409000508</v>
          </cell>
          <cell r="D3392">
            <v>45559</v>
          </cell>
          <cell r="E3392">
            <v>46607</v>
          </cell>
          <cell r="F3392" t="str">
            <v>140202</v>
          </cell>
          <cell r="G3392" t="str">
            <v>遠東新E2永</v>
          </cell>
          <cell r="H3392">
            <v>400000</v>
          </cell>
          <cell r="I3392">
            <v>2.5</v>
          </cell>
          <cell r="J3392">
            <v>46607</v>
          </cell>
          <cell r="K3392">
            <v>100</v>
          </cell>
          <cell r="L3392">
            <v>46588</v>
          </cell>
          <cell r="M3392">
            <v>-6384</v>
          </cell>
          <cell r="N3392">
            <v>393616</v>
          </cell>
        </row>
        <row r="3393">
          <cell r="A3393">
            <v>35266</v>
          </cell>
          <cell r="B3393">
            <v>3387</v>
          </cell>
          <cell r="C3393" t="str">
            <v>IASWD2409000510</v>
          </cell>
          <cell r="D3393">
            <v>45559</v>
          </cell>
          <cell r="E3393">
            <v>46416</v>
          </cell>
          <cell r="F3393" t="str">
            <v>35266</v>
          </cell>
          <cell r="G3393" t="str">
            <v>凡甲六</v>
          </cell>
          <cell r="H3393">
            <v>100000</v>
          </cell>
          <cell r="I3393">
            <v>3.5</v>
          </cell>
          <cell r="J3393">
            <v>46416</v>
          </cell>
          <cell r="K3393">
            <v>100</v>
          </cell>
          <cell r="L3393">
            <v>46398</v>
          </cell>
          <cell r="M3393">
            <v>-2234</v>
          </cell>
          <cell r="N3393">
            <v>97766</v>
          </cell>
        </row>
        <row r="3394">
          <cell r="A3394">
            <v>31413</v>
          </cell>
          <cell r="B3394">
            <v>3388</v>
          </cell>
          <cell r="C3394" t="str">
            <v>IASWD2409000512</v>
          </cell>
          <cell r="D3394">
            <v>45559</v>
          </cell>
          <cell r="E3394">
            <v>46162</v>
          </cell>
          <cell r="F3394" t="str">
            <v>31413</v>
          </cell>
          <cell r="G3394" t="str">
            <v>晶宏三</v>
          </cell>
          <cell r="H3394">
            <v>100000</v>
          </cell>
          <cell r="I3394">
            <v>4</v>
          </cell>
          <cell r="J3394">
            <v>46162</v>
          </cell>
          <cell r="K3394">
            <v>100</v>
          </cell>
          <cell r="L3394">
            <v>46142</v>
          </cell>
          <cell r="M3394">
            <v>-2553</v>
          </cell>
          <cell r="N3394">
            <v>97447</v>
          </cell>
        </row>
        <row r="3395">
          <cell r="A3395">
            <v>61965</v>
          </cell>
          <cell r="B3395">
            <v>3389</v>
          </cell>
          <cell r="C3395" t="str">
            <v>IASWD2409000513</v>
          </cell>
          <cell r="D3395">
            <v>45559</v>
          </cell>
          <cell r="E3395">
            <v>46200</v>
          </cell>
          <cell r="F3395" t="str">
            <v>61965</v>
          </cell>
          <cell r="G3395" t="str">
            <v>帆宣五</v>
          </cell>
          <cell r="H3395">
            <v>100000</v>
          </cell>
          <cell r="I3395">
            <v>3</v>
          </cell>
          <cell r="J3395">
            <v>46200</v>
          </cell>
          <cell r="K3395">
            <v>100</v>
          </cell>
          <cell r="L3395">
            <v>46182</v>
          </cell>
          <cell r="M3395">
            <v>-1915</v>
          </cell>
          <cell r="N3395">
            <v>98085</v>
          </cell>
        </row>
        <row r="3396">
          <cell r="A3396">
            <v>61965</v>
          </cell>
          <cell r="B3396">
            <v>3390</v>
          </cell>
          <cell r="C3396" t="str">
            <v>IASWD2409000514</v>
          </cell>
          <cell r="D3396">
            <v>45559</v>
          </cell>
          <cell r="E3396">
            <v>46200</v>
          </cell>
          <cell r="F3396" t="str">
            <v>61965</v>
          </cell>
          <cell r="G3396" t="str">
            <v>帆宣五</v>
          </cell>
          <cell r="H3396">
            <v>100000</v>
          </cell>
          <cell r="I3396">
            <v>3</v>
          </cell>
          <cell r="J3396">
            <v>46200</v>
          </cell>
          <cell r="K3396">
            <v>100</v>
          </cell>
          <cell r="L3396">
            <v>46182</v>
          </cell>
          <cell r="M3396">
            <v>-1915</v>
          </cell>
          <cell r="N3396">
            <v>98085</v>
          </cell>
        </row>
        <row r="3397">
          <cell r="A3397">
            <v>67531</v>
          </cell>
          <cell r="B3397">
            <v>3391</v>
          </cell>
          <cell r="C3397" t="str">
            <v>IASWD2409000517</v>
          </cell>
          <cell r="D3397">
            <v>45559</v>
          </cell>
          <cell r="E3397">
            <v>46563</v>
          </cell>
          <cell r="F3397" t="str">
            <v>67531</v>
          </cell>
          <cell r="G3397" t="str">
            <v>龍德造船一</v>
          </cell>
          <cell r="H3397">
            <v>300000</v>
          </cell>
          <cell r="I3397">
            <v>3.75</v>
          </cell>
          <cell r="J3397">
            <v>46563</v>
          </cell>
          <cell r="K3397">
            <v>100</v>
          </cell>
          <cell r="L3397">
            <v>46545</v>
          </cell>
          <cell r="M3397">
            <v>-7182</v>
          </cell>
          <cell r="N3397">
            <v>292818</v>
          </cell>
        </row>
        <row r="3398">
          <cell r="A3398">
            <v>34834</v>
          </cell>
          <cell r="B3398">
            <v>3392</v>
          </cell>
          <cell r="C3398" t="str">
            <v>IASWD2409000519</v>
          </cell>
          <cell r="D3398">
            <v>45559</v>
          </cell>
          <cell r="E3398">
            <v>46529</v>
          </cell>
          <cell r="F3398" t="str">
            <v>34834</v>
          </cell>
          <cell r="G3398" t="str">
            <v>力致四</v>
          </cell>
          <cell r="H3398">
            <v>200000</v>
          </cell>
          <cell r="I3398">
            <v>3.75</v>
          </cell>
          <cell r="J3398">
            <v>46529</v>
          </cell>
          <cell r="K3398">
            <v>100</v>
          </cell>
          <cell r="L3398">
            <v>46511</v>
          </cell>
          <cell r="M3398">
            <v>-4788</v>
          </cell>
          <cell r="N3398">
            <v>195212</v>
          </cell>
        </row>
        <row r="3399">
          <cell r="A3399">
            <v>140202</v>
          </cell>
          <cell r="B3399">
            <v>3393</v>
          </cell>
          <cell r="C3399" t="str">
            <v>IASWD2409000520</v>
          </cell>
          <cell r="D3399">
            <v>45559</v>
          </cell>
          <cell r="E3399">
            <v>46607</v>
          </cell>
          <cell r="F3399" t="str">
            <v>140202</v>
          </cell>
          <cell r="G3399" t="str">
            <v>遠東新E2永</v>
          </cell>
          <cell r="H3399">
            <v>100000</v>
          </cell>
          <cell r="I3399">
            <v>2.5</v>
          </cell>
          <cell r="J3399">
            <v>46607</v>
          </cell>
          <cell r="K3399">
            <v>100</v>
          </cell>
          <cell r="L3399">
            <v>46588</v>
          </cell>
          <cell r="M3399">
            <v>-1596</v>
          </cell>
          <cell r="N3399">
            <v>98404</v>
          </cell>
        </row>
        <row r="3400">
          <cell r="A3400">
            <v>31413</v>
          </cell>
          <cell r="B3400">
            <v>3394</v>
          </cell>
          <cell r="C3400" t="str">
            <v>IASWD2409000521</v>
          </cell>
          <cell r="D3400">
            <v>45559</v>
          </cell>
          <cell r="E3400">
            <v>46162</v>
          </cell>
          <cell r="F3400" t="str">
            <v>31413</v>
          </cell>
          <cell r="G3400" t="str">
            <v>晶宏三</v>
          </cell>
          <cell r="H3400">
            <v>200000</v>
          </cell>
          <cell r="I3400">
            <v>4</v>
          </cell>
          <cell r="J3400">
            <v>46162</v>
          </cell>
          <cell r="K3400">
            <v>100</v>
          </cell>
          <cell r="L3400">
            <v>46142</v>
          </cell>
          <cell r="M3400">
            <v>-5107</v>
          </cell>
          <cell r="N3400">
            <v>194893</v>
          </cell>
        </row>
        <row r="3401">
          <cell r="A3401">
            <v>82551</v>
          </cell>
          <cell r="B3401">
            <v>3395</v>
          </cell>
          <cell r="C3401" t="str">
            <v>IASWD2409000522</v>
          </cell>
          <cell r="D3401">
            <v>45559</v>
          </cell>
          <cell r="E3401">
            <v>46243</v>
          </cell>
          <cell r="F3401" t="str">
            <v>82551</v>
          </cell>
          <cell r="G3401" t="str">
            <v>朋程一</v>
          </cell>
          <cell r="H3401">
            <v>100000</v>
          </cell>
          <cell r="I3401">
            <v>2.6</v>
          </cell>
          <cell r="J3401">
            <v>46243</v>
          </cell>
          <cell r="K3401">
            <v>100</v>
          </cell>
          <cell r="L3401">
            <v>46224</v>
          </cell>
          <cell r="M3401">
            <v>-1660</v>
          </cell>
          <cell r="N3401">
            <v>98340</v>
          </cell>
        </row>
        <row r="3402">
          <cell r="A3402">
            <v>82551</v>
          </cell>
          <cell r="B3402">
            <v>3396</v>
          </cell>
          <cell r="C3402" t="str">
            <v>IASWD2409000524</v>
          </cell>
          <cell r="D3402">
            <v>45559</v>
          </cell>
          <cell r="E3402">
            <v>46243</v>
          </cell>
          <cell r="F3402" t="str">
            <v>82551</v>
          </cell>
          <cell r="G3402" t="str">
            <v>朋程一</v>
          </cell>
          <cell r="H3402">
            <v>100000</v>
          </cell>
          <cell r="I3402">
            <v>2.6</v>
          </cell>
          <cell r="J3402">
            <v>46243</v>
          </cell>
          <cell r="K3402">
            <v>100</v>
          </cell>
          <cell r="L3402">
            <v>46224</v>
          </cell>
          <cell r="M3402">
            <v>-1660</v>
          </cell>
          <cell r="N3402">
            <v>98340</v>
          </cell>
        </row>
        <row r="3403">
          <cell r="A3403">
            <v>34163</v>
          </cell>
          <cell r="B3403">
            <v>3397</v>
          </cell>
          <cell r="C3403" t="str">
            <v>IASWD2409000526</v>
          </cell>
          <cell r="D3403">
            <v>45559</v>
          </cell>
          <cell r="E3403">
            <v>46047</v>
          </cell>
          <cell r="F3403" t="str">
            <v>34163</v>
          </cell>
          <cell r="G3403" t="str">
            <v>融程電三</v>
          </cell>
          <cell r="H3403">
            <v>100000</v>
          </cell>
          <cell r="I3403">
            <v>3</v>
          </cell>
          <cell r="J3403">
            <v>46047</v>
          </cell>
          <cell r="K3403">
            <v>100.5</v>
          </cell>
          <cell r="L3403">
            <v>46028</v>
          </cell>
          <cell r="M3403">
            <v>-1915</v>
          </cell>
          <cell r="N3403">
            <v>98085</v>
          </cell>
        </row>
        <row r="3404">
          <cell r="A3404">
            <v>31413</v>
          </cell>
          <cell r="B3404">
            <v>3398</v>
          </cell>
          <cell r="C3404" t="str">
            <v>IASWD2409000527</v>
          </cell>
          <cell r="D3404">
            <v>45559</v>
          </cell>
          <cell r="E3404">
            <v>46162</v>
          </cell>
          <cell r="F3404" t="str">
            <v>31413</v>
          </cell>
          <cell r="G3404" t="str">
            <v>晶宏三</v>
          </cell>
          <cell r="H3404">
            <v>100000</v>
          </cell>
          <cell r="I3404">
            <v>4</v>
          </cell>
          <cell r="J3404">
            <v>46162</v>
          </cell>
          <cell r="K3404">
            <v>100</v>
          </cell>
          <cell r="L3404">
            <v>46142</v>
          </cell>
          <cell r="M3404">
            <v>-2553</v>
          </cell>
          <cell r="N3404">
            <v>97447</v>
          </cell>
        </row>
        <row r="3405">
          <cell r="A3405">
            <v>50097</v>
          </cell>
          <cell r="B3405">
            <v>3399</v>
          </cell>
          <cell r="C3405" t="str">
            <v>IASWD2409000528</v>
          </cell>
          <cell r="D3405">
            <v>45559</v>
          </cell>
          <cell r="E3405">
            <v>46234</v>
          </cell>
          <cell r="F3405" t="str">
            <v>50097</v>
          </cell>
          <cell r="G3405" t="str">
            <v>榮剛七</v>
          </cell>
          <cell r="H3405">
            <v>200000</v>
          </cell>
          <cell r="I3405">
            <v>4.2</v>
          </cell>
          <cell r="J3405">
            <v>46234</v>
          </cell>
          <cell r="K3405">
            <v>101.51</v>
          </cell>
          <cell r="L3405">
            <v>46216</v>
          </cell>
          <cell r="M3405">
            <v>-5362</v>
          </cell>
          <cell r="N3405">
            <v>194638</v>
          </cell>
        </row>
        <row r="3406">
          <cell r="A3406">
            <v>82551</v>
          </cell>
          <cell r="B3406">
            <v>3400</v>
          </cell>
          <cell r="C3406" t="str">
            <v>IASWD2409000529</v>
          </cell>
          <cell r="D3406">
            <v>45559</v>
          </cell>
          <cell r="E3406">
            <v>46243</v>
          </cell>
          <cell r="F3406" t="str">
            <v>82551</v>
          </cell>
          <cell r="G3406" t="str">
            <v>朋程一</v>
          </cell>
          <cell r="H3406">
            <v>500000</v>
          </cell>
          <cell r="I3406">
            <v>2.6</v>
          </cell>
          <cell r="J3406">
            <v>46243</v>
          </cell>
          <cell r="K3406">
            <v>100</v>
          </cell>
          <cell r="L3406">
            <v>46224</v>
          </cell>
          <cell r="M3406">
            <v>-8299</v>
          </cell>
          <cell r="N3406">
            <v>491701</v>
          </cell>
        </row>
        <row r="3407">
          <cell r="A3407">
            <v>31413</v>
          </cell>
          <cell r="B3407">
            <v>3401</v>
          </cell>
          <cell r="C3407" t="str">
            <v>IASWD2409000530</v>
          </cell>
          <cell r="D3407">
            <v>45559</v>
          </cell>
          <cell r="E3407">
            <v>46162</v>
          </cell>
          <cell r="F3407" t="str">
            <v>31413</v>
          </cell>
          <cell r="G3407" t="str">
            <v>晶宏三</v>
          </cell>
          <cell r="H3407">
            <v>200000</v>
          </cell>
          <cell r="I3407">
            <v>4</v>
          </cell>
          <cell r="J3407">
            <v>46162</v>
          </cell>
          <cell r="K3407">
            <v>100</v>
          </cell>
          <cell r="L3407">
            <v>46142</v>
          </cell>
          <cell r="M3407">
            <v>-5107</v>
          </cell>
          <cell r="N3407">
            <v>194893</v>
          </cell>
        </row>
        <row r="3408">
          <cell r="A3408">
            <v>31413</v>
          </cell>
          <cell r="B3408">
            <v>3402</v>
          </cell>
          <cell r="C3408" t="str">
            <v>IASWD2409000531</v>
          </cell>
          <cell r="D3408">
            <v>45559</v>
          </cell>
          <cell r="E3408">
            <v>46162</v>
          </cell>
          <cell r="F3408" t="str">
            <v>31413</v>
          </cell>
          <cell r="G3408" t="str">
            <v>晶宏三</v>
          </cell>
          <cell r="H3408">
            <v>1200000</v>
          </cell>
          <cell r="I3408">
            <v>4</v>
          </cell>
          <cell r="J3408">
            <v>46162</v>
          </cell>
          <cell r="K3408">
            <v>100</v>
          </cell>
          <cell r="L3408">
            <v>46142</v>
          </cell>
          <cell r="M3408">
            <v>-30641</v>
          </cell>
          <cell r="N3408">
            <v>1169359</v>
          </cell>
        </row>
        <row r="3409">
          <cell r="A3409">
            <v>64145</v>
          </cell>
          <cell r="B3409">
            <v>3403</v>
          </cell>
          <cell r="C3409" t="str">
            <v>IASWD2409000533</v>
          </cell>
          <cell r="D3409">
            <v>45560</v>
          </cell>
          <cell r="E3409">
            <v>46250</v>
          </cell>
          <cell r="F3409" t="str">
            <v>64145</v>
          </cell>
          <cell r="G3409" t="str">
            <v>樺漢五</v>
          </cell>
          <cell r="H3409">
            <v>100000</v>
          </cell>
          <cell r="I3409">
            <v>3</v>
          </cell>
          <cell r="J3409">
            <v>46250</v>
          </cell>
          <cell r="K3409">
            <v>100</v>
          </cell>
          <cell r="L3409">
            <v>46231</v>
          </cell>
          <cell r="M3409">
            <v>-1907</v>
          </cell>
          <cell r="N3409">
            <v>98093</v>
          </cell>
        </row>
        <row r="3410">
          <cell r="A3410">
            <v>84781</v>
          </cell>
          <cell r="B3410">
            <v>3404</v>
          </cell>
          <cell r="C3410" t="str">
            <v>IASWD2409000534</v>
          </cell>
          <cell r="D3410">
            <v>45560</v>
          </cell>
          <cell r="E3410">
            <v>46583</v>
          </cell>
          <cell r="F3410" t="str">
            <v>84781</v>
          </cell>
          <cell r="G3410" t="str">
            <v>東哥遊艇一</v>
          </cell>
          <cell r="H3410">
            <v>100000</v>
          </cell>
          <cell r="I3410">
            <v>3.1</v>
          </cell>
          <cell r="J3410">
            <v>46583</v>
          </cell>
          <cell r="K3410">
            <v>100</v>
          </cell>
          <cell r="L3410">
            <v>46563</v>
          </cell>
          <cell r="M3410">
            <v>-1970</v>
          </cell>
          <cell r="N3410">
            <v>98030</v>
          </cell>
        </row>
        <row r="3411">
          <cell r="A3411">
            <v>84781</v>
          </cell>
          <cell r="B3411">
            <v>3405</v>
          </cell>
          <cell r="C3411" t="str">
            <v>IASWD2409000535</v>
          </cell>
          <cell r="D3411">
            <v>45560</v>
          </cell>
          <cell r="E3411">
            <v>46583</v>
          </cell>
          <cell r="F3411" t="str">
            <v>84781</v>
          </cell>
          <cell r="G3411" t="str">
            <v>東哥遊艇一</v>
          </cell>
          <cell r="H3411">
            <v>200000</v>
          </cell>
          <cell r="I3411">
            <v>3.1</v>
          </cell>
          <cell r="J3411">
            <v>46583</v>
          </cell>
          <cell r="K3411">
            <v>100</v>
          </cell>
          <cell r="L3411">
            <v>46563</v>
          </cell>
          <cell r="M3411">
            <v>-3941</v>
          </cell>
          <cell r="N3411">
            <v>196059</v>
          </cell>
        </row>
        <row r="3412">
          <cell r="A3412">
            <v>64145</v>
          </cell>
          <cell r="B3412">
            <v>3406</v>
          </cell>
          <cell r="C3412" t="str">
            <v>IASWD2409000537</v>
          </cell>
          <cell r="D3412">
            <v>45560</v>
          </cell>
          <cell r="E3412">
            <v>46250</v>
          </cell>
          <cell r="F3412" t="str">
            <v>64145</v>
          </cell>
          <cell r="G3412" t="str">
            <v>樺漢五</v>
          </cell>
          <cell r="H3412">
            <v>100000</v>
          </cell>
          <cell r="I3412">
            <v>3</v>
          </cell>
          <cell r="J3412">
            <v>46250</v>
          </cell>
          <cell r="K3412">
            <v>100</v>
          </cell>
          <cell r="L3412">
            <v>46231</v>
          </cell>
          <cell r="M3412">
            <v>-1907</v>
          </cell>
          <cell r="N3412">
            <v>98093</v>
          </cell>
        </row>
        <row r="3413">
          <cell r="A3413">
            <v>140202</v>
          </cell>
          <cell r="B3413">
            <v>3407</v>
          </cell>
          <cell r="C3413" t="str">
            <v>IASWD2409000538</v>
          </cell>
          <cell r="D3413">
            <v>45560</v>
          </cell>
          <cell r="E3413">
            <v>46607</v>
          </cell>
          <cell r="F3413" t="str">
            <v>140202</v>
          </cell>
          <cell r="G3413" t="str">
            <v>遠東新E2永</v>
          </cell>
          <cell r="H3413">
            <v>300000</v>
          </cell>
          <cell r="I3413">
            <v>2.5</v>
          </cell>
          <cell r="J3413">
            <v>46607</v>
          </cell>
          <cell r="K3413">
            <v>100</v>
          </cell>
          <cell r="L3413">
            <v>46588</v>
          </cell>
          <cell r="M3413">
            <v>-4767</v>
          </cell>
          <cell r="N3413">
            <v>295233</v>
          </cell>
        </row>
        <row r="3414">
          <cell r="A3414">
            <v>22013</v>
          </cell>
          <cell r="B3414">
            <v>3408</v>
          </cell>
          <cell r="C3414" t="str">
            <v>IASWD2409000539</v>
          </cell>
          <cell r="D3414">
            <v>45560</v>
          </cell>
          <cell r="E3414">
            <v>46167</v>
          </cell>
          <cell r="F3414" t="str">
            <v>22013</v>
          </cell>
          <cell r="G3414" t="str">
            <v>裕隆三</v>
          </cell>
          <cell r="H3414">
            <v>100000</v>
          </cell>
          <cell r="I3414">
            <v>3.25</v>
          </cell>
          <cell r="J3414">
            <v>46167</v>
          </cell>
          <cell r="K3414">
            <v>100.75190000000001</v>
          </cell>
          <cell r="L3414">
            <v>46147</v>
          </cell>
          <cell r="M3414">
            <v>-2066</v>
          </cell>
          <cell r="N3414">
            <v>97934</v>
          </cell>
        </row>
        <row r="3415">
          <cell r="A3415">
            <v>140202</v>
          </cell>
          <cell r="B3415">
            <v>3409</v>
          </cell>
          <cell r="C3415" t="str">
            <v>IASWD2409000540</v>
          </cell>
          <cell r="D3415">
            <v>45560</v>
          </cell>
          <cell r="E3415">
            <v>46607</v>
          </cell>
          <cell r="F3415" t="str">
            <v>140202</v>
          </cell>
          <cell r="G3415" t="str">
            <v>遠東新E2永</v>
          </cell>
          <cell r="H3415">
            <v>200000</v>
          </cell>
          <cell r="I3415">
            <v>2.5</v>
          </cell>
          <cell r="J3415">
            <v>46607</v>
          </cell>
          <cell r="K3415">
            <v>100</v>
          </cell>
          <cell r="L3415">
            <v>46588</v>
          </cell>
          <cell r="M3415">
            <v>-3178</v>
          </cell>
          <cell r="N3415">
            <v>196822</v>
          </cell>
        </row>
        <row r="3416">
          <cell r="A3416">
            <v>140202</v>
          </cell>
          <cell r="B3416">
            <v>3410</v>
          </cell>
          <cell r="C3416" t="str">
            <v>IASWD2409000542</v>
          </cell>
          <cell r="D3416">
            <v>45560</v>
          </cell>
          <cell r="E3416">
            <v>46607</v>
          </cell>
          <cell r="F3416" t="str">
            <v>140202</v>
          </cell>
          <cell r="G3416" t="str">
            <v>遠東新E2永</v>
          </cell>
          <cell r="H3416">
            <v>500000</v>
          </cell>
          <cell r="I3416">
            <v>2.5</v>
          </cell>
          <cell r="J3416">
            <v>46607</v>
          </cell>
          <cell r="K3416">
            <v>100</v>
          </cell>
          <cell r="L3416">
            <v>46588</v>
          </cell>
          <cell r="M3416">
            <v>-7945</v>
          </cell>
          <cell r="N3416">
            <v>492055</v>
          </cell>
        </row>
        <row r="3417">
          <cell r="A3417">
            <v>140202</v>
          </cell>
          <cell r="B3417">
            <v>3411</v>
          </cell>
          <cell r="C3417" t="str">
            <v>IASWD2409000544</v>
          </cell>
          <cell r="D3417">
            <v>45560</v>
          </cell>
          <cell r="E3417">
            <v>46607</v>
          </cell>
          <cell r="F3417" t="str">
            <v>140202</v>
          </cell>
          <cell r="G3417" t="str">
            <v>遠東新E2永</v>
          </cell>
          <cell r="H3417">
            <v>1000000</v>
          </cell>
          <cell r="I3417">
            <v>2.5</v>
          </cell>
          <cell r="J3417">
            <v>46607</v>
          </cell>
          <cell r="K3417">
            <v>100</v>
          </cell>
          <cell r="L3417">
            <v>46588</v>
          </cell>
          <cell r="M3417">
            <v>-15890</v>
          </cell>
          <cell r="N3417">
            <v>984110</v>
          </cell>
        </row>
        <row r="3418">
          <cell r="A3418">
            <v>31413</v>
          </cell>
          <cell r="B3418">
            <v>3412</v>
          </cell>
          <cell r="C3418" t="str">
            <v>IASWD2409000545</v>
          </cell>
          <cell r="D3418">
            <v>45560</v>
          </cell>
          <cell r="E3418">
            <v>46162</v>
          </cell>
          <cell r="F3418" t="str">
            <v>31413</v>
          </cell>
          <cell r="G3418" t="str">
            <v>晶宏三</v>
          </cell>
          <cell r="H3418">
            <v>200000</v>
          </cell>
          <cell r="I3418">
            <v>4</v>
          </cell>
          <cell r="J3418">
            <v>46162</v>
          </cell>
          <cell r="K3418">
            <v>100</v>
          </cell>
          <cell r="L3418">
            <v>46142</v>
          </cell>
          <cell r="M3418">
            <v>-5085</v>
          </cell>
          <cell r="N3418">
            <v>194915</v>
          </cell>
        </row>
        <row r="3419">
          <cell r="A3419">
            <v>27323</v>
          </cell>
          <cell r="B3419">
            <v>3413</v>
          </cell>
          <cell r="C3419" t="str">
            <v>IASWD2409000546</v>
          </cell>
          <cell r="D3419">
            <v>45560</v>
          </cell>
          <cell r="E3419">
            <v>46048</v>
          </cell>
          <cell r="F3419" t="str">
            <v>27323</v>
          </cell>
          <cell r="G3419" t="str">
            <v>六角三</v>
          </cell>
          <cell r="H3419">
            <v>100000</v>
          </cell>
          <cell r="I3419">
            <v>3</v>
          </cell>
          <cell r="J3419">
            <v>46048</v>
          </cell>
          <cell r="K3419">
            <v>101</v>
          </cell>
          <cell r="L3419">
            <v>46028</v>
          </cell>
          <cell r="M3419">
            <v>-1907</v>
          </cell>
          <cell r="N3419">
            <v>98093</v>
          </cell>
        </row>
        <row r="3420">
          <cell r="A3420">
            <v>61875</v>
          </cell>
          <cell r="B3420">
            <v>3414</v>
          </cell>
          <cell r="C3420" t="str">
            <v>IASWD2409000547</v>
          </cell>
          <cell r="D3420">
            <v>45560</v>
          </cell>
          <cell r="E3420">
            <v>46578</v>
          </cell>
          <cell r="F3420" t="str">
            <v>61875</v>
          </cell>
          <cell r="G3420" t="str">
            <v>萬潤五</v>
          </cell>
          <cell r="H3420">
            <v>100000</v>
          </cell>
          <cell r="I3420">
            <v>3.1</v>
          </cell>
          <cell r="J3420">
            <v>46578</v>
          </cell>
          <cell r="K3420">
            <v>100</v>
          </cell>
          <cell r="L3420">
            <v>46560</v>
          </cell>
          <cell r="M3420">
            <v>-1970</v>
          </cell>
          <cell r="N3420">
            <v>98030</v>
          </cell>
        </row>
        <row r="3421">
          <cell r="A3421">
            <v>35266</v>
          </cell>
          <cell r="B3421">
            <v>3415</v>
          </cell>
          <cell r="C3421" t="str">
            <v>IASWD2409000548</v>
          </cell>
          <cell r="D3421">
            <v>45560</v>
          </cell>
          <cell r="E3421">
            <v>46416</v>
          </cell>
          <cell r="F3421" t="str">
            <v>35266</v>
          </cell>
          <cell r="G3421" t="str">
            <v>凡甲六</v>
          </cell>
          <cell r="H3421">
            <v>100000</v>
          </cell>
          <cell r="I3421">
            <v>3.5</v>
          </cell>
          <cell r="J3421">
            <v>46416</v>
          </cell>
          <cell r="K3421">
            <v>100</v>
          </cell>
          <cell r="L3421">
            <v>46398</v>
          </cell>
          <cell r="M3421">
            <v>-2225</v>
          </cell>
          <cell r="N3421">
            <v>97775</v>
          </cell>
        </row>
        <row r="3422">
          <cell r="A3422">
            <v>22013</v>
          </cell>
          <cell r="B3422">
            <v>3416</v>
          </cell>
          <cell r="C3422" t="str">
            <v>IASWD2409000549</v>
          </cell>
          <cell r="D3422">
            <v>45560</v>
          </cell>
          <cell r="E3422">
            <v>46167</v>
          </cell>
          <cell r="F3422" t="str">
            <v>22013</v>
          </cell>
          <cell r="G3422" t="str">
            <v>裕隆三</v>
          </cell>
          <cell r="H3422">
            <v>200000</v>
          </cell>
          <cell r="I3422">
            <v>3.25</v>
          </cell>
          <cell r="J3422">
            <v>46167</v>
          </cell>
          <cell r="K3422">
            <v>100.75190000000001</v>
          </cell>
          <cell r="L3422">
            <v>46147</v>
          </cell>
          <cell r="M3422">
            <v>-4132</v>
          </cell>
          <cell r="N3422">
            <v>195868</v>
          </cell>
        </row>
        <row r="3423">
          <cell r="A3423">
            <v>61875</v>
          </cell>
          <cell r="B3423">
            <v>3417</v>
          </cell>
          <cell r="C3423" t="str">
            <v>IASWD2409000550</v>
          </cell>
          <cell r="D3423">
            <v>45560</v>
          </cell>
          <cell r="E3423">
            <v>46578</v>
          </cell>
          <cell r="F3423" t="str">
            <v>61875</v>
          </cell>
          <cell r="G3423" t="str">
            <v>萬潤五</v>
          </cell>
          <cell r="H3423">
            <v>100000</v>
          </cell>
          <cell r="I3423">
            <v>3.1</v>
          </cell>
          <cell r="J3423">
            <v>46578</v>
          </cell>
          <cell r="K3423">
            <v>100</v>
          </cell>
          <cell r="L3423">
            <v>46560</v>
          </cell>
          <cell r="M3423">
            <v>-1970</v>
          </cell>
          <cell r="N3423">
            <v>98030</v>
          </cell>
        </row>
        <row r="3424">
          <cell r="A3424">
            <v>65096</v>
          </cell>
          <cell r="B3424">
            <v>3418</v>
          </cell>
          <cell r="C3424" t="str">
            <v>IASWD2409000551</v>
          </cell>
          <cell r="D3424">
            <v>45560</v>
          </cell>
          <cell r="E3424">
            <v>46206</v>
          </cell>
          <cell r="F3424" t="str">
            <v>65096</v>
          </cell>
          <cell r="G3424" t="str">
            <v>聚和六</v>
          </cell>
          <cell r="H3424">
            <v>100000</v>
          </cell>
          <cell r="I3424">
            <v>3.1</v>
          </cell>
          <cell r="J3424">
            <v>46206</v>
          </cell>
          <cell r="K3424">
            <v>100</v>
          </cell>
          <cell r="L3424">
            <v>46188</v>
          </cell>
          <cell r="M3424">
            <v>-1970</v>
          </cell>
          <cell r="N3424">
            <v>98030</v>
          </cell>
        </row>
        <row r="3425">
          <cell r="A3425">
            <v>31413</v>
          </cell>
          <cell r="B3425">
            <v>3419</v>
          </cell>
          <cell r="C3425" t="str">
            <v>IASWD2409000552</v>
          </cell>
          <cell r="D3425">
            <v>45560</v>
          </cell>
          <cell r="E3425">
            <v>46162</v>
          </cell>
          <cell r="F3425" t="str">
            <v>31413</v>
          </cell>
          <cell r="G3425" t="str">
            <v>晶宏三</v>
          </cell>
          <cell r="H3425">
            <v>300000</v>
          </cell>
          <cell r="I3425">
            <v>4</v>
          </cell>
          <cell r="J3425">
            <v>46162</v>
          </cell>
          <cell r="K3425">
            <v>100</v>
          </cell>
          <cell r="L3425">
            <v>46142</v>
          </cell>
          <cell r="M3425">
            <v>-7627</v>
          </cell>
          <cell r="N3425">
            <v>292373</v>
          </cell>
        </row>
        <row r="3426">
          <cell r="A3426">
            <v>56086</v>
          </cell>
          <cell r="B3426">
            <v>3420</v>
          </cell>
          <cell r="C3426" t="str">
            <v>IASWD2409000554</v>
          </cell>
          <cell r="D3426">
            <v>45560</v>
          </cell>
          <cell r="E3426">
            <v>46194</v>
          </cell>
          <cell r="F3426" t="str">
            <v>56086</v>
          </cell>
          <cell r="G3426" t="str">
            <v>四維航六</v>
          </cell>
          <cell r="H3426">
            <v>200000</v>
          </cell>
          <cell r="I3426">
            <v>2.35</v>
          </cell>
          <cell r="J3426">
            <v>46194</v>
          </cell>
          <cell r="K3426">
            <v>100</v>
          </cell>
          <cell r="L3426">
            <v>46175</v>
          </cell>
          <cell r="M3426">
            <v>-2987</v>
          </cell>
          <cell r="N3426">
            <v>197013</v>
          </cell>
        </row>
        <row r="3427">
          <cell r="A3427">
            <v>50097</v>
          </cell>
          <cell r="B3427">
            <v>3421</v>
          </cell>
          <cell r="C3427" t="str">
            <v>IASWD2409000555</v>
          </cell>
          <cell r="D3427">
            <v>45560</v>
          </cell>
          <cell r="E3427">
            <v>46234</v>
          </cell>
          <cell r="F3427" t="str">
            <v>50097</v>
          </cell>
          <cell r="G3427" t="str">
            <v>榮剛七</v>
          </cell>
          <cell r="H3427">
            <v>100000</v>
          </cell>
          <cell r="I3427">
            <v>4.2</v>
          </cell>
          <cell r="J3427">
            <v>46234</v>
          </cell>
          <cell r="K3427">
            <v>101.51</v>
          </cell>
          <cell r="L3427">
            <v>46216</v>
          </cell>
          <cell r="M3427">
            <v>-2670</v>
          </cell>
          <cell r="N3427">
            <v>97330</v>
          </cell>
        </row>
        <row r="3428">
          <cell r="A3428">
            <v>140202</v>
          </cell>
          <cell r="B3428">
            <v>3422</v>
          </cell>
          <cell r="C3428" t="str">
            <v>IASWD2409000558</v>
          </cell>
          <cell r="D3428">
            <v>45560</v>
          </cell>
          <cell r="E3428">
            <v>46607</v>
          </cell>
          <cell r="F3428" t="str">
            <v>140202</v>
          </cell>
          <cell r="G3428" t="str">
            <v>遠東新E2永</v>
          </cell>
          <cell r="H3428">
            <v>1000000</v>
          </cell>
          <cell r="I3428">
            <v>2.5</v>
          </cell>
          <cell r="J3428">
            <v>46607</v>
          </cell>
          <cell r="K3428">
            <v>100</v>
          </cell>
          <cell r="L3428">
            <v>46588</v>
          </cell>
          <cell r="M3428">
            <v>-15890</v>
          </cell>
          <cell r="N3428">
            <v>984110</v>
          </cell>
        </row>
        <row r="3429">
          <cell r="A3429">
            <v>31413</v>
          </cell>
          <cell r="B3429">
            <v>3423</v>
          </cell>
          <cell r="C3429" t="str">
            <v>IASWD2409000560</v>
          </cell>
          <cell r="D3429">
            <v>45560</v>
          </cell>
          <cell r="E3429">
            <v>46162</v>
          </cell>
          <cell r="F3429" t="str">
            <v>31413</v>
          </cell>
          <cell r="G3429" t="str">
            <v>晶宏三</v>
          </cell>
          <cell r="H3429">
            <v>100000</v>
          </cell>
          <cell r="I3429">
            <v>4</v>
          </cell>
          <cell r="J3429">
            <v>46162</v>
          </cell>
          <cell r="K3429">
            <v>100</v>
          </cell>
          <cell r="L3429">
            <v>46142</v>
          </cell>
          <cell r="M3429">
            <v>-2542</v>
          </cell>
          <cell r="N3429">
            <v>97458</v>
          </cell>
        </row>
        <row r="3430">
          <cell r="A3430">
            <v>22013</v>
          </cell>
          <cell r="B3430">
            <v>3424</v>
          </cell>
          <cell r="C3430" t="str">
            <v>IASWD2409000562</v>
          </cell>
          <cell r="D3430">
            <v>45560</v>
          </cell>
          <cell r="E3430">
            <v>46167</v>
          </cell>
          <cell r="F3430" t="str">
            <v>22013</v>
          </cell>
          <cell r="G3430" t="str">
            <v>裕隆三</v>
          </cell>
          <cell r="H3430">
            <v>100000</v>
          </cell>
          <cell r="I3430">
            <v>3.25</v>
          </cell>
          <cell r="J3430">
            <v>46167</v>
          </cell>
          <cell r="K3430">
            <v>100.75190000000001</v>
          </cell>
          <cell r="L3430">
            <v>46147</v>
          </cell>
          <cell r="M3430">
            <v>-2066</v>
          </cell>
          <cell r="N3430">
            <v>97934</v>
          </cell>
        </row>
        <row r="3431">
          <cell r="A3431">
            <v>34834</v>
          </cell>
          <cell r="B3431">
            <v>3425</v>
          </cell>
          <cell r="C3431" t="str">
            <v>IASWD2409000563</v>
          </cell>
          <cell r="D3431">
            <v>45561</v>
          </cell>
          <cell r="E3431">
            <v>46529</v>
          </cell>
          <cell r="F3431" t="str">
            <v>34834</v>
          </cell>
          <cell r="G3431" t="str">
            <v>力致四</v>
          </cell>
          <cell r="H3431">
            <v>500000</v>
          </cell>
          <cell r="I3431">
            <v>3.75</v>
          </cell>
          <cell r="J3431">
            <v>46529</v>
          </cell>
          <cell r="K3431">
            <v>100</v>
          </cell>
          <cell r="L3431">
            <v>46511</v>
          </cell>
          <cell r="M3431">
            <v>-11866</v>
          </cell>
          <cell r="N3431">
            <v>488134</v>
          </cell>
        </row>
        <row r="3432">
          <cell r="A3432">
            <v>61965</v>
          </cell>
          <cell r="B3432">
            <v>3426</v>
          </cell>
          <cell r="C3432" t="str">
            <v>IASWD2409000564</v>
          </cell>
          <cell r="D3432">
            <v>45561</v>
          </cell>
          <cell r="E3432">
            <v>46200</v>
          </cell>
          <cell r="F3432" t="str">
            <v>61965</v>
          </cell>
          <cell r="G3432" t="str">
            <v>帆宣五</v>
          </cell>
          <cell r="H3432">
            <v>200000</v>
          </cell>
          <cell r="I3432">
            <v>3</v>
          </cell>
          <cell r="J3432">
            <v>46200</v>
          </cell>
          <cell r="K3432">
            <v>100</v>
          </cell>
          <cell r="L3432">
            <v>46182</v>
          </cell>
          <cell r="M3432">
            <v>-3797</v>
          </cell>
          <cell r="N3432">
            <v>196203</v>
          </cell>
        </row>
        <row r="3433">
          <cell r="A3433">
            <v>34834</v>
          </cell>
          <cell r="B3433">
            <v>3427</v>
          </cell>
          <cell r="C3433" t="str">
            <v>IASWD2409000565</v>
          </cell>
          <cell r="D3433">
            <v>45561</v>
          </cell>
          <cell r="E3433">
            <v>46529</v>
          </cell>
          <cell r="F3433" t="str">
            <v>34834</v>
          </cell>
          <cell r="G3433" t="str">
            <v>力致四</v>
          </cell>
          <cell r="H3433">
            <v>200000</v>
          </cell>
          <cell r="I3433">
            <v>3.75</v>
          </cell>
          <cell r="J3433">
            <v>46529</v>
          </cell>
          <cell r="K3433">
            <v>100</v>
          </cell>
          <cell r="L3433">
            <v>46511</v>
          </cell>
          <cell r="M3433">
            <v>-4747</v>
          </cell>
          <cell r="N3433">
            <v>195253</v>
          </cell>
        </row>
        <row r="3434">
          <cell r="A3434">
            <v>34834</v>
          </cell>
          <cell r="B3434">
            <v>3428</v>
          </cell>
          <cell r="C3434" t="str">
            <v>IASWD2409000566</v>
          </cell>
          <cell r="D3434">
            <v>45561</v>
          </cell>
          <cell r="E3434">
            <v>46529</v>
          </cell>
          <cell r="F3434" t="str">
            <v>34834</v>
          </cell>
          <cell r="G3434" t="str">
            <v>力致四</v>
          </cell>
          <cell r="H3434">
            <v>100000</v>
          </cell>
          <cell r="I3434">
            <v>3.75</v>
          </cell>
          <cell r="J3434">
            <v>46529</v>
          </cell>
          <cell r="K3434">
            <v>100</v>
          </cell>
          <cell r="L3434">
            <v>46511</v>
          </cell>
          <cell r="M3434">
            <v>-2373</v>
          </cell>
          <cell r="N3434">
            <v>97627</v>
          </cell>
        </row>
        <row r="3435">
          <cell r="A3435">
            <v>61965</v>
          </cell>
          <cell r="B3435">
            <v>3429</v>
          </cell>
          <cell r="C3435" t="str">
            <v>IASWD2409000567</v>
          </cell>
          <cell r="D3435">
            <v>45561</v>
          </cell>
          <cell r="E3435">
            <v>46200</v>
          </cell>
          <cell r="F3435" t="str">
            <v>61965</v>
          </cell>
          <cell r="G3435" t="str">
            <v>帆宣五</v>
          </cell>
          <cell r="H3435">
            <v>100000</v>
          </cell>
          <cell r="I3435">
            <v>3</v>
          </cell>
          <cell r="J3435">
            <v>46200</v>
          </cell>
          <cell r="K3435">
            <v>100</v>
          </cell>
          <cell r="L3435">
            <v>46182</v>
          </cell>
          <cell r="M3435">
            <v>-1899</v>
          </cell>
          <cell r="N3435">
            <v>98101</v>
          </cell>
        </row>
        <row r="3436">
          <cell r="A3436">
            <v>31413</v>
          </cell>
          <cell r="B3436">
            <v>3430</v>
          </cell>
          <cell r="C3436" t="str">
            <v>IASWD2409000568</v>
          </cell>
          <cell r="D3436">
            <v>45561</v>
          </cell>
          <cell r="E3436">
            <v>46162</v>
          </cell>
          <cell r="F3436" t="str">
            <v>31413</v>
          </cell>
          <cell r="G3436" t="str">
            <v>晶宏三</v>
          </cell>
          <cell r="H3436">
            <v>200000</v>
          </cell>
          <cell r="I3436">
            <v>4</v>
          </cell>
          <cell r="J3436">
            <v>46162</v>
          </cell>
          <cell r="K3436">
            <v>100</v>
          </cell>
          <cell r="L3436">
            <v>46142</v>
          </cell>
          <cell r="M3436">
            <v>-5063</v>
          </cell>
          <cell r="N3436">
            <v>194937</v>
          </cell>
        </row>
        <row r="3437">
          <cell r="A3437">
            <v>140202</v>
          </cell>
          <cell r="B3437">
            <v>3431</v>
          </cell>
          <cell r="C3437" t="str">
            <v>IASWD2409000569</v>
          </cell>
          <cell r="D3437">
            <v>45561</v>
          </cell>
          <cell r="E3437">
            <v>46607</v>
          </cell>
          <cell r="F3437" t="str">
            <v>140202</v>
          </cell>
          <cell r="G3437" t="str">
            <v>遠東新E2永</v>
          </cell>
          <cell r="H3437">
            <v>1500000</v>
          </cell>
          <cell r="I3437">
            <v>2.5</v>
          </cell>
          <cell r="J3437">
            <v>46607</v>
          </cell>
          <cell r="K3437">
            <v>100</v>
          </cell>
          <cell r="L3437">
            <v>46588</v>
          </cell>
          <cell r="M3437">
            <v>-23733</v>
          </cell>
          <cell r="N3437">
            <v>1476267</v>
          </cell>
        </row>
        <row r="3438">
          <cell r="A3438">
            <v>22013</v>
          </cell>
          <cell r="B3438">
            <v>3432</v>
          </cell>
          <cell r="C3438" t="str">
            <v>IASWD2409000570</v>
          </cell>
          <cell r="D3438">
            <v>45561</v>
          </cell>
          <cell r="E3438">
            <v>46167</v>
          </cell>
          <cell r="F3438" t="str">
            <v>22013</v>
          </cell>
          <cell r="G3438" t="str">
            <v>裕隆三</v>
          </cell>
          <cell r="H3438">
            <v>500000</v>
          </cell>
          <cell r="I3438">
            <v>3.25</v>
          </cell>
          <cell r="J3438">
            <v>46167</v>
          </cell>
          <cell r="K3438">
            <v>100.75190000000001</v>
          </cell>
          <cell r="L3438">
            <v>46147</v>
          </cell>
          <cell r="M3438">
            <v>-10284</v>
          </cell>
          <cell r="N3438">
            <v>489716</v>
          </cell>
        </row>
        <row r="3439">
          <cell r="A3439">
            <v>34834</v>
          </cell>
          <cell r="B3439">
            <v>3433</v>
          </cell>
          <cell r="C3439" t="str">
            <v>IASWD2409000572</v>
          </cell>
          <cell r="D3439">
            <v>45561</v>
          </cell>
          <cell r="E3439">
            <v>46529</v>
          </cell>
          <cell r="F3439" t="str">
            <v>34834</v>
          </cell>
          <cell r="G3439" t="str">
            <v>力致四</v>
          </cell>
          <cell r="H3439">
            <v>200000</v>
          </cell>
          <cell r="I3439">
            <v>3.75</v>
          </cell>
          <cell r="J3439">
            <v>46529</v>
          </cell>
          <cell r="K3439">
            <v>100</v>
          </cell>
          <cell r="L3439">
            <v>46511</v>
          </cell>
          <cell r="M3439">
            <v>-4747</v>
          </cell>
          <cell r="N3439">
            <v>195253</v>
          </cell>
        </row>
        <row r="3440">
          <cell r="A3440">
            <v>140202</v>
          </cell>
          <cell r="B3440">
            <v>3434</v>
          </cell>
          <cell r="C3440" t="str">
            <v>IASWD2409000574</v>
          </cell>
          <cell r="D3440">
            <v>45561</v>
          </cell>
          <cell r="E3440">
            <v>46607</v>
          </cell>
          <cell r="F3440" t="str">
            <v>140202</v>
          </cell>
          <cell r="G3440" t="str">
            <v>遠東新E2永</v>
          </cell>
          <cell r="H3440">
            <v>1000000</v>
          </cell>
          <cell r="I3440">
            <v>2.5</v>
          </cell>
          <cell r="J3440">
            <v>46607</v>
          </cell>
          <cell r="K3440">
            <v>100</v>
          </cell>
          <cell r="L3440">
            <v>46588</v>
          </cell>
          <cell r="M3440">
            <v>-15822</v>
          </cell>
          <cell r="N3440">
            <v>984178</v>
          </cell>
        </row>
        <row r="3441">
          <cell r="A3441">
            <v>140202</v>
          </cell>
          <cell r="B3441">
            <v>3435</v>
          </cell>
          <cell r="C3441" t="str">
            <v>IASWD2409000577</v>
          </cell>
          <cell r="D3441">
            <v>45561</v>
          </cell>
          <cell r="E3441">
            <v>46607</v>
          </cell>
          <cell r="F3441" t="str">
            <v>140202</v>
          </cell>
          <cell r="G3441" t="str">
            <v>遠東新E2永</v>
          </cell>
          <cell r="H3441">
            <v>100000</v>
          </cell>
          <cell r="I3441">
            <v>2.5</v>
          </cell>
          <cell r="J3441">
            <v>46607</v>
          </cell>
          <cell r="K3441">
            <v>100</v>
          </cell>
          <cell r="L3441">
            <v>46588</v>
          </cell>
          <cell r="M3441">
            <v>-1582</v>
          </cell>
          <cell r="N3441">
            <v>98418</v>
          </cell>
        </row>
        <row r="3442">
          <cell r="A3442">
            <v>67531</v>
          </cell>
          <cell r="B3442">
            <v>3436</v>
          </cell>
          <cell r="C3442" t="str">
            <v>IASWD2409000578</v>
          </cell>
          <cell r="D3442">
            <v>45561</v>
          </cell>
          <cell r="E3442">
            <v>46563</v>
          </cell>
          <cell r="F3442" t="str">
            <v>67531</v>
          </cell>
          <cell r="G3442" t="str">
            <v>龍德造船一</v>
          </cell>
          <cell r="H3442">
            <v>100000</v>
          </cell>
          <cell r="I3442">
            <v>3.75</v>
          </cell>
          <cell r="J3442">
            <v>46563</v>
          </cell>
          <cell r="K3442">
            <v>100</v>
          </cell>
          <cell r="L3442">
            <v>46545</v>
          </cell>
          <cell r="M3442">
            <v>-2373</v>
          </cell>
          <cell r="N3442">
            <v>97627</v>
          </cell>
        </row>
        <row r="3443">
          <cell r="A3443">
            <v>140202</v>
          </cell>
          <cell r="B3443">
            <v>3437</v>
          </cell>
          <cell r="C3443" t="str">
            <v>IASWD2409000579</v>
          </cell>
          <cell r="D3443">
            <v>45561</v>
          </cell>
          <cell r="E3443">
            <v>46607</v>
          </cell>
          <cell r="F3443" t="str">
            <v>140202</v>
          </cell>
          <cell r="G3443" t="str">
            <v>遠東新E2永</v>
          </cell>
          <cell r="H3443">
            <v>100000</v>
          </cell>
          <cell r="I3443">
            <v>2.5</v>
          </cell>
          <cell r="J3443">
            <v>46607</v>
          </cell>
          <cell r="K3443">
            <v>100</v>
          </cell>
          <cell r="L3443">
            <v>46588</v>
          </cell>
          <cell r="M3443">
            <v>-1582</v>
          </cell>
          <cell r="N3443">
            <v>98418</v>
          </cell>
        </row>
        <row r="3444">
          <cell r="A3444">
            <v>34834</v>
          </cell>
          <cell r="B3444">
            <v>3438</v>
          </cell>
          <cell r="C3444" t="str">
            <v>IASWD2409000580</v>
          </cell>
          <cell r="D3444">
            <v>45561</v>
          </cell>
          <cell r="E3444">
            <v>46529</v>
          </cell>
          <cell r="F3444" t="str">
            <v>34834</v>
          </cell>
          <cell r="G3444" t="str">
            <v>力致四</v>
          </cell>
          <cell r="H3444">
            <v>100000</v>
          </cell>
          <cell r="I3444">
            <v>3.75</v>
          </cell>
          <cell r="J3444">
            <v>46529</v>
          </cell>
          <cell r="K3444">
            <v>100</v>
          </cell>
          <cell r="L3444">
            <v>46511</v>
          </cell>
          <cell r="M3444">
            <v>-2373</v>
          </cell>
          <cell r="N3444">
            <v>97627</v>
          </cell>
        </row>
        <row r="3445">
          <cell r="A3445">
            <v>15364</v>
          </cell>
          <cell r="B3445">
            <v>3439</v>
          </cell>
          <cell r="C3445" t="str">
            <v>IASWD2409000581</v>
          </cell>
          <cell r="D3445">
            <v>45561</v>
          </cell>
          <cell r="E3445">
            <v>46246</v>
          </cell>
          <cell r="F3445" t="str">
            <v>15364</v>
          </cell>
          <cell r="G3445" t="str">
            <v>和大四</v>
          </cell>
          <cell r="H3445">
            <v>300000</v>
          </cell>
          <cell r="I3445">
            <v>4.2</v>
          </cell>
          <cell r="J3445">
            <v>46246</v>
          </cell>
          <cell r="K3445">
            <v>100</v>
          </cell>
          <cell r="L3445">
            <v>46226</v>
          </cell>
          <cell r="M3445">
            <v>-7974</v>
          </cell>
          <cell r="N3445">
            <v>292026</v>
          </cell>
        </row>
        <row r="3446">
          <cell r="A3446">
            <v>56086</v>
          </cell>
          <cell r="B3446">
            <v>3440</v>
          </cell>
          <cell r="C3446" t="str">
            <v>IASWD2409000582</v>
          </cell>
          <cell r="D3446">
            <v>45561</v>
          </cell>
          <cell r="E3446">
            <v>46194</v>
          </cell>
          <cell r="F3446" t="str">
            <v>56086</v>
          </cell>
          <cell r="G3446" t="str">
            <v>四維航六</v>
          </cell>
          <cell r="H3446">
            <v>800000</v>
          </cell>
          <cell r="I3446">
            <v>2.35</v>
          </cell>
          <cell r="J3446">
            <v>46194</v>
          </cell>
          <cell r="K3446">
            <v>100</v>
          </cell>
          <cell r="L3446">
            <v>46175</v>
          </cell>
          <cell r="M3446">
            <v>-11898</v>
          </cell>
          <cell r="N3446">
            <v>788102</v>
          </cell>
        </row>
        <row r="3447">
          <cell r="A3447">
            <v>22013</v>
          </cell>
          <cell r="B3447">
            <v>3441</v>
          </cell>
          <cell r="C3447" t="str">
            <v>IASWD2409000583</v>
          </cell>
          <cell r="D3447">
            <v>45561</v>
          </cell>
          <cell r="E3447">
            <v>46167</v>
          </cell>
          <cell r="F3447" t="str">
            <v>22013</v>
          </cell>
          <cell r="G3447" t="str">
            <v>裕隆三</v>
          </cell>
          <cell r="H3447">
            <v>700000</v>
          </cell>
          <cell r="I3447">
            <v>3.25</v>
          </cell>
          <cell r="J3447">
            <v>46167</v>
          </cell>
          <cell r="K3447">
            <v>100.75190000000001</v>
          </cell>
          <cell r="L3447">
            <v>46147</v>
          </cell>
          <cell r="M3447">
            <v>-14398</v>
          </cell>
          <cell r="N3447">
            <v>685602</v>
          </cell>
        </row>
        <row r="3448">
          <cell r="A3448">
            <v>34834</v>
          </cell>
          <cell r="B3448">
            <v>3442</v>
          </cell>
          <cell r="C3448" t="str">
            <v>IASWD2409000584</v>
          </cell>
          <cell r="D3448">
            <v>45561</v>
          </cell>
          <cell r="E3448">
            <v>46529</v>
          </cell>
          <cell r="F3448" t="str">
            <v>34834</v>
          </cell>
          <cell r="G3448" t="str">
            <v>力致四</v>
          </cell>
          <cell r="H3448">
            <v>100000</v>
          </cell>
          <cell r="I3448">
            <v>3.75</v>
          </cell>
          <cell r="J3448">
            <v>46529</v>
          </cell>
          <cell r="K3448">
            <v>100</v>
          </cell>
          <cell r="L3448">
            <v>46511</v>
          </cell>
          <cell r="M3448">
            <v>-2373</v>
          </cell>
          <cell r="N3448">
            <v>97627</v>
          </cell>
        </row>
        <row r="3449">
          <cell r="A3449">
            <v>31413</v>
          </cell>
          <cell r="B3449">
            <v>3443</v>
          </cell>
          <cell r="C3449" t="str">
            <v>IASWD2409000585</v>
          </cell>
          <cell r="D3449">
            <v>45561</v>
          </cell>
          <cell r="E3449">
            <v>46162</v>
          </cell>
          <cell r="F3449" t="str">
            <v>31413</v>
          </cell>
          <cell r="G3449" t="str">
            <v>晶宏三</v>
          </cell>
          <cell r="H3449">
            <v>800000</v>
          </cell>
          <cell r="I3449">
            <v>4</v>
          </cell>
          <cell r="J3449">
            <v>46162</v>
          </cell>
          <cell r="K3449">
            <v>100</v>
          </cell>
          <cell r="L3449">
            <v>46142</v>
          </cell>
          <cell r="M3449">
            <v>-20252</v>
          </cell>
          <cell r="N3449">
            <v>779748</v>
          </cell>
        </row>
        <row r="3450">
          <cell r="A3450">
            <v>15364</v>
          </cell>
          <cell r="B3450">
            <v>3444</v>
          </cell>
          <cell r="C3450" t="str">
            <v>IASWD2409000586</v>
          </cell>
          <cell r="D3450">
            <v>45561</v>
          </cell>
          <cell r="E3450">
            <v>46246</v>
          </cell>
          <cell r="F3450" t="str">
            <v>15364</v>
          </cell>
          <cell r="G3450" t="str">
            <v>和大四</v>
          </cell>
          <cell r="H3450">
            <v>300000</v>
          </cell>
          <cell r="I3450">
            <v>4.2</v>
          </cell>
          <cell r="J3450">
            <v>46246</v>
          </cell>
          <cell r="K3450">
            <v>100</v>
          </cell>
          <cell r="L3450">
            <v>46226</v>
          </cell>
          <cell r="M3450">
            <v>-7974</v>
          </cell>
          <cell r="N3450">
            <v>292026</v>
          </cell>
        </row>
        <row r="3451">
          <cell r="A3451">
            <v>64145</v>
          </cell>
          <cell r="B3451">
            <v>3445</v>
          </cell>
          <cell r="C3451" t="str">
            <v>IASWD2409000587</v>
          </cell>
          <cell r="D3451">
            <v>45561</v>
          </cell>
          <cell r="E3451">
            <v>46250</v>
          </cell>
          <cell r="F3451" t="str">
            <v>64145</v>
          </cell>
          <cell r="G3451" t="str">
            <v>樺漢五</v>
          </cell>
          <cell r="H3451">
            <v>400000</v>
          </cell>
          <cell r="I3451">
            <v>3</v>
          </cell>
          <cell r="J3451">
            <v>46250</v>
          </cell>
          <cell r="K3451">
            <v>100</v>
          </cell>
          <cell r="L3451">
            <v>46231</v>
          </cell>
          <cell r="M3451">
            <v>-7595</v>
          </cell>
          <cell r="N3451">
            <v>392405</v>
          </cell>
        </row>
        <row r="3452">
          <cell r="A3452">
            <v>34834</v>
          </cell>
          <cell r="B3452">
            <v>3446</v>
          </cell>
          <cell r="C3452" t="str">
            <v>IASWD2409000588</v>
          </cell>
          <cell r="D3452">
            <v>45561</v>
          </cell>
          <cell r="E3452">
            <v>46529</v>
          </cell>
          <cell r="F3452" t="str">
            <v>34834</v>
          </cell>
          <cell r="G3452" t="str">
            <v>力致四</v>
          </cell>
          <cell r="H3452">
            <v>700000</v>
          </cell>
          <cell r="I3452">
            <v>3.75</v>
          </cell>
          <cell r="J3452">
            <v>46529</v>
          </cell>
          <cell r="K3452">
            <v>100</v>
          </cell>
          <cell r="L3452">
            <v>46511</v>
          </cell>
          <cell r="M3452">
            <v>-16613</v>
          </cell>
          <cell r="N3452">
            <v>683387</v>
          </cell>
        </row>
        <row r="3453">
          <cell r="A3453">
            <v>34834</v>
          </cell>
          <cell r="B3453">
            <v>3447</v>
          </cell>
          <cell r="C3453" t="str">
            <v>IASWD2409000589</v>
          </cell>
          <cell r="D3453">
            <v>45561</v>
          </cell>
          <cell r="E3453">
            <v>46529</v>
          </cell>
          <cell r="F3453" t="str">
            <v>34834</v>
          </cell>
          <cell r="G3453" t="str">
            <v>力致四</v>
          </cell>
          <cell r="H3453">
            <v>100000</v>
          </cell>
          <cell r="I3453">
            <v>3.75</v>
          </cell>
          <cell r="J3453">
            <v>46529</v>
          </cell>
          <cell r="K3453">
            <v>100</v>
          </cell>
          <cell r="L3453">
            <v>46511</v>
          </cell>
          <cell r="M3453">
            <v>-2373</v>
          </cell>
          <cell r="N3453">
            <v>97627</v>
          </cell>
        </row>
        <row r="3454">
          <cell r="A3454">
            <v>34834</v>
          </cell>
          <cell r="B3454">
            <v>3448</v>
          </cell>
          <cell r="C3454" t="str">
            <v>IASWD2409000593</v>
          </cell>
          <cell r="D3454">
            <v>45561</v>
          </cell>
          <cell r="E3454">
            <v>46529</v>
          </cell>
          <cell r="F3454" t="str">
            <v>34834</v>
          </cell>
          <cell r="G3454" t="str">
            <v>力致四</v>
          </cell>
          <cell r="H3454">
            <v>200000</v>
          </cell>
          <cell r="I3454">
            <v>3.75</v>
          </cell>
          <cell r="J3454">
            <v>46529</v>
          </cell>
          <cell r="K3454">
            <v>100</v>
          </cell>
          <cell r="L3454">
            <v>46511</v>
          </cell>
          <cell r="M3454">
            <v>-4747</v>
          </cell>
          <cell r="N3454">
            <v>195253</v>
          </cell>
        </row>
        <row r="3455">
          <cell r="A3455">
            <v>84781</v>
          </cell>
          <cell r="B3455">
            <v>3449</v>
          </cell>
          <cell r="C3455" t="str">
            <v>IASWD2409000594</v>
          </cell>
          <cell r="D3455">
            <v>45561</v>
          </cell>
          <cell r="E3455">
            <v>46583</v>
          </cell>
          <cell r="F3455" t="str">
            <v>84781</v>
          </cell>
          <cell r="G3455" t="str">
            <v>東哥遊艇一</v>
          </cell>
          <cell r="H3455">
            <v>200000</v>
          </cell>
          <cell r="I3455">
            <v>3.1</v>
          </cell>
          <cell r="J3455">
            <v>46583</v>
          </cell>
          <cell r="K3455">
            <v>100</v>
          </cell>
          <cell r="L3455">
            <v>46563</v>
          </cell>
          <cell r="M3455">
            <v>-3924</v>
          </cell>
          <cell r="N3455">
            <v>196076</v>
          </cell>
        </row>
        <row r="3456">
          <cell r="A3456">
            <v>31413</v>
          </cell>
          <cell r="B3456">
            <v>3450</v>
          </cell>
          <cell r="C3456" t="str">
            <v>IASWD2409000595</v>
          </cell>
          <cell r="D3456">
            <v>45561</v>
          </cell>
          <cell r="E3456">
            <v>46162</v>
          </cell>
          <cell r="F3456" t="str">
            <v>31413</v>
          </cell>
          <cell r="G3456" t="str">
            <v>晶宏三</v>
          </cell>
          <cell r="H3456">
            <v>100000</v>
          </cell>
          <cell r="I3456">
            <v>4</v>
          </cell>
          <cell r="J3456">
            <v>46162</v>
          </cell>
          <cell r="K3456">
            <v>100</v>
          </cell>
          <cell r="L3456">
            <v>46142</v>
          </cell>
          <cell r="M3456">
            <v>-2532</v>
          </cell>
          <cell r="N3456">
            <v>97468</v>
          </cell>
        </row>
        <row r="3457">
          <cell r="A3457">
            <v>64145</v>
          </cell>
          <cell r="B3457">
            <v>3451</v>
          </cell>
          <cell r="C3457" t="str">
            <v>IASWD2409000596</v>
          </cell>
          <cell r="D3457">
            <v>45561</v>
          </cell>
          <cell r="E3457">
            <v>46250</v>
          </cell>
          <cell r="F3457" t="str">
            <v>64145</v>
          </cell>
          <cell r="G3457" t="str">
            <v>樺漢五</v>
          </cell>
          <cell r="H3457">
            <v>100000</v>
          </cell>
          <cell r="I3457">
            <v>3</v>
          </cell>
          <cell r="J3457">
            <v>46250</v>
          </cell>
          <cell r="K3457">
            <v>100</v>
          </cell>
          <cell r="L3457">
            <v>46231</v>
          </cell>
          <cell r="M3457">
            <v>-1899</v>
          </cell>
          <cell r="N3457">
            <v>98101</v>
          </cell>
        </row>
        <row r="3458">
          <cell r="A3458">
            <v>140202</v>
          </cell>
          <cell r="B3458">
            <v>3452</v>
          </cell>
          <cell r="C3458" t="str">
            <v>IASWD2409000597</v>
          </cell>
          <cell r="D3458">
            <v>45561</v>
          </cell>
          <cell r="E3458">
            <v>46607</v>
          </cell>
          <cell r="F3458" t="str">
            <v>140202</v>
          </cell>
          <cell r="G3458" t="str">
            <v>遠東新E2永</v>
          </cell>
          <cell r="H3458">
            <v>1300000</v>
          </cell>
          <cell r="I3458">
            <v>2.5</v>
          </cell>
          <cell r="J3458">
            <v>46607</v>
          </cell>
          <cell r="K3458">
            <v>100</v>
          </cell>
          <cell r="L3458">
            <v>46588</v>
          </cell>
          <cell r="M3458">
            <v>-20568</v>
          </cell>
          <cell r="N3458">
            <v>1279432</v>
          </cell>
        </row>
        <row r="3459">
          <cell r="A3459">
            <v>50097</v>
          </cell>
          <cell r="B3459">
            <v>3453</v>
          </cell>
          <cell r="C3459" t="str">
            <v>IASWD2409000599</v>
          </cell>
          <cell r="D3459">
            <v>45562</v>
          </cell>
          <cell r="E3459">
            <v>46234</v>
          </cell>
          <cell r="F3459" t="str">
            <v>50097</v>
          </cell>
          <cell r="G3459" t="str">
            <v>榮剛七</v>
          </cell>
          <cell r="H3459">
            <v>400000</v>
          </cell>
          <cell r="I3459">
            <v>4.2</v>
          </cell>
          <cell r="J3459">
            <v>46234</v>
          </cell>
          <cell r="K3459">
            <v>101.51</v>
          </cell>
          <cell r="L3459">
            <v>46216</v>
          </cell>
          <cell r="M3459">
            <v>-10586</v>
          </cell>
          <cell r="N3459">
            <v>389414</v>
          </cell>
        </row>
        <row r="3460">
          <cell r="A3460">
            <v>15364</v>
          </cell>
          <cell r="B3460">
            <v>3454</v>
          </cell>
          <cell r="C3460" t="str">
            <v>IASWD2409000600</v>
          </cell>
          <cell r="D3460">
            <v>45562</v>
          </cell>
          <cell r="E3460">
            <v>46246</v>
          </cell>
          <cell r="F3460" t="str">
            <v>15364</v>
          </cell>
          <cell r="G3460" t="str">
            <v>和大四</v>
          </cell>
          <cell r="H3460">
            <v>100000</v>
          </cell>
          <cell r="I3460">
            <v>4.2</v>
          </cell>
          <cell r="J3460">
            <v>46246</v>
          </cell>
          <cell r="K3460">
            <v>100</v>
          </cell>
          <cell r="L3460">
            <v>46226</v>
          </cell>
          <cell r="M3460">
            <v>-2647</v>
          </cell>
          <cell r="N3460">
            <v>97353</v>
          </cell>
        </row>
        <row r="3461">
          <cell r="A3461">
            <v>84781</v>
          </cell>
          <cell r="B3461">
            <v>3455</v>
          </cell>
          <cell r="C3461" t="str">
            <v>IASWD2409000601</v>
          </cell>
          <cell r="D3461">
            <v>45562</v>
          </cell>
          <cell r="E3461">
            <v>46583</v>
          </cell>
          <cell r="F3461" t="str">
            <v>84781</v>
          </cell>
          <cell r="G3461" t="str">
            <v>東哥遊艇一</v>
          </cell>
          <cell r="H3461">
            <v>100000</v>
          </cell>
          <cell r="I3461">
            <v>3.1</v>
          </cell>
          <cell r="J3461">
            <v>46583</v>
          </cell>
          <cell r="K3461">
            <v>100</v>
          </cell>
          <cell r="L3461">
            <v>46563</v>
          </cell>
          <cell r="M3461">
            <v>-1953</v>
          </cell>
          <cell r="N3461">
            <v>98047</v>
          </cell>
        </row>
        <row r="3462">
          <cell r="A3462">
            <v>36804</v>
          </cell>
          <cell r="B3462">
            <v>3456</v>
          </cell>
          <cell r="C3462" t="str">
            <v>IASWD2409000602</v>
          </cell>
          <cell r="D3462">
            <v>45562</v>
          </cell>
          <cell r="E3462">
            <v>45948</v>
          </cell>
          <cell r="F3462" t="str">
            <v>36804</v>
          </cell>
          <cell r="G3462" t="str">
            <v>家登四</v>
          </cell>
          <cell r="H3462">
            <v>100000</v>
          </cell>
          <cell r="I3462">
            <v>3.2</v>
          </cell>
          <cell r="J3462">
            <v>45948</v>
          </cell>
          <cell r="K3462">
            <v>100</v>
          </cell>
          <cell r="L3462">
            <v>45926</v>
          </cell>
          <cell r="M3462">
            <v>-2016</v>
          </cell>
          <cell r="N3462">
            <v>97984</v>
          </cell>
        </row>
        <row r="3463">
          <cell r="A3463">
            <v>140202</v>
          </cell>
          <cell r="B3463">
            <v>3457</v>
          </cell>
          <cell r="C3463" t="str">
            <v>IASWD2409000603</v>
          </cell>
          <cell r="D3463">
            <v>45562</v>
          </cell>
          <cell r="E3463">
            <v>46607</v>
          </cell>
          <cell r="F3463" t="str">
            <v>140202</v>
          </cell>
          <cell r="G3463" t="str">
            <v>遠東新E2永</v>
          </cell>
          <cell r="H3463">
            <v>2000000</v>
          </cell>
          <cell r="I3463">
            <v>2.5</v>
          </cell>
          <cell r="J3463">
            <v>46607</v>
          </cell>
          <cell r="K3463">
            <v>100</v>
          </cell>
          <cell r="L3463">
            <v>46588</v>
          </cell>
          <cell r="M3463">
            <v>-31507</v>
          </cell>
          <cell r="N3463">
            <v>1968493</v>
          </cell>
        </row>
        <row r="3464">
          <cell r="A3464">
            <v>67152</v>
          </cell>
          <cell r="B3464">
            <v>3458</v>
          </cell>
          <cell r="C3464" t="str">
            <v>IASWD2409000604</v>
          </cell>
          <cell r="D3464">
            <v>45562</v>
          </cell>
          <cell r="E3464">
            <v>46405</v>
          </cell>
          <cell r="F3464" t="str">
            <v>67152</v>
          </cell>
          <cell r="G3464" t="str">
            <v>嘉基二</v>
          </cell>
          <cell r="H3464">
            <v>300000</v>
          </cell>
          <cell r="I3464">
            <v>3</v>
          </cell>
          <cell r="J3464">
            <v>46405</v>
          </cell>
          <cell r="K3464">
            <v>100</v>
          </cell>
          <cell r="L3464">
            <v>46385</v>
          </cell>
          <cell r="M3464">
            <v>-5671</v>
          </cell>
          <cell r="N3464">
            <v>294329</v>
          </cell>
        </row>
        <row r="3465">
          <cell r="A3465">
            <v>84781</v>
          </cell>
          <cell r="B3465">
            <v>3459</v>
          </cell>
          <cell r="C3465" t="str">
            <v>IASWD2409000605</v>
          </cell>
          <cell r="D3465">
            <v>45562</v>
          </cell>
          <cell r="E3465">
            <v>46583</v>
          </cell>
          <cell r="F3465" t="str">
            <v>84781</v>
          </cell>
          <cell r="G3465" t="str">
            <v>東哥遊艇一</v>
          </cell>
          <cell r="H3465">
            <v>100000</v>
          </cell>
          <cell r="I3465">
            <v>3.1</v>
          </cell>
          <cell r="J3465">
            <v>46583</v>
          </cell>
          <cell r="K3465">
            <v>100</v>
          </cell>
          <cell r="L3465">
            <v>46563</v>
          </cell>
          <cell r="M3465">
            <v>-1953</v>
          </cell>
          <cell r="N3465">
            <v>98047</v>
          </cell>
        </row>
        <row r="3466">
          <cell r="A3466">
            <v>34834</v>
          </cell>
          <cell r="B3466">
            <v>3460</v>
          </cell>
          <cell r="C3466" t="str">
            <v>IASWD2409000606</v>
          </cell>
          <cell r="D3466">
            <v>45562</v>
          </cell>
          <cell r="E3466">
            <v>46529</v>
          </cell>
          <cell r="F3466" t="str">
            <v>34834</v>
          </cell>
          <cell r="G3466" t="str">
            <v>力致四</v>
          </cell>
          <cell r="H3466">
            <v>200000</v>
          </cell>
          <cell r="I3466">
            <v>3.75</v>
          </cell>
          <cell r="J3466">
            <v>46529</v>
          </cell>
          <cell r="K3466">
            <v>100</v>
          </cell>
          <cell r="L3466">
            <v>46511</v>
          </cell>
          <cell r="M3466">
            <v>-4726</v>
          </cell>
          <cell r="N3466">
            <v>195274</v>
          </cell>
        </row>
        <row r="3467">
          <cell r="A3467">
            <v>140202</v>
          </cell>
          <cell r="B3467">
            <v>3461</v>
          </cell>
          <cell r="C3467" t="str">
            <v>IASWD2409000607</v>
          </cell>
          <cell r="D3467">
            <v>45562</v>
          </cell>
          <cell r="E3467">
            <v>46607</v>
          </cell>
          <cell r="F3467" t="str">
            <v>140202</v>
          </cell>
          <cell r="G3467" t="str">
            <v>遠東新E2永</v>
          </cell>
          <cell r="H3467">
            <v>500000</v>
          </cell>
          <cell r="I3467">
            <v>2.5</v>
          </cell>
          <cell r="J3467">
            <v>46607</v>
          </cell>
          <cell r="K3467">
            <v>100</v>
          </cell>
          <cell r="L3467">
            <v>46588</v>
          </cell>
          <cell r="M3467">
            <v>-7877</v>
          </cell>
          <cell r="N3467">
            <v>492123</v>
          </cell>
        </row>
        <row r="3468">
          <cell r="A3468">
            <v>61394</v>
          </cell>
          <cell r="B3468">
            <v>3462</v>
          </cell>
          <cell r="C3468" t="str">
            <v>IASWD2409000608</v>
          </cell>
          <cell r="D3468">
            <v>45562</v>
          </cell>
          <cell r="E3468">
            <v>46047</v>
          </cell>
          <cell r="F3468" t="str">
            <v>61394</v>
          </cell>
          <cell r="G3468" t="str">
            <v>亞翔四</v>
          </cell>
          <cell r="H3468">
            <v>100000</v>
          </cell>
          <cell r="I3468">
            <v>3</v>
          </cell>
          <cell r="J3468">
            <v>46047</v>
          </cell>
          <cell r="K3468">
            <v>101.0025</v>
          </cell>
          <cell r="L3468">
            <v>46028</v>
          </cell>
          <cell r="M3468">
            <v>-1890</v>
          </cell>
          <cell r="N3468">
            <v>98110</v>
          </cell>
        </row>
        <row r="3469">
          <cell r="A3469">
            <v>26415</v>
          </cell>
          <cell r="B3469">
            <v>3463</v>
          </cell>
          <cell r="C3469" t="str">
            <v>IASWD2409000609</v>
          </cell>
          <cell r="D3469">
            <v>45562</v>
          </cell>
          <cell r="E3469">
            <v>45866</v>
          </cell>
          <cell r="F3469" t="str">
            <v>26415</v>
          </cell>
          <cell r="G3469" t="str">
            <v>正德五</v>
          </cell>
          <cell r="H3469">
            <v>300000</v>
          </cell>
          <cell r="I3469">
            <v>4</v>
          </cell>
          <cell r="J3469">
            <v>45866</v>
          </cell>
          <cell r="K3469">
            <v>100</v>
          </cell>
          <cell r="L3469">
            <v>45846</v>
          </cell>
          <cell r="M3469">
            <v>-7562</v>
          </cell>
          <cell r="N3469">
            <v>292438</v>
          </cell>
        </row>
        <row r="3470">
          <cell r="A3470">
            <v>140202</v>
          </cell>
          <cell r="B3470">
            <v>3464</v>
          </cell>
          <cell r="C3470" t="str">
            <v>IASWD2409000610</v>
          </cell>
          <cell r="D3470">
            <v>45562</v>
          </cell>
          <cell r="E3470">
            <v>46607</v>
          </cell>
          <cell r="F3470" t="str">
            <v>140202</v>
          </cell>
          <cell r="G3470" t="str">
            <v>遠東新E2永</v>
          </cell>
          <cell r="H3470">
            <v>1200000</v>
          </cell>
          <cell r="I3470">
            <v>2.5</v>
          </cell>
          <cell r="J3470">
            <v>46607</v>
          </cell>
          <cell r="K3470">
            <v>100</v>
          </cell>
          <cell r="L3470">
            <v>46588</v>
          </cell>
          <cell r="M3470">
            <v>-18904</v>
          </cell>
          <cell r="N3470">
            <v>1181096</v>
          </cell>
        </row>
        <row r="3471">
          <cell r="A3471">
            <v>61875</v>
          </cell>
          <cell r="B3471">
            <v>3465</v>
          </cell>
          <cell r="C3471" t="str">
            <v>IASWD2409000611</v>
          </cell>
          <cell r="D3471">
            <v>45562</v>
          </cell>
          <cell r="E3471">
            <v>46578</v>
          </cell>
          <cell r="F3471" t="str">
            <v>61875</v>
          </cell>
          <cell r="G3471" t="str">
            <v>萬潤五</v>
          </cell>
          <cell r="H3471">
            <v>300000</v>
          </cell>
          <cell r="I3471">
            <v>3.1</v>
          </cell>
          <cell r="J3471">
            <v>46578</v>
          </cell>
          <cell r="K3471">
            <v>100</v>
          </cell>
          <cell r="L3471">
            <v>46560</v>
          </cell>
          <cell r="M3471">
            <v>-5860</v>
          </cell>
          <cell r="N3471">
            <v>294140</v>
          </cell>
        </row>
        <row r="3472">
          <cell r="A3472">
            <v>140202</v>
          </cell>
          <cell r="B3472">
            <v>3466</v>
          </cell>
          <cell r="C3472" t="str">
            <v>IASWD2409000612</v>
          </cell>
          <cell r="D3472">
            <v>45562</v>
          </cell>
          <cell r="E3472">
            <v>46607</v>
          </cell>
          <cell r="F3472" t="str">
            <v>140202</v>
          </cell>
          <cell r="G3472" t="str">
            <v>遠東新E2永</v>
          </cell>
          <cell r="H3472">
            <v>1000000</v>
          </cell>
          <cell r="I3472">
            <v>2.5</v>
          </cell>
          <cell r="J3472">
            <v>46607</v>
          </cell>
          <cell r="K3472">
            <v>100</v>
          </cell>
          <cell r="L3472">
            <v>46588</v>
          </cell>
          <cell r="M3472">
            <v>-15753</v>
          </cell>
          <cell r="N3472">
            <v>984247</v>
          </cell>
        </row>
        <row r="3473">
          <cell r="A3473">
            <v>50097</v>
          </cell>
          <cell r="B3473">
            <v>3467</v>
          </cell>
          <cell r="C3473" t="str">
            <v>IASWD2409000613</v>
          </cell>
          <cell r="D3473">
            <v>45562</v>
          </cell>
          <cell r="E3473">
            <v>46234</v>
          </cell>
          <cell r="F3473" t="str">
            <v>50097</v>
          </cell>
          <cell r="G3473" t="str">
            <v>榮剛七</v>
          </cell>
          <cell r="H3473">
            <v>500000</v>
          </cell>
          <cell r="I3473">
            <v>4.2</v>
          </cell>
          <cell r="J3473">
            <v>46234</v>
          </cell>
          <cell r="K3473">
            <v>101.51</v>
          </cell>
          <cell r="L3473">
            <v>46216</v>
          </cell>
          <cell r="M3473">
            <v>-13233</v>
          </cell>
          <cell r="N3473">
            <v>486767</v>
          </cell>
        </row>
        <row r="3474">
          <cell r="A3474">
            <v>22013</v>
          </cell>
          <cell r="B3474">
            <v>3468</v>
          </cell>
          <cell r="C3474" t="str">
            <v>IASWD2409000614</v>
          </cell>
          <cell r="D3474">
            <v>45562</v>
          </cell>
          <cell r="E3474">
            <v>46167</v>
          </cell>
          <cell r="F3474" t="str">
            <v>22013</v>
          </cell>
          <cell r="G3474" t="str">
            <v>裕隆三</v>
          </cell>
          <cell r="H3474">
            <v>400000</v>
          </cell>
          <cell r="I3474">
            <v>3.25</v>
          </cell>
          <cell r="J3474">
            <v>46167</v>
          </cell>
          <cell r="K3474">
            <v>100.75190000000001</v>
          </cell>
          <cell r="L3474">
            <v>46147</v>
          </cell>
          <cell r="M3474">
            <v>-8192</v>
          </cell>
          <cell r="N3474">
            <v>391808</v>
          </cell>
        </row>
        <row r="3475">
          <cell r="A3475">
            <v>84781</v>
          </cell>
          <cell r="B3475">
            <v>3469</v>
          </cell>
          <cell r="C3475" t="str">
            <v>IASWD2409000615</v>
          </cell>
          <cell r="D3475">
            <v>45562</v>
          </cell>
          <cell r="E3475">
            <v>46583</v>
          </cell>
          <cell r="F3475" t="str">
            <v>84781</v>
          </cell>
          <cell r="G3475" t="str">
            <v>東哥遊艇一</v>
          </cell>
          <cell r="H3475">
            <v>100000</v>
          </cell>
          <cell r="I3475">
            <v>3.1</v>
          </cell>
          <cell r="J3475">
            <v>46583</v>
          </cell>
          <cell r="K3475">
            <v>100</v>
          </cell>
          <cell r="L3475">
            <v>46563</v>
          </cell>
          <cell r="M3475">
            <v>-1953</v>
          </cell>
          <cell r="N3475">
            <v>98047</v>
          </cell>
        </row>
        <row r="3476">
          <cell r="A3476">
            <v>50097</v>
          </cell>
          <cell r="B3476">
            <v>3470</v>
          </cell>
          <cell r="C3476" t="str">
            <v>IASWD2409000616</v>
          </cell>
          <cell r="D3476">
            <v>45562</v>
          </cell>
          <cell r="E3476">
            <v>46234</v>
          </cell>
          <cell r="F3476" t="str">
            <v>50097</v>
          </cell>
          <cell r="G3476" t="str">
            <v>榮剛七</v>
          </cell>
          <cell r="H3476">
            <v>100000</v>
          </cell>
          <cell r="I3476">
            <v>4.2</v>
          </cell>
          <cell r="J3476">
            <v>46234</v>
          </cell>
          <cell r="K3476">
            <v>101.51</v>
          </cell>
          <cell r="L3476">
            <v>46216</v>
          </cell>
          <cell r="M3476">
            <v>-2647</v>
          </cell>
          <cell r="N3476">
            <v>97353</v>
          </cell>
        </row>
        <row r="3477">
          <cell r="A3477">
            <v>84781</v>
          </cell>
          <cell r="B3477">
            <v>3471</v>
          </cell>
          <cell r="C3477" t="str">
            <v>IASWD2409000617</v>
          </cell>
          <cell r="D3477">
            <v>45562</v>
          </cell>
          <cell r="E3477">
            <v>46583</v>
          </cell>
          <cell r="F3477" t="str">
            <v>84781</v>
          </cell>
          <cell r="G3477" t="str">
            <v>東哥遊艇一</v>
          </cell>
          <cell r="H3477">
            <v>700000</v>
          </cell>
          <cell r="I3477">
            <v>3.1</v>
          </cell>
          <cell r="J3477">
            <v>46583</v>
          </cell>
          <cell r="K3477">
            <v>100</v>
          </cell>
          <cell r="L3477">
            <v>46563</v>
          </cell>
          <cell r="M3477">
            <v>-13674</v>
          </cell>
          <cell r="N3477">
            <v>686326</v>
          </cell>
        </row>
        <row r="3478">
          <cell r="A3478">
            <v>64145</v>
          </cell>
          <cell r="B3478">
            <v>3472</v>
          </cell>
          <cell r="C3478" t="str">
            <v>IASWD2409000618</v>
          </cell>
          <cell r="D3478">
            <v>45562</v>
          </cell>
          <cell r="E3478">
            <v>46250</v>
          </cell>
          <cell r="F3478" t="str">
            <v>64145</v>
          </cell>
          <cell r="G3478" t="str">
            <v>樺漢五</v>
          </cell>
          <cell r="H3478">
            <v>100000</v>
          </cell>
          <cell r="I3478">
            <v>3</v>
          </cell>
          <cell r="J3478">
            <v>46250</v>
          </cell>
          <cell r="K3478">
            <v>100</v>
          </cell>
          <cell r="L3478">
            <v>46231</v>
          </cell>
          <cell r="M3478">
            <v>-1890</v>
          </cell>
          <cell r="N3478">
            <v>98110</v>
          </cell>
        </row>
        <row r="3479">
          <cell r="A3479">
            <v>56086</v>
          </cell>
          <cell r="B3479">
            <v>3473</v>
          </cell>
          <cell r="C3479" t="str">
            <v>IASWD2409000620</v>
          </cell>
          <cell r="D3479">
            <v>45562</v>
          </cell>
          <cell r="E3479">
            <v>46194</v>
          </cell>
          <cell r="F3479" t="str">
            <v>56086</v>
          </cell>
          <cell r="G3479" t="str">
            <v>四維航六</v>
          </cell>
          <cell r="H3479">
            <v>100000</v>
          </cell>
          <cell r="I3479">
            <v>2.35</v>
          </cell>
          <cell r="J3479">
            <v>46194</v>
          </cell>
          <cell r="K3479">
            <v>100</v>
          </cell>
          <cell r="L3479">
            <v>46175</v>
          </cell>
          <cell r="M3479">
            <v>-1481</v>
          </cell>
          <cell r="N3479">
            <v>98519</v>
          </cell>
        </row>
        <row r="3480">
          <cell r="A3480">
            <v>140202</v>
          </cell>
          <cell r="B3480">
            <v>3474</v>
          </cell>
          <cell r="C3480" t="str">
            <v>IASWD2409000621</v>
          </cell>
          <cell r="D3480">
            <v>45562</v>
          </cell>
          <cell r="E3480">
            <v>46607</v>
          </cell>
          <cell r="F3480" t="str">
            <v>140202</v>
          </cell>
          <cell r="G3480" t="str">
            <v>遠東新E2永</v>
          </cell>
          <cell r="H3480">
            <v>100000</v>
          </cell>
          <cell r="I3480">
            <v>2.5</v>
          </cell>
          <cell r="J3480">
            <v>46607</v>
          </cell>
          <cell r="K3480">
            <v>100</v>
          </cell>
          <cell r="L3480">
            <v>46588</v>
          </cell>
          <cell r="M3480">
            <v>-1575</v>
          </cell>
          <cell r="N3480">
            <v>98425</v>
          </cell>
        </row>
        <row r="3481">
          <cell r="A3481">
            <v>82551</v>
          </cell>
          <cell r="B3481">
            <v>3475</v>
          </cell>
          <cell r="C3481" t="str">
            <v>IASWD2409000622</v>
          </cell>
          <cell r="D3481">
            <v>45562</v>
          </cell>
          <cell r="E3481">
            <v>46243</v>
          </cell>
          <cell r="F3481" t="str">
            <v>82551</v>
          </cell>
          <cell r="G3481" t="str">
            <v>朋程一</v>
          </cell>
          <cell r="H3481">
            <v>100000</v>
          </cell>
          <cell r="I3481">
            <v>2.6</v>
          </cell>
          <cell r="J3481">
            <v>46243</v>
          </cell>
          <cell r="K3481">
            <v>100</v>
          </cell>
          <cell r="L3481">
            <v>46224</v>
          </cell>
          <cell r="M3481">
            <v>-1638</v>
          </cell>
          <cell r="N3481">
            <v>98362</v>
          </cell>
        </row>
        <row r="3482">
          <cell r="A3482">
            <v>50097</v>
          </cell>
          <cell r="B3482">
            <v>3476</v>
          </cell>
          <cell r="C3482" t="str">
            <v>IASWD2409000624</v>
          </cell>
          <cell r="D3482">
            <v>45562</v>
          </cell>
          <cell r="E3482">
            <v>46234</v>
          </cell>
          <cell r="F3482" t="str">
            <v>50097</v>
          </cell>
          <cell r="G3482" t="str">
            <v>榮剛七</v>
          </cell>
          <cell r="H3482">
            <v>300000</v>
          </cell>
          <cell r="I3482">
            <v>4.2</v>
          </cell>
          <cell r="J3482">
            <v>46234</v>
          </cell>
          <cell r="K3482">
            <v>101.51</v>
          </cell>
          <cell r="L3482">
            <v>46216</v>
          </cell>
          <cell r="M3482">
            <v>-7940</v>
          </cell>
          <cell r="N3482">
            <v>292060</v>
          </cell>
        </row>
        <row r="3483">
          <cell r="A3483">
            <v>34834</v>
          </cell>
          <cell r="B3483">
            <v>3477</v>
          </cell>
          <cell r="C3483" t="str">
            <v>IASWD2409000625</v>
          </cell>
          <cell r="D3483">
            <v>45565</v>
          </cell>
          <cell r="E3483">
            <v>46529</v>
          </cell>
          <cell r="F3483" t="str">
            <v>34834</v>
          </cell>
          <cell r="G3483" t="str">
            <v>力致四</v>
          </cell>
          <cell r="H3483">
            <v>500000</v>
          </cell>
          <cell r="I3483">
            <v>3.75</v>
          </cell>
          <cell r="J3483">
            <v>46529</v>
          </cell>
          <cell r="K3483">
            <v>100</v>
          </cell>
          <cell r="L3483">
            <v>46511</v>
          </cell>
          <cell r="M3483">
            <v>-11661</v>
          </cell>
          <cell r="N3483">
            <v>488339</v>
          </cell>
        </row>
        <row r="3484">
          <cell r="A3484">
            <v>67531</v>
          </cell>
          <cell r="B3484">
            <v>3478</v>
          </cell>
          <cell r="C3484" t="str">
            <v>IASWD2409000626</v>
          </cell>
          <cell r="D3484">
            <v>45565</v>
          </cell>
          <cell r="E3484">
            <v>46563</v>
          </cell>
          <cell r="F3484" t="str">
            <v>67531</v>
          </cell>
          <cell r="G3484" t="str">
            <v>龍德造船一</v>
          </cell>
          <cell r="H3484">
            <v>100000</v>
          </cell>
          <cell r="I3484">
            <v>3.75</v>
          </cell>
          <cell r="J3484">
            <v>46563</v>
          </cell>
          <cell r="K3484">
            <v>100</v>
          </cell>
          <cell r="L3484">
            <v>46545</v>
          </cell>
          <cell r="M3484">
            <v>-2332</v>
          </cell>
          <cell r="N3484">
            <v>97668</v>
          </cell>
        </row>
        <row r="3485">
          <cell r="A3485">
            <v>82551</v>
          </cell>
          <cell r="B3485">
            <v>3479</v>
          </cell>
          <cell r="C3485" t="str">
            <v>IASWD2409000628</v>
          </cell>
          <cell r="D3485">
            <v>45565</v>
          </cell>
          <cell r="E3485">
            <v>46243</v>
          </cell>
          <cell r="F3485" t="str">
            <v>82551</v>
          </cell>
          <cell r="G3485" t="str">
            <v>朋程一</v>
          </cell>
          <cell r="H3485">
            <v>200000</v>
          </cell>
          <cell r="I3485">
            <v>2.6</v>
          </cell>
          <cell r="J3485">
            <v>46243</v>
          </cell>
          <cell r="K3485">
            <v>100</v>
          </cell>
          <cell r="L3485">
            <v>46224</v>
          </cell>
          <cell r="M3485">
            <v>-3234</v>
          </cell>
          <cell r="N3485">
            <v>196766</v>
          </cell>
        </row>
        <row r="3486">
          <cell r="A3486">
            <v>50097</v>
          </cell>
          <cell r="B3486">
            <v>3480</v>
          </cell>
          <cell r="C3486" t="str">
            <v>IASWD2409000630</v>
          </cell>
          <cell r="D3486">
            <v>45565</v>
          </cell>
          <cell r="E3486">
            <v>46234</v>
          </cell>
          <cell r="F3486" t="str">
            <v>50097</v>
          </cell>
          <cell r="G3486" t="str">
            <v>榮剛七</v>
          </cell>
          <cell r="H3486">
            <v>600000</v>
          </cell>
          <cell r="I3486">
            <v>4</v>
          </cell>
          <cell r="J3486">
            <v>46234</v>
          </cell>
          <cell r="K3486">
            <v>101.51</v>
          </cell>
          <cell r="L3486">
            <v>46216</v>
          </cell>
          <cell r="M3486">
            <v>-14926</v>
          </cell>
          <cell r="N3486">
            <v>585074</v>
          </cell>
        </row>
        <row r="3487">
          <cell r="A3487">
            <v>22013</v>
          </cell>
          <cell r="B3487">
            <v>3481</v>
          </cell>
          <cell r="C3487" t="str">
            <v>IASWD2409000632</v>
          </cell>
          <cell r="D3487">
            <v>45565</v>
          </cell>
          <cell r="E3487">
            <v>46167</v>
          </cell>
          <cell r="F3487" t="str">
            <v>22013</v>
          </cell>
          <cell r="G3487" t="str">
            <v>裕隆三</v>
          </cell>
          <cell r="H3487">
            <v>800000</v>
          </cell>
          <cell r="I3487">
            <v>3.25</v>
          </cell>
          <cell r="J3487">
            <v>46167</v>
          </cell>
          <cell r="K3487">
            <v>100.75190000000001</v>
          </cell>
          <cell r="L3487">
            <v>46147</v>
          </cell>
          <cell r="M3487">
            <v>-16170</v>
          </cell>
          <cell r="N3487">
            <v>783830</v>
          </cell>
        </row>
        <row r="3488">
          <cell r="A3488">
            <v>34163</v>
          </cell>
          <cell r="B3488">
            <v>3482</v>
          </cell>
          <cell r="C3488" t="str">
            <v>IASWD2409000633</v>
          </cell>
          <cell r="D3488">
            <v>45565</v>
          </cell>
          <cell r="E3488">
            <v>46047</v>
          </cell>
          <cell r="F3488" t="str">
            <v>34163</v>
          </cell>
          <cell r="G3488" t="str">
            <v>融程電三</v>
          </cell>
          <cell r="H3488">
            <v>100000</v>
          </cell>
          <cell r="I3488">
            <v>3</v>
          </cell>
          <cell r="J3488">
            <v>46047</v>
          </cell>
          <cell r="K3488">
            <v>100.5</v>
          </cell>
          <cell r="L3488">
            <v>46028</v>
          </cell>
          <cell r="M3488">
            <v>-1866</v>
          </cell>
          <cell r="N3488">
            <v>98134</v>
          </cell>
        </row>
        <row r="3489">
          <cell r="A3489">
            <v>140202</v>
          </cell>
          <cell r="B3489">
            <v>3483</v>
          </cell>
          <cell r="C3489" t="str">
            <v>IASWD2409000634</v>
          </cell>
          <cell r="D3489">
            <v>45565</v>
          </cell>
          <cell r="E3489">
            <v>46607</v>
          </cell>
          <cell r="F3489" t="str">
            <v>140202</v>
          </cell>
          <cell r="G3489" t="str">
            <v>遠東新E2永</v>
          </cell>
          <cell r="H3489">
            <v>500000</v>
          </cell>
          <cell r="I3489">
            <v>2.5</v>
          </cell>
          <cell r="J3489">
            <v>46607</v>
          </cell>
          <cell r="K3489">
            <v>100</v>
          </cell>
          <cell r="L3489">
            <v>46588</v>
          </cell>
          <cell r="M3489">
            <v>-7774</v>
          </cell>
          <cell r="N3489">
            <v>492226</v>
          </cell>
        </row>
        <row r="3490">
          <cell r="A3490">
            <v>22013</v>
          </cell>
          <cell r="B3490">
            <v>3484</v>
          </cell>
          <cell r="C3490" t="str">
            <v>IASWD2409000635</v>
          </cell>
          <cell r="D3490">
            <v>45565</v>
          </cell>
          <cell r="E3490">
            <v>46167</v>
          </cell>
          <cell r="F3490" t="str">
            <v>22013</v>
          </cell>
          <cell r="G3490" t="str">
            <v>裕隆三</v>
          </cell>
          <cell r="H3490">
            <v>100000</v>
          </cell>
          <cell r="I3490">
            <v>3.25</v>
          </cell>
          <cell r="J3490">
            <v>46167</v>
          </cell>
          <cell r="K3490">
            <v>100.75190000000001</v>
          </cell>
          <cell r="L3490">
            <v>46147</v>
          </cell>
          <cell r="M3490">
            <v>-2021</v>
          </cell>
          <cell r="N3490">
            <v>97979</v>
          </cell>
        </row>
        <row r="3491">
          <cell r="A3491">
            <v>34834</v>
          </cell>
          <cell r="B3491">
            <v>3485</v>
          </cell>
          <cell r="C3491" t="str">
            <v>IASWD2409000636</v>
          </cell>
          <cell r="D3491">
            <v>45565</v>
          </cell>
          <cell r="E3491">
            <v>46529</v>
          </cell>
          <cell r="F3491" t="str">
            <v>34834</v>
          </cell>
          <cell r="G3491" t="str">
            <v>力致四</v>
          </cell>
          <cell r="H3491">
            <v>100000</v>
          </cell>
          <cell r="I3491">
            <v>3.75</v>
          </cell>
          <cell r="J3491">
            <v>46529</v>
          </cell>
          <cell r="K3491">
            <v>100</v>
          </cell>
          <cell r="L3491">
            <v>46511</v>
          </cell>
          <cell r="M3491">
            <v>-2332</v>
          </cell>
          <cell r="N3491">
            <v>97668</v>
          </cell>
        </row>
        <row r="3492">
          <cell r="A3492">
            <v>50097</v>
          </cell>
          <cell r="B3492">
            <v>3486</v>
          </cell>
          <cell r="C3492" t="str">
            <v>IASWD2409000637</v>
          </cell>
          <cell r="D3492">
            <v>45565</v>
          </cell>
          <cell r="E3492">
            <v>46234</v>
          </cell>
          <cell r="F3492" t="str">
            <v>50097</v>
          </cell>
          <cell r="G3492" t="str">
            <v>榮剛七</v>
          </cell>
          <cell r="H3492">
            <v>300000</v>
          </cell>
          <cell r="I3492">
            <v>4</v>
          </cell>
          <cell r="J3492">
            <v>46234</v>
          </cell>
          <cell r="K3492">
            <v>101.51</v>
          </cell>
          <cell r="L3492">
            <v>46216</v>
          </cell>
          <cell r="M3492">
            <v>-7463</v>
          </cell>
          <cell r="N3492">
            <v>292537</v>
          </cell>
        </row>
        <row r="3493">
          <cell r="A3493">
            <v>15364</v>
          </cell>
          <cell r="B3493">
            <v>3487</v>
          </cell>
          <cell r="C3493" t="str">
            <v>IASWD2409000638</v>
          </cell>
          <cell r="D3493">
            <v>45565</v>
          </cell>
          <cell r="E3493">
            <v>46246</v>
          </cell>
          <cell r="F3493" t="str">
            <v>15364</v>
          </cell>
          <cell r="G3493" t="str">
            <v>和大四</v>
          </cell>
          <cell r="H3493">
            <v>300000</v>
          </cell>
          <cell r="I3493">
            <v>4.2</v>
          </cell>
          <cell r="J3493">
            <v>46246</v>
          </cell>
          <cell r="K3493">
            <v>100</v>
          </cell>
          <cell r="L3493">
            <v>46226</v>
          </cell>
          <cell r="M3493">
            <v>-7836</v>
          </cell>
          <cell r="N3493">
            <v>292164</v>
          </cell>
        </row>
        <row r="3494">
          <cell r="A3494">
            <v>22013</v>
          </cell>
          <cell r="B3494">
            <v>3488</v>
          </cell>
          <cell r="C3494" t="str">
            <v>IASWD2409000639</v>
          </cell>
          <cell r="D3494">
            <v>45565</v>
          </cell>
          <cell r="E3494">
            <v>46167</v>
          </cell>
          <cell r="F3494" t="str">
            <v>22013</v>
          </cell>
          <cell r="G3494" t="str">
            <v>裕隆三</v>
          </cell>
          <cell r="H3494">
            <v>200000</v>
          </cell>
          <cell r="I3494">
            <v>3.25</v>
          </cell>
          <cell r="J3494">
            <v>46167</v>
          </cell>
          <cell r="K3494">
            <v>100.75190000000001</v>
          </cell>
          <cell r="L3494">
            <v>46147</v>
          </cell>
          <cell r="M3494">
            <v>-4042</v>
          </cell>
          <cell r="N3494">
            <v>195958</v>
          </cell>
        </row>
        <row r="3495">
          <cell r="A3495">
            <v>82551</v>
          </cell>
          <cell r="B3495">
            <v>3489</v>
          </cell>
          <cell r="C3495" t="str">
            <v>IASWD2409000640</v>
          </cell>
          <cell r="D3495">
            <v>45565</v>
          </cell>
          <cell r="E3495">
            <v>46243</v>
          </cell>
          <cell r="F3495" t="str">
            <v>82551</v>
          </cell>
          <cell r="G3495" t="str">
            <v>朋程一</v>
          </cell>
          <cell r="H3495">
            <v>100000</v>
          </cell>
          <cell r="I3495">
            <v>2.6</v>
          </cell>
          <cell r="J3495">
            <v>46243</v>
          </cell>
          <cell r="K3495">
            <v>100</v>
          </cell>
          <cell r="L3495">
            <v>46224</v>
          </cell>
          <cell r="M3495">
            <v>-1617</v>
          </cell>
          <cell r="N3495">
            <v>98383</v>
          </cell>
        </row>
        <row r="3496">
          <cell r="A3496">
            <v>22013</v>
          </cell>
          <cell r="B3496">
            <v>3490</v>
          </cell>
          <cell r="C3496" t="str">
            <v>IASWD2409000641</v>
          </cell>
          <cell r="D3496">
            <v>45565</v>
          </cell>
          <cell r="E3496">
            <v>46167</v>
          </cell>
          <cell r="F3496" t="str">
            <v>22013</v>
          </cell>
          <cell r="G3496" t="str">
            <v>裕隆三</v>
          </cell>
          <cell r="H3496">
            <v>100000</v>
          </cell>
          <cell r="I3496">
            <v>3.25</v>
          </cell>
          <cell r="J3496">
            <v>46167</v>
          </cell>
          <cell r="K3496">
            <v>100.75190000000001</v>
          </cell>
          <cell r="L3496">
            <v>46147</v>
          </cell>
          <cell r="M3496">
            <v>-2021</v>
          </cell>
          <cell r="N3496">
            <v>97979</v>
          </cell>
        </row>
        <row r="3497">
          <cell r="A3497">
            <v>22013</v>
          </cell>
          <cell r="B3497">
            <v>3491</v>
          </cell>
          <cell r="C3497" t="str">
            <v>IASWD2410000001</v>
          </cell>
          <cell r="D3497">
            <v>45566</v>
          </cell>
          <cell r="E3497">
            <v>46167</v>
          </cell>
          <cell r="F3497" t="str">
            <v>22013</v>
          </cell>
          <cell r="G3497" t="str">
            <v>裕隆三</v>
          </cell>
          <cell r="H3497">
            <v>500000</v>
          </cell>
          <cell r="I3497">
            <v>3.25</v>
          </cell>
          <cell r="J3497">
            <v>46167</v>
          </cell>
          <cell r="K3497">
            <v>100.75190000000001</v>
          </cell>
          <cell r="L3497">
            <v>46147</v>
          </cell>
          <cell r="M3497">
            <v>-10062</v>
          </cell>
          <cell r="N3497">
            <v>489938</v>
          </cell>
        </row>
        <row r="3498">
          <cell r="A3498">
            <v>67152</v>
          </cell>
          <cell r="B3498">
            <v>3492</v>
          </cell>
          <cell r="C3498" t="str">
            <v>IASWD2410000002</v>
          </cell>
          <cell r="D3498">
            <v>45566</v>
          </cell>
          <cell r="E3498">
            <v>46405</v>
          </cell>
          <cell r="F3498" t="str">
            <v>67152</v>
          </cell>
          <cell r="G3498" t="str">
            <v>嘉基二</v>
          </cell>
          <cell r="H3498">
            <v>500000</v>
          </cell>
          <cell r="I3498">
            <v>3</v>
          </cell>
          <cell r="J3498">
            <v>46405</v>
          </cell>
          <cell r="K3498">
            <v>100</v>
          </cell>
          <cell r="L3498">
            <v>46385</v>
          </cell>
          <cell r="M3498">
            <v>-9288</v>
          </cell>
          <cell r="N3498">
            <v>490712</v>
          </cell>
        </row>
        <row r="3499">
          <cell r="A3499">
            <v>82551</v>
          </cell>
          <cell r="B3499">
            <v>3493</v>
          </cell>
          <cell r="C3499" t="str">
            <v>IASWD2410000003</v>
          </cell>
          <cell r="D3499">
            <v>45566</v>
          </cell>
          <cell r="E3499">
            <v>46243</v>
          </cell>
          <cell r="F3499" t="str">
            <v>82551</v>
          </cell>
          <cell r="G3499" t="str">
            <v>朋程一</v>
          </cell>
          <cell r="H3499">
            <v>100000</v>
          </cell>
          <cell r="I3499">
            <v>2.6</v>
          </cell>
          <cell r="J3499">
            <v>46243</v>
          </cell>
          <cell r="K3499">
            <v>100</v>
          </cell>
          <cell r="L3499">
            <v>46224</v>
          </cell>
          <cell r="M3499">
            <v>-1610</v>
          </cell>
          <cell r="N3499">
            <v>98390</v>
          </cell>
        </row>
        <row r="3500">
          <cell r="A3500">
            <v>140202</v>
          </cell>
          <cell r="B3500">
            <v>3494</v>
          </cell>
          <cell r="C3500" t="str">
            <v>IASWD2410000004</v>
          </cell>
          <cell r="D3500">
            <v>45566</v>
          </cell>
          <cell r="E3500">
            <v>46607</v>
          </cell>
          <cell r="F3500" t="str">
            <v>140202</v>
          </cell>
          <cell r="G3500" t="str">
            <v>遠東新E2永</v>
          </cell>
          <cell r="H3500">
            <v>800000</v>
          </cell>
          <cell r="I3500">
            <v>2.5</v>
          </cell>
          <cell r="J3500">
            <v>46607</v>
          </cell>
          <cell r="K3500">
            <v>100</v>
          </cell>
          <cell r="L3500">
            <v>46588</v>
          </cell>
          <cell r="M3500">
            <v>-12384</v>
          </cell>
          <cell r="N3500">
            <v>787616</v>
          </cell>
        </row>
        <row r="3501">
          <cell r="A3501">
            <v>140202</v>
          </cell>
          <cell r="B3501">
            <v>3495</v>
          </cell>
          <cell r="C3501" t="str">
            <v>IASWD2410000007</v>
          </cell>
          <cell r="D3501">
            <v>45566</v>
          </cell>
          <cell r="E3501">
            <v>46607</v>
          </cell>
          <cell r="F3501" t="str">
            <v>140202</v>
          </cell>
          <cell r="G3501" t="str">
            <v>遠東新E2永</v>
          </cell>
          <cell r="H3501">
            <v>300000</v>
          </cell>
          <cell r="I3501">
            <v>2.5</v>
          </cell>
          <cell r="J3501">
            <v>46607</v>
          </cell>
          <cell r="K3501">
            <v>100</v>
          </cell>
          <cell r="L3501">
            <v>46588</v>
          </cell>
          <cell r="M3501">
            <v>-4644</v>
          </cell>
          <cell r="N3501">
            <v>295356</v>
          </cell>
        </row>
        <row r="3502">
          <cell r="A3502">
            <v>61394</v>
          </cell>
          <cell r="B3502">
            <v>3496</v>
          </cell>
          <cell r="C3502" t="str">
            <v>IASWD2410000008</v>
          </cell>
          <cell r="D3502">
            <v>45566</v>
          </cell>
          <cell r="E3502">
            <v>46047</v>
          </cell>
          <cell r="F3502" t="str">
            <v>61394</v>
          </cell>
          <cell r="G3502" t="str">
            <v>亞翔四</v>
          </cell>
          <cell r="H3502">
            <v>600000</v>
          </cell>
          <cell r="I3502">
            <v>3</v>
          </cell>
          <cell r="J3502">
            <v>46047</v>
          </cell>
          <cell r="K3502">
            <v>101.0025</v>
          </cell>
          <cell r="L3502">
            <v>46028</v>
          </cell>
          <cell r="M3502">
            <v>-11145</v>
          </cell>
          <cell r="N3502">
            <v>588855</v>
          </cell>
        </row>
        <row r="3503">
          <cell r="A3503">
            <v>80914</v>
          </cell>
          <cell r="B3503">
            <v>3497</v>
          </cell>
          <cell r="C3503" t="str">
            <v>IASWD2410000010</v>
          </cell>
          <cell r="D3503">
            <v>45566</v>
          </cell>
          <cell r="E3503">
            <v>46249</v>
          </cell>
          <cell r="F3503" t="str">
            <v>80914</v>
          </cell>
          <cell r="G3503" t="str">
            <v>翔名四</v>
          </cell>
          <cell r="H3503">
            <v>100000</v>
          </cell>
          <cell r="I3503">
            <v>3.1</v>
          </cell>
          <cell r="J3503">
            <v>46249</v>
          </cell>
          <cell r="K3503">
            <v>100.25</v>
          </cell>
          <cell r="L3503">
            <v>46231</v>
          </cell>
          <cell r="M3503">
            <v>-1919</v>
          </cell>
          <cell r="N3503">
            <v>98081</v>
          </cell>
        </row>
        <row r="3504">
          <cell r="A3504">
            <v>34834</v>
          </cell>
          <cell r="B3504">
            <v>3498</v>
          </cell>
          <cell r="C3504" t="str">
            <v>IASWD2410000011</v>
          </cell>
          <cell r="D3504">
            <v>45566</v>
          </cell>
          <cell r="E3504">
            <v>46529</v>
          </cell>
          <cell r="F3504" t="str">
            <v>34834</v>
          </cell>
          <cell r="G3504" t="str">
            <v>力致四</v>
          </cell>
          <cell r="H3504">
            <v>200000</v>
          </cell>
          <cell r="I3504">
            <v>3.75</v>
          </cell>
          <cell r="J3504">
            <v>46529</v>
          </cell>
          <cell r="K3504">
            <v>100</v>
          </cell>
          <cell r="L3504">
            <v>46511</v>
          </cell>
          <cell r="M3504">
            <v>-4644</v>
          </cell>
          <cell r="N3504">
            <v>195356</v>
          </cell>
        </row>
        <row r="3505">
          <cell r="A3505">
            <v>84673</v>
          </cell>
          <cell r="B3505">
            <v>3499</v>
          </cell>
          <cell r="C3505" t="str">
            <v>IASWD2410000012</v>
          </cell>
          <cell r="D3505">
            <v>45566</v>
          </cell>
          <cell r="E3505">
            <v>46538</v>
          </cell>
          <cell r="F3505" t="str">
            <v>84673</v>
          </cell>
          <cell r="G3505" t="str">
            <v>波力三KY</v>
          </cell>
          <cell r="H3505">
            <v>100000</v>
          </cell>
          <cell r="I3505">
            <v>4.2</v>
          </cell>
          <cell r="J3505">
            <v>46538</v>
          </cell>
          <cell r="K3505">
            <v>100</v>
          </cell>
          <cell r="L3505">
            <v>46518</v>
          </cell>
          <cell r="M3505">
            <v>-2601</v>
          </cell>
          <cell r="N3505">
            <v>97399</v>
          </cell>
        </row>
        <row r="3506">
          <cell r="A3506">
            <v>140201</v>
          </cell>
          <cell r="B3506">
            <v>3500</v>
          </cell>
          <cell r="C3506" t="str">
            <v>IASWD2410000015</v>
          </cell>
          <cell r="D3506">
            <v>45566</v>
          </cell>
          <cell r="E3506">
            <v>46607</v>
          </cell>
          <cell r="F3506" t="str">
            <v>140201</v>
          </cell>
          <cell r="G3506" t="str">
            <v>遠東新E1永</v>
          </cell>
          <cell r="H3506">
            <v>500000</v>
          </cell>
          <cell r="I3506">
            <v>2.5</v>
          </cell>
          <cell r="J3506">
            <v>46607</v>
          </cell>
          <cell r="K3506">
            <v>100</v>
          </cell>
          <cell r="L3506">
            <v>46588</v>
          </cell>
          <cell r="M3506">
            <v>-7740</v>
          </cell>
          <cell r="N3506">
            <v>492260</v>
          </cell>
        </row>
        <row r="3507">
          <cell r="A3507">
            <v>34834</v>
          </cell>
          <cell r="B3507">
            <v>3501</v>
          </cell>
          <cell r="C3507" t="str">
            <v>IASWD2410000016</v>
          </cell>
          <cell r="D3507">
            <v>45566</v>
          </cell>
          <cell r="E3507">
            <v>46529</v>
          </cell>
          <cell r="F3507" t="str">
            <v>34834</v>
          </cell>
          <cell r="G3507" t="str">
            <v>力致四</v>
          </cell>
          <cell r="H3507">
            <v>100000</v>
          </cell>
          <cell r="I3507">
            <v>3.75</v>
          </cell>
          <cell r="J3507">
            <v>46529</v>
          </cell>
          <cell r="K3507">
            <v>100</v>
          </cell>
          <cell r="L3507">
            <v>46511</v>
          </cell>
          <cell r="M3507">
            <v>-2322</v>
          </cell>
          <cell r="N3507">
            <v>97678</v>
          </cell>
        </row>
        <row r="3508">
          <cell r="A3508">
            <v>22013</v>
          </cell>
          <cell r="B3508">
            <v>3502</v>
          </cell>
          <cell r="C3508" t="str">
            <v>IASWD2410000017</v>
          </cell>
          <cell r="D3508">
            <v>45566</v>
          </cell>
          <cell r="E3508">
            <v>46167</v>
          </cell>
          <cell r="F3508" t="str">
            <v>22013</v>
          </cell>
          <cell r="G3508" t="str">
            <v>裕隆三</v>
          </cell>
          <cell r="H3508">
            <v>300000</v>
          </cell>
          <cell r="I3508">
            <v>3.25</v>
          </cell>
          <cell r="J3508">
            <v>46167</v>
          </cell>
          <cell r="K3508">
            <v>100.75190000000001</v>
          </cell>
          <cell r="L3508">
            <v>46147</v>
          </cell>
          <cell r="M3508">
            <v>-6037</v>
          </cell>
          <cell r="N3508">
            <v>293963</v>
          </cell>
        </row>
        <row r="3509">
          <cell r="A3509">
            <v>140202</v>
          </cell>
          <cell r="B3509">
            <v>3503</v>
          </cell>
          <cell r="C3509" t="str">
            <v>IASWD2410000018</v>
          </cell>
          <cell r="D3509">
            <v>45569</v>
          </cell>
          <cell r="E3509">
            <v>46607</v>
          </cell>
          <cell r="F3509" t="str">
            <v>140202</v>
          </cell>
          <cell r="G3509" t="str">
            <v>遠東新E2永</v>
          </cell>
          <cell r="H3509">
            <v>100000</v>
          </cell>
          <cell r="I3509">
            <v>2.5</v>
          </cell>
          <cell r="J3509">
            <v>46607</v>
          </cell>
          <cell r="K3509">
            <v>100</v>
          </cell>
          <cell r="L3509">
            <v>46588</v>
          </cell>
          <cell r="M3509">
            <v>-1527</v>
          </cell>
          <cell r="N3509">
            <v>98473</v>
          </cell>
        </row>
        <row r="3510">
          <cell r="A3510">
            <v>64145</v>
          </cell>
          <cell r="B3510">
            <v>3504</v>
          </cell>
          <cell r="C3510" t="str">
            <v>IASWD2410000021</v>
          </cell>
          <cell r="D3510">
            <v>45569</v>
          </cell>
          <cell r="E3510">
            <v>46250</v>
          </cell>
          <cell r="F3510" t="str">
            <v>64145</v>
          </cell>
          <cell r="G3510" t="str">
            <v>樺漢五</v>
          </cell>
          <cell r="H3510">
            <v>100000</v>
          </cell>
          <cell r="I3510">
            <v>3</v>
          </cell>
          <cell r="J3510">
            <v>46250</v>
          </cell>
          <cell r="K3510">
            <v>100</v>
          </cell>
          <cell r="L3510">
            <v>46231</v>
          </cell>
          <cell r="M3510">
            <v>-1833</v>
          </cell>
          <cell r="N3510">
            <v>98167</v>
          </cell>
        </row>
        <row r="3511">
          <cell r="A3511">
            <v>34834</v>
          </cell>
          <cell r="B3511">
            <v>3505</v>
          </cell>
          <cell r="C3511" t="str">
            <v>IASWD2410000023</v>
          </cell>
          <cell r="D3511">
            <v>45569</v>
          </cell>
          <cell r="E3511">
            <v>46529</v>
          </cell>
          <cell r="F3511" t="str">
            <v>34834</v>
          </cell>
          <cell r="G3511" t="str">
            <v>力致四</v>
          </cell>
          <cell r="H3511">
            <v>200000</v>
          </cell>
          <cell r="I3511">
            <v>3.75</v>
          </cell>
          <cell r="J3511">
            <v>46529</v>
          </cell>
          <cell r="K3511">
            <v>100</v>
          </cell>
          <cell r="L3511">
            <v>46511</v>
          </cell>
          <cell r="M3511">
            <v>-4582</v>
          </cell>
          <cell r="N3511">
            <v>195418</v>
          </cell>
        </row>
        <row r="3512">
          <cell r="A3512">
            <v>140201</v>
          </cell>
          <cell r="B3512">
            <v>3506</v>
          </cell>
          <cell r="C3512" t="str">
            <v>IASWD2410000025</v>
          </cell>
          <cell r="D3512">
            <v>45569</v>
          </cell>
          <cell r="E3512">
            <v>46607</v>
          </cell>
          <cell r="F3512" t="str">
            <v>140201</v>
          </cell>
          <cell r="G3512" t="str">
            <v>遠東新E1永</v>
          </cell>
          <cell r="H3512">
            <v>300000</v>
          </cell>
          <cell r="I3512">
            <v>2.5</v>
          </cell>
          <cell r="J3512">
            <v>46607</v>
          </cell>
          <cell r="K3512">
            <v>100</v>
          </cell>
          <cell r="L3512">
            <v>46588</v>
          </cell>
          <cell r="M3512">
            <v>-4582</v>
          </cell>
          <cell r="N3512">
            <v>295418</v>
          </cell>
        </row>
        <row r="3513">
          <cell r="A3513">
            <v>64145</v>
          </cell>
          <cell r="B3513">
            <v>3507</v>
          </cell>
          <cell r="C3513" t="str">
            <v>IASWD2410000026</v>
          </cell>
          <cell r="D3513">
            <v>45569</v>
          </cell>
          <cell r="E3513">
            <v>46250</v>
          </cell>
          <cell r="F3513" t="str">
            <v>64145</v>
          </cell>
          <cell r="G3513" t="str">
            <v>樺漢五</v>
          </cell>
          <cell r="H3513">
            <v>100000</v>
          </cell>
          <cell r="I3513">
            <v>3</v>
          </cell>
          <cell r="J3513">
            <v>46250</v>
          </cell>
          <cell r="K3513">
            <v>100</v>
          </cell>
          <cell r="L3513">
            <v>46231</v>
          </cell>
          <cell r="M3513">
            <v>-1833</v>
          </cell>
          <cell r="N3513">
            <v>98167</v>
          </cell>
        </row>
        <row r="3514">
          <cell r="A3514">
            <v>22013</v>
          </cell>
          <cell r="B3514">
            <v>3508</v>
          </cell>
          <cell r="C3514" t="str">
            <v>IASWD2410000028</v>
          </cell>
          <cell r="D3514">
            <v>45569</v>
          </cell>
          <cell r="E3514">
            <v>46167</v>
          </cell>
          <cell r="F3514" t="str">
            <v>22013</v>
          </cell>
          <cell r="G3514" t="str">
            <v>裕隆三</v>
          </cell>
          <cell r="H3514">
            <v>100000</v>
          </cell>
          <cell r="I3514">
            <v>3.25</v>
          </cell>
          <cell r="J3514">
            <v>46167</v>
          </cell>
          <cell r="K3514">
            <v>100.75190000000001</v>
          </cell>
          <cell r="L3514">
            <v>46147</v>
          </cell>
          <cell r="M3514">
            <v>-1986</v>
          </cell>
          <cell r="N3514">
            <v>98014</v>
          </cell>
        </row>
        <row r="3515">
          <cell r="A3515">
            <v>140202</v>
          </cell>
          <cell r="B3515">
            <v>3509</v>
          </cell>
          <cell r="C3515" t="str">
            <v>IASWD2410000029</v>
          </cell>
          <cell r="D3515">
            <v>45569</v>
          </cell>
          <cell r="E3515">
            <v>46607</v>
          </cell>
          <cell r="F3515" t="str">
            <v>140202</v>
          </cell>
          <cell r="G3515" t="str">
            <v>遠東新E2永</v>
          </cell>
          <cell r="H3515">
            <v>1000000</v>
          </cell>
          <cell r="I3515">
            <v>2.5</v>
          </cell>
          <cell r="J3515">
            <v>46607</v>
          </cell>
          <cell r="K3515">
            <v>100</v>
          </cell>
          <cell r="L3515">
            <v>46588</v>
          </cell>
          <cell r="M3515">
            <v>-15274</v>
          </cell>
          <cell r="N3515">
            <v>984726</v>
          </cell>
        </row>
        <row r="3516">
          <cell r="A3516">
            <v>52091</v>
          </cell>
          <cell r="B3516">
            <v>3510</v>
          </cell>
          <cell r="C3516" t="str">
            <v>IASWD2410000033</v>
          </cell>
          <cell r="D3516">
            <v>45569</v>
          </cell>
          <cell r="E3516">
            <v>46301</v>
          </cell>
          <cell r="F3516" t="str">
            <v>52091</v>
          </cell>
          <cell r="G3516" t="str">
            <v>新鼎一</v>
          </cell>
          <cell r="H3516">
            <v>100000</v>
          </cell>
          <cell r="I3516">
            <v>3.75</v>
          </cell>
          <cell r="J3516">
            <v>46301</v>
          </cell>
          <cell r="K3516">
            <v>100</v>
          </cell>
          <cell r="L3516">
            <v>46281</v>
          </cell>
          <cell r="M3516">
            <v>-2291</v>
          </cell>
          <cell r="N3516">
            <v>97709</v>
          </cell>
        </row>
        <row r="3517">
          <cell r="A3517">
            <v>80914</v>
          </cell>
          <cell r="B3517">
            <v>3511</v>
          </cell>
          <cell r="C3517" t="str">
            <v>IASWD2410000035</v>
          </cell>
          <cell r="D3517">
            <v>45569</v>
          </cell>
          <cell r="E3517">
            <v>46249</v>
          </cell>
          <cell r="F3517" t="str">
            <v>80914</v>
          </cell>
          <cell r="G3517" t="str">
            <v>翔名四</v>
          </cell>
          <cell r="H3517">
            <v>400000</v>
          </cell>
          <cell r="I3517">
            <v>3.1</v>
          </cell>
          <cell r="J3517">
            <v>46249</v>
          </cell>
          <cell r="K3517">
            <v>100.25</v>
          </cell>
          <cell r="L3517">
            <v>46231</v>
          </cell>
          <cell r="M3517">
            <v>-7576</v>
          </cell>
          <cell r="N3517">
            <v>392424</v>
          </cell>
        </row>
        <row r="3518">
          <cell r="A3518">
            <v>15364</v>
          </cell>
          <cell r="B3518">
            <v>3512</v>
          </cell>
          <cell r="C3518" t="str">
            <v>IASWD2410000036</v>
          </cell>
          <cell r="D3518">
            <v>45569</v>
          </cell>
          <cell r="E3518">
            <v>46246</v>
          </cell>
          <cell r="F3518" t="str">
            <v>15364</v>
          </cell>
          <cell r="G3518" t="str">
            <v>和大四</v>
          </cell>
          <cell r="H3518">
            <v>200000</v>
          </cell>
          <cell r="I3518">
            <v>4.2</v>
          </cell>
          <cell r="J3518">
            <v>46246</v>
          </cell>
          <cell r="K3518">
            <v>100</v>
          </cell>
          <cell r="L3518">
            <v>46226</v>
          </cell>
          <cell r="M3518">
            <v>-5132</v>
          </cell>
          <cell r="N3518">
            <v>194868</v>
          </cell>
        </row>
        <row r="3519">
          <cell r="A3519">
            <v>140202</v>
          </cell>
          <cell r="B3519">
            <v>3513</v>
          </cell>
          <cell r="C3519" t="str">
            <v>IASWD2410000037</v>
          </cell>
          <cell r="D3519">
            <v>45572</v>
          </cell>
          <cell r="E3519">
            <v>46607</v>
          </cell>
          <cell r="F3519" t="str">
            <v>140202</v>
          </cell>
          <cell r="G3519" t="str">
            <v>遠東新E2永</v>
          </cell>
          <cell r="H3519">
            <v>1000000</v>
          </cell>
          <cell r="I3519">
            <v>2.5</v>
          </cell>
          <cell r="J3519">
            <v>46607</v>
          </cell>
          <cell r="K3519">
            <v>100</v>
          </cell>
          <cell r="L3519">
            <v>46588</v>
          </cell>
          <cell r="M3519">
            <v>-15068</v>
          </cell>
          <cell r="N3519">
            <v>984932</v>
          </cell>
        </row>
        <row r="3520">
          <cell r="A3520">
            <v>140202</v>
          </cell>
          <cell r="B3520">
            <v>3514</v>
          </cell>
          <cell r="C3520" t="str">
            <v>IASWD2410000039</v>
          </cell>
          <cell r="D3520">
            <v>45572</v>
          </cell>
          <cell r="E3520">
            <v>46607</v>
          </cell>
          <cell r="F3520" t="str">
            <v>140202</v>
          </cell>
          <cell r="G3520" t="str">
            <v>遠東新E2永</v>
          </cell>
          <cell r="H3520">
            <v>100000</v>
          </cell>
          <cell r="I3520">
            <v>2.5</v>
          </cell>
          <cell r="J3520">
            <v>46607</v>
          </cell>
          <cell r="K3520">
            <v>100</v>
          </cell>
          <cell r="L3520">
            <v>46588</v>
          </cell>
          <cell r="M3520">
            <v>-1507</v>
          </cell>
          <cell r="N3520">
            <v>98493</v>
          </cell>
        </row>
        <row r="3521">
          <cell r="A3521">
            <v>140202</v>
          </cell>
          <cell r="B3521">
            <v>3515</v>
          </cell>
          <cell r="C3521" t="str">
            <v>IASWD2410000040</v>
          </cell>
          <cell r="D3521">
            <v>45572</v>
          </cell>
          <cell r="E3521">
            <v>46607</v>
          </cell>
          <cell r="F3521" t="str">
            <v>140202</v>
          </cell>
          <cell r="G3521" t="str">
            <v>遠東新E2永</v>
          </cell>
          <cell r="H3521">
            <v>500000</v>
          </cell>
          <cell r="I3521">
            <v>2.5</v>
          </cell>
          <cell r="J3521">
            <v>46607</v>
          </cell>
          <cell r="K3521">
            <v>100</v>
          </cell>
          <cell r="L3521">
            <v>46588</v>
          </cell>
          <cell r="M3521">
            <v>-7534</v>
          </cell>
          <cell r="N3521">
            <v>492466</v>
          </cell>
        </row>
        <row r="3522">
          <cell r="A3522">
            <v>140202</v>
          </cell>
          <cell r="B3522">
            <v>3516</v>
          </cell>
          <cell r="C3522" t="str">
            <v>IASWD2410000042</v>
          </cell>
          <cell r="D3522">
            <v>45572</v>
          </cell>
          <cell r="E3522">
            <v>46607</v>
          </cell>
          <cell r="F3522" t="str">
            <v>140202</v>
          </cell>
          <cell r="G3522" t="str">
            <v>遠東新E2永</v>
          </cell>
          <cell r="H3522">
            <v>1000000</v>
          </cell>
          <cell r="I3522">
            <v>2.5</v>
          </cell>
          <cell r="J3522">
            <v>46607</v>
          </cell>
          <cell r="K3522">
            <v>100</v>
          </cell>
          <cell r="L3522">
            <v>46588</v>
          </cell>
          <cell r="M3522">
            <v>-15068</v>
          </cell>
          <cell r="N3522">
            <v>984932</v>
          </cell>
        </row>
        <row r="3523">
          <cell r="A3523">
            <v>36804</v>
          </cell>
          <cell r="B3523">
            <v>3517</v>
          </cell>
          <cell r="C3523" t="str">
            <v>IASWD2410000044</v>
          </cell>
          <cell r="D3523">
            <v>45572</v>
          </cell>
          <cell r="E3523">
            <v>45948</v>
          </cell>
          <cell r="F3523" t="str">
            <v>36804</v>
          </cell>
          <cell r="G3523" t="str">
            <v>家登四</v>
          </cell>
          <cell r="H3523">
            <v>100000</v>
          </cell>
          <cell r="I3523">
            <v>3.2</v>
          </cell>
          <cell r="J3523">
            <v>45948</v>
          </cell>
          <cell r="K3523">
            <v>100</v>
          </cell>
          <cell r="L3523">
            <v>45926</v>
          </cell>
          <cell r="M3523">
            <v>-1929</v>
          </cell>
          <cell r="N3523">
            <v>98071</v>
          </cell>
        </row>
        <row r="3524">
          <cell r="A3524">
            <v>34834</v>
          </cell>
          <cell r="B3524">
            <v>3518</v>
          </cell>
          <cell r="C3524" t="str">
            <v>IASWD2410000045</v>
          </cell>
          <cell r="D3524">
            <v>45572</v>
          </cell>
          <cell r="E3524">
            <v>46529</v>
          </cell>
          <cell r="F3524" t="str">
            <v>34834</v>
          </cell>
          <cell r="G3524" t="str">
            <v>力致四</v>
          </cell>
          <cell r="H3524">
            <v>300000</v>
          </cell>
          <cell r="I3524">
            <v>3.75</v>
          </cell>
          <cell r="J3524">
            <v>46529</v>
          </cell>
          <cell r="K3524">
            <v>100</v>
          </cell>
          <cell r="L3524">
            <v>46511</v>
          </cell>
          <cell r="M3524">
            <v>-6781</v>
          </cell>
          <cell r="N3524">
            <v>293219</v>
          </cell>
        </row>
        <row r="3525">
          <cell r="A3525">
            <v>82551</v>
          </cell>
          <cell r="B3525">
            <v>3519</v>
          </cell>
          <cell r="C3525" t="str">
            <v>IASWD2410000049</v>
          </cell>
          <cell r="D3525">
            <v>45572</v>
          </cell>
          <cell r="E3525">
            <v>46243</v>
          </cell>
          <cell r="F3525" t="str">
            <v>82551</v>
          </cell>
          <cell r="G3525" t="str">
            <v>朋程一</v>
          </cell>
          <cell r="H3525">
            <v>100000</v>
          </cell>
          <cell r="I3525">
            <v>2.6</v>
          </cell>
          <cell r="J3525">
            <v>46243</v>
          </cell>
          <cell r="K3525">
            <v>100</v>
          </cell>
          <cell r="L3525">
            <v>46224</v>
          </cell>
          <cell r="M3525">
            <v>-1567</v>
          </cell>
          <cell r="N3525">
            <v>98433</v>
          </cell>
        </row>
        <row r="3526">
          <cell r="A3526">
            <v>67531</v>
          </cell>
          <cell r="B3526">
            <v>3520</v>
          </cell>
          <cell r="C3526" t="str">
            <v>IASWD2410000050</v>
          </cell>
          <cell r="D3526">
            <v>45572</v>
          </cell>
          <cell r="E3526">
            <v>46563</v>
          </cell>
          <cell r="F3526" t="str">
            <v>67531</v>
          </cell>
          <cell r="G3526" t="str">
            <v>龍德造船一</v>
          </cell>
          <cell r="H3526">
            <v>100000</v>
          </cell>
          <cell r="I3526">
            <v>3.75</v>
          </cell>
          <cell r="J3526">
            <v>46563</v>
          </cell>
          <cell r="K3526">
            <v>100</v>
          </cell>
          <cell r="L3526">
            <v>46545</v>
          </cell>
          <cell r="M3526">
            <v>-2260</v>
          </cell>
          <cell r="N3526">
            <v>97740</v>
          </cell>
        </row>
        <row r="3527">
          <cell r="A3527">
            <v>61394</v>
          </cell>
          <cell r="B3527">
            <v>3521</v>
          </cell>
          <cell r="C3527" t="str">
            <v>IASWD2410000051</v>
          </cell>
          <cell r="D3527">
            <v>45572</v>
          </cell>
          <cell r="E3527">
            <v>46047</v>
          </cell>
          <cell r="F3527" t="str">
            <v>61394</v>
          </cell>
          <cell r="G3527" t="str">
            <v>亞翔四</v>
          </cell>
          <cell r="H3527">
            <v>1000000</v>
          </cell>
          <cell r="I3527">
            <v>3</v>
          </cell>
          <cell r="J3527">
            <v>46047</v>
          </cell>
          <cell r="K3527">
            <v>101.0025</v>
          </cell>
          <cell r="L3527">
            <v>46028</v>
          </cell>
          <cell r="M3527">
            <v>-18082</v>
          </cell>
          <cell r="N3527">
            <v>981918</v>
          </cell>
        </row>
        <row r="3528">
          <cell r="A3528">
            <v>67531</v>
          </cell>
          <cell r="B3528">
            <v>3522</v>
          </cell>
          <cell r="C3528" t="str">
            <v>IASWD2410000053</v>
          </cell>
          <cell r="D3528">
            <v>45572</v>
          </cell>
          <cell r="E3528">
            <v>46563</v>
          </cell>
          <cell r="F3528" t="str">
            <v>67531</v>
          </cell>
          <cell r="G3528" t="str">
            <v>龍德造船一</v>
          </cell>
          <cell r="H3528">
            <v>600000</v>
          </cell>
          <cell r="I3528">
            <v>3.75</v>
          </cell>
          <cell r="J3528">
            <v>46563</v>
          </cell>
          <cell r="K3528">
            <v>100</v>
          </cell>
          <cell r="L3528">
            <v>46545</v>
          </cell>
          <cell r="M3528">
            <v>-13562</v>
          </cell>
          <cell r="N3528">
            <v>586438</v>
          </cell>
        </row>
        <row r="3529">
          <cell r="A3529">
            <v>140202</v>
          </cell>
          <cell r="B3529">
            <v>3523</v>
          </cell>
          <cell r="C3529" t="str">
            <v>IASWD2410000054</v>
          </cell>
          <cell r="D3529">
            <v>45572</v>
          </cell>
          <cell r="E3529">
            <v>46607</v>
          </cell>
          <cell r="F3529" t="str">
            <v>140202</v>
          </cell>
          <cell r="G3529" t="str">
            <v>遠東新E2永</v>
          </cell>
          <cell r="H3529">
            <v>10000000</v>
          </cell>
          <cell r="I3529">
            <v>2.5</v>
          </cell>
          <cell r="J3529">
            <v>46607</v>
          </cell>
          <cell r="K3529">
            <v>100</v>
          </cell>
          <cell r="L3529">
            <v>46588</v>
          </cell>
          <cell r="M3529">
            <v>-150685</v>
          </cell>
          <cell r="N3529">
            <v>9849315</v>
          </cell>
        </row>
        <row r="3530">
          <cell r="A3530">
            <v>50097</v>
          </cell>
          <cell r="B3530">
            <v>3524</v>
          </cell>
          <cell r="C3530" t="str">
            <v>IASWD2410000055</v>
          </cell>
          <cell r="D3530">
            <v>45572</v>
          </cell>
          <cell r="E3530">
            <v>46234</v>
          </cell>
          <cell r="F3530" t="str">
            <v>50097</v>
          </cell>
          <cell r="G3530" t="str">
            <v>榮剛七</v>
          </cell>
          <cell r="H3530">
            <v>800000</v>
          </cell>
          <cell r="I3530">
            <v>4.2</v>
          </cell>
          <cell r="J3530">
            <v>46234</v>
          </cell>
          <cell r="K3530">
            <v>101.51</v>
          </cell>
          <cell r="L3530">
            <v>46216</v>
          </cell>
          <cell r="M3530">
            <v>-20252</v>
          </cell>
          <cell r="N3530">
            <v>779748</v>
          </cell>
        </row>
        <row r="3531">
          <cell r="A3531">
            <v>65521</v>
          </cell>
          <cell r="B3531">
            <v>3525</v>
          </cell>
          <cell r="C3531" t="str">
            <v>IASWD2410000057</v>
          </cell>
          <cell r="D3531">
            <v>45572</v>
          </cell>
          <cell r="E3531">
            <v>46320</v>
          </cell>
          <cell r="F3531" t="str">
            <v>65521</v>
          </cell>
          <cell r="G3531" t="str">
            <v>易華電一</v>
          </cell>
          <cell r="H3531">
            <v>100000</v>
          </cell>
          <cell r="I3531">
            <v>2.2999999999999998</v>
          </cell>
          <cell r="J3531">
            <v>46320</v>
          </cell>
          <cell r="K3531">
            <v>100</v>
          </cell>
          <cell r="L3531">
            <v>46301</v>
          </cell>
          <cell r="M3531">
            <v>-1386</v>
          </cell>
          <cell r="N3531">
            <v>98614</v>
          </cell>
        </row>
        <row r="3532">
          <cell r="A3532">
            <v>65521</v>
          </cell>
          <cell r="B3532">
            <v>3526</v>
          </cell>
          <cell r="C3532" t="str">
            <v>IASWD2410000059</v>
          </cell>
          <cell r="D3532">
            <v>45572</v>
          </cell>
          <cell r="E3532">
            <v>46320</v>
          </cell>
          <cell r="F3532" t="str">
            <v>65521</v>
          </cell>
          <cell r="G3532" t="str">
            <v>易華電一</v>
          </cell>
          <cell r="H3532">
            <v>100000</v>
          </cell>
          <cell r="I3532">
            <v>2.2999999999999998</v>
          </cell>
          <cell r="J3532">
            <v>46320</v>
          </cell>
          <cell r="K3532">
            <v>100</v>
          </cell>
          <cell r="L3532">
            <v>46301</v>
          </cell>
          <cell r="M3532">
            <v>-1386</v>
          </cell>
          <cell r="N3532">
            <v>98614</v>
          </cell>
        </row>
        <row r="3533">
          <cell r="A3533">
            <v>34834</v>
          </cell>
          <cell r="B3533">
            <v>3527</v>
          </cell>
          <cell r="C3533" t="str">
            <v>IASWD2410000060</v>
          </cell>
          <cell r="D3533">
            <v>45572</v>
          </cell>
          <cell r="E3533">
            <v>46529</v>
          </cell>
          <cell r="F3533" t="str">
            <v>34834</v>
          </cell>
          <cell r="G3533" t="str">
            <v>力致四</v>
          </cell>
          <cell r="H3533">
            <v>100000</v>
          </cell>
          <cell r="I3533">
            <v>3.75</v>
          </cell>
          <cell r="J3533">
            <v>46529</v>
          </cell>
          <cell r="K3533">
            <v>100</v>
          </cell>
          <cell r="L3533">
            <v>46511</v>
          </cell>
          <cell r="M3533">
            <v>-2260</v>
          </cell>
          <cell r="N3533">
            <v>97740</v>
          </cell>
        </row>
        <row r="3534">
          <cell r="A3534">
            <v>34834</v>
          </cell>
          <cell r="B3534">
            <v>3528</v>
          </cell>
          <cell r="C3534" t="str">
            <v>IASWD2410000063</v>
          </cell>
          <cell r="D3534">
            <v>45573</v>
          </cell>
          <cell r="E3534">
            <v>46529</v>
          </cell>
          <cell r="F3534" t="str">
            <v>34834</v>
          </cell>
          <cell r="G3534" t="str">
            <v>力致四</v>
          </cell>
          <cell r="H3534">
            <v>100000</v>
          </cell>
          <cell r="I3534">
            <v>3.75</v>
          </cell>
          <cell r="J3534">
            <v>46529</v>
          </cell>
          <cell r="K3534">
            <v>100</v>
          </cell>
          <cell r="L3534">
            <v>46511</v>
          </cell>
          <cell r="M3534">
            <v>-2250</v>
          </cell>
          <cell r="N3534">
            <v>97750</v>
          </cell>
        </row>
        <row r="3535">
          <cell r="A3535">
            <v>15364</v>
          </cell>
          <cell r="B3535">
            <v>3529</v>
          </cell>
          <cell r="C3535" t="str">
            <v>IASWD2410000067</v>
          </cell>
          <cell r="D3535">
            <v>45573</v>
          </cell>
          <cell r="E3535">
            <v>46246</v>
          </cell>
          <cell r="F3535" t="str">
            <v>15364</v>
          </cell>
          <cell r="G3535" t="str">
            <v>和大四</v>
          </cell>
          <cell r="H3535">
            <v>100000</v>
          </cell>
          <cell r="I3535">
            <v>4.2</v>
          </cell>
          <cell r="J3535">
            <v>46246</v>
          </cell>
          <cell r="K3535">
            <v>100</v>
          </cell>
          <cell r="L3535">
            <v>46226</v>
          </cell>
          <cell r="M3535">
            <v>-2520</v>
          </cell>
          <cell r="N3535">
            <v>97480</v>
          </cell>
        </row>
        <row r="3536">
          <cell r="A3536">
            <v>65096</v>
          </cell>
          <cell r="B3536">
            <v>3530</v>
          </cell>
          <cell r="C3536" t="str">
            <v>IASWD2410000068</v>
          </cell>
          <cell r="D3536">
            <v>45573</v>
          </cell>
          <cell r="E3536">
            <v>46206</v>
          </cell>
          <cell r="F3536" t="str">
            <v>65096</v>
          </cell>
          <cell r="G3536" t="str">
            <v>聚和六</v>
          </cell>
          <cell r="H3536">
            <v>100000</v>
          </cell>
          <cell r="I3536">
            <v>3.1</v>
          </cell>
          <cell r="J3536">
            <v>46206</v>
          </cell>
          <cell r="K3536">
            <v>100</v>
          </cell>
          <cell r="L3536">
            <v>46188</v>
          </cell>
          <cell r="M3536">
            <v>-1860</v>
          </cell>
          <cell r="N3536">
            <v>98140</v>
          </cell>
        </row>
        <row r="3537">
          <cell r="A3537">
            <v>82551</v>
          </cell>
          <cell r="B3537">
            <v>3531</v>
          </cell>
          <cell r="C3537" t="str">
            <v>IASWD2410000069</v>
          </cell>
          <cell r="D3537">
            <v>45573</v>
          </cell>
          <cell r="E3537">
            <v>46243</v>
          </cell>
          <cell r="F3537" t="str">
            <v>82551</v>
          </cell>
          <cell r="G3537" t="str">
            <v>朋程一</v>
          </cell>
          <cell r="H3537">
            <v>100000</v>
          </cell>
          <cell r="I3537">
            <v>2.6</v>
          </cell>
          <cell r="J3537">
            <v>46243</v>
          </cell>
          <cell r="K3537">
            <v>100</v>
          </cell>
          <cell r="L3537">
            <v>46224</v>
          </cell>
          <cell r="M3537">
            <v>-1560</v>
          </cell>
          <cell r="N3537">
            <v>98440</v>
          </cell>
        </row>
        <row r="3538">
          <cell r="A3538">
            <v>67531</v>
          </cell>
          <cell r="B3538">
            <v>3532</v>
          </cell>
          <cell r="C3538" t="str">
            <v>IASWD2410000070</v>
          </cell>
          <cell r="D3538">
            <v>45573</v>
          </cell>
          <cell r="E3538">
            <v>46563</v>
          </cell>
          <cell r="F3538" t="str">
            <v>67531</v>
          </cell>
          <cell r="G3538" t="str">
            <v>龍德造船一</v>
          </cell>
          <cell r="H3538">
            <v>100000</v>
          </cell>
          <cell r="I3538">
            <v>3.75</v>
          </cell>
          <cell r="J3538">
            <v>46563</v>
          </cell>
          <cell r="K3538">
            <v>100</v>
          </cell>
          <cell r="L3538">
            <v>46545</v>
          </cell>
          <cell r="M3538">
            <v>-2250</v>
          </cell>
          <cell r="N3538">
            <v>97750</v>
          </cell>
        </row>
        <row r="3539">
          <cell r="A3539">
            <v>15364</v>
          </cell>
          <cell r="B3539">
            <v>3533</v>
          </cell>
          <cell r="C3539" t="str">
            <v>IASWD2410000071</v>
          </cell>
          <cell r="D3539">
            <v>45573</v>
          </cell>
          <cell r="E3539">
            <v>46246</v>
          </cell>
          <cell r="F3539" t="str">
            <v>15364</v>
          </cell>
          <cell r="G3539" t="str">
            <v>和大四</v>
          </cell>
          <cell r="H3539">
            <v>300000</v>
          </cell>
          <cell r="I3539">
            <v>4.2</v>
          </cell>
          <cell r="J3539">
            <v>46246</v>
          </cell>
          <cell r="K3539">
            <v>100</v>
          </cell>
          <cell r="L3539">
            <v>46226</v>
          </cell>
          <cell r="M3539">
            <v>-7560</v>
          </cell>
          <cell r="N3539">
            <v>292440</v>
          </cell>
        </row>
        <row r="3540">
          <cell r="A3540">
            <v>84781</v>
          </cell>
          <cell r="B3540">
            <v>3534</v>
          </cell>
          <cell r="C3540" t="str">
            <v>IASWD2410000073</v>
          </cell>
          <cell r="D3540">
            <v>45573</v>
          </cell>
          <cell r="E3540">
            <v>46583</v>
          </cell>
          <cell r="F3540" t="str">
            <v>84781</v>
          </cell>
          <cell r="G3540" t="str">
            <v>東哥遊艇一</v>
          </cell>
          <cell r="H3540">
            <v>200000</v>
          </cell>
          <cell r="I3540">
            <v>3.1</v>
          </cell>
          <cell r="J3540">
            <v>46583</v>
          </cell>
          <cell r="K3540">
            <v>100</v>
          </cell>
          <cell r="L3540">
            <v>46563</v>
          </cell>
          <cell r="M3540">
            <v>-3720</v>
          </cell>
          <cell r="N3540">
            <v>196280</v>
          </cell>
        </row>
        <row r="3541">
          <cell r="A3541">
            <v>50097</v>
          </cell>
          <cell r="B3541">
            <v>3535</v>
          </cell>
          <cell r="C3541" t="str">
            <v>IASWD2410000075</v>
          </cell>
          <cell r="D3541">
            <v>45573</v>
          </cell>
          <cell r="E3541">
            <v>46234</v>
          </cell>
          <cell r="F3541" t="str">
            <v>50097</v>
          </cell>
          <cell r="G3541" t="str">
            <v>榮剛七</v>
          </cell>
          <cell r="H3541">
            <v>200000</v>
          </cell>
          <cell r="I3541">
            <v>4.2</v>
          </cell>
          <cell r="J3541">
            <v>46234</v>
          </cell>
          <cell r="K3541">
            <v>101.51</v>
          </cell>
          <cell r="L3541">
            <v>46216</v>
          </cell>
          <cell r="M3541">
            <v>-5040</v>
          </cell>
          <cell r="N3541">
            <v>194960</v>
          </cell>
        </row>
        <row r="3542">
          <cell r="A3542">
            <v>67531</v>
          </cell>
          <cell r="B3542">
            <v>3536</v>
          </cell>
          <cell r="C3542" t="str">
            <v>IASWD2410000077</v>
          </cell>
          <cell r="D3542">
            <v>45573</v>
          </cell>
          <cell r="E3542">
            <v>46563</v>
          </cell>
          <cell r="F3542" t="str">
            <v>67531</v>
          </cell>
          <cell r="G3542" t="str">
            <v>龍德造船一</v>
          </cell>
          <cell r="H3542">
            <v>500000</v>
          </cell>
          <cell r="I3542">
            <v>3.75</v>
          </cell>
          <cell r="J3542">
            <v>46563</v>
          </cell>
          <cell r="K3542">
            <v>100</v>
          </cell>
          <cell r="L3542">
            <v>46545</v>
          </cell>
          <cell r="M3542">
            <v>-11250</v>
          </cell>
          <cell r="N3542">
            <v>488750</v>
          </cell>
        </row>
        <row r="3543">
          <cell r="A3543">
            <v>61843</v>
          </cell>
          <cell r="B3543">
            <v>3537</v>
          </cell>
          <cell r="C3543" t="str">
            <v>IASWD2410000078</v>
          </cell>
          <cell r="D3543">
            <v>45573</v>
          </cell>
          <cell r="E3543">
            <v>46452</v>
          </cell>
          <cell r="F3543" t="str">
            <v>61843</v>
          </cell>
          <cell r="G3543" t="str">
            <v>大豐電三</v>
          </cell>
          <cell r="H3543">
            <v>300000</v>
          </cell>
          <cell r="I3543">
            <v>3.75</v>
          </cell>
          <cell r="J3543">
            <v>46452</v>
          </cell>
          <cell r="K3543">
            <v>101.50749999999999</v>
          </cell>
          <cell r="L3543">
            <v>46434</v>
          </cell>
          <cell r="M3543">
            <v>-6750</v>
          </cell>
          <cell r="N3543">
            <v>293250</v>
          </cell>
        </row>
        <row r="3544">
          <cell r="A3544">
            <v>35266</v>
          </cell>
          <cell r="B3544">
            <v>3538</v>
          </cell>
          <cell r="C3544" t="str">
            <v>IASWD2410000108</v>
          </cell>
          <cell r="D3544">
            <v>45574</v>
          </cell>
          <cell r="E3544">
            <v>46416</v>
          </cell>
          <cell r="F3544" t="str">
            <v>35266</v>
          </cell>
          <cell r="G3544" t="str">
            <v>凡甲六</v>
          </cell>
          <cell r="H3544">
            <v>100000</v>
          </cell>
          <cell r="I3544">
            <v>3.5</v>
          </cell>
          <cell r="J3544">
            <v>46416</v>
          </cell>
          <cell r="K3544">
            <v>100</v>
          </cell>
          <cell r="L3544">
            <v>46398</v>
          </cell>
          <cell r="M3544">
            <v>-2090</v>
          </cell>
          <cell r="N3544">
            <v>97910</v>
          </cell>
        </row>
        <row r="3545">
          <cell r="A3545">
            <v>22013</v>
          </cell>
          <cell r="B3545">
            <v>3539</v>
          </cell>
          <cell r="C3545" t="str">
            <v>IASWD2410000112</v>
          </cell>
          <cell r="D3545">
            <v>45574</v>
          </cell>
          <cell r="E3545">
            <v>46167</v>
          </cell>
          <cell r="F3545" t="str">
            <v>22013</v>
          </cell>
          <cell r="G3545" t="str">
            <v>裕隆三</v>
          </cell>
          <cell r="H3545">
            <v>100000</v>
          </cell>
          <cell r="I3545">
            <v>3.25</v>
          </cell>
          <cell r="J3545">
            <v>46167</v>
          </cell>
          <cell r="K3545">
            <v>100.75190000000001</v>
          </cell>
          <cell r="L3545">
            <v>46147</v>
          </cell>
          <cell r="M3545">
            <v>-1941</v>
          </cell>
          <cell r="N3545">
            <v>98059</v>
          </cell>
        </row>
        <row r="3546">
          <cell r="A3546">
            <v>22013</v>
          </cell>
          <cell r="B3546">
            <v>3540</v>
          </cell>
          <cell r="C3546" t="str">
            <v>IASWD2410000116</v>
          </cell>
          <cell r="D3546">
            <v>45574</v>
          </cell>
          <cell r="E3546">
            <v>46167</v>
          </cell>
          <cell r="F3546" t="str">
            <v>22013</v>
          </cell>
          <cell r="G3546" t="str">
            <v>裕隆三</v>
          </cell>
          <cell r="H3546">
            <v>200000</v>
          </cell>
          <cell r="I3546">
            <v>3.25</v>
          </cell>
          <cell r="J3546">
            <v>46167</v>
          </cell>
          <cell r="K3546">
            <v>100.75190000000001</v>
          </cell>
          <cell r="L3546">
            <v>46147</v>
          </cell>
          <cell r="M3546">
            <v>-3882</v>
          </cell>
          <cell r="N3546">
            <v>196118</v>
          </cell>
        </row>
        <row r="3547">
          <cell r="A3547">
            <v>15364</v>
          </cell>
          <cell r="B3547">
            <v>3541</v>
          </cell>
          <cell r="C3547" t="str">
            <v>IASWD2410000120</v>
          </cell>
          <cell r="D3547">
            <v>45574</v>
          </cell>
          <cell r="E3547">
            <v>46246</v>
          </cell>
          <cell r="F3547" t="str">
            <v>15364</v>
          </cell>
          <cell r="G3547" t="str">
            <v>和大四</v>
          </cell>
          <cell r="H3547">
            <v>300000</v>
          </cell>
          <cell r="I3547">
            <v>4.2</v>
          </cell>
          <cell r="J3547">
            <v>46246</v>
          </cell>
          <cell r="K3547">
            <v>100</v>
          </cell>
          <cell r="L3547">
            <v>46226</v>
          </cell>
          <cell r="M3547">
            <v>-7525</v>
          </cell>
          <cell r="N3547">
            <v>292475</v>
          </cell>
        </row>
        <row r="3548">
          <cell r="A3548">
            <v>22013</v>
          </cell>
          <cell r="B3548">
            <v>3542</v>
          </cell>
          <cell r="C3548" t="str">
            <v>IASWD2410000121</v>
          </cell>
          <cell r="D3548">
            <v>45574</v>
          </cell>
          <cell r="E3548">
            <v>46167</v>
          </cell>
          <cell r="F3548" t="str">
            <v>22013</v>
          </cell>
          <cell r="G3548" t="str">
            <v>裕隆三</v>
          </cell>
          <cell r="H3548">
            <v>1000000</v>
          </cell>
          <cell r="I3548">
            <v>3.25</v>
          </cell>
          <cell r="J3548">
            <v>46167</v>
          </cell>
          <cell r="K3548">
            <v>100.75190000000001</v>
          </cell>
          <cell r="L3548">
            <v>46147</v>
          </cell>
          <cell r="M3548">
            <v>-19411</v>
          </cell>
          <cell r="N3548">
            <v>980589</v>
          </cell>
        </row>
        <row r="3549">
          <cell r="A3549">
            <v>16095</v>
          </cell>
          <cell r="B3549">
            <v>3543</v>
          </cell>
          <cell r="C3549" t="str">
            <v>IASWD2410000124</v>
          </cell>
          <cell r="D3549">
            <v>45574</v>
          </cell>
          <cell r="E3549">
            <v>46660</v>
          </cell>
          <cell r="F3549" t="str">
            <v>16095</v>
          </cell>
          <cell r="G3549" t="str">
            <v>大亞五</v>
          </cell>
          <cell r="H3549">
            <v>200000</v>
          </cell>
          <cell r="I3549">
            <v>3</v>
          </cell>
          <cell r="J3549">
            <v>46660</v>
          </cell>
          <cell r="K3549">
            <v>100.75</v>
          </cell>
          <cell r="L3549">
            <v>46640</v>
          </cell>
          <cell r="M3549">
            <v>-3584</v>
          </cell>
          <cell r="N3549">
            <v>196416</v>
          </cell>
        </row>
        <row r="3550">
          <cell r="A3550">
            <v>16095</v>
          </cell>
          <cell r="B3550">
            <v>3544</v>
          </cell>
          <cell r="C3550" t="str">
            <v>IASWD2410000125</v>
          </cell>
          <cell r="D3550">
            <v>45574</v>
          </cell>
          <cell r="E3550">
            <v>46660</v>
          </cell>
          <cell r="F3550" t="str">
            <v>16095</v>
          </cell>
          <cell r="G3550" t="str">
            <v>大亞五</v>
          </cell>
          <cell r="H3550">
            <v>500000</v>
          </cell>
          <cell r="I3550">
            <v>3</v>
          </cell>
          <cell r="J3550">
            <v>46660</v>
          </cell>
          <cell r="K3550">
            <v>100.75</v>
          </cell>
          <cell r="L3550">
            <v>46640</v>
          </cell>
          <cell r="M3550">
            <v>-8959</v>
          </cell>
          <cell r="N3550">
            <v>491041</v>
          </cell>
        </row>
        <row r="3551">
          <cell r="A3551">
            <v>34834</v>
          </cell>
          <cell r="B3551">
            <v>3545</v>
          </cell>
          <cell r="C3551" t="str">
            <v>IASWD2410000126</v>
          </cell>
          <cell r="D3551">
            <v>45574</v>
          </cell>
          <cell r="E3551">
            <v>46529</v>
          </cell>
          <cell r="F3551" t="str">
            <v>34834</v>
          </cell>
          <cell r="G3551" t="str">
            <v>力致四</v>
          </cell>
          <cell r="H3551">
            <v>100000</v>
          </cell>
          <cell r="I3551">
            <v>3.75</v>
          </cell>
          <cell r="J3551">
            <v>46529</v>
          </cell>
          <cell r="K3551">
            <v>100</v>
          </cell>
          <cell r="L3551">
            <v>46511</v>
          </cell>
          <cell r="M3551">
            <v>-2240</v>
          </cell>
          <cell r="N3551">
            <v>97760</v>
          </cell>
        </row>
        <row r="3552">
          <cell r="A3552">
            <v>61965</v>
          </cell>
          <cell r="B3552">
            <v>3546</v>
          </cell>
          <cell r="C3552" t="str">
            <v>IASWD2410000127</v>
          </cell>
          <cell r="D3552">
            <v>45574</v>
          </cell>
          <cell r="E3552">
            <v>46200</v>
          </cell>
          <cell r="F3552" t="str">
            <v>61965</v>
          </cell>
          <cell r="G3552" t="str">
            <v>帆宣五</v>
          </cell>
          <cell r="H3552">
            <v>100000</v>
          </cell>
          <cell r="I3552">
            <v>3</v>
          </cell>
          <cell r="J3552">
            <v>46200</v>
          </cell>
          <cell r="K3552">
            <v>100</v>
          </cell>
          <cell r="L3552">
            <v>46182</v>
          </cell>
          <cell r="M3552">
            <v>-1792</v>
          </cell>
          <cell r="N3552">
            <v>98208</v>
          </cell>
        </row>
        <row r="3553">
          <cell r="A3553">
            <v>16095</v>
          </cell>
          <cell r="B3553">
            <v>3547</v>
          </cell>
          <cell r="C3553" t="str">
            <v>IASWD2410000129</v>
          </cell>
          <cell r="D3553">
            <v>45574</v>
          </cell>
          <cell r="E3553">
            <v>46660</v>
          </cell>
          <cell r="F3553" t="str">
            <v>16095</v>
          </cell>
          <cell r="G3553" t="str">
            <v>大亞五</v>
          </cell>
          <cell r="H3553">
            <v>100000</v>
          </cell>
          <cell r="I3553">
            <v>3</v>
          </cell>
          <cell r="J3553">
            <v>46660</v>
          </cell>
          <cell r="K3553">
            <v>100.75</v>
          </cell>
          <cell r="L3553">
            <v>46640</v>
          </cell>
          <cell r="M3553">
            <v>-1792</v>
          </cell>
          <cell r="N3553">
            <v>98208</v>
          </cell>
        </row>
        <row r="3554">
          <cell r="A3554">
            <v>16095</v>
          </cell>
          <cell r="B3554">
            <v>3548</v>
          </cell>
          <cell r="C3554" t="str">
            <v>IASWD2410000131</v>
          </cell>
          <cell r="D3554">
            <v>45574</v>
          </cell>
          <cell r="E3554">
            <v>46660</v>
          </cell>
          <cell r="F3554" t="str">
            <v>16095</v>
          </cell>
          <cell r="G3554" t="str">
            <v>大亞五</v>
          </cell>
          <cell r="H3554">
            <v>500000</v>
          </cell>
          <cell r="I3554">
            <v>3</v>
          </cell>
          <cell r="J3554">
            <v>46660</v>
          </cell>
          <cell r="K3554">
            <v>100.75</v>
          </cell>
          <cell r="L3554">
            <v>46640</v>
          </cell>
          <cell r="M3554">
            <v>-8959</v>
          </cell>
          <cell r="N3554">
            <v>491041</v>
          </cell>
        </row>
        <row r="3555">
          <cell r="A3555">
            <v>34793</v>
          </cell>
          <cell r="B3555">
            <v>3549</v>
          </cell>
          <cell r="C3555" t="str">
            <v>IASWD2410000187</v>
          </cell>
          <cell r="D3555">
            <v>45576</v>
          </cell>
          <cell r="E3555">
            <v>46409</v>
          </cell>
          <cell r="F3555" t="str">
            <v>34793</v>
          </cell>
          <cell r="G3555" t="str">
            <v>安勤三</v>
          </cell>
          <cell r="H3555">
            <v>100000</v>
          </cell>
          <cell r="I3555">
            <v>3</v>
          </cell>
          <cell r="J3555">
            <v>46409</v>
          </cell>
          <cell r="K3555">
            <v>100</v>
          </cell>
          <cell r="L3555">
            <v>46391</v>
          </cell>
          <cell r="M3555">
            <v>-1775</v>
          </cell>
          <cell r="N3555">
            <v>98225</v>
          </cell>
        </row>
        <row r="3556">
          <cell r="A3556">
            <v>53064</v>
          </cell>
          <cell r="B3556">
            <v>3550</v>
          </cell>
          <cell r="C3556" t="str">
            <v>IASWD2410000191</v>
          </cell>
          <cell r="D3556">
            <v>45576</v>
          </cell>
          <cell r="E3556">
            <v>46334</v>
          </cell>
          <cell r="F3556" t="str">
            <v>53064</v>
          </cell>
          <cell r="G3556" t="str">
            <v>桂盟四</v>
          </cell>
          <cell r="H3556">
            <v>100000</v>
          </cell>
          <cell r="I3556">
            <v>2.2999999999999998</v>
          </cell>
          <cell r="J3556">
            <v>46334</v>
          </cell>
          <cell r="K3556">
            <v>100</v>
          </cell>
          <cell r="L3556">
            <v>46315</v>
          </cell>
          <cell r="M3556">
            <v>-1361</v>
          </cell>
          <cell r="N3556">
            <v>98639</v>
          </cell>
        </row>
        <row r="3557">
          <cell r="A3557">
            <v>80914</v>
          </cell>
          <cell r="B3557">
            <v>3551</v>
          </cell>
          <cell r="C3557" t="str">
            <v>IASWD2410000192</v>
          </cell>
          <cell r="D3557">
            <v>45576</v>
          </cell>
          <cell r="E3557">
            <v>46249</v>
          </cell>
          <cell r="F3557" t="str">
            <v>80914</v>
          </cell>
          <cell r="G3557" t="str">
            <v>翔名四</v>
          </cell>
          <cell r="H3557">
            <v>400000</v>
          </cell>
          <cell r="I3557">
            <v>3.1</v>
          </cell>
          <cell r="J3557">
            <v>46249</v>
          </cell>
          <cell r="K3557">
            <v>100.25</v>
          </cell>
          <cell r="L3557">
            <v>46231</v>
          </cell>
          <cell r="M3557">
            <v>-7338</v>
          </cell>
          <cell r="N3557">
            <v>392662</v>
          </cell>
        </row>
        <row r="3558">
          <cell r="A3558">
            <v>84781</v>
          </cell>
          <cell r="B3558">
            <v>3552</v>
          </cell>
          <cell r="C3558" t="str">
            <v>IASWD2410000193</v>
          </cell>
          <cell r="D3558">
            <v>45576</v>
          </cell>
          <cell r="E3558">
            <v>46583</v>
          </cell>
          <cell r="F3558" t="str">
            <v>84781</v>
          </cell>
          <cell r="G3558" t="str">
            <v>東哥遊艇一</v>
          </cell>
          <cell r="H3558">
            <v>200000</v>
          </cell>
          <cell r="I3558">
            <v>3.1</v>
          </cell>
          <cell r="J3558">
            <v>46583</v>
          </cell>
          <cell r="K3558">
            <v>100</v>
          </cell>
          <cell r="L3558">
            <v>46563</v>
          </cell>
          <cell r="M3558">
            <v>-3669</v>
          </cell>
          <cell r="N3558">
            <v>196331</v>
          </cell>
        </row>
        <row r="3559">
          <cell r="A3559">
            <v>16095</v>
          </cell>
          <cell r="B3559">
            <v>3553</v>
          </cell>
          <cell r="C3559" t="str">
            <v>IASWD2410000195</v>
          </cell>
          <cell r="D3559">
            <v>45576</v>
          </cell>
          <cell r="E3559">
            <v>46660</v>
          </cell>
          <cell r="F3559" t="str">
            <v>16095</v>
          </cell>
          <cell r="G3559" t="str">
            <v>大亞五</v>
          </cell>
          <cell r="H3559">
            <v>200000</v>
          </cell>
          <cell r="I3559">
            <v>3</v>
          </cell>
          <cell r="J3559">
            <v>46660</v>
          </cell>
          <cell r="K3559">
            <v>100.75</v>
          </cell>
          <cell r="L3559">
            <v>46640</v>
          </cell>
          <cell r="M3559">
            <v>-3551</v>
          </cell>
          <cell r="N3559">
            <v>196449</v>
          </cell>
        </row>
        <row r="3560">
          <cell r="A3560">
            <v>82551</v>
          </cell>
          <cell r="B3560">
            <v>3554</v>
          </cell>
          <cell r="C3560" t="str">
            <v>IASWD2410000197</v>
          </cell>
          <cell r="D3560">
            <v>45576</v>
          </cell>
          <cell r="E3560">
            <v>46243</v>
          </cell>
          <cell r="F3560" t="str">
            <v>82551</v>
          </cell>
          <cell r="G3560" t="str">
            <v>朋程一</v>
          </cell>
          <cell r="H3560">
            <v>200000</v>
          </cell>
          <cell r="I3560">
            <v>2.6</v>
          </cell>
          <cell r="J3560">
            <v>46243</v>
          </cell>
          <cell r="K3560">
            <v>100</v>
          </cell>
          <cell r="L3560">
            <v>46224</v>
          </cell>
          <cell r="M3560">
            <v>-3077</v>
          </cell>
          <cell r="N3560">
            <v>196923</v>
          </cell>
        </row>
        <row r="3561">
          <cell r="A3561">
            <v>82551</v>
          </cell>
          <cell r="B3561">
            <v>3555</v>
          </cell>
          <cell r="C3561" t="str">
            <v>IASWD2410000199</v>
          </cell>
          <cell r="D3561">
            <v>45576</v>
          </cell>
          <cell r="E3561">
            <v>46243</v>
          </cell>
          <cell r="F3561" t="str">
            <v>82551</v>
          </cell>
          <cell r="G3561" t="str">
            <v>朋程一</v>
          </cell>
          <cell r="H3561">
            <v>100000</v>
          </cell>
          <cell r="I3561">
            <v>2.6</v>
          </cell>
          <cell r="J3561">
            <v>46243</v>
          </cell>
          <cell r="K3561">
            <v>100</v>
          </cell>
          <cell r="L3561">
            <v>46224</v>
          </cell>
          <cell r="M3561">
            <v>-1539</v>
          </cell>
          <cell r="N3561">
            <v>98461</v>
          </cell>
        </row>
        <row r="3562">
          <cell r="A3562">
            <v>22013</v>
          </cell>
          <cell r="B3562">
            <v>3556</v>
          </cell>
          <cell r="C3562" t="str">
            <v>IASWD2410000201</v>
          </cell>
          <cell r="D3562">
            <v>45576</v>
          </cell>
          <cell r="E3562">
            <v>46167</v>
          </cell>
          <cell r="F3562" t="str">
            <v>22013</v>
          </cell>
          <cell r="G3562" t="str">
            <v>裕隆三</v>
          </cell>
          <cell r="H3562">
            <v>200000</v>
          </cell>
          <cell r="I3562">
            <v>3.25</v>
          </cell>
          <cell r="J3562">
            <v>46167</v>
          </cell>
          <cell r="K3562">
            <v>100.75190000000001</v>
          </cell>
          <cell r="L3562">
            <v>46147</v>
          </cell>
          <cell r="M3562">
            <v>-3847</v>
          </cell>
          <cell r="N3562">
            <v>196153</v>
          </cell>
        </row>
        <row r="3563">
          <cell r="A3563">
            <v>16095</v>
          </cell>
          <cell r="B3563">
            <v>3557</v>
          </cell>
          <cell r="C3563" t="str">
            <v>IASWD2410000202</v>
          </cell>
          <cell r="D3563">
            <v>45576</v>
          </cell>
          <cell r="E3563">
            <v>46660</v>
          </cell>
          <cell r="F3563" t="str">
            <v>16095</v>
          </cell>
          <cell r="G3563" t="str">
            <v>大亞五</v>
          </cell>
          <cell r="H3563">
            <v>200000</v>
          </cell>
          <cell r="I3563">
            <v>3</v>
          </cell>
          <cell r="J3563">
            <v>46660</v>
          </cell>
          <cell r="K3563">
            <v>100.75</v>
          </cell>
          <cell r="L3563">
            <v>46640</v>
          </cell>
          <cell r="M3563">
            <v>-3551</v>
          </cell>
          <cell r="N3563">
            <v>196449</v>
          </cell>
        </row>
        <row r="3564">
          <cell r="A3564">
            <v>82551</v>
          </cell>
          <cell r="B3564">
            <v>3558</v>
          </cell>
          <cell r="C3564" t="str">
            <v>IASWD2410000203</v>
          </cell>
          <cell r="D3564">
            <v>45576</v>
          </cell>
          <cell r="E3564">
            <v>46243</v>
          </cell>
          <cell r="F3564" t="str">
            <v>82551</v>
          </cell>
          <cell r="G3564" t="str">
            <v>朋程一</v>
          </cell>
          <cell r="H3564">
            <v>100000</v>
          </cell>
          <cell r="I3564">
            <v>2.6</v>
          </cell>
          <cell r="J3564">
            <v>46243</v>
          </cell>
          <cell r="K3564">
            <v>100</v>
          </cell>
          <cell r="L3564">
            <v>46224</v>
          </cell>
          <cell r="M3564">
            <v>-1539</v>
          </cell>
          <cell r="N3564">
            <v>98461</v>
          </cell>
        </row>
        <row r="3565">
          <cell r="A3565">
            <v>22013</v>
          </cell>
          <cell r="B3565">
            <v>3559</v>
          </cell>
          <cell r="C3565" t="str">
            <v>IASWD2410000204</v>
          </cell>
          <cell r="D3565">
            <v>45576</v>
          </cell>
          <cell r="E3565">
            <v>46167</v>
          </cell>
          <cell r="F3565" t="str">
            <v>22013</v>
          </cell>
          <cell r="G3565" t="str">
            <v>裕隆三</v>
          </cell>
          <cell r="H3565">
            <v>100000</v>
          </cell>
          <cell r="I3565">
            <v>3.25</v>
          </cell>
          <cell r="J3565">
            <v>46167</v>
          </cell>
          <cell r="K3565">
            <v>100.75190000000001</v>
          </cell>
          <cell r="L3565">
            <v>46147</v>
          </cell>
          <cell r="M3565">
            <v>-1923</v>
          </cell>
          <cell r="N3565">
            <v>98077</v>
          </cell>
        </row>
        <row r="3566">
          <cell r="A3566">
            <v>16095</v>
          </cell>
          <cell r="B3566">
            <v>3560</v>
          </cell>
          <cell r="C3566" t="str">
            <v>IASWD2410000205</v>
          </cell>
          <cell r="D3566">
            <v>45576</v>
          </cell>
          <cell r="E3566">
            <v>46660</v>
          </cell>
          <cell r="F3566" t="str">
            <v>16095</v>
          </cell>
          <cell r="G3566" t="str">
            <v>大亞五</v>
          </cell>
          <cell r="H3566">
            <v>300000</v>
          </cell>
          <cell r="I3566">
            <v>3</v>
          </cell>
          <cell r="J3566">
            <v>46660</v>
          </cell>
          <cell r="K3566">
            <v>100.75</v>
          </cell>
          <cell r="L3566">
            <v>46640</v>
          </cell>
          <cell r="M3566">
            <v>-5326</v>
          </cell>
          <cell r="N3566">
            <v>294674</v>
          </cell>
        </row>
        <row r="3567">
          <cell r="A3567">
            <v>82551</v>
          </cell>
          <cell r="B3567">
            <v>3561</v>
          </cell>
          <cell r="C3567" t="str">
            <v>IASWD2410000206</v>
          </cell>
          <cell r="D3567">
            <v>45576</v>
          </cell>
          <cell r="E3567">
            <v>46243</v>
          </cell>
          <cell r="F3567" t="str">
            <v>82551</v>
          </cell>
          <cell r="G3567" t="str">
            <v>朋程一</v>
          </cell>
          <cell r="H3567">
            <v>100000</v>
          </cell>
          <cell r="I3567">
            <v>2.6</v>
          </cell>
          <cell r="J3567">
            <v>46243</v>
          </cell>
          <cell r="K3567">
            <v>100</v>
          </cell>
          <cell r="L3567">
            <v>46224</v>
          </cell>
          <cell r="M3567">
            <v>-1539</v>
          </cell>
          <cell r="N3567">
            <v>98461</v>
          </cell>
        </row>
        <row r="3568">
          <cell r="A3568">
            <v>16095</v>
          </cell>
          <cell r="B3568">
            <v>3562</v>
          </cell>
          <cell r="C3568" t="str">
            <v>IASWD2410000207</v>
          </cell>
          <cell r="D3568">
            <v>45576</v>
          </cell>
          <cell r="E3568">
            <v>46660</v>
          </cell>
          <cell r="F3568" t="str">
            <v>16095</v>
          </cell>
          <cell r="G3568" t="str">
            <v>大亞五</v>
          </cell>
          <cell r="H3568">
            <v>100000</v>
          </cell>
          <cell r="I3568">
            <v>3</v>
          </cell>
          <cell r="J3568">
            <v>46660</v>
          </cell>
          <cell r="K3568">
            <v>100.75</v>
          </cell>
          <cell r="L3568">
            <v>46640</v>
          </cell>
          <cell r="M3568">
            <v>-1775</v>
          </cell>
          <cell r="N3568">
            <v>98225</v>
          </cell>
        </row>
        <row r="3569">
          <cell r="A3569">
            <v>34834</v>
          </cell>
          <cell r="B3569">
            <v>3563</v>
          </cell>
          <cell r="C3569" t="str">
            <v>IASWD2410000208</v>
          </cell>
          <cell r="D3569">
            <v>45576</v>
          </cell>
          <cell r="E3569">
            <v>46529</v>
          </cell>
          <cell r="F3569" t="str">
            <v>34834</v>
          </cell>
          <cell r="G3569" t="str">
            <v>力致四</v>
          </cell>
          <cell r="H3569">
            <v>100000</v>
          </cell>
          <cell r="I3569">
            <v>3.75</v>
          </cell>
          <cell r="J3569">
            <v>46529</v>
          </cell>
          <cell r="K3569">
            <v>100</v>
          </cell>
          <cell r="L3569">
            <v>46511</v>
          </cell>
          <cell r="M3569">
            <v>-2219</v>
          </cell>
          <cell r="N3569">
            <v>97781</v>
          </cell>
        </row>
        <row r="3570">
          <cell r="A3570">
            <v>80506</v>
          </cell>
          <cell r="B3570">
            <v>3564</v>
          </cell>
          <cell r="C3570" t="str">
            <v>IASWD2410000211</v>
          </cell>
          <cell r="D3570">
            <v>45576</v>
          </cell>
          <cell r="E3570">
            <v>45983</v>
          </cell>
          <cell r="F3570" t="str">
            <v>80506</v>
          </cell>
          <cell r="G3570" t="str">
            <v>廣積六</v>
          </cell>
          <cell r="H3570">
            <v>1900000</v>
          </cell>
          <cell r="I3570">
            <v>3.25</v>
          </cell>
          <cell r="J3570">
            <v>45983</v>
          </cell>
          <cell r="K3570">
            <v>100.75</v>
          </cell>
          <cell r="L3570">
            <v>45965</v>
          </cell>
          <cell r="M3570">
            <v>-36542</v>
          </cell>
          <cell r="N3570">
            <v>1863458</v>
          </cell>
        </row>
        <row r="3571">
          <cell r="A3571">
            <v>16095</v>
          </cell>
          <cell r="B3571">
            <v>3565</v>
          </cell>
          <cell r="C3571" t="str">
            <v>IASWD2410000212</v>
          </cell>
          <cell r="D3571">
            <v>45576</v>
          </cell>
          <cell r="E3571">
            <v>46660</v>
          </cell>
          <cell r="F3571" t="str">
            <v>16095</v>
          </cell>
          <cell r="G3571" t="str">
            <v>大亞五</v>
          </cell>
          <cell r="H3571">
            <v>300000</v>
          </cell>
          <cell r="I3571">
            <v>3</v>
          </cell>
          <cell r="J3571">
            <v>46660</v>
          </cell>
          <cell r="K3571">
            <v>100.75</v>
          </cell>
          <cell r="L3571">
            <v>46640</v>
          </cell>
          <cell r="M3571">
            <v>-5326</v>
          </cell>
          <cell r="N3571">
            <v>294674</v>
          </cell>
        </row>
        <row r="3572">
          <cell r="A3572">
            <v>25483</v>
          </cell>
          <cell r="B3572">
            <v>3566</v>
          </cell>
          <cell r="C3572" t="str">
            <v>IASWD2410000214</v>
          </cell>
          <cell r="D3572">
            <v>45579</v>
          </cell>
          <cell r="E3572">
            <v>46662</v>
          </cell>
          <cell r="F3572" t="str">
            <v>25483</v>
          </cell>
          <cell r="G3572" t="str">
            <v>華固三</v>
          </cell>
          <cell r="H3572">
            <v>13500000</v>
          </cell>
          <cell r="I3572">
            <v>3</v>
          </cell>
          <cell r="J3572">
            <v>46662</v>
          </cell>
          <cell r="K3572">
            <v>100</v>
          </cell>
          <cell r="L3572">
            <v>46644</v>
          </cell>
          <cell r="M3572">
            <v>-236342</v>
          </cell>
          <cell r="N3572">
            <v>13263658</v>
          </cell>
        </row>
        <row r="3573">
          <cell r="A3573">
            <v>25483</v>
          </cell>
          <cell r="B3573">
            <v>3567</v>
          </cell>
          <cell r="C3573" t="str">
            <v>IASWD2410000215</v>
          </cell>
          <cell r="D3573">
            <v>45579</v>
          </cell>
          <cell r="E3573">
            <v>46662</v>
          </cell>
          <cell r="F3573" t="str">
            <v>25483</v>
          </cell>
          <cell r="G3573" t="str">
            <v>華固三</v>
          </cell>
          <cell r="H3573">
            <v>15000000</v>
          </cell>
          <cell r="I3573">
            <v>3</v>
          </cell>
          <cell r="J3573">
            <v>46662</v>
          </cell>
          <cell r="K3573">
            <v>100</v>
          </cell>
          <cell r="L3573">
            <v>46644</v>
          </cell>
          <cell r="M3573">
            <v>-262603</v>
          </cell>
          <cell r="N3573">
            <v>14737397</v>
          </cell>
        </row>
        <row r="3574">
          <cell r="A3574">
            <v>33121</v>
          </cell>
          <cell r="B3574">
            <v>3568</v>
          </cell>
          <cell r="C3574" t="str">
            <v>IASWD2410000216</v>
          </cell>
          <cell r="D3574">
            <v>45579</v>
          </cell>
          <cell r="E3574">
            <v>46563</v>
          </cell>
          <cell r="F3574" t="str">
            <v>33121</v>
          </cell>
          <cell r="G3574" t="str">
            <v>弘憶股一</v>
          </cell>
          <cell r="H3574">
            <v>100000</v>
          </cell>
          <cell r="I3574">
            <v>3.35</v>
          </cell>
          <cell r="J3574">
            <v>46563</v>
          </cell>
          <cell r="K3574">
            <v>100</v>
          </cell>
          <cell r="L3574">
            <v>46545</v>
          </cell>
          <cell r="M3574">
            <v>-1955</v>
          </cell>
          <cell r="N3574">
            <v>98045</v>
          </cell>
        </row>
        <row r="3575">
          <cell r="A3575">
            <v>64145</v>
          </cell>
          <cell r="B3575">
            <v>3569</v>
          </cell>
          <cell r="C3575" t="str">
            <v>IASWD2410000217</v>
          </cell>
          <cell r="D3575">
            <v>45579</v>
          </cell>
          <cell r="E3575">
            <v>46250</v>
          </cell>
          <cell r="F3575" t="str">
            <v>64145</v>
          </cell>
          <cell r="G3575" t="str">
            <v>樺漢五</v>
          </cell>
          <cell r="H3575">
            <v>100000</v>
          </cell>
          <cell r="I3575">
            <v>3</v>
          </cell>
          <cell r="J3575">
            <v>46250</v>
          </cell>
          <cell r="K3575">
            <v>100</v>
          </cell>
          <cell r="L3575">
            <v>46231</v>
          </cell>
          <cell r="M3575">
            <v>-1751</v>
          </cell>
          <cell r="N3575">
            <v>98249</v>
          </cell>
        </row>
        <row r="3576">
          <cell r="A3576">
            <v>25483</v>
          </cell>
          <cell r="B3576">
            <v>3570</v>
          </cell>
          <cell r="C3576" t="str">
            <v>IASWD2410000218</v>
          </cell>
          <cell r="D3576">
            <v>45579</v>
          </cell>
          <cell r="E3576">
            <v>46662</v>
          </cell>
          <cell r="F3576" t="str">
            <v>25483</v>
          </cell>
          <cell r="G3576" t="str">
            <v>華固三</v>
          </cell>
          <cell r="H3576">
            <v>100000</v>
          </cell>
          <cell r="I3576">
            <v>3</v>
          </cell>
          <cell r="J3576">
            <v>46662</v>
          </cell>
          <cell r="K3576">
            <v>100</v>
          </cell>
          <cell r="L3576">
            <v>46644</v>
          </cell>
          <cell r="M3576">
            <v>-1751</v>
          </cell>
          <cell r="N3576">
            <v>98249</v>
          </cell>
        </row>
        <row r="3577">
          <cell r="A3577">
            <v>50097</v>
          </cell>
          <cell r="B3577">
            <v>3571</v>
          </cell>
          <cell r="C3577" t="str">
            <v>IASWD2410000220</v>
          </cell>
          <cell r="D3577">
            <v>45579</v>
          </cell>
          <cell r="E3577">
            <v>46234</v>
          </cell>
          <cell r="F3577" t="str">
            <v>50097</v>
          </cell>
          <cell r="G3577" t="str">
            <v>榮剛七</v>
          </cell>
          <cell r="H3577">
            <v>200000</v>
          </cell>
          <cell r="I3577">
            <v>4.0999999999999996</v>
          </cell>
          <cell r="J3577">
            <v>46234</v>
          </cell>
          <cell r="K3577">
            <v>101.51</v>
          </cell>
          <cell r="L3577">
            <v>46216</v>
          </cell>
          <cell r="M3577">
            <v>-4785</v>
          </cell>
          <cell r="N3577">
            <v>195215</v>
          </cell>
        </row>
        <row r="3578">
          <cell r="A3578">
            <v>50097</v>
          </cell>
          <cell r="B3578">
            <v>3572</v>
          </cell>
          <cell r="C3578" t="str">
            <v>IASWD2410000221</v>
          </cell>
          <cell r="D3578">
            <v>45579</v>
          </cell>
          <cell r="E3578">
            <v>46234</v>
          </cell>
          <cell r="F3578" t="str">
            <v>50097</v>
          </cell>
          <cell r="G3578" t="str">
            <v>榮剛七</v>
          </cell>
          <cell r="H3578">
            <v>100000</v>
          </cell>
          <cell r="I3578">
            <v>4.0999999999999996</v>
          </cell>
          <cell r="J3578">
            <v>46234</v>
          </cell>
          <cell r="K3578">
            <v>101.51</v>
          </cell>
          <cell r="L3578">
            <v>46216</v>
          </cell>
          <cell r="M3578">
            <v>-2393</v>
          </cell>
          <cell r="N3578">
            <v>97607</v>
          </cell>
        </row>
        <row r="3579">
          <cell r="A3579">
            <v>16095</v>
          </cell>
          <cell r="B3579">
            <v>3573</v>
          </cell>
          <cell r="C3579" t="str">
            <v>IASWD2410000222</v>
          </cell>
          <cell r="D3579">
            <v>45579</v>
          </cell>
          <cell r="E3579">
            <v>46660</v>
          </cell>
          <cell r="F3579" t="str">
            <v>16095</v>
          </cell>
          <cell r="G3579" t="str">
            <v>大亞五</v>
          </cell>
          <cell r="H3579">
            <v>800000</v>
          </cell>
          <cell r="I3579">
            <v>3</v>
          </cell>
          <cell r="J3579">
            <v>46660</v>
          </cell>
          <cell r="K3579">
            <v>100.75</v>
          </cell>
          <cell r="L3579">
            <v>46640</v>
          </cell>
          <cell r="M3579">
            <v>-14005</v>
          </cell>
          <cell r="N3579">
            <v>785995</v>
          </cell>
        </row>
        <row r="3580">
          <cell r="A3580">
            <v>25483</v>
          </cell>
          <cell r="B3580">
            <v>3574</v>
          </cell>
          <cell r="C3580" t="str">
            <v>IASWD2410000223</v>
          </cell>
          <cell r="D3580">
            <v>45579</v>
          </cell>
          <cell r="E3580">
            <v>46662</v>
          </cell>
          <cell r="F3580" t="str">
            <v>25483</v>
          </cell>
          <cell r="G3580" t="str">
            <v>華固三</v>
          </cell>
          <cell r="H3580">
            <v>2900000</v>
          </cell>
          <cell r="I3580">
            <v>3</v>
          </cell>
          <cell r="J3580">
            <v>46662</v>
          </cell>
          <cell r="K3580">
            <v>100</v>
          </cell>
          <cell r="L3580">
            <v>46644</v>
          </cell>
          <cell r="M3580">
            <v>-50770</v>
          </cell>
          <cell r="N3580">
            <v>2849230</v>
          </cell>
        </row>
        <row r="3581">
          <cell r="A3581">
            <v>25483</v>
          </cell>
          <cell r="B3581">
            <v>3575</v>
          </cell>
          <cell r="C3581" t="str">
            <v>IASWD2410000224</v>
          </cell>
          <cell r="D3581">
            <v>45579</v>
          </cell>
          <cell r="E3581">
            <v>46662</v>
          </cell>
          <cell r="F3581" t="str">
            <v>25483</v>
          </cell>
          <cell r="G3581" t="str">
            <v>華固三</v>
          </cell>
          <cell r="H3581">
            <v>200000</v>
          </cell>
          <cell r="I3581">
            <v>3</v>
          </cell>
          <cell r="J3581">
            <v>46662</v>
          </cell>
          <cell r="K3581">
            <v>100</v>
          </cell>
          <cell r="L3581">
            <v>46644</v>
          </cell>
          <cell r="M3581">
            <v>-3501</v>
          </cell>
          <cell r="N3581">
            <v>196499</v>
          </cell>
        </row>
        <row r="3582">
          <cell r="A3582">
            <v>34793</v>
          </cell>
          <cell r="B3582">
            <v>3576</v>
          </cell>
          <cell r="C3582" t="str">
            <v>IASWD2410000225</v>
          </cell>
          <cell r="D3582">
            <v>45579</v>
          </cell>
          <cell r="E3582">
            <v>46409</v>
          </cell>
          <cell r="F3582" t="str">
            <v>34793</v>
          </cell>
          <cell r="G3582" t="str">
            <v>安勤三</v>
          </cell>
          <cell r="H3582">
            <v>100000</v>
          </cell>
          <cell r="I3582">
            <v>3</v>
          </cell>
          <cell r="J3582">
            <v>46409</v>
          </cell>
          <cell r="K3582">
            <v>100</v>
          </cell>
          <cell r="L3582">
            <v>46391</v>
          </cell>
          <cell r="M3582">
            <v>-1751</v>
          </cell>
          <cell r="N3582">
            <v>98249</v>
          </cell>
        </row>
        <row r="3583">
          <cell r="A3583">
            <v>25483</v>
          </cell>
          <cell r="B3583">
            <v>3577</v>
          </cell>
          <cell r="C3583" t="str">
            <v>IASWD2410000226</v>
          </cell>
          <cell r="D3583">
            <v>45579</v>
          </cell>
          <cell r="E3583">
            <v>46662</v>
          </cell>
          <cell r="F3583" t="str">
            <v>25483</v>
          </cell>
          <cell r="G3583" t="str">
            <v>華固三</v>
          </cell>
          <cell r="H3583">
            <v>300000</v>
          </cell>
          <cell r="I3583">
            <v>3</v>
          </cell>
          <cell r="J3583">
            <v>46662</v>
          </cell>
          <cell r="K3583">
            <v>100</v>
          </cell>
          <cell r="L3583">
            <v>46644</v>
          </cell>
          <cell r="M3583">
            <v>-5252</v>
          </cell>
          <cell r="N3583">
            <v>294748</v>
          </cell>
        </row>
        <row r="3584">
          <cell r="A3584">
            <v>35266</v>
          </cell>
          <cell r="B3584">
            <v>3578</v>
          </cell>
          <cell r="C3584" t="str">
            <v>IASWD2410000227</v>
          </cell>
          <cell r="D3584">
            <v>45579</v>
          </cell>
          <cell r="E3584">
            <v>46416</v>
          </cell>
          <cell r="F3584" t="str">
            <v>35266</v>
          </cell>
          <cell r="G3584" t="str">
            <v>凡甲六</v>
          </cell>
          <cell r="H3584">
            <v>300000</v>
          </cell>
          <cell r="I3584">
            <v>3.25</v>
          </cell>
          <cell r="J3584">
            <v>46416</v>
          </cell>
          <cell r="K3584">
            <v>100</v>
          </cell>
          <cell r="L3584">
            <v>46398</v>
          </cell>
          <cell r="M3584">
            <v>-5690</v>
          </cell>
          <cell r="N3584">
            <v>294310</v>
          </cell>
        </row>
        <row r="3585">
          <cell r="A3585">
            <v>34834</v>
          </cell>
          <cell r="B3585">
            <v>3579</v>
          </cell>
          <cell r="C3585" t="str">
            <v>IASWD2410000228</v>
          </cell>
          <cell r="D3585">
            <v>45579</v>
          </cell>
          <cell r="E3585">
            <v>46529</v>
          </cell>
          <cell r="F3585" t="str">
            <v>34834</v>
          </cell>
          <cell r="G3585" t="str">
            <v>力致四</v>
          </cell>
          <cell r="H3585">
            <v>100000</v>
          </cell>
          <cell r="I3585">
            <v>3.75</v>
          </cell>
          <cell r="J3585">
            <v>46529</v>
          </cell>
          <cell r="K3585">
            <v>100</v>
          </cell>
          <cell r="L3585">
            <v>46511</v>
          </cell>
          <cell r="M3585">
            <v>-2188</v>
          </cell>
          <cell r="N3585">
            <v>97812</v>
          </cell>
        </row>
        <row r="3586">
          <cell r="A3586">
            <v>25483</v>
          </cell>
          <cell r="B3586">
            <v>3580</v>
          </cell>
          <cell r="C3586" t="str">
            <v>IASWD2410000229</v>
          </cell>
          <cell r="D3586">
            <v>45579</v>
          </cell>
          <cell r="E3586">
            <v>46662</v>
          </cell>
          <cell r="F3586" t="str">
            <v>25483</v>
          </cell>
          <cell r="G3586" t="str">
            <v>華固三</v>
          </cell>
          <cell r="H3586">
            <v>100000</v>
          </cell>
          <cell r="I3586">
            <v>3</v>
          </cell>
          <cell r="J3586">
            <v>46662</v>
          </cell>
          <cell r="K3586">
            <v>100</v>
          </cell>
          <cell r="L3586">
            <v>46644</v>
          </cell>
          <cell r="M3586">
            <v>-1751</v>
          </cell>
          <cell r="N3586">
            <v>98249</v>
          </cell>
        </row>
        <row r="3587">
          <cell r="A3587">
            <v>61965</v>
          </cell>
          <cell r="B3587">
            <v>3581</v>
          </cell>
          <cell r="C3587" t="str">
            <v>IASWD2410000230</v>
          </cell>
          <cell r="D3587">
            <v>45579</v>
          </cell>
          <cell r="E3587">
            <v>46200</v>
          </cell>
          <cell r="F3587" t="str">
            <v>61965</v>
          </cell>
          <cell r="G3587" t="str">
            <v>帆宣五</v>
          </cell>
          <cell r="H3587">
            <v>200000</v>
          </cell>
          <cell r="I3587">
            <v>3</v>
          </cell>
          <cell r="J3587">
            <v>46200</v>
          </cell>
          <cell r="K3587">
            <v>100</v>
          </cell>
          <cell r="L3587">
            <v>46182</v>
          </cell>
          <cell r="M3587">
            <v>-3501</v>
          </cell>
          <cell r="N3587">
            <v>196499</v>
          </cell>
        </row>
        <row r="3588">
          <cell r="A3588">
            <v>25483</v>
          </cell>
          <cell r="B3588">
            <v>3582</v>
          </cell>
          <cell r="C3588" t="str">
            <v>IASWD2410000231</v>
          </cell>
          <cell r="D3588">
            <v>45579</v>
          </cell>
          <cell r="E3588">
            <v>46662</v>
          </cell>
          <cell r="F3588" t="str">
            <v>25483</v>
          </cell>
          <cell r="G3588" t="str">
            <v>華固三</v>
          </cell>
          <cell r="H3588">
            <v>100000</v>
          </cell>
          <cell r="I3588">
            <v>3</v>
          </cell>
          <cell r="J3588">
            <v>46662</v>
          </cell>
          <cell r="K3588">
            <v>100</v>
          </cell>
          <cell r="L3588">
            <v>46644</v>
          </cell>
          <cell r="M3588">
            <v>-1751</v>
          </cell>
          <cell r="N3588">
            <v>98249</v>
          </cell>
        </row>
        <row r="3589">
          <cell r="A3589">
            <v>65096</v>
          </cell>
          <cell r="B3589">
            <v>3583</v>
          </cell>
          <cell r="C3589" t="str">
            <v>IASWD2410000232</v>
          </cell>
          <cell r="D3589">
            <v>45579</v>
          </cell>
          <cell r="E3589">
            <v>46206</v>
          </cell>
          <cell r="F3589" t="str">
            <v>65096</v>
          </cell>
          <cell r="G3589" t="str">
            <v>聚和六</v>
          </cell>
          <cell r="H3589">
            <v>100000</v>
          </cell>
          <cell r="I3589">
            <v>3.1</v>
          </cell>
          <cell r="J3589">
            <v>46206</v>
          </cell>
          <cell r="K3589">
            <v>100</v>
          </cell>
          <cell r="L3589">
            <v>46188</v>
          </cell>
          <cell r="M3589">
            <v>-1809</v>
          </cell>
          <cell r="N3589">
            <v>98191</v>
          </cell>
        </row>
        <row r="3590">
          <cell r="A3590">
            <v>25483</v>
          </cell>
          <cell r="B3590">
            <v>3584</v>
          </cell>
          <cell r="C3590" t="str">
            <v>IASWD2410000233</v>
          </cell>
          <cell r="D3590">
            <v>45579</v>
          </cell>
          <cell r="E3590">
            <v>46662</v>
          </cell>
          <cell r="F3590" t="str">
            <v>25483</v>
          </cell>
          <cell r="G3590" t="str">
            <v>華固三</v>
          </cell>
          <cell r="H3590">
            <v>100000</v>
          </cell>
          <cell r="I3590">
            <v>3</v>
          </cell>
          <cell r="J3590">
            <v>46662</v>
          </cell>
          <cell r="K3590">
            <v>100</v>
          </cell>
          <cell r="L3590">
            <v>46644</v>
          </cell>
          <cell r="M3590">
            <v>-1751</v>
          </cell>
          <cell r="N3590">
            <v>98249</v>
          </cell>
        </row>
        <row r="3591">
          <cell r="A3591">
            <v>84781</v>
          </cell>
          <cell r="B3591">
            <v>3585</v>
          </cell>
          <cell r="C3591" t="str">
            <v>IASWD2410000234</v>
          </cell>
          <cell r="D3591">
            <v>45579</v>
          </cell>
          <cell r="E3591">
            <v>46583</v>
          </cell>
          <cell r="F3591" t="str">
            <v>84781</v>
          </cell>
          <cell r="G3591" t="str">
            <v>東哥遊艇一</v>
          </cell>
          <cell r="H3591">
            <v>1100000</v>
          </cell>
          <cell r="I3591">
            <v>3.1</v>
          </cell>
          <cell r="J3591">
            <v>46583</v>
          </cell>
          <cell r="K3591">
            <v>100</v>
          </cell>
          <cell r="L3591">
            <v>46563</v>
          </cell>
          <cell r="M3591">
            <v>-19899</v>
          </cell>
          <cell r="N3591">
            <v>1080101</v>
          </cell>
        </row>
        <row r="3592">
          <cell r="A3592">
            <v>64145</v>
          </cell>
          <cell r="B3592">
            <v>3586</v>
          </cell>
          <cell r="C3592" t="str">
            <v>IASWD2410000235</v>
          </cell>
          <cell r="D3592">
            <v>45579</v>
          </cell>
          <cell r="E3592">
            <v>46250</v>
          </cell>
          <cell r="F3592" t="str">
            <v>64145</v>
          </cell>
          <cell r="G3592" t="str">
            <v>樺漢五</v>
          </cell>
          <cell r="H3592">
            <v>300000</v>
          </cell>
          <cell r="I3592">
            <v>3</v>
          </cell>
          <cell r="J3592">
            <v>46250</v>
          </cell>
          <cell r="K3592">
            <v>100</v>
          </cell>
          <cell r="L3592">
            <v>46231</v>
          </cell>
          <cell r="M3592">
            <v>-5252</v>
          </cell>
          <cell r="N3592">
            <v>294748</v>
          </cell>
        </row>
        <row r="3593">
          <cell r="A3593">
            <v>25483</v>
          </cell>
          <cell r="B3593">
            <v>3587</v>
          </cell>
          <cell r="C3593" t="str">
            <v>IASWD2410000236</v>
          </cell>
          <cell r="D3593">
            <v>45579</v>
          </cell>
          <cell r="E3593">
            <v>46662</v>
          </cell>
          <cell r="F3593" t="str">
            <v>25483</v>
          </cell>
          <cell r="G3593" t="str">
            <v>華固三</v>
          </cell>
          <cell r="H3593">
            <v>200000</v>
          </cell>
          <cell r="I3593">
            <v>3</v>
          </cell>
          <cell r="J3593">
            <v>46662</v>
          </cell>
          <cell r="K3593">
            <v>100</v>
          </cell>
          <cell r="L3593">
            <v>46644</v>
          </cell>
          <cell r="M3593">
            <v>-3501</v>
          </cell>
          <cell r="N3593">
            <v>196499</v>
          </cell>
        </row>
        <row r="3594">
          <cell r="A3594">
            <v>25483</v>
          </cell>
          <cell r="B3594">
            <v>3588</v>
          </cell>
          <cell r="C3594" t="str">
            <v>IASWD2410000237</v>
          </cell>
          <cell r="D3594">
            <v>45579</v>
          </cell>
          <cell r="E3594">
            <v>46662</v>
          </cell>
          <cell r="F3594" t="str">
            <v>25483</v>
          </cell>
          <cell r="G3594" t="str">
            <v>華固三</v>
          </cell>
          <cell r="H3594">
            <v>100000</v>
          </cell>
          <cell r="I3594">
            <v>3</v>
          </cell>
          <cell r="J3594">
            <v>46662</v>
          </cell>
          <cell r="K3594">
            <v>100</v>
          </cell>
          <cell r="L3594">
            <v>46644</v>
          </cell>
          <cell r="M3594">
            <v>-1751</v>
          </cell>
          <cell r="N3594">
            <v>98249</v>
          </cell>
        </row>
        <row r="3595">
          <cell r="A3595">
            <v>15364</v>
          </cell>
          <cell r="B3595">
            <v>3589</v>
          </cell>
          <cell r="C3595" t="str">
            <v>IASWD2410000239</v>
          </cell>
          <cell r="D3595">
            <v>45579</v>
          </cell>
          <cell r="E3595">
            <v>46246</v>
          </cell>
          <cell r="F3595" t="str">
            <v>15364</v>
          </cell>
          <cell r="G3595" t="str">
            <v>和大四</v>
          </cell>
          <cell r="H3595">
            <v>1000000</v>
          </cell>
          <cell r="I3595">
            <v>4.2</v>
          </cell>
          <cell r="J3595">
            <v>46246</v>
          </cell>
          <cell r="K3595">
            <v>100</v>
          </cell>
          <cell r="L3595">
            <v>46226</v>
          </cell>
          <cell r="M3595">
            <v>-24510</v>
          </cell>
          <cell r="N3595">
            <v>975490</v>
          </cell>
        </row>
        <row r="3596">
          <cell r="A3596">
            <v>16095</v>
          </cell>
          <cell r="B3596">
            <v>3590</v>
          </cell>
          <cell r="C3596" t="str">
            <v>IASWD2410000240</v>
          </cell>
          <cell r="D3596">
            <v>45579</v>
          </cell>
          <cell r="E3596">
            <v>46660</v>
          </cell>
          <cell r="F3596" t="str">
            <v>16095</v>
          </cell>
          <cell r="G3596" t="str">
            <v>大亞五</v>
          </cell>
          <cell r="H3596">
            <v>100000</v>
          </cell>
          <cell r="I3596">
            <v>3</v>
          </cell>
          <cell r="J3596">
            <v>46660</v>
          </cell>
          <cell r="K3596">
            <v>100.75</v>
          </cell>
          <cell r="L3596">
            <v>46640</v>
          </cell>
          <cell r="M3596">
            <v>-1751</v>
          </cell>
          <cell r="N3596">
            <v>98249</v>
          </cell>
        </row>
        <row r="3597">
          <cell r="A3597">
            <v>34834</v>
          </cell>
          <cell r="B3597">
            <v>3591</v>
          </cell>
          <cell r="C3597" t="str">
            <v>IASWD2410000241</v>
          </cell>
          <cell r="D3597">
            <v>45579</v>
          </cell>
          <cell r="E3597">
            <v>46529</v>
          </cell>
          <cell r="F3597" t="str">
            <v>34834</v>
          </cell>
          <cell r="G3597" t="str">
            <v>力致四</v>
          </cell>
          <cell r="H3597">
            <v>100000</v>
          </cell>
          <cell r="I3597">
            <v>3.75</v>
          </cell>
          <cell r="J3597">
            <v>46529</v>
          </cell>
          <cell r="K3597">
            <v>100</v>
          </cell>
          <cell r="L3597">
            <v>46511</v>
          </cell>
          <cell r="M3597">
            <v>-2188</v>
          </cell>
          <cell r="N3597">
            <v>97812</v>
          </cell>
        </row>
        <row r="3598">
          <cell r="A3598">
            <v>25483</v>
          </cell>
          <cell r="B3598">
            <v>3592</v>
          </cell>
          <cell r="C3598" t="str">
            <v>IASWD2410000243</v>
          </cell>
          <cell r="D3598">
            <v>45579</v>
          </cell>
          <cell r="E3598">
            <v>46662</v>
          </cell>
          <cell r="F3598" t="str">
            <v>25483</v>
          </cell>
          <cell r="G3598" t="str">
            <v>華固三</v>
          </cell>
          <cell r="H3598">
            <v>100000</v>
          </cell>
          <cell r="I3598">
            <v>3</v>
          </cell>
          <cell r="J3598">
            <v>46662</v>
          </cell>
          <cell r="K3598">
            <v>100</v>
          </cell>
          <cell r="L3598">
            <v>46644</v>
          </cell>
          <cell r="M3598">
            <v>-1751</v>
          </cell>
          <cell r="N3598">
            <v>98249</v>
          </cell>
        </row>
        <row r="3599">
          <cell r="A3599">
            <v>25483</v>
          </cell>
          <cell r="B3599">
            <v>3593</v>
          </cell>
          <cell r="C3599" t="str">
            <v>IASWD2410000244</v>
          </cell>
          <cell r="D3599">
            <v>45579</v>
          </cell>
          <cell r="E3599">
            <v>46662</v>
          </cell>
          <cell r="F3599" t="str">
            <v>25483</v>
          </cell>
          <cell r="G3599" t="str">
            <v>華固三</v>
          </cell>
          <cell r="H3599">
            <v>500000</v>
          </cell>
          <cell r="I3599">
            <v>3</v>
          </cell>
          <cell r="J3599">
            <v>46662</v>
          </cell>
          <cell r="K3599">
            <v>100</v>
          </cell>
          <cell r="L3599">
            <v>46644</v>
          </cell>
          <cell r="M3599">
            <v>-8753</v>
          </cell>
          <cell r="N3599">
            <v>491247</v>
          </cell>
        </row>
        <row r="3600">
          <cell r="A3600">
            <v>50097</v>
          </cell>
          <cell r="B3600">
            <v>3594</v>
          </cell>
          <cell r="C3600" t="str">
            <v>IASWD2410000245</v>
          </cell>
          <cell r="D3600">
            <v>45579</v>
          </cell>
          <cell r="E3600">
            <v>46234</v>
          </cell>
          <cell r="F3600" t="str">
            <v>50097</v>
          </cell>
          <cell r="G3600" t="str">
            <v>榮剛七</v>
          </cell>
          <cell r="H3600">
            <v>100000</v>
          </cell>
          <cell r="I3600">
            <v>4.0999999999999996</v>
          </cell>
          <cell r="J3600">
            <v>46234</v>
          </cell>
          <cell r="K3600">
            <v>101.51</v>
          </cell>
          <cell r="L3600">
            <v>46216</v>
          </cell>
          <cell r="M3600">
            <v>-2393</v>
          </cell>
          <cell r="N3600">
            <v>97607</v>
          </cell>
        </row>
        <row r="3601">
          <cell r="A3601">
            <v>25483</v>
          </cell>
          <cell r="B3601">
            <v>3595</v>
          </cell>
          <cell r="C3601" t="str">
            <v>IASWD2410000247</v>
          </cell>
          <cell r="D3601">
            <v>45579</v>
          </cell>
          <cell r="E3601">
            <v>46662</v>
          </cell>
          <cell r="F3601" t="str">
            <v>25483</v>
          </cell>
          <cell r="G3601" t="str">
            <v>華固三</v>
          </cell>
          <cell r="H3601">
            <v>1500000</v>
          </cell>
          <cell r="I3601">
            <v>3</v>
          </cell>
          <cell r="J3601">
            <v>46662</v>
          </cell>
          <cell r="K3601">
            <v>100</v>
          </cell>
          <cell r="L3601">
            <v>46644</v>
          </cell>
          <cell r="M3601">
            <v>-26260</v>
          </cell>
          <cell r="N3601">
            <v>1473740</v>
          </cell>
        </row>
        <row r="3602">
          <cell r="A3602">
            <v>34834</v>
          </cell>
          <cell r="B3602">
            <v>3596</v>
          </cell>
          <cell r="C3602" t="str">
            <v>IASWD2410000248</v>
          </cell>
          <cell r="D3602">
            <v>45579</v>
          </cell>
          <cell r="E3602">
            <v>46529</v>
          </cell>
          <cell r="F3602" t="str">
            <v>34834</v>
          </cell>
          <cell r="G3602" t="str">
            <v>力致四</v>
          </cell>
          <cell r="H3602">
            <v>1000000</v>
          </cell>
          <cell r="I3602">
            <v>3.75</v>
          </cell>
          <cell r="J3602">
            <v>46529</v>
          </cell>
          <cell r="K3602">
            <v>100</v>
          </cell>
          <cell r="L3602">
            <v>46511</v>
          </cell>
          <cell r="M3602">
            <v>-21884</v>
          </cell>
          <cell r="N3602">
            <v>978116</v>
          </cell>
        </row>
        <row r="3603">
          <cell r="A3603">
            <v>25483</v>
          </cell>
          <cell r="B3603">
            <v>3597</v>
          </cell>
          <cell r="C3603" t="str">
            <v>IASWD2410000249</v>
          </cell>
          <cell r="D3603">
            <v>45579</v>
          </cell>
          <cell r="E3603">
            <v>46662</v>
          </cell>
          <cell r="F3603" t="str">
            <v>25483</v>
          </cell>
          <cell r="G3603" t="str">
            <v>華固三</v>
          </cell>
          <cell r="H3603">
            <v>2800000</v>
          </cell>
          <cell r="I3603">
            <v>3</v>
          </cell>
          <cell r="J3603">
            <v>46662</v>
          </cell>
          <cell r="K3603">
            <v>100</v>
          </cell>
          <cell r="L3603">
            <v>46644</v>
          </cell>
          <cell r="M3603">
            <v>-49019</v>
          </cell>
          <cell r="N3603">
            <v>2750981</v>
          </cell>
        </row>
        <row r="3604">
          <cell r="A3604">
            <v>25483</v>
          </cell>
          <cell r="B3604">
            <v>3598</v>
          </cell>
          <cell r="C3604" t="str">
            <v>IASWD2410000250</v>
          </cell>
          <cell r="D3604">
            <v>45579</v>
          </cell>
          <cell r="E3604">
            <v>46662</v>
          </cell>
          <cell r="F3604" t="str">
            <v>25483</v>
          </cell>
          <cell r="G3604" t="str">
            <v>華固三</v>
          </cell>
          <cell r="H3604">
            <v>300000</v>
          </cell>
          <cell r="I3604">
            <v>3</v>
          </cell>
          <cell r="J3604">
            <v>46662</v>
          </cell>
          <cell r="K3604">
            <v>100</v>
          </cell>
          <cell r="L3604">
            <v>46644</v>
          </cell>
          <cell r="M3604">
            <v>-5252</v>
          </cell>
          <cell r="N3604">
            <v>294748</v>
          </cell>
        </row>
        <row r="3605">
          <cell r="A3605">
            <v>61843</v>
          </cell>
          <cell r="B3605">
            <v>3599</v>
          </cell>
          <cell r="C3605" t="str">
            <v>IASWD2410000254</v>
          </cell>
          <cell r="D3605">
            <v>45580</v>
          </cell>
          <cell r="E3605">
            <v>46452</v>
          </cell>
          <cell r="F3605" t="str">
            <v>61843</v>
          </cell>
          <cell r="G3605" t="str">
            <v>大豐電三</v>
          </cell>
          <cell r="H3605">
            <v>100000</v>
          </cell>
          <cell r="I3605">
            <v>3.75</v>
          </cell>
          <cell r="J3605">
            <v>46452</v>
          </cell>
          <cell r="K3605">
            <v>101.50749999999999</v>
          </cell>
          <cell r="L3605">
            <v>46434</v>
          </cell>
          <cell r="M3605">
            <v>-2178</v>
          </cell>
          <cell r="N3605">
            <v>97822</v>
          </cell>
        </row>
        <row r="3606">
          <cell r="A3606">
            <v>84781</v>
          </cell>
          <cell r="B3606">
            <v>3600</v>
          </cell>
          <cell r="C3606" t="str">
            <v>IASWD2410000255</v>
          </cell>
          <cell r="D3606">
            <v>45580</v>
          </cell>
          <cell r="E3606">
            <v>46583</v>
          </cell>
          <cell r="F3606" t="str">
            <v>84781</v>
          </cell>
          <cell r="G3606" t="str">
            <v>東哥遊艇一</v>
          </cell>
          <cell r="H3606">
            <v>100000</v>
          </cell>
          <cell r="I3606">
            <v>3.1</v>
          </cell>
          <cell r="J3606">
            <v>46583</v>
          </cell>
          <cell r="K3606">
            <v>100</v>
          </cell>
          <cell r="L3606">
            <v>46563</v>
          </cell>
          <cell r="M3606">
            <v>-1801</v>
          </cell>
          <cell r="N3606">
            <v>98199</v>
          </cell>
        </row>
        <row r="3607">
          <cell r="A3607">
            <v>64145</v>
          </cell>
          <cell r="B3607">
            <v>3601</v>
          </cell>
          <cell r="C3607" t="str">
            <v>IASWD2410000257</v>
          </cell>
          <cell r="D3607">
            <v>45580</v>
          </cell>
          <cell r="E3607">
            <v>46250</v>
          </cell>
          <cell r="F3607" t="str">
            <v>64145</v>
          </cell>
          <cell r="G3607" t="str">
            <v>樺漢五</v>
          </cell>
          <cell r="H3607">
            <v>400000</v>
          </cell>
          <cell r="I3607">
            <v>3</v>
          </cell>
          <cell r="J3607">
            <v>46250</v>
          </cell>
          <cell r="K3607">
            <v>100</v>
          </cell>
          <cell r="L3607">
            <v>46231</v>
          </cell>
          <cell r="M3607">
            <v>-6970</v>
          </cell>
          <cell r="N3607">
            <v>393030</v>
          </cell>
        </row>
        <row r="3608">
          <cell r="A3608">
            <v>15364</v>
          </cell>
          <cell r="B3608">
            <v>3602</v>
          </cell>
          <cell r="C3608" t="str">
            <v>IASWD2410000258</v>
          </cell>
          <cell r="D3608">
            <v>45580</v>
          </cell>
          <cell r="E3608">
            <v>46246</v>
          </cell>
          <cell r="F3608" t="str">
            <v>15364</v>
          </cell>
          <cell r="G3608" t="str">
            <v>和大四</v>
          </cell>
          <cell r="H3608">
            <v>300000</v>
          </cell>
          <cell r="I3608">
            <v>4.2</v>
          </cell>
          <cell r="J3608">
            <v>46246</v>
          </cell>
          <cell r="K3608">
            <v>100</v>
          </cell>
          <cell r="L3608">
            <v>46226</v>
          </cell>
          <cell r="M3608">
            <v>-7318</v>
          </cell>
          <cell r="N3608">
            <v>292682</v>
          </cell>
        </row>
        <row r="3609">
          <cell r="A3609">
            <v>80506</v>
          </cell>
          <cell r="B3609">
            <v>3603</v>
          </cell>
          <cell r="C3609" t="str">
            <v>IASWD2410000259</v>
          </cell>
          <cell r="D3609">
            <v>45580</v>
          </cell>
          <cell r="E3609">
            <v>45983</v>
          </cell>
          <cell r="F3609" t="str">
            <v>80506</v>
          </cell>
          <cell r="G3609" t="str">
            <v>廣積六</v>
          </cell>
          <cell r="H3609">
            <v>500000</v>
          </cell>
          <cell r="I3609">
            <v>3.25</v>
          </cell>
          <cell r="J3609">
            <v>45983</v>
          </cell>
          <cell r="K3609">
            <v>100.75</v>
          </cell>
          <cell r="L3609">
            <v>45965</v>
          </cell>
          <cell r="M3609">
            <v>-9438</v>
          </cell>
          <cell r="N3609">
            <v>490562</v>
          </cell>
        </row>
        <row r="3610">
          <cell r="A3610">
            <v>34163</v>
          </cell>
          <cell r="B3610">
            <v>3604</v>
          </cell>
          <cell r="C3610" t="str">
            <v>IASWD2410000260</v>
          </cell>
          <cell r="D3610">
            <v>45580</v>
          </cell>
          <cell r="E3610">
            <v>46047</v>
          </cell>
          <cell r="F3610" t="str">
            <v>34163</v>
          </cell>
          <cell r="G3610" t="str">
            <v>融程電三</v>
          </cell>
          <cell r="H3610">
            <v>300000</v>
          </cell>
          <cell r="I3610">
            <v>3</v>
          </cell>
          <cell r="J3610">
            <v>46047</v>
          </cell>
          <cell r="K3610">
            <v>100.5</v>
          </cell>
          <cell r="L3610">
            <v>46028</v>
          </cell>
          <cell r="M3610">
            <v>-5227</v>
          </cell>
          <cell r="N3610">
            <v>294773</v>
          </cell>
        </row>
        <row r="3611">
          <cell r="A3611">
            <v>25483</v>
          </cell>
          <cell r="B3611">
            <v>3605</v>
          </cell>
          <cell r="C3611" t="str">
            <v>IASWD2410000262</v>
          </cell>
          <cell r="D3611">
            <v>45580</v>
          </cell>
          <cell r="E3611">
            <v>46662</v>
          </cell>
          <cell r="F3611" t="str">
            <v>25483</v>
          </cell>
          <cell r="G3611" t="str">
            <v>華固三</v>
          </cell>
          <cell r="H3611">
            <v>6100000</v>
          </cell>
          <cell r="I3611">
            <v>3.25</v>
          </cell>
          <cell r="J3611">
            <v>46662</v>
          </cell>
          <cell r="K3611">
            <v>100</v>
          </cell>
          <cell r="L3611">
            <v>46644</v>
          </cell>
          <cell r="M3611">
            <v>-115148</v>
          </cell>
          <cell r="N3611">
            <v>5984852</v>
          </cell>
        </row>
        <row r="3612">
          <cell r="A3612">
            <v>65096</v>
          </cell>
          <cell r="B3612">
            <v>3606</v>
          </cell>
          <cell r="C3612" t="str">
            <v>IASWD2410000263</v>
          </cell>
          <cell r="D3612">
            <v>45580</v>
          </cell>
          <cell r="E3612">
            <v>46206</v>
          </cell>
          <cell r="F3612" t="str">
            <v>65096</v>
          </cell>
          <cell r="G3612" t="str">
            <v>聚和六</v>
          </cell>
          <cell r="H3612">
            <v>100000</v>
          </cell>
          <cell r="I3612">
            <v>3.1</v>
          </cell>
          <cell r="J3612">
            <v>46206</v>
          </cell>
          <cell r="K3612">
            <v>100</v>
          </cell>
          <cell r="L3612">
            <v>46188</v>
          </cell>
          <cell r="M3612">
            <v>-1801</v>
          </cell>
          <cell r="N3612">
            <v>98199</v>
          </cell>
        </row>
        <row r="3613">
          <cell r="A3613">
            <v>25483</v>
          </cell>
          <cell r="B3613">
            <v>3607</v>
          </cell>
          <cell r="C3613" t="str">
            <v>IASWD2410000264</v>
          </cell>
          <cell r="D3613">
            <v>45580</v>
          </cell>
          <cell r="E3613">
            <v>46662</v>
          </cell>
          <cell r="F3613" t="str">
            <v>25483</v>
          </cell>
          <cell r="G3613" t="str">
            <v>華固三</v>
          </cell>
          <cell r="H3613">
            <v>1000000</v>
          </cell>
          <cell r="I3613">
            <v>3.25</v>
          </cell>
          <cell r="J3613">
            <v>46662</v>
          </cell>
          <cell r="K3613">
            <v>100</v>
          </cell>
          <cell r="L3613">
            <v>46644</v>
          </cell>
          <cell r="M3613">
            <v>-18877</v>
          </cell>
          <cell r="N3613">
            <v>981123</v>
          </cell>
        </row>
        <row r="3614">
          <cell r="A3614">
            <v>25483</v>
          </cell>
          <cell r="B3614">
            <v>3608</v>
          </cell>
          <cell r="C3614" t="str">
            <v>IASWD2410000265</v>
          </cell>
          <cell r="D3614">
            <v>45580</v>
          </cell>
          <cell r="E3614">
            <v>46662</v>
          </cell>
          <cell r="F3614" t="str">
            <v>25483</v>
          </cell>
          <cell r="G3614" t="str">
            <v>華固三</v>
          </cell>
          <cell r="H3614">
            <v>200000</v>
          </cell>
          <cell r="I3614">
            <v>3.25</v>
          </cell>
          <cell r="J3614">
            <v>46662</v>
          </cell>
          <cell r="K3614">
            <v>100</v>
          </cell>
          <cell r="L3614">
            <v>46644</v>
          </cell>
          <cell r="M3614">
            <v>-3775</v>
          </cell>
          <cell r="N3614">
            <v>196225</v>
          </cell>
        </row>
        <row r="3615">
          <cell r="A3615">
            <v>61843</v>
          </cell>
          <cell r="B3615">
            <v>3609</v>
          </cell>
          <cell r="C3615" t="str">
            <v>IASWD2410000266</v>
          </cell>
          <cell r="D3615">
            <v>45580</v>
          </cell>
          <cell r="E3615">
            <v>46452</v>
          </cell>
          <cell r="F3615" t="str">
            <v>61843</v>
          </cell>
          <cell r="G3615" t="str">
            <v>大豐電三</v>
          </cell>
          <cell r="H3615">
            <v>100000</v>
          </cell>
          <cell r="I3615">
            <v>3.75</v>
          </cell>
          <cell r="J3615">
            <v>46452</v>
          </cell>
          <cell r="K3615">
            <v>101.50749999999999</v>
          </cell>
          <cell r="L3615">
            <v>46434</v>
          </cell>
          <cell r="M3615">
            <v>-2178</v>
          </cell>
          <cell r="N3615">
            <v>97822</v>
          </cell>
        </row>
        <row r="3616">
          <cell r="A3616">
            <v>25483</v>
          </cell>
          <cell r="B3616">
            <v>3610</v>
          </cell>
          <cell r="C3616" t="str">
            <v>IASWD2410000267</v>
          </cell>
          <cell r="D3616">
            <v>45580</v>
          </cell>
          <cell r="E3616">
            <v>46662</v>
          </cell>
          <cell r="F3616" t="str">
            <v>25483</v>
          </cell>
          <cell r="G3616" t="str">
            <v>華固三</v>
          </cell>
          <cell r="H3616">
            <v>200000</v>
          </cell>
          <cell r="I3616">
            <v>3.25</v>
          </cell>
          <cell r="J3616">
            <v>46662</v>
          </cell>
          <cell r="K3616">
            <v>100</v>
          </cell>
          <cell r="L3616">
            <v>46644</v>
          </cell>
          <cell r="M3616">
            <v>-3775</v>
          </cell>
          <cell r="N3616">
            <v>196225</v>
          </cell>
        </row>
        <row r="3617">
          <cell r="A3617">
            <v>25483</v>
          </cell>
          <cell r="B3617">
            <v>3611</v>
          </cell>
          <cell r="C3617" t="str">
            <v>IASWD2410000269</v>
          </cell>
          <cell r="D3617">
            <v>45580</v>
          </cell>
          <cell r="E3617">
            <v>46662</v>
          </cell>
          <cell r="F3617" t="str">
            <v>25483</v>
          </cell>
          <cell r="G3617" t="str">
            <v>華固三</v>
          </cell>
          <cell r="H3617">
            <v>400000</v>
          </cell>
          <cell r="I3617">
            <v>3.25</v>
          </cell>
          <cell r="J3617">
            <v>46662</v>
          </cell>
          <cell r="K3617">
            <v>100</v>
          </cell>
          <cell r="L3617">
            <v>46644</v>
          </cell>
          <cell r="M3617">
            <v>-7551</v>
          </cell>
          <cell r="N3617">
            <v>392449</v>
          </cell>
        </row>
        <row r="3618">
          <cell r="A3618">
            <v>80506</v>
          </cell>
          <cell r="B3618">
            <v>3612</v>
          </cell>
          <cell r="C3618" t="str">
            <v>IASWD2410000270</v>
          </cell>
          <cell r="D3618">
            <v>45580</v>
          </cell>
          <cell r="E3618">
            <v>45983</v>
          </cell>
          <cell r="F3618" t="str">
            <v>80506</v>
          </cell>
          <cell r="G3618" t="str">
            <v>廣積六</v>
          </cell>
          <cell r="H3618">
            <v>3000000</v>
          </cell>
          <cell r="I3618">
            <v>3.25</v>
          </cell>
          <cell r="J3618">
            <v>45983</v>
          </cell>
          <cell r="K3618">
            <v>100.75</v>
          </cell>
          <cell r="L3618">
            <v>45965</v>
          </cell>
          <cell r="M3618">
            <v>-56630</v>
          </cell>
          <cell r="N3618">
            <v>2943370</v>
          </cell>
        </row>
        <row r="3619">
          <cell r="A3619">
            <v>25483</v>
          </cell>
          <cell r="B3619">
            <v>3613</v>
          </cell>
          <cell r="C3619" t="str">
            <v>IASWD2410000273</v>
          </cell>
          <cell r="D3619">
            <v>45580</v>
          </cell>
          <cell r="E3619">
            <v>46662</v>
          </cell>
          <cell r="F3619" t="str">
            <v>25483</v>
          </cell>
          <cell r="G3619" t="str">
            <v>華固三</v>
          </cell>
          <cell r="H3619">
            <v>500000</v>
          </cell>
          <cell r="I3619">
            <v>3.25</v>
          </cell>
          <cell r="J3619">
            <v>46662</v>
          </cell>
          <cell r="K3619">
            <v>100</v>
          </cell>
          <cell r="L3619">
            <v>46644</v>
          </cell>
          <cell r="M3619">
            <v>-9438</v>
          </cell>
          <cell r="N3619">
            <v>490562</v>
          </cell>
        </row>
        <row r="3620">
          <cell r="A3620">
            <v>25483</v>
          </cell>
          <cell r="B3620">
            <v>3614</v>
          </cell>
          <cell r="C3620" t="str">
            <v>IASWD2410000274</v>
          </cell>
          <cell r="D3620">
            <v>45580</v>
          </cell>
          <cell r="E3620">
            <v>46662</v>
          </cell>
          <cell r="F3620" t="str">
            <v>25483</v>
          </cell>
          <cell r="G3620" t="str">
            <v>華固三</v>
          </cell>
          <cell r="H3620">
            <v>300000</v>
          </cell>
          <cell r="I3620">
            <v>3.25</v>
          </cell>
          <cell r="J3620">
            <v>46662</v>
          </cell>
          <cell r="K3620">
            <v>100</v>
          </cell>
          <cell r="L3620">
            <v>46644</v>
          </cell>
          <cell r="M3620">
            <v>-5663</v>
          </cell>
          <cell r="N3620">
            <v>294337</v>
          </cell>
        </row>
        <row r="3621">
          <cell r="A3621">
            <v>25483</v>
          </cell>
          <cell r="B3621">
            <v>3615</v>
          </cell>
          <cell r="C3621" t="str">
            <v>IASWD2410000275</v>
          </cell>
          <cell r="D3621">
            <v>45580</v>
          </cell>
          <cell r="E3621">
            <v>46662</v>
          </cell>
          <cell r="F3621" t="str">
            <v>25483</v>
          </cell>
          <cell r="G3621" t="str">
            <v>華固三</v>
          </cell>
          <cell r="H3621">
            <v>100000</v>
          </cell>
          <cell r="I3621">
            <v>3.25</v>
          </cell>
          <cell r="J3621">
            <v>46662</v>
          </cell>
          <cell r="K3621">
            <v>100</v>
          </cell>
          <cell r="L3621">
            <v>46644</v>
          </cell>
          <cell r="M3621">
            <v>-1888</v>
          </cell>
          <cell r="N3621">
            <v>98112</v>
          </cell>
        </row>
        <row r="3622">
          <cell r="A3622">
            <v>22283</v>
          </cell>
          <cell r="B3622">
            <v>3616</v>
          </cell>
          <cell r="C3622" t="str">
            <v>IASWD2410000276</v>
          </cell>
          <cell r="D3622">
            <v>45580</v>
          </cell>
          <cell r="E3622">
            <v>46628</v>
          </cell>
          <cell r="F3622" t="str">
            <v>22283</v>
          </cell>
          <cell r="G3622" t="str">
            <v>劍麟三</v>
          </cell>
          <cell r="H3622">
            <v>100000</v>
          </cell>
          <cell r="I3622">
            <v>3</v>
          </cell>
          <cell r="J3622">
            <v>46628</v>
          </cell>
          <cell r="K3622">
            <v>100</v>
          </cell>
          <cell r="L3622">
            <v>46609</v>
          </cell>
          <cell r="M3622">
            <v>-1742</v>
          </cell>
          <cell r="N3622">
            <v>98258</v>
          </cell>
        </row>
        <row r="3623">
          <cell r="A3623">
            <v>22283</v>
          </cell>
          <cell r="B3623">
            <v>3617</v>
          </cell>
          <cell r="C3623" t="str">
            <v>IASWD2410000278</v>
          </cell>
          <cell r="D3623">
            <v>45580</v>
          </cell>
          <cell r="E3623">
            <v>46628</v>
          </cell>
          <cell r="F3623" t="str">
            <v>22283</v>
          </cell>
          <cell r="G3623" t="str">
            <v>劍麟三</v>
          </cell>
          <cell r="H3623">
            <v>100000</v>
          </cell>
          <cell r="I3623">
            <v>3</v>
          </cell>
          <cell r="J3623">
            <v>46628</v>
          </cell>
          <cell r="K3623">
            <v>100</v>
          </cell>
          <cell r="L3623">
            <v>46609</v>
          </cell>
          <cell r="M3623">
            <v>-1742</v>
          </cell>
          <cell r="N3623">
            <v>98258</v>
          </cell>
        </row>
        <row r="3624">
          <cell r="A3624">
            <v>25483</v>
          </cell>
          <cell r="B3624">
            <v>3618</v>
          </cell>
          <cell r="C3624" t="str">
            <v>IASWD2410000279</v>
          </cell>
          <cell r="D3624">
            <v>45580</v>
          </cell>
          <cell r="E3624">
            <v>46662</v>
          </cell>
          <cell r="F3624" t="str">
            <v>25483</v>
          </cell>
          <cell r="G3624" t="str">
            <v>華固三</v>
          </cell>
          <cell r="H3624">
            <v>300000</v>
          </cell>
          <cell r="I3624">
            <v>3.25</v>
          </cell>
          <cell r="J3624">
            <v>46662</v>
          </cell>
          <cell r="K3624">
            <v>100</v>
          </cell>
          <cell r="L3624">
            <v>46644</v>
          </cell>
          <cell r="M3624">
            <v>-5663</v>
          </cell>
          <cell r="N3624">
            <v>294337</v>
          </cell>
        </row>
        <row r="3625">
          <cell r="A3625">
            <v>25483</v>
          </cell>
          <cell r="B3625">
            <v>3619</v>
          </cell>
          <cell r="C3625" t="str">
            <v>IASWD2410000280</v>
          </cell>
          <cell r="D3625">
            <v>45580</v>
          </cell>
          <cell r="E3625">
            <v>46662</v>
          </cell>
          <cell r="F3625" t="str">
            <v>25483</v>
          </cell>
          <cell r="G3625" t="str">
            <v>華固三</v>
          </cell>
          <cell r="H3625">
            <v>100000</v>
          </cell>
          <cell r="I3625">
            <v>3.25</v>
          </cell>
          <cell r="J3625">
            <v>46662</v>
          </cell>
          <cell r="K3625">
            <v>100</v>
          </cell>
          <cell r="L3625">
            <v>46644</v>
          </cell>
          <cell r="M3625">
            <v>-1888</v>
          </cell>
          <cell r="N3625">
            <v>98112</v>
          </cell>
        </row>
        <row r="3626">
          <cell r="A3626">
            <v>25483</v>
          </cell>
          <cell r="B3626">
            <v>3620</v>
          </cell>
          <cell r="C3626" t="str">
            <v>IASWD2410000282</v>
          </cell>
          <cell r="D3626">
            <v>45580</v>
          </cell>
          <cell r="E3626">
            <v>46662</v>
          </cell>
          <cell r="F3626" t="str">
            <v>25483</v>
          </cell>
          <cell r="G3626" t="str">
            <v>華固三</v>
          </cell>
          <cell r="H3626">
            <v>200000</v>
          </cell>
          <cell r="I3626">
            <v>3.25</v>
          </cell>
          <cell r="J3626">
            <v>46662</v>
          </cell>
          <cell r="K3626">
            <v>100</v>
          </cell>
          <cell r="L3626">
            <v>46644</v>
          </cell>
          <cell r="M3626">
            <v>-3775</v>
          </cell>
          <cell r="N3626">
            <v>196225</v>
          </cell>
        </row>
        <row r="3627">
          <cell r="A3627">
            <v>61394</v>
          </cell>
          <cell r="B3627">
            <v>3621</v>
          </cell>
          <cell r="C3627" t="str">
            <v>IASWD2410000283</v>
          </cell>
          <cell r="D3627">
            <v>45580</v>
          </cell>
          <cell r="E3627">
            <v>46047</v>
          </cell>
          <cell r="F3627" t="str">
            <v>61394</v>
          </cell>
          <cell r="G3627" t="str">
            <v>亞翔四</v>
          </cell>
          <cell r="H3627">
            <v>100000</v>
          </cell>
          <cell r="I3627">
            <v>3</v>
          </cell>
          <cell r="J3627">
            <v>46047</v>
          </cell>
          <cell r="K3627">
            <v>101.0025</v>
          </cell>
          <cell r="L3627">
            <v>46028</v>
          </cell>
          <cell r="M3627">
            <v>-1742</v>
          </cell>
          <cell r="N3627">
            <v>98258</v>
          </cell>
        </row>
        <row r="3628">
          <cell r="A3628">
            <v>25483</v>
          </cell>
          <cell r="B3628">
            <v>3622</v>
          </cell>
          <cell r="C3628" t="str">
            <v>IASWD2410000284</v>
          </cell>
          <cell r="D3628">
            <v>45580</v>
          </cell>
          <cell r="E3628">
            <v>46662</v>
          </cell>
          <cell r="F3628" t="str">
            <v>25483</v>
          </cell>
          <cell r="G3628" t="str">
            <v>華固三</v>
          </cell>
          <cell r="H3628">
            <v>1000000</v>
          </cell>
          <cell r="I3628">
            <v>3.25</v>
          </cell>
          <cell r="J3628">
            <v>46662</v>
          </cell>
          <cell r="K3628">
            <v>100</v>
          </cell>
          <cell r="L3628">
            <v>46644</v>
          </cell>
          <cell r="M3628">
            <v>-18877</v>
          </cell>
          <cell r="N3628">
            <v>981123</v>
          </cell>
        </row>
        <row r="3629">
          <cell r="A3629">
            <v>25483</v>
          </cell>
          <cell r="B3629">
            <v>3623</v>
          </cell>
          <cell r="C3629" t="str">
            <v>IASWD2410000286</v>
          </cell>
          <cell r="D3629">
            <v>45580</v>
          </cell>
          <cell r="E3629">
            <v>46662</v>
          </cell>
          <cell r="F3629" t="str">
            <v>25483</v>
          </cell>
          <cell r="G3629" t="str">
            <v>華固三</v>
          </cell>
          <cell r="H3629">
            <v>100000</v>
          </cell>
          <cell r="I3629">
            <v>3.25</v>
          </cell>
          <cell r="J3629">
            <v>46662</v>
          </cell>
          <cell r="K3629">
            <v>100</v>
          </cell>
          <cell r="L3629">
            <v>46644</v>
          </cell>
          <cell r="M3629">
            <v>-1888</v>
          </cell>
          <cell r="N3629">
            <v>98112</v>
          </cell>
        </row>
        <row r="3630">
          <cell r="A3630">
            <v>64145</v>
          </cell>
          <cell r="B3630">
            <v>3624</v>
          </cell>
          <cell r="C3630" t="str">
            <v>IASWD2410000287</v>
          </cell>
          <cell r="D3630">
            <v>45580</v>
          </cell>
          <cell r="E3630">
            <v>46250</v>
          </cell>
          <cell r="F3630" t="str">
            <v>64145</v>
          </cell>
          <cell r="G3630" t="str">
            <v>樺漢五</v>
          </cell>
          <cell r="H3630">
            <v>300000</v>
          </cell>
          <cell r="I3630">
            <v>3</v>
          </cell>
          <cell r="J3630">
            <v>46250</v>
          </cell>
          <cell r="K3630">
            <v>100</v>
          </cell>
          <cell r="L3630">
            <v>46231</v>
          </cell>
          <cell r="M3630">
            <v>-5227</v>
          </cell>
          <cell r="N3630">
            <v>294773</v>
          </cell>
        </row>
        <row r="3631">
          <cell r="A3631">
            <v>25483</v>
          </cell>
          <cell r="B3631">
            <v>3625</v>
          </cell>
          <cell r="C3631" t="str">
            <v>IASWD2410000288</v>
          </cell>
          <cell r="D3631">
            <v>45580</v>
          </cell>
          <cell r="E3631">
            <v>46662</v>
          </cell>
          <cell r="F3631" t="str">
            <v>25483</v>
          </cell>
          <cell r="G3631" t="str">
            <v>華固三</v>
          </cell>
          <cell r="H3631">
            <v>400000</v>
          </cell>
          <cell r="I3631">
            <v>3.25</v>
          </cell>
          <cell r="J3631">
            <v>46662</v>
          </cell>
          <cell r="K3631">
            <v>100</v>
          </cell>
          <cell r="L3631">
            <v>46644</v>
          </cell>
          <cell r="M3631">
            <v>-7551</v>
          </cell>
          <cell r="N3631">
            <v>392449</v>
          </cell>
        </row>
        <row r="3632">
          <cell r="A3632">
            <v>25483</v>
          </cell>
          <cell r="B3632">
            <v>3626</v>
          </cell>
          <cell r="C3632" t="str">
            <v>IASWD2410000289</v>
          </cell>
          <cell r="D3632">
            <v>45580</v>
          </cell>
          <cell r="E3632">
            <v>46662</v>
          </cell>
          <cell r="F3632" t="str">
            <v>25483</v>
          </cell>
          <cell r="G3632" t="str">
            <v>華固三</v>
          </cell>
          <cell r="H3632">
            <v>100000</v>
          </cell>
          <cell r="I3632">
            <v>3.25</v>
          </cell>
          <cell r="J3632">
            <v>46662</v>
          </cell>
          <cell r="K3632">
            <v>100</v>
          </cell>
          <cell r="L3632">
            <v>46644</v>
          </cell>
          <cell r="M3632">
            <v>-1888</v>
          </cell>
          <cell r="N3632">
            <v>98112</v>
          </cell>
        </row>
        <row r="3633">
          <cell r="A3633">
            <v>25483</v>
          </cell>
          <cell r="B3633">
            <v>3627</v>
          </cell>
          <cell r="C3633" t="str">
            <v>IASWD2410000290</v>
          </cell>
          <cell r="D3633">
            <v>45580</v>
          </cell>
          <cell r="E3633">
            <v>46662</v>
          </cell>
          <cell r="F3633" t="str">
            <v>25483</v>
          </cell>
          <cell r="G3633" t="str">
            <v>華固三</v>
          </cell>
          <cell r="H3633">
            <v>2000000</v>
          </cell>
          <cell r="I3633">
            <v>3.25</v>
          </cell>
          <cell r="J3633">
            <v>46662</v>
          </cell>
          <cell r="K3633">
            <v>100</v>
          </cell>
          <cell r="L3633">
            <v>46644</v>
          </cell>
          <cell r="M3633">
            <v>-37753</v>
          </cell>
          <cell r="N3633">
            <v>1962247</v>
          </cell>
        </row>
        <row r="3634">
          <cell r="A3634">
            <v>25483</v>
          </cell>
          <cell r="B3634">
            <v>3628</v>
          </cell>
          <cell r="C3634" t="str">
            <v>IASWD2410000291</v>
          </cell>
          <cell r="D3634">
            <v>45580</v>
          </cell>
          <cell r="E3634">
            <v>46662</v>
          </cell>
          <cell r="F3634" t="str">
            <v>25483</v>
          </cell>
          <cell r="G3634" t="str">
            <v>華固三</v>
          </cell>
          <cell r="H3634">
            <v>500000</v>
          </cell>
          <cell r="I3634">
            <v>3.25</v>
          </cell>
          <cell r="J3634">
            <v>46662</v>
          </cell>
          <cell r="K3634">
            <v>100</v>
          </cell>
          <cell r="L3634">
            <v>46644</v>
          </cell>
          <cell r="M3634">
            <v>-9438</v>
          </cell>
          <cell r="N3634">
            <v>490562</v>
          </cell>
        </row>
        <row r="3635">
          <cell r="A3635">
            <v>61843</v>
          </cell>
          <cell r="B3635">
            <v>3629</v>
          </cell>
          <cell r="C3635" t="str">
            <v>IASWD2410000293</v>
          </cell>
          <cell r="D3635">
            <v>45581</v>
          </cell>
          <cell r="E3635">
            <v>46452</v>
          </cell>
          <cell r="F3635" t="str">
            <v>61843</v>
          </cell>
          <cell r="G3635" t="str">
            <v>大豐電三</v>
          </cell>
          <cell r="H3635">
            <v>700000</v>
          </cell>
          <cell r="I3635">
            <v>3.75</v>
          </cell>
          <cell r="J3635">
            <v>46452</v>
          </cell>
          <cell r="K3635">
            <v>101.50749999999999</v>
          </cell>
          <cell r="L3635">
            <v>46434</v>
          </cell>
          <cell r="M3635">
            <v>-15175</v>
          </cell>
          <cell r="N3635">
            <v>684825</v>
          </cell>
        </row>
        <row r="3636">
          <cell r="A3636">
            <v>22013</v>
          </cell>
          <cell r="B3636">
            <v>3630</v>
          </cell>
          <cell r="C3636" t="str">
            <v>IASWD2410000294</v>
          </cell>
          <cell r="D3636">
            <v>45581</v>
          </cell>
          <cell r="E3636">
            <v>46167</v>
          </cell>
          <cell r="F3636" t="str">
            <v>22013</v>
          </cell>
          <cell r="G3636" t="str">
            <v>裕隆三</v>
          </cell>
          <cell r="H3636">
            <v>100000</v>
          </cell>
          <cell r="I3636">
            <v>3.25</v>
          </cell>
          <cell r="J3636">
            <v>46167</v>
          </cell>
          <cell r="K3636">
            <v>100.75190000000001</v>
          </cell>
          <cell r="L3636">
            <v>46147</v>
          </cell>
          <cell r="M3636">
            <v>-1879</v>
          </cell>
          <cell r="N3636">
            <v>98121</v>
          </cell>
        </row>
        <row r="3637">
          <cell r="A3637">
            <v>61965</v>
          </cell>
          <cell r="B3637">
            <v>3631</v>
          </cell>
          <cell r="C3637" t="str">
            <v>IASWD2410000295</v>
          </cell>
          <cell r="D3637">
            <v>45581</v>
          </cell>
          <cell r="E3637">
            <v>46200</v>
          </cell>
          <cell r="F3637" t="str">
            <v>61965</v>
          </cell>
          <cell r="G3637" t="str">
            <v>帆宣五</v>
          </cell>
          <cell r="H3637">
            <v>200000</v>
          </cell>
          <cell r="I3637">
            <v>3</v>
          </cell>
          <cell r="J3637">
            <v>46200</v>
          </cell>
          <cell r="K3637">
            <v>100</v>
          </cell>
          <cell r="L3637">
            <v>46182</v>
          </cell>
          <cell r="M3637">
            <v>-3468</v>
          </cell>
          <cell r="N3637">
            <v>196532</v>
          </cell>
        </row>
        <row r="3638">
          <cell r="A3638">
            <v>64145</v>
          </cell>
          <cell r="B3638">
            <v>3632</v>
          </cell>
          <cell r="C3638" t="str">
            <v>IASWD2410000296</v>
          </cell>
          <cell r="D3638">
            <v>45581</v>
          </cell>
          <cell r="E3638">
            <v>46250</v>
          </cell>
          <cell r="F3638" t="str">
            <v>64145</v>
          </cell>
          <cell r="G3638" t="str">
            <v>樺漢五</v>
          </cell>
          <cell r="H3638">
            <v>100000</v>
          </cell>
          <cell r="I3638">
            <v>3</v>
          </cell>
          <cell r="J3638">
            <v>46250</v>
          </cell>
          <cell r="K3638">
            <v>100</v>
          </cell>
          <cell r="L3638">
            <v>46231</v>
          </cell>
          <cell r="M3638">
            <v>-1734</v>
          </cell>
          <cell r="N3638">
            <v>98266</v>
          </cell>
        </row>
        <row r="3639">
          <cell r="A3639">
            <v>16095</v>
          </cell>
          <cell r="B3639">
            <v>3633</v>
          </cell>
          <cell r="C3639" t="str">
            <v>IASWD2410000297</v>
          </cell>
          <cell r="D3639">
            <v>45581</v>
          </cell>
          <cell r="E3639">
            <v>46660</v>
          </cell>
          <cell r="F3639" t="str">
            <v>16095</v>
          </cell>
          <cell r="G3639" t="str">
            <v>大亞五</v>
          </cell>
          <cell r="H3639">
            <v>1000000</v>
          </cell>
          <cell r="I3639">
            <v>3</v>
          </cell>
          <cell r="J3639">
            <v>46660</v>
          </cell>
          <cell r="K3639">
            <v>100.75</v>
          </cell>
          <cell r="L3639">
            <v>46640</v>
          </cell>
          <cell r="M3639">
            <v>-17342</v>
          </cell>
          <cell r="N3639">
            <v>982658</v>
          </cell>
        </row>
        <row r="3640">
          <cell r="A3640">
            <v>33121</v>
          </cell>
          <cell r="B3640">
            <v>3634</v>
          </cell>
          <cell r="C3640" t="str">
            <v>IASWD2410000298</v>
          </cell>
          <cell r="D3640">
            <v>45581</v>
          </cell>
          <cell r="E3640">
            <v>46563</v>
          </cell>
          <cell r="F3640" t="str">
            <v>33121</v>
          </cell>
          <cell r="G3640" t="str">
            <v>弘憶股一</v>
          </cell>
          <cell r="H3640">
            <v>100000</v>
          </cell>
          <cell r="I3640">
            <v>3.35</v>
          </cell>
          <cell r="J3640">
            <v>46563</v>
          </cell>
          <cell r="K3640">
            <v>100</v>
          </cell>
          <cell r="L3640">
            <v>46545</v>
          </cell>
          <cell r="M3640">
            <v>-1937</v>
          </cell>
          <cell r="N3640">
            <v>98063</v>
          </cell>
        </row>
        <row r="3641">
          <cell r="A3641">
            <v>25483</v>
          </cell>
          <cell r="B3641">
            <v>3635</v>
          </cell>
          <cell r="C3641" t="str">
            <v>IASWD2410000299</v>
          </cell>
          <cell r="D3641">
            <v>45581</v>
          </cell>
          <cell r="E3641">
            <v>46662</v>
          </cell>
          <cell r="F3641" t="str">
            <v>25483</v>
          </cell>
          <cell r="G3641" t="str">
            <v>華固三</v>
          </cell>
          <cell r="H3641">
            <v>8400000</v>
          </cell>
          <cell r="I3641">
            <v>3.25</v>
          </cell>
          <cell r="J3641">
            <v>46662</v>
          </cell>
          <cell r="K3641">
            <v>100</v>
          </cell>
          <cell r="L3641">
            <v>46644</v>
          </cell>
          <cell r="M3641">
            <v>-157816</v>
          </cell>
          <cell r="N3641">
            <v>8242184</v>
          </cell>
        </row>
        <row r="3642">
          <cell r="A3642">
            <v>16095</v>
          </cell>
          <cell r="B3642">
            <v>3636</v>
          </cell>
          <cell r="C3642" t="str">
            <v>IASWD2410000301</v>
          </cell>
          <cell r="D3642">
            <v>45581</v>
          </cell>
          <cell r="E3642">
            <v>46660</v>
          </cell>
          <cell r="F3642" t="str">
            <v>16095</v>
          </cell>
          <cell r="G3642" t="str">
            <v>大亞五</v>
          </cell>
          <cell r="H3642">
            <v>200000</v>
          </cell>
          <cell r="I3642">
            <v>3</v>
          </cell>
          <cell r="J3642">
            <v>46660</v>
          </cell>
          <cell r="K3642">
            <v>100.75</v>
          </cell>
          <cell r="L3642">
            <v>46640</v>
          </cell>
          <cell r="M3642">
            <v>-3468</v>
          </cell>
          <cell r="N3642">
            <v>196532</v>
          </cell>
        </row>
        <row r="3643">
          <cell r="A3643">
            <v>82551</v>
          </cell>
          <cell r="B3643">
            <v>3637</v>
          </cell>
          <cell r="C3643" t="str">
            <v>IASWD2410000302</v>
          </cell>
          <cell r="D3643">
            <v>45581</v>
          </cell>
          <cell r="E3643">
            <v>46243</v>
          </cell>
          <cell r="F3643" t="str">
            <v>82551</v>
          </cell>
          <cell r="G3643" t="str">
            <v>朋程一</v>
          </cell>
          <cell r="H3643">
            <v>100000</v>
          </cell>
          <cell r="I3643">
            <v>2.6</v>
          </cell>
          <cell r="J3643">
            <v>46243</v>
          </cell>
          <cell r="K3643">
            <v>100</v>
          </cell>
          <cell r="L3643">
            <v>46224</v>
          </cell>
          <cell r="M3643">
            <v>-1503</v>
          </cell>
          <cell r="N3643">
            <v>98497</v>
          </cell>
        </row>
        <row r="3644">
          <cell r="A3644">
            <v>20632</v>
          </cell>
          <cell r="B3644">
            <v>3638</v>
          </cell>
          <cell r="C3644" t="str">
            <v>IASWD2410000304</v>
          </cell>
          <cell r="D3644">
            <v>45581</v>
          </cell>
          <cell r="E3644">
            <v>45971</v>
          </cell>
          <cell r="F3644" t="str">
            <v>20632</v>
          </cell>
          <cell r="G3644" t="str">
            <v>世鎧二</v>
          </cell>
          <cell r="H3644">
            <v>100000</v>
          </cell>
          <cell r="I3644">
            <v>3.25</v>
          </cell>
          <cell r="J3644">
            <v>45971</v>
          </cell>
          <cell r="K3644">
            <v>100</v>
          </cell>
          <cell r="L3644">
            <v>45951</v>
          </cell>
          <cell r="M3644">
            <v>-1879</v>
          </cell>
          <cell r="N3644">
            <v>98121</v>
          </cell>
        </row>
        <row r="3645">
          <cell r="A3645">
            <v>80506</v>
          </cell>
          <cell r="B3645">
            <v>3639</v>
          </cell>
          <cell r="C3645" t="str">
            <v>IASWD2410000305</v>
          </cell>
          <cell r="D3645">
            <v>45581</v>
          </cell>
          <cell r="E3645">
            <v>45983</v>
          </cell>
          <cell r="F3645" t="str">
            <v>80506</v>
          </cell>
          <cell r="G3645" t="str">
            <v>廣積六</v>
          </cell>
          <cell r="H3645">
            <v>300000</v>
          </cell>
          <cell r="I3645">
            <v>3.25</v>
          </cell>
          <cell r="J3645">
            <v>45983</v>
          </cell>
          <cell r="K3645">
            <v>100.75</v>
          </cell>
          <cell r="L3645">
            <v>45965</v>
          </cell>
          <cell r="M3645">
            <v>-5636</v>
          </cell>
          <cell r="N3645">
            <v>294364</v>
          </cell>
        </row>
        <row r="3646">
          <cell r="A3646">
            <v>82551</v>
          </cell>
          <cell r="B3646">
            <v>3640</v>
          </cell>
          <cell r="C3646" t="str">
            <v>IASWD2410000306</v>
          </cell>
          <cell r="D3646">
            <v>45581</v>
          </cell>
          <cell r="E3646">
            <v>46243</v>
          </cell>
          <cell r="F3646" t="str">
            <v>82551</v>
          </cell>
          <cell r="G3646" t="str">
            <v>朋程一</v>
          </cell>
          <cell r="H3646">
            <v>100000</v>
          </cell>
          <cell r="I3646">
            <v>2.6</v>
          </cell>
          <cell r="J3646">
            <v>46243</v>
          </cell>
          <cell r="K3646">
            <v>100</v>
          </cell>
          <cell r="L3646">
            <v>46224</v>
          </cell>
          <cell r="M3646">
            <v>-1503</v>
          </cell>
          <cell r="N3646">
            <v>98497</v>
          </cell>
        </row>
        <row r="3647">
          <cell r="A3647">
            <v>53064</v>
          </cell>
          <cell r="B3647">
            <v>3641</v>
          </cell>
          <cell r="C3647" t="str">
            <v>IASWD2410000307</v>
          </cell>
          <cell r="D3647">
            <v>45581</v>
          </cell>
          <cell r="E3647">
            <v>46334</v>
          </cell>
          <cell r="F3647" t="str">
            <v>53064</v>
          </cell>
          <cell r="G3647" t="str">
            <v>桂盟四</v>
          </cell>
          <cell r="H3647">
            <v>100000</v>
          </cell>
          <cell r="I3647">
            <v>2.2999999999999998</v>
          </cell>
          <cell r="J3647">
            <v>46334</v>
          </cell>
          <cell r="K3647">
            <v>100</v>
          </cell>
          <cell r="L3647">
            <v>46315</v>
          </cell>
          <cell r="M3647">
            <v>-1330</v>
          </cell>
          <cell r="N3647">
            <v>98670</v>
          </cell>
        </row>
        <row r="3648">
          <cell r="A3648">
            <v>53064</v>
          </cell>
          <cell r="B3648">
            <v>3642</v>
          </cell>
          <cell r="C3648" t="str">
            <v>IASWD2410000308</v>
          </cell>
          <cell r="D3648">
            <v>45581</v>
          </cell>
          <cell r="E3648">
            <v>46334</v>
          </cell>
          <cell r="F3648" t="str">
            <v>53064</v>
          </cell>
          <cell r="G3648" t="str">
            <v>桂盟四</v>
          </cell>
          <cell r="H3648">
            <v>100000</v>
          </cell>
          <cell r="I3648">
            <v>2.2999999999999998</v>
          </cell>
          <cell r="J3648">
            <v>46334</v>
          </cell>
          <cell r="K3648">
            <v>100</v>
          </cell>
          <cell r="L3648">
            <v>46315</v>
          </cell>
          <cell r="M3648">
            <v>-1330</v>
          </cell>
          <cell r="N3648">
            <v>98670</v>
          </cell>
        </row>
        <row r="3649">
          <cell r="A3649">
            <v>25483</v>
          </cell>
          <cell r="B3649">
            <v>3643</v>
          </cell>
          <cell r="C3649" t="str">
            <v>IASWD2410000309</v>
          </cell>
          <cell r="D3649">
            <v>45581</v>
          </cell>
          <cell r="E3649">
            <v>46662</v>
          </cell>
          <cell r="F3649" t="str">
            <v>25483</v>
          </cell>
          <cell r="G3649" t="str">
            <v>華固三</v>
          </cell>
          <cell r="H3649">
            <v>100000</v>
          </cell>
          <cell r="I3649">
            <v>3.25</v>
          </cell>
          <cell r="J3649">
            <v>46662</v>
          </cell>
          <cell r="K3649">
            <v>100</v>
          </cell>
          <cell r="L3649">
            <v>46644</v>
          </cell>
          <cell r="M3649">
            <v>-1879</v>
          </cell>
          <cell r="N3649">
            <v>98121</v>
          </cell>
        </row>
        <row r="3650">
          <cell r="A3650">
            <v>82551</v>
          </cell>
          <cell r="B3650">
            <v>3644</v>
          </cell>
          <cell r="C3650" t="str">
            <v>IASWD2410000310</v>
          </cell>
          <cell r="D3650">
            <v>45581</v>
          </cell>
          <cell r="E3650">
            <v>46243</v>
          </cell>
          <cell r="F3650" t="str">
            <v>82551</v>
          </cell>
          <cell r="G3650" t="str">
            <v>朋程一</v>
          </cell>
          <cell r="H3650">
            <v>100000</v>
          </cell>
          <cell r="I3650">
            <v>2.6</v>
          </cell>
          <cell r="J3650">
            <v>46243</v>
          </cell>
          <cell r="K3650">
            <v>100</v>
          </cell>
          <cell r="L3650">
            <v>46224</v>
          </cell>
          <cell r="M3650">
            <v>-1503</v>
          </cell>
          <cell r="N3650">
            <v>98497</v>
          </cell>
        </row>
        <row r="3651">
          <cell r="A3651">
            <v>22013</v>
          </cell>
          <cell r="B3651">
            <v>3645</v>
          </cell>
          <cell r="C3651" t="str">
            <v>IASWD2410000311</v>
          </cell>
          <cell r="D3651">
            <v>45581</v>
          </cell>
          <cell r="E3651">
            <v>46167</v>
          </cell>
          <cell r="F3651" t="str">
            <v>22013</v>
          </cell>
          <cell r="G3651" t="str">
            <v>裕隆三</v>
          </cell>
          <cell r="H3651">
            <v>100000</v>
          </cell>
          <cell r="I3651">
            <v>3.25</v>
          </cell>
          <cell r="J3651">
            <v>46167</v>
          </cell>
          <cell r="K3651">
            <v>100.75190000000001</v>
          </cell>
          <cell r="L3651">
            <v>46147</v>
          </cell>
          <cell r="M3651">
            <v>-1879</v>
          </cell>
          <cell r="N3651">
            <v>98121</v>
          </cell>
        </row>
        <row r="3652">
          <cell r="A3652">
            <v>25483</v>
          </cell>
          <cell r="B3652">
            <v>3646</v>
          </cell>
          <cell r="C3652" t="str">
            <v>IASWD2410000312</v>
          </cell>
          <cell r="D3652">
            <v>45581</v>
          </cell>
          <cell r="E3652">
            <v>46662</v>
          </cell>
          <cell r="F3652" t="str">
            <v>25483</v>
          </cell>
          <cell r="G3652" t="str">
            <v>華固三</v>
          </cell>
          <cell r="H3652">
            <v>400000</v>
          </cell>
          <cell r="I3652">
            <v>3.25</v>
          </cell>
          <cell r="J3652">
            <v>46662</v>
          </cell>
          <cell r="K3652">
            <v>100</v>
          </cell>
          <cell r="L3652">
            <v>46644</v>
          </cell>
          <cell r="M3652">
            <v>-7515</v>
          </cell>
          <cell r="N3652">
            <v>392485</v>
          </cell>
        </row>
        <row r="3653">
          <cell r="A3653">
            <v>34793</v>
          </cell>
          <cell r="B3653">
            <v>3647</v>
          </cell>
          <cell r="C3653" t="str">
            <v>IASWD2410000313</v>
          </cell>
          <cell r="D3653">
            <v>45581</v>
          </cell>
          <cell r="E3653">
            <v>46409</v>
          </cell>
          <cell r="F3653" t="str">
            <v>34793</v>
          </cell>
          <cell r="G3653" t="str">
            <v>安勤三</v>
          </cell>
          <cell r="H3653">
            <v>100000</v>
          </cell>
          <cell r="I3653">
            <v>3</v>
          </cell>
          <cell r="J3653">
            <v>46409</v>
          </cell>
          <cell r="K3653">
            <v>100</v>
          </cell>
          <cell r="L3653">
            <v>46391</v>
          </cell>
          <cell r="M3653">
            <v>-1734</v>
          </cell>
          <cell r="N3653">
            <v>98266</v>
          </cell>
        </row>
        <row r="3654">
          <cell r="A3654">
            <v>84781</v>
          </cell>
          <cell r="B3654">
            <v>3648</v>
          </cell>
          <cell r="C3654" t="str">
            <v>IASWD2410000314</v>
          </cell>
          <cell r="D3654">
            <v>45581</v>
          </cell>
          <cell r="E3654">
            <v>46583</v>
          </cell>
          <cell r="F3654" t="str">
            <v>84781</v>
          </cell>
          <cell r="G3654" t="str">
            <v>東哥遊艇一</v>
          </cell>
          <cell r="H3654">
            <v>100000</v>
          </cell>
          <cell r="I3654">
            <v>3.1</v>
          </cell>
          <cell r="J3654">
            <v>46583</v>
          </cell>
          <cell r="K3654">
            <v>100</v>
          </cell>
          <cell r="L3654">
            <v>46563</v>
          </cell>
          <cell r="M3654">
            <v>-1792</v>
          </cell>
          <cell r="N3654">
            <v>98208</v>
          </cell>
        </row>
        <row r="3655">
          <cell r="A3655">
            <v>61965</v>
          </cell>
          <cell r="B3655">
            <v>3649</v>
          </cell>
          <cell r="C3655" t="str">
            <v>IASWD2410000316</v>
          </cell>
          <cell r="D3655">
            <v>45581</v>
          </cell>
          <cell r="E3655">
            <v>46200</v>
          </cell>
          <cell r="F3655" t="str">
            <v>61965</v>
          </cell>
          <cell r="G3655" t="str">
            <v>帆宣五</v>
          </cell>
          <cell r="H3655">
            <v>100000</v>
          </cell>
          <cell r="I3655">
            <v>3</v>
          </cell>
          <cell r="J3655">
            <v>46200</v>
          </cell>
          <cell r="K3655">
            <v>100</v>
          </cell>
          <cell r="L3655">
            <v>46182</v>
          </cell>
          <cell r="M3655">
            <v>-1734</v>
          </cell>
          <cell r="N3655">
            <v>98266</v>
          </cell>
        </row>
        <row r="3656">
          <cell r="A3656">
            <v>25483</v>
          </cell>
          <cell r="B3656">
            <v>3650</v>
          </cell>
          <cell r="C3656" t="str">
            <v>IASWD2410000317</v>
          </cell>
          <cell r="D3656">
            <v>45581</v>
          </cell>
          <cell r="E3656">
            <v>46662</v>
          </cell>
          <cell r="F3656" t="str">
            <v>25483</v>
          </cell>
          <cell r="G3656" t="str">
            <v>華固三</v>
          </cell>
          <cell r="H3656">
            <v>1100000</v>
          </cell>
          <cell r="I3656">
            <v>3.25</v>
          </cell>
          <cell r="J3656">
            <v>46662</v>
          </cell>
          <cell r="K3656">
            <v>100</v>
          </cell>
          <cell r="L3656">
            <v>46644</v>
          </cell>
          <cell r="M3656">
            <v>-20666</v>
          </cell>
          <cell r="N3656">
            <v>1079334</v>
          </cell>
        </row>
        <row r="3657">
          <cell r="A3657">
            <v>61965</v>
          </cell>
          <cell r="B3657">
            <v>3651</v>
          </cell>
          <cell r="C3657" t="str">
            <v>IASWD2410000318</v>
          </cell>
          <cell r="D3657">
            <v>45581</v>
          </cell>
          <cell r="E3657">
            <v>46200</v>
          </cell>
          <cell r="F3657" t="str">
            <v>61965</v>
          </cell>
          <cell r="G3657" t="str">
            <v>帆宣五</v>
          </cell>
          <cell r="H3657">
            <v>300000</v>
          </cell>
          <cell r="I3657">
            <v>3</v>
          </cell>
          <cell r="J3657">
            <v>46200</v>
          </cell>
          <cell r="K3657">
            <v>100</v>
          </cell>
          <cell r="L3657">
            <v>46182</v>
          </cell>
          <cell r="M3657">
            <v>-5203</v>
          </cell>
          <cell r="N3657">
            <v>294797</v>
          </cell>
        </row>
        <row r="3658">
          <cell r="A3658">
            <v>16095</v>
          </cell>
          <cell r="B3658">
            <v>3652</v>
          </cell>
          <cell r="C3658" t="str">
            <v>IASWD2410000320</v>
          </cell>
          <cell r="D3658">
            <v>45581</v>
          </cell>
          <cell r="E3658">
            <v>46660</v>
          </cell>
          <cell r="F3658" t="str">
            <v>16095</v>
          </cell>
          <cell r="G3658" t="str">
            <v>大亞五</v>
          </cell>
          <cell r="H3658">
            <v>100000</v>
          </cell>
          <cell r="I3658">
            <v>3</v>
          </cell>
          <cell r="J3658">
            <v>46660</v>
          </cell>
          <cell r="K3658">
            <v>100.75</v>
          </cell>
          <cell r="L3658">
            <v>46640</v>
          </cell>
          <cell r="M3658">
            <v>-1734</v>
          </cell>
          <cell r="N3658">
            <v>98266</v>
          </cell>
        </row>
        <row r="3659">
          <cell r="A3659">
            <v>16095</v>
          </cell>
          <cell r="B3659">
            <v>3653</v>
          </cell>
          <cell r="C3659" t="str">
            <v>IASWD2410000321</v>
          </cell>
          <cell r="D3659">
            <v>45582</v>
          </cell>
          <cell r="E3659">
            <v>46660</v>
          </cell>
          <cell r="F3659" t="str">
            <v>16095</v>
          </cell>
          <cell r="G3659" t="str">
            <v>大亞五</v>
          </cell>
          <cell r="H3659">
            <v>600000</v>
          </cell>
          <cell r="I3659">
            <v>3</v>
          </cell>
          <cell r="J3659">
            <v>46660</v>
          </cell>
          <cell r="K3659">
            <v>100.75</v>
          </cell>
          <cell r="L3659">
            <v>46640</v>
          </cell>
          <cell r="M3659">
            <v>-10356</v>
          </cell>
          <cell r="N3659">
            <v>589644</v>
          </cell>
        </row>
        <row r="3660">
          <cell r="A3660">
            <v>15364</v>
          </cell>
          <cell r="B3660">
            <v>3654</v>
          </cell>
          <cell r="C3660" t="str">
            <v>IASWD2410000324</v>
          </cell>
          <cell r="D3660">
            <v>45582</v>
          </cell>
          <cell r="E3660">
            <v>46246</v>
          </cell>
          <cell r="F3660" t="str">
            <v>15364</v>
          </cell>
          <cell r="G3660" t="str">
            <v>和大四</v>
          </cell>
          <cell r="H3660">
            <v>500000</v>
          </cell>
          <cell r="I3660">
            <v>4</v>
          </cell>
          <cell r="J3660">
            <v>46246</v>
          </cell>
          <cell r="K3660">
            <v>100</v>
          </cell>
          <cell r="L3660">
            <v>46226</v>
          </cell>
          <cell r="M3660">
            <v>-11507</v>
          </cell>
          <cell r="N3660">
            <v>488493</v>
          </cell>
        </row>
        <row r="3661">
          <cell r="A3661">
            <v>33121</v>
          </cell>
          <cell r="B3661">
            <v>3655</v>
          </cell>
          <cell r="C3661" t="str">
            <v>IASWD2410000326</v>
          </cell>
          <cell r="D3661">
            <v>45582</v>
          </cell>
          <cell r="E3661">
            <v>46563</v>
          </cell>
          <cell r="F3661" t="str">
            <v>33121</v>
          </cell>
          <cell r="G3661" t="str">
            <v>弘憶股一</v>
          </cell>
          <cell r="H3661">
            <v>700000</v>
          </cell>
          <cell r="I3661">
            <v>3.35</v>
          </cell>
          <cell r="J3661">
            <v>46563</v>
          </cell>
          <cell r="K3661">
            <v>100</v>
          </cell>
          <cell r="L3661">
            <v>46545</v>
          </cell>
          <cell r="M3661">
            <v>-13492</v>
          </cell>
          <cell r="N3661">
            <v>686508</v>
          </cell>
        </row>
        <row r="3662">
          <cell r="A3662">
            <v>61965</v>
          </cell>
          <cell r="B3662">
            <v>3656</v>
          </cell>
          <cell r="C3662" t="str">
            <v>IASWD2410000327</v>
          </cell>
          <cell r="D3662">
            <v>45582</v>
          </cell>
          <cell r="E3662">
            <v>46200</v>
          </cell>
          <cell r="F3662" t="str">
            <v>61965</v>
          </cell>
          <cell r="G3662" t="str">
            <v>帆宣五</v>
          </cell>
          <cell r="H3662">
            <v>100000</v>
          </cell>
          <cell r="I3662">
            <v>3</v>
          </cell>
          <cell r="J3662">
            <v>46200</v>
          </cell>
          <cell r="K3662">
            <v>100</v>
          </cell>
          <cell r="L3662">
            <v>46182</v>
          </cell>
          <cell r="M3662">
            <v>-1726</v>
          </cell>
          <cell r="N3662">
            <v>98274</v>
          </cell>
        </row>
        <row r="3663">
          <cell r="A3663">
            <v>53064</v>
          </cell>
          <cell r="B3663">
            <v>3657</v>
          </cell>
          <cell r="C3663" t="str">
            <v>IASWD2410000328</v>
          </cell>
          <cell r="D3663">
            <v>45582</v>
          </cell>
          <cell r="E3663">
            <v>46334</v>
          </cell>
          <cell r="F3663" t="str">
            <v>53064</v>
          </cell>
          <cell r="G3663" t="str">
            <v>桂盟四</v>
          </cell>
          <cell r="H3663">
            <v>300000</v>
          </cell>
          <cell r="I3663">
            <v>2.2999999999999998</v>
          </cell>
          <cell r="J3663">
            <v>46334</v>
          </cell>
          <cell r="K3663">
            <v>100</v>
          </cell>
          <cell r="L3663">
            <v>46315</v>
          </cell>
          <cell r="M3663">
            <v>-3970</v>
          </cell>
          <cell r="N3663">
            <v>296030</v>
          </cell>
        </row>
        <row r="3664">
          <cell r="A3664">
            <v>33121</v>
          </cell>
          <cell r="B3664">
            <v>3658</v>
          </cell>
          <cell r="C3664" t="str">
            <v>IASWD2410000329</v>
          </cell>
          <cell r="D3664">
            <v>45582</v>
          </cell>
          <cell r="E3664">
            <v>46563</v>
          </cell>
          <cell r="F3664" t="str">
            <v>33121</v>
          </cell>
          <cell r="G3664" t="str">
            <v>弘憶股一</v>
          </cell>
          <cell r="H3664">
            <v>100000</v>
          </cell>
          <cell r="I3664">
            <v>3.35</v>
          </cell>
          <cell r="J3664">
            <v>46563</v>
          </cell>
          <cell r="K3664">
            <v>100</v>
          </cell>
          <cell r="L3664">
            <v>46545</v>
          </cell>
          <cell r="M3664">
            <v>-1927</v>
          </cell>
          <cell r="N3664">
            <v>98073</v>
          </cell>
        </row>
        <row r="3665">
          <cell r="A3665">
            <v>15364</v>
          </cell>
          <cell r="B3665">
            <v>3659</v>
          </cell>
          <cell r="C3665" t="str">
            <v>IASWD2410000330</v>
          </cell>
          <cell r="D3665">
            <v>45582</v>
          </cell>
          <cell r="E3665">
            <v>46246</v>
          </cell>
          <cell r="F3665" t="str">
            <v>15364</v>
          </cell>
          <cell r="G3665" t="str">
            <v>和大四</v>
          </cell>
          <cell r="H3665">
            <v>700000</v>
          </cell>
          <cell r="I3665">
            <v>4</v>
          </cell>
          <cell r="J3665">
            <v>46246</v>
          </cell>
          <cell r="K3665">
            <v>100</v>
          </cell>
          <cell r="L3665">
            <v>46226</v>
          </cell>
          <cell r="M3665">
            <v>-16110</v>
          </cell>
          <cell r="N3665">
            <v>683890</v>
          </cell>
        </row>
        <row r="3666">
          <cell r="A3666">
            <v>15364</v>
          </cell>
          <cell r="B3666">
            <v>3660</v>
          </cell>
          <cell r="C3666" t="str">
            <v>IASWD2410000331</v>
          </cell>
          <cell r="D3666">
            <v>45582</v>
          </cell>
          <cell r="E3666">
            <v>46246</v>
          </cell>
          <cell r="F3666" t="str">
            <v>15364</v>
          </cell>
          <cell r="G3666" t="str">
            <v>和大四</v>
          </cell>
          <cell r="H3666">
            <v>100000</v>
          </cell>
          <cell r="I3666">
            <v>4</v>
          </cell>
          <cell r="J3666">
            <v>46246</v>
          </cell>
          <cell r="K3666">
            <v>100</v>
          </cell>
          <cell r="L3666">
            <v>46226</v>
          </cell>
          <cell r="M3666">
            <v>-2301</v>
          </cell>
          <cell r="N3666">
            <v>97699</v>
          </cell>
        </row>
        <row r="3667">
          <cell r="A3667">
            <v>84673</v>
          </cell>
          <cell r="B3667">
            <v>3661</v>
          </cell>
          <cell r="C3667" t="str">
            <v>IASWD2410000332</v>
          </cell>
          <cell r="D3667">
            <v>45582</v>
          </cell>
          <cell r="E3667">
            <v>46538</v>
          </cell>
          <cell r="F3667" t="str">
            <v>84673</v>
          </cell>
          <cell r="G3667" t="str">
            <v>波力三KY</v>
          </cell>
          <cell r="H3667">
            <v>100000</v>
          </cell>
          <cell r="I3667">
            <v>4.2</v>
          </cell>
          <cell r="J3667">
            <v>46538</v>
          </cell>
          <cell r="K3667">
            <v>100</v>
          </cell>
          <cell r="L3667">
            <v>46518</v>
          </cell>
          <cell r="M3667">
            <v>-2416</v>
          </cell>
          <cell r="N3667">
            <v>97584</v>
          </cell>
        </row>
        <row r="3668">
          <cell r="A3668">
            <v>22013</v>
          </cell>
          <cell r="B3668">
            <v>3662</v>
          </cell>
          <cell r="C3668" t="str">
            <v>IASWD2410000333</v>
          </cell>
          <cell r="D3668">
            <v>45582</v>
          </cell>
          <cell r="E3668">
            <v>46167</v>
          </cell>
          <cell r="F3668" t="str">
            <v>22013</v>
          </cell>
          <cell r="G3668" t="str">
            <v>裕隆三</v>
          </cell>
          <cell r="H3668">
            <v>500000</v>
          </cell>
          <cell r="I3668">
            <v>3.25</v>
          </cell>
          <cell r="J3668">
            <v>46167</v>
          </cell>
          <cell r="K3668">
            <v>100.75190000000001</v>
          </cell>
          <cell r="L3668">
            <v>46147</v>
          </cell>
          <cell r="M3668">
            <v>-9349</v>
          </cell>
          <cell r="N3668">
            <v>490651</v>
          </cell>
        </row>
        <row r="3669">
          <cell r="A3669">
            <v>22013</v>
          </cell>
          <cell r="B3669">
            <v>3663</v>
          </cell>
          <cell r="C3669" t="str">
            <v>IASWD2410000334</v>
          </cell>
          <cell r="D3669">
            <v>45582</v>
          </cell>
          <cell r="E3669">
            <v>46167</v>
          </cell>
          <cell r="F3669" t="str">
            <v>22013</v>
          </cell>
          <cell r="G3669" t="str">
            <v>裕隆三</v>
          </cell>
          <cell r="H3669">
            <v>500000</v>
          </cell>
          <cell r="I3669">
            <v>3.25</v>
          </cell>
          <cell r="J3669">
            <v>46167</v>
          </cell>
          <cell r="K3669">
            <v>100.75190000000001</v>
          </cell>
          <cell r="L3669">
            <v>46147</v>
          </cell>
          <cell r="M3669">
            <v>-9349</v>
          </cell>
          <cell r="N3669">
            <v>490651</v>
          </cell>
        </row>
        <row r="3670">
          <cell r="A3670">
            <v>64145</v>
          </cell>
          <cell r="B3670">
            <v>3664</v>
          </cell>
          <cell r="C3670" t="str">
            <v>IASWD2410000335</v>
          </cell>
          <cell r="D3670">
            <v>45582</v>
          </cell>
          <cell r="E3670">
            <v>46250</v>
          </cell>
          <cell r="F3670" t="str">
            <v>64145</v>
          </cell>
          <cell r="G3670" t="str">
            <v>樺漢五</v>
          </cell>
          <cell r="H3670">
            <v>100000</v>
          </cell>
          <cell r="I3670">
            <v>3</v>
          </cell>
          <cell r="J3670">
            <v>46250</v>
          </cell>
          <cell r="K3670">
            <v>100</v>
          </cell>
          <cell r="L3670">
            <v>46231</v>
          </cell>
          <cell r="M3670">
            <v>-1726</v>
          </cell>
          <cell r="N3670">
            <v>98274</v>
          </cell>
        </row>
        <row r="3671">
          <cell r="A3671">
            <v>25483</v>
          </cell>
          <cell r="B3671">
            <v>3665</v>
          </cell>
          <cell r="C3671" t="str">
            <v>IASWD2410000336</v>
          </cell>
          <cell r="D3671">
            <v>45582</v>
          </cell>
          <cell r="E3671">
            <v>46662</v>
          </cell>
          <cell r="F3671" t="str">
            <v>25483</v>
          </cell>
          <cell r="G3671" t="str">
            <v>華固三</v>
          </cell>
          <cell r="H3671">
            <v>800000</v>
          </cell>
          <cell r="I3671">
            <v>3.25</v>
          </cell>
          <cell r="J3671">
            <v>46662</v>
          </cell>
          <cell r="K3671">
            <v>100</v>
          </cell>
          <cell r="L3671">
            <v>46644</v>
          </cell>
          <cell r="M3671">
            <v>-14959</v>
          </cell>
          <cell r="N3671">
            <v>785041</v>
          </cell>
        </row>
        <row r="3672">
          <cell r="A3672">
            <v>61965</v>
          </cell>
          <cell r="B3672">
            <v>3666</v>
          </cell>
          <cell r="C3672" t="str">
            <v>IASWD2410000339</v>
          </cell>
          <cell r="D3672">
            <v>45582</v>
          </cell>
          <cell r="E3672">
            <v>46200</v>
          </cell>
          <cell r="F3672" t="str">
            <v>61965</v>
          </cell>
          <cell r="G3672" t="str">
            <v>帆宣五</v>
          </cell>
          <cell r="H3672">
            <v>100000</v>
          </cell>
          <cell r="I3672">
            <v>3</v>
          </cell>
          <cell r="J3672">
            <v>46200</v>
          </cell>
          <cell r="K3672">
            <v>100</v>
          </cell>
          <cell r="L3672">
            <v>46182</v>
          </cell>
          <cell r="M3672">
            <v>-1726</v>
          </cell>
          <cell r="N3672">
            <v>98274</v>
          </cell>
        </row>
        <row r="3673">
          <cell r="A3673">
            <v>25483</v>
          </cell>
          <cell r="B3673">
            <v>3667</v>
          </cell>
          <cell r="C3673" t="str">
            <v>IASWD2410000340</v>
          </cell>
          <cell r="D3673">
            <v>45582</v>
          </cell>
          <cell r="E3673">
            <v>46662</v>
          </cell>
          <cell r="F3673" t="str">
            <v>25483</v>
          </cell>
          <cell r="G3673" t="str">
            <v>華固三</v>
          </cell>
          <cell r="H3673">
            <v>200000</v>
          </cell>
          <cell r="I3673">
            <v>3.25</v>
          </cell>
          <cell r="J3673">
            <v>46662</v>
          </cell>
          <cell r="K3673">
            <v>100</v>
          </cell>
          <cell r="L3673">
            <v>46644</v>
          </cell>
          <cell r="M3673">
            <v>-3740</v>
          </cell>
          <cell r="N3673">
            <v>196260</v>
          </cell>
        </row>
        <row r="3674">
          <cell r="A3674">
            <v>22283</v>
          </cell>
          <cell r="B3674">
            <v>3668</v>
          </cell>
          <cell r="C3674" t="str">
            <v>IASWD2410000342</v>
          </cell>
          <cell r="D3674">
            <v>45582</v>
          </cell>
          <cell r="E3674">
            <v>46628</v>
          </cell>
          <cell r="F3674" t="str">
            <v>22283</v>
          </cell>
          <cell r="G3674" t="str">
            <v>劍麟三</v>
          </cell>
          <cell r="H3674">
            <v>300000</v>
          </cell>
          <cell r="I3674">
            <v>3</v>
          </cell>
          <cell r="J3674">
            <v>46628</v>
          </cell>
          <cell r="K3674">
            <v>100</v>
          </cell>
          <cell r="L3674">
            <v>46609</v>
          </cell>
          <cell r="M3674">
            <v>-5178</v>
          </cell>
          <cell r="N3674">
            <v>294822</v>
          </cell>
        </row>
        <row r="3675">
          <cell r="A3675">
            <v>84781</v>
          </cell>
          <cell r="B3675">
            <v>3669</v>
          </cell>
          <cell r="C3675" t="str">
            <v>IASWD2410000343</v>
          </cell>
          <cell r="D3675">
            <v>45582</v>
          </cell>
          <cell r="E3675">
            <v>46583</v>
          </cell>
          <cell r="F3675" t="str">
            <v>84781</v>
          </cell>
          <cell r="G3675" t="str">
            <v>東哥遊艇一</v>
          </cell>
          <cell r="H3675">
            <v>100000</v>
          </cell>
          <cell r="I3675">
            <v>3.1</v>
          </cell>
          <cell r="J3675">
            <v>46583</v>
          </cell>
          <cell r="K3675">
            <v>100</v>
          </cell>
          <cell r="L3675">
            <v>46563</v>
          </cell>
          <cell r="M3675">
            <v>-1784</v>
          </cell>
          <cell r="N3675">
            <v>98216</v>
          </cell>
        </row>
        <row r="3676">
          <cell r="A3676">
            <v>16095</v>
          </cell>
          <cell r="B3676">
            <v>3670</v>
          </cell>
          <cell r="C3676" t="str">
            <v>IASWD2410000344</v>
          </cell>
          <cell r="D3676">
            <v>45582</v>
          </cell>
          <cell r="E3676">
            <v>46660</v>
          </cell>
          <cell r="F3676" t="str">
            <v>16095</v>
          </cell>
          <cell r="G3676" t="str">
            <v>大亞五</v>
          </cell>
          <cell r="H3676">
            <v>100000</v>
          </cell>
          <cell r="I3676">
            <v>3</v>
          </cell>
          <cell r="J3676">
            <v>46660</v>
          </cell>
          <cell r="K3676">
            <v>100.75</v>
          </cell>
          <cell r="L3676">
            <v>46640</v>
          </cell>
          <cell r="M3676">
            <v>-1726</v>
          </cell>
          <cell r="N3676">
            <v>98274</v>
          </cell>
        </row>
        <row r="3677">
          <cell r="A3677">
            <v>25483</v>
          </cell>
          <cell r="B3677">
            <v>3671</v>
          </cell>
          <cell r="C3677" t="str">
            <v>IASWD2410000345</v>
          </cell>
          <cell r="D3677">
            <v>45582</v>
          </cell>
          <cell r="E3677">
            <v>46662</v>
          </cell>
          <cell r="F3677" t="str">
            <v>25483</v>
          </cell>
          <cell r="G3677" t="str">
            <v>華固三</v>
          </cell>
          <cell r="H3677">
            <v>200000</v>
          </cell>
          <cell r="I3677">
            <v>3.25</v>
          </cell>
          <cell r="J3677">
            <v>46662</v>
          </cell>
          <cell r="K3677">
            <v>100</v>
          </cell>
          <cell r="L3677">
            <v>46644</v>
          </cell>
          <cell r="M3677">
            <v>-3740</v>
          </cell>
          <cell r="N3677">
            <v>196260</v>
          </cell>
        </row>
        <row r="3678">
          <cell r="A3678">
            <v>25483</v>
          </cell>
          <cell r="B3678">
            <v>3672</v>
          </cell>
          <cell r="C3678" t="str">
            <v>IASWD2410000346</v>
          </cell>
          <cell r="D3678">
            <v>45582</v>
          </cell>
          <cell r="E3678">
            <v>46662</v>
          </cell>
          <cell r="F3678" t="str">
            <v>25483</v>
          </cell>
          <cell r="G3678" t="str">
            <v>華固三</v>
          </cell>
          <cell r="H3678">
            <v>1700000</v>
          </cell>
          <cell r="I3678">
            <v>3.25</v>
          </cell>
          <cell r="J3678">
            <v>46662</v>
          </cell>
          <cell r="K3678">
            <v>100</v>
          </cell>
          <cell r="L3678">
            <v>46644</v>
          </cell>
          <cell r="M3678">
            <v>-31788</v>
          </cell>
          <cell r="N3678">
            <v>1668212</v>
          </cell>
        </row>
        <row r="3679">
          <cell r="A3679">
            <v>34163</v>
          </cell>
          <cell r="B3679">
            <v>3673</v>
          </cell>
          <cell r="C3679" t="str">
            <v>IASWD2410000348</v>
          </cell>
          <cell r="D3679">
            <v>45582</v>
          </cell>
          <cell r="E3679">
            <v>46047</v>
          </cell>
          <cell r="F3679" t="str">
            <v>34163</v>
          </cell>
          <cell r="G3679" t="str">
            <v>融程電三</v>
          </cell>
          <cell r="H3679">
            <v>100000</v>
          </cell>
          <cell r="I3679">
            <v>3</v>
          </cell>
          <cell r="J3679">
            <v>46047</v>
          </cell>
          <cell r="K3679">
            <v>100.5</v>
          </cell>
          <cell r="L3679">
            <v>46028</v>
          </cell>
          <cell r="M3679">
            <v>-1726</v>
          </cell>
          <cell r="N3679">
            <v>98274</v>
          </cell>
        </row>
        <row r="3680">
          <cell r="A3680">
            <v>25483</v>
          </cell>
          <cell r="B3680">
            <v>3674</v>
          </cell>
          <cell r="C3680" t="str">
            <v>IASWD2410000349</v>
          </cell>
          <cell r="D3680">
            <v>45583</v>
          </cell>
          <cell r="E3680">
            <v>46662</v>
          </cell>
          <cell r="F3680" t="str">
            <v>25483</v>
          </cell>
          <cell r="G3680" t="str">
            <v>華固三</v>
          </cell>
          <cell r="H3680">
            <v>5000000</v>
          </cell>
          <cell r="I3680">
            <v>3.25</v>
          </cell>
          <cell r="J3680">
            <v>46662</v>
          </cell>
          <cell r="K3680">
            <v>100</v>
          </cell>
          <cell r="L3680">
            <v>46644</v>
          </cell>
          <cell r="M3680">
            <v>-93048</v>
          </cell>
          <cell r="N3680">
            <v>4906952</v>
          </cell>
        </row>
        <row r="3681">
          <cell r="A3681">
            <v>25483</v>
          </cell>
          <cell r="B3681">
            <v>3675</v>
          </cell>
          <cell r="C3681" t="str">
            <v>IASWD2410000351</v>
          </cell>
          <cell r="D3681">
            <v>45583</v>
          </cell>
          <cell r="E3681">
            <v>46662</v>
          </cell>
          <cell r="F3681" t="str">
            <v>25483</v>
          </cell>
          <cell r="G3681" t="str">
            <v>華固三</v>
          </cell>
          <cell r="H3681">
            <v>100000</v>
          </cell>
          <cell r="I3681">
            <v>3.25</v>
          </cell>
          <cell r="J3681">
            <v>46662</v>
          </cell>
          <cell r="K3681">
            <v>100</v>
          </cell>
          <cell r="L3681">
            <v>46644</v>
          </cell>
          <cell r="M3681">
            <v>-1861</v>
          </cell>
          <cell r="N3681">
            <v>98139</v>
          </cell>
        </row>
        <row r="3682">
          <cell r="A3682">
            <v>34843</v>
          </cell>
          <cell r="B3682">
            <v>3676</v>
          </cell>
          <cell r="C3682" t="str">
            <v>IASWD2410000352</v>
          </cell>
          <cell r="D3682">
            <v>45583</v>
          </cell>
          <cell r="E3682">
            <v>46136</v>
          </cell>
          <cell r="F3682" t="str">
            <v>34843</v>
          </cell>
          <cell r="G3682" t="str">
            <v>崧騰三</v>
          </cell>
          <cell r="H3682">
            <v>1000000</v>
          </cell>
          <cell r="I3682">
            <v>3.5</v>
          </cell>
          <cell r="J3682">
            <v>46136</v>
          </cell>
          <cell r="K3682">
            <v>100.75</v>
          </cell>
          <cell r="L3682">
            <v>46118</v>
          </cell>
          <cell r="M3682">
            <v>-20041</v>
          </cell>
          <cell r="N3682">
            <v>979959</v>
          </cell>
        </row>
        <row r="3683">
          <cell r="A3683">
            <v>61843</v>
          </cell>
          <cell r="B3683">
            <v>3677</v>
          </cell>
          <cell r="C3683" t="str">
            <v>IASWD2410000353</v>
          </cell>
          <cell r="D3683">
            <v>45583</v>
          </cell>
          <cell r="E3683">
            <v>46452</v>
          </cell>
          <cell r="F3683" t="str">
            <v>61843</v>
          </cell>
          <cell r="G3683" t="str">
            <v>大豐電三</v>
          </cell>
          <cell r="H3683">
            <v>300000</v>
          </cell>
          <cell r="I3683">
            <v>3.75</v>
          </cell>
          <cell r="J3683">
            <v>46452</v>
          </cell>
          <cell r="K3683">
            <v>101.50749999999999</v>
          </cell>
          <cell r="L3683">
            <v>46434</v>
          </cell>
          <cell r="M3683">
            <v>-6442</v>
          </cell>
          <cell r="N3683">
            <v>293558</v>
          </cell>
        </row>
        <row r="3684">
          <cell r="A3684">
            <v>33571</v>
          </cell>
          <cell r="B3684">
            <v>3678</v>
          </cell>
          <cell r="C3684" t="str">
            <v>IASWD2410000354</v>
          </cell>
          <cell r="D3684">
            <v>45583</v>
          </cell>
          <cell r="E3684">
            <v>46326</v>
          </cell>
          <cell r="F3684" t="str">
            <v>33571</v>
          </cell>
          <cell r="G3684" t="str">
            <v>臺慶科一</v>
          </cell>
          <cell r="H3684">
            <v>200000</v>
          </cell>
          <cell r="I3684">
            <v>2.6</v>
          </cell>
          <cell r="J3684">
            <v>46326</v>
          </cell>
          <cell r="K3684">
            <v>100</v>
          </cell>
          <cell r="L3684">
            <v>46308</v>
          </cell>
          <cell r="M3684">
            <v>-2978</v>
          </cell>
          <cell r="N3684">
            <v>197022</v>
          </cell>
        </row>
        <row r="3685">
          <cell r="A3685">
            <v>34834</v>
          </cell>
          <cell r="B3685">
            <v>3679</v>
          </cell>
          <cell r="C3685" t="str">
            <v>IASWD2410000355</v>
          </cell>
          <cell r="D3685">
            <v>45583</v>
          </cell>
          <cell r="E3685">
            <v>46529</v>
          </cell>
          <cell r="F3685" t="str">
            <v>34834</v>
          </cell>
          <cell r="G3685" t="str">
            <v>力致四</v>
          </cell>
          <cell r="H3685">
            <v>1000000</v>
          </cell>
          <cell r="I3685">
            <v>3.75</v>
          </cell>
          <cell r="J3685">
            <v>46529</v>
          </cell>
          <cell r="K3685">
            <v>100</v>
          </cell>
          <cell r="L3685">
            <v>46511</v>
          </cell>
          <cell r="M3685">
            <v>-21473</v>
          </cell>
          <cell r="N3685">
            <v>978527</v>
          </cell>
        </row>
        <row r="3686">
          <cell r="A3686">
            <v>16095</v>
          </cell>
          <cell r="B3686">
            <v>3680</v>
          </cell>
          <cell r="C3686" t="str">
            <v>IASWD2410000356</v>
          </cell>
          <cell r="D3686">
            <v>45583</v>
          </cell>
          <cell r="E3686">
            <v>46660</v>
          </cell>
          <cell r="F3686" t="str">
            <v>16095</v>
          </cell>
          <cell r="G3686" t="str">
            <v>大亞五</v>
          </cell>
          <cell r="H3686">
            <v>200000</v>
          </cell>
          <cell r="I3686">
            <v>3</v>
          </cell>
          <cell r="J3686">
            <v>46660</v>
          </cell>
          <cell r="K3686">
            <v>100.75</v>
          </cell>
          <cell r="L3686">
            <v>46640</v>
          </cell>
          <cell r="M3686">
            <v>-3436</v>
          </cell>
          <cell r="N3686">
            <v>196564</v>
          </cell>
        </row>
        <row r="3687">
          <cell r="A3687">
            <v>61394</v>
          </cell>
          <cell r="B3687">
            <v>3681</v>
          </cell>
          <cell r="C3687" t="str">
            <v>IASWD2410000357</v>
          </cell>
          <cell r="D3687">
            <v>45583</v>
          </cell>
          <cell r="E3687">
            <v>46047</v>
          </cell>
          <cell r="F3687" t="str">
            <v>61394</v>
          </cell>
          <cell r="G3687" t="str">
            <v>亞翔四</v>
          </cell>
          <cell r="H3687">
            <v>100000</v>
          </cell>
          <cell r="I3687">
            <v>3</v>
          </cell>
          <cell r="J3687">
            <v>46047</v>
          </cell>
          <cell r="K3687">
            <v>101.0025</v>
          </cell>
          <cell r="L3687">
            <v>46028</v>
          </cell>
          <cell r="M3687">
            <v>-1718</v>
          </cell>
          <cell r="N3687">
            <v>98282</v>
          </cell>
        </row>
        <row r="3688">
          <cell r="A3688">
            <v>61875</v>
          </cell>
          <cell r="B3688">
            <v>3682</v>
          </cell>
          <cell r="C3688" t="str">
            <v>IASWD2410000358</v>
          </cell>
          <cell r="D3688">
            <v>45583</v>
          </cell>
          <cell r="E3688">
            <v>46578</v>
          </cell>
          <cell r="F3688" t="str">
            <v>61875</v>
          </cell>
          <cell r="G3688" t="str">
            <v>萬潤五</v>
          </cell>
          <cell r="H3688">
            <v>100000</v>
          </cell>
          <cell r="I3688">
            <v>3.1</v>
          </cell>
          <cell r="J3688">
            <v>46578</v>
          </cell>
          <cell r="K3688">
            <v>100</v>
          </cell>
          <cell r="L3688">
            <v>46560</v>
          </cell>
          <cell r="M3688">
            <v>-1775</v>
          </cell>
          <cell r="N3688">
            <v>98225</v>
          </cell>
        </row>
        <row r="3689">
          <cell r="A3689">
            <v>50097</v>
          </cell>
          <cell r="B3689">
            <v>3683</v>
          </cell>
          <cell r="C3689" t="str">
            <v>IASWD2410000360</v>
          </cell>
          <cell r="D3689">
            <v>45583</v>
          </cell>
          <cell r="E3689">
            <v>46234</v>
          </cell>
          <cell r="F3689" t="str">
            <v>50097</v>
          </cell>
          <cell r="G3689" t="str">
            <v>榮剛七</v>
          </cell>
          <cell r="H3689">
            <v>100000</v>
          </cell>
          <cell r="I3689">
            <v>4.0999999999999996</v>
          </cell>
          <cell r="J3689">
            <v>46234</v>
          </cell>
          <cell r="K3689">
            <v>101.51</v>
          </cell>
          <cell r="L3689">
            <v>46216</v>
          </cell>
          <cell r="M3689">
            <v>-2348</v>
          </cell>
          <cell r="N3689">
            <v>97652</v>
          </cell>
        </row>
        <row r="3690">
          <cell r="A3690">
            <v>25483</v>
          </cell>
          <cell r="B3690">
            <v>3684</v>
          </cell>
          <cell r="C3690" t="str">
            <v>IASWD2410000361</v>
          </cell>
          <cell r="D3690">
            <v>45583</v>
          </cell>
          <cell r="E3690">
            <v>46662</v>
          </cell>
          <cell r="F3690" t="str">
            <v>25483</v>
          </cell>
          <cell r="G3690" t="str">
            <v>華固三</v>
          </cell>
          <cell r="H3690">
            <v>100000</v>
          </cell>
          <cell r="I3690">
            <v>3.25</v>
          </cell>
          <cell r="J3690">
            <v>46662</v>
          </cell>
          <cell r="K3690">
            <v>100</v>
          </cell>
          <cell r="L3690">
            <v>46644</v>
          </cell>
          <cell r="M3690">
            <v>-1861</v>
          </cell>
          <cell r="N3690">
            <v>98139</v>
          </cell>
        </row>
        <row r="3691">
          <cell r="A3691">
            <v>82551</v>
          </cell>
          <cell r="B3691">
            <v>3685</v>
          </cell>
          <cell r="C3691" t="str">
            <v>IASWD2410000362</v>
          </cell>
          <cell r="D3691">
            <v>45583</v>
          </cell>
          <cell r="E3691">
            <v>46243</v>
          </cell>
          <cell r="F3691" t="str">
            <v>82551</v>
          </cell>
          <cell r="G3691" t="str">
            <v>朋程一</v>
          </cell>
          <cell r="H3691">
            <v>100000</v>
          </cell>
          <cell r="I3691">
            <v>2.6</v>
          </cell>
          <cell r="J3691">
            <v>46243</v>
          </cell>
          <cell r="K3691">
            <v>100</v>
          </cell>
          <cell r="L3691">
            <v>46224</v>
          </cell>
          <cell r="M3691">
            <v>-1489</v>
          </cell>
          <cell r="N3691">
            <v>98511</v>
          </cell>
        </row>
        <row r="3692">
          <cell r="A3692">
            <v>25483</v>
          </cell>
          <cell r="B3692">
            <v>3686</v>
          </cell>
          <cell r="C3692" t="str">
            <v>IASWD2410000363</v>
          </cell>
          <cell r="D3692">
            <v>45583</v>
          </cell>
          <cell r="E3692">
            <v>46662</v>
          </cell>
          <cell r="F3692" t="str">
            <v>25483</v>
          </cell>
          <cell r="G3692" t="str">
            <v>華固三</v>
          </cell>
          <cell r="H3692">
            <v>300000</v>
          </cell>
          <cell r="I3692">
            <v>3.25</v>
          </cell>
          <cell r="J3692">
            <v>46662</v>
          </cell>
          <cell r="K3692">
            <v>100</v>
          </cell>
          <cell r="L3692">
            <v>46644</v>
          </cell>
          <cell r="M3692">
            <v>-5583</v>
          </cell>
          <cell r="N3692">
            <v>294417</v>
          </cell>
        </row>
        <row r="3693">
          <cell r="A3693">
            <v>25483</v>
          </cell>
          <cell r="B3693">
            <v>3687</v>
          </cell>
          <cell r="C3693" t="str">
            <v>IASWD2410000364</v>
          </cell>
          <cell r="D3693">
            <v>45583</v>
          </cell>
          <cell r="E3693">
            <v>46662</v>
          </cell>
          <cell r="F3693" t="str">
            <v>25483</v>
          </cell>
          <cell r="G3693" t="str">
            <v>華固三</v>
          </cell>
          <cell r="H3693">
            <v>300000</v>
          </cell>
          <cell r="I3693">
            <v>3.25</v>
          </cell>
          <cell r="J3693">
            <v>46662</v>
          </cell>
          <cell r="K3693">
            <v>100</v>
          </cell>
          <cell r="L3693">
            <v>46644</v>
          </cell>
          <cell r="M3693">
            <v>-5583</v>
          </cell>
          <cell r="N3693">
            <v>294417</v>
          </cell>
        </row>
        <row r="3694">
          <cell r="A3694">
            <v>36894</v>
          </cell>
          <cell r="B3694">
            <v>3688</v>
          </cell>
          <cell r="C3694" t="str">
            <v>IASWD2410000365</v>
          </cell>
          <cell r="D3694">
            <v>45583</v>
          </cell>
          <cell r="E3694">
            <v>46086</v>
          </cell>
          <cell r="F3694" t="str">
            <v>36894</v>
          </cell>
          <cell r="G3694" t="str">
            <v>湧德四</v>
          </cell>
          <cell r="H3694">
            <v>200000</v>
          </cell>
          <cell r="I3694">
            <v>3.25</v>
          </cell>
          <cell r="J3694">
            <v>46086</v>
          </cell>
          <cell r="K3694">
            <v>100</v>
          </cell>
          <cell r="L3694">
            <v>46066</v>
          </cell>
          <cell r="M3694">
            <v>-3722</v>
          </cell>
          <cell r="N3694">
            <v>196278</v>
          </cell>
        </row>
        <row r="3695">
          <cell r="A3695">
            <v>33121</v>
          </cell>
          <cell r="B3695">
            <v>3689</v>
          </cell>
          <cell r="C3695" t="str">
            <v>IASWD2410000366</v>
          </cell>
          <cell r="D3695">
            <v>45583</v>
          </cell>
          <cell r="E3695">
            <v>46563</v>
          </cell>
          <cell r="F3695" t="str">
            <v>33121</v>
          </cell>
          <cell r="G3695" t="str">
            <v>弘憶股一</v>
          </cell>
          <cell r="H3695">
            <v>500000</v>
          </cell>
          <cell r="I3695">
            <v>3.35</v>
          </cell>
          <cell r="J3695">
            <v>46563</v>
          </cell>
          <cell r="K3695">
            <v>100</v>
          </cell>
          <cell r="L3695">
            <v>46545</v>
          </cell>
          <cell r="M3695">
            <v>-9591</v>
          </cell>
          <cell r="N3695">
            <v>490409</v>
          </cell>
        </row>
        <row r="3696">
          <cell r="A3696">
            <v>33121</v>
          </cell>
          <cell r="B3696">
            <v>3690</v>
          </cell>
          <cell r="C3696" t="str">
            <v>IASWD2410000367</v>
          </cell>
          <cell r="D3696">
            <v>45583</v>
          </cell>
          <cell r="E3696">
            <v>46563</v>
          </cell>
          <cell r="F3696" t="str">
            <v>33121</v>
          </cell>
          <cell r="G3696" t="str">
            <v>弘憶股一</v>
          </cell>
          <cell r="H3696">
            <v>300000</v>
          </cell>
          <cell r="I3696">
            <v>3.35</v>
          </cell>
          <cell r="J3696">
            <v>46563</v>
          </cell>
          <cell r="K3696">
            <v>100</v>
          </cell>
          <cell r="L3696">
            <v>46545</v>
          </cell>
          <cell r="M3696">
            <v>-5755</v>
          </cell>
          <cell r="N3696">
            <v>294245</v>
          </cell>
        </row>
        <row r="3697">
          <cell r="A3697">
            <v>64145</v>
          </cell>
          <cell r="B3697">
            <v>3691</v>
          </cell>
          <cell r="C3697" t="str">
            <v>IASWD2410000368</v>
          </cell>
          <cell r="D3697">
            <v>45583</v>
          </cell>
          <cell r="E3697">
            <v>46250</v>
          </cell>
          <cell r="F3697" t="str">
            <v>64145</v>
          </cell>
          <cell r="G3697" t="str">
            <v>樺漢五</v>
          </cell>
          <cell r="H3697">
            <v>200000</v>
          </cell>
          <cell r="I3697">
            <v>3</v>
          </cell>
          <cell r="J3697">
            <v>46250</v>
          </cell>
          <cell r="K3697">
            <v>100</v>
          </cell>
          <cell r="L3697">
            <v>46231</v>
          </cell>
          <cell r="M3697">
            <v>-3436</v>
          </cell>
          <cell r="N3697">
            <v>196564</v>
          </cell>
        </row>
        <row r="3698">
          <cell r="A3698">
            <v>25483</v>
          </cell>
          <cell r="B3698">
            <v>3692</v>
          </cell>
          <cell r="C3698" t="str">
            <v>IASWD2410000370</v>
          </cell>
          <cell r="D3698">
            <v>45583</v>
          </cell>
          <cell r="E3698">
            <v>46662</v>
          </cell>
          <cell r="F3698" t="str">
            <v>25483</v>
          </cell>
          <cell r="G3698" t="str">
            <v>華固三</v>
          </cell>
          <cell r="H3698">
            <v>100000</v>
          </cell>
          <cell r="I3698">
            <v>3.25</v>
          </cell>
          <cell r="J3698">
            <v>46662</v>
          </cell>
          <cell r="K3698">
            <v>100</v>
          </cell>
          <cell r="L3698">
            <v>46644</v>
          </cell>
          <cell r="M3698">
            <v>-1861</v>
          </cell>
          <cell r="N3698">
            <v>98139</v>
          </cell>
        </row>
        <row r="3699">
          <cell r="A3699">
            <v>35832</v>
          </cell>
          <cell r="B3699">
            <v>3693</v>
          </cell>
          <cell r="C3699" t="str">
            <v>IASWD2410000371</v>
          </cell>
          <cell r="D3699">
            <v>45583</v>
          </cell>
          <cell r="E3699">
            <v>46192</v>
          </cell>
          <cell r="F3699" t="str">
            <v>35832</v>
          </cell>
          <cell r="G3699" t="str">
            <v>辛耘二</v>
          </cell>
          <cell r="H3699">
            <v>100000</v>
          </cell>
          <cell r="I3699">
            <v>3</v>
          </cell>
          <cell r="J3699">
            <v>46192</v>
          </cell>
          <cell r="K3699">
            <v>100</v>
          </cell>
          <cell r="L3699">
            <v>46174</v>
          </cell>
          <cell r="M3699">
            <v>-1718</v>
          </cell>
          <cell r="N3699">
            <v>98282</v>
          </cell>
        </row>
        <row r="3700">
          <cell r="A3700">
            <v>25483</v>
          </cell>
          <cell r="B3700">
            <v>3694</v>
          </cell>
          <cell r="C3700" t="str">
            <v>IASWD2410000372</v>
          </cell>
          <cell r="D3700">
            <v>45583</v>
          </cell>
          <cell r="E3700">
            <v>46662</v>
          </cell>
          <cell r="F3700" t="str">
            <v>25483</v>
          </cell>
          <cell r="G3700" t="str">
            <v>華固三</v>
          </cell>
          <cell r="H3700">
            <v>100000</v>
          </cell>
          <cell r="I3700">
            <v>3.25</v>
          </cell>
          <cell r="J3700">
            <v>46662</v>
          </cell>
          <cell r="K3700">
            <v>100</v>
          </cell>
          <cell r="L3700">
            <v>46644</v>
          </cell>
          <cell r="M3700">
            <v>-1861</v>
          </cell>
          <cell r="N3700">
            <v>98139</v>
          </cell>
        </row>
        <row r="3701">
          <cell r="A3701">
            <v>33121</v>
          </cell>
          <cell r="B3701">
            <v>3695</v>
          </cell>
          <cell r="C3701" t="str">
            <v>IASWD2410000373</v>
          </cell>
          <cell r="D3701">
            <v>45583</v>
          </cell>
          <cell r="E3701">
            <v>46563</v>
          </cell>
          <cell r="F3701" t="str">
            <v>33121</v>
          </cell>
          <cell r="G3701" t="str">
            <v>弘憶股一</v>
          </cell>
          <cell r="H3701">
            <v>100000</v>
          </cell>
          <cell r="I3701">
            <v>3.35</v>
          </cell>
          <cell r="J3701">
            <v>46563</v>
          </cell>
          <cell r="K3701">
            <v>100</v>
          </cell>
          <cell r="L3701">
            <v>46545</v>
          </cell>
          <cell r="M3701">
            <v>-1918</v>
          </cell>
          <cell r="N3701">
            <v>98082</v>
          </cell>
        </row>
        <row r="3702">
          <cell r="A3702">
            <v>16095</v>
          </cell>
          <cell r="B3702">
            <v>3696</v>
          </cell>
          <cell r="C3702" t="str">
            <v>IASWD2410000375</v>
          </cell>
          <cell r="D3702">
            <v>45583</v>
          </cell>
          <cell r="E3702">
            <v>46660</v>
          </cell>
          <cell r="F3702" t="str">
            <v>16095</v>
          </cell>
          <cell r="G3702" t="str">
            <v>大亞五</v>
          </cell>
          <cell r="H3702">
            <v>100000</v>
          </cell>
          <cell r="I3702">
            <v>3</v>
          </cell>
          <cell r="J3702">
            <v>46660</v>
          </cell>
          <cell r="K3702">
            <v>100.75</v>
          </cell>
          <cell r="L3702">
            <v>46640</v>
          </cell>
          <cell r="M3702">
            <v>-1718</v>
          </cell>
          <cell r="N3702">
            <v>98282</v>
          </cell>
        </row>
        <row r="3703">
          <cell r="A3703">
            <v>25483</v>
          </cell>
          <cell r="B3703">
            <v>3697</v>
          </cell>
          <cell r="C3703" t="str">
            <v>IASWD2410000376</v>
          </cell>
          <cell r="D3703">
            <v>45583</v>
          </cell>
          <cell r="E3703">
            <v>46662</v>
          </cell>
          <cell r="F3703" t="str">
            <v>25483</v>
          </cell>
          <cell r="G3703" t="str">
            <v>華固三</v>
          </cell>
          <cell r="H3703">
            <v>100000</v>
          </cell>
          <cell r="I3703">
            <v>3.25</v>
          </cell>
          <cell r="J3703">
            <v>46662</v>
          </cell>
          <cell r="K3703">
            <v>100</v>
          </cell>
          <cell r="L3703">
            <v>46644</v>
          </cell>
          <cell r="M3703">
            <v>-1861</v>
          </cell>
          <cell r="N3703">
            <v>98139</v>
          </cell>
        </row>
        <row r="3704">
          <cell r="A3704">
            <v>25483</v>
          </cell>
          <cell r="B3704">
            <v>3698</v>
          </cell>
          <cell r="C3704" t="str">
            <v>IASWD2410000377</v>
          </cell>
          <cell r="D3704">
            <v>45583</v>
          </cell>
          <cell r="E3704">
            <v>46662</v>
          </cell>
          <cell r="F3704" t="str">
            <v>25483</v>
          </cell>
          <cell r="G3704" t="str">
            <v>華固三</v>
          </cell>
          <cell r="H3704">
            <v>300000</v>
          </cell>
          <cell r="I3704">
            <v>3.25</v>
          </cell>
          <cell r="J3704">
            <v>46662</v>
          </cell>
          <cell r="K3704">
            <v>100</v>
          </cell>
          <cell r="L3704">
            <v>46644</v>
          </cell>
          <cell r="M3704">
            <v>-5583</v>
          </cell>
          <cell r="N3704">
            <v>294417</v>
          </cell>
        </row>
        <row r="3705">
          <cell r="A3705">
            <v>24361</v>
          </cell>
          <cell r="B3705">
            <v>3699</v>
          </cell>
          <cell r="C3705" t="str">
            <v>IASWD2410000378</v>
          </cell>
          <cell r="D3705">
            <v>45583</v>
          </cell>
          <cell r="E3705">
            <v>45911</v>
          </cell>
          <cell r="F3705" t="str">
            <v>24361</v>
          </cell>
          <cell r="G3705" t="str">
            <v>偉詮電一</v>
          </cell>
          <cell r="H3705">
            <v>300000</v>
          </cell>
          <cell r="I3705">
            <v>3.75</v>
          </cell>
          <cell r="J3705">
            <v>45911</v>
          </cell>
          <cell r="K3705">
            <v>100.50060000000001</v>
          </cell>
          <cell r="L3705">
            <v>45891</v>
          </cell>
          <cell r="M3705">
            <v>-6442</v>
          </cell>
          <cell r="N3705">
            <v>293558</v>
          </cell>
        </row>
        <row r="3706">
          <cell r="A3706">
            <v>61843</v>
          </cell>
          <cell r="B3706">
            <v>3700</v>
          </cell>
          <cell r="C3706" t="str">
            <v>IASWD2410000379</v>
          </cell>
          <cell r="D3706">
            <v>45583</v>
          </cell>
          <cell r="E3706">
            <v>46452</v>
          </cell>
          <cell r="F3706" t="str">
            <v>61843</v>
          </cell>
          <cell r="G3706" t="str">
            <v>大豐電三</v>
          </cell>
          <cell r="H3706">
            <v>400000</v>
          </cell>
          <cell r="I3706">
            <v>3.75</v>
          </cell>
          <cell r="J3706">
            <v>46452</v>
          </cell>
          <cell r="K3706">
            <v>101.50749999999999</v>
          </cell>
          <cell r="L3706">
            <v>46434</v>
          </cell>
          <cell r="M3706">
            <v>-8589</v>
          </cell>
          <cell r="N3706">
            <v>391411</v>
          </cell>
        </row>
        <row r="3707">
          <cell r="A3707">
            <v>25483</v>
          </cell>
          <cell r="B3707">
            <v>3701</v>
          </cell>
          <cell r="C3707" t="str">
            <v>IASWD2410000380</v>
          </cell>
          <cell r="D3707">
            <v>45583</v>
          </cell>
          <cell r="E3707">
            <v>46662</v>
          </cell>
          <cell r="F3707" t="str">
            <v>25483</v>
          </cell>
          <cell r="G3707" t="str">
            <v>華固三</v>
          </cell>
          <cell r="H3707">
            <v>1000000</v>
          </cell>
          <cell r="I3707">
            <v>3.25</v>
          </cell>
          <cell r="J3707">
            <v>46662</v>
          </cell>
          <cell r="K3707">
            <v>100</v>
          </cell>
          <cell r="L3707">
            <v>46644</v>
          </cell>
          <cell r="M3707">
            <v>-18610</v>
          </cell>
          <cell r="N3707">
            <v>981390</v>
          </cell>
        </row>
        <row r="3708">
          <cell r="A3708">
            <v>34843</v>
          </cell>
          <cell r="B3708">
            <v>3702</v>
          </cell>
          <cell r="C3708" t="str">
            <v>IASWD2410000382</v>
          </cell>
          <cell r="D3708">
            <v>45583</v>
          </cell>
          <cell r="E3708">
            <v>46136</v>
          </cell>
          <cell r="F3708" t="str">
            <v>34843</v>
          </cell>
          <cell r="G3708" t="str">
            <v>崧騰三</v>
          </cell>
          <cell r="H3708">
            <v>100000</v>
          </cell>
          <cell r="I3708">
            <v>3.5</v>
          </cell>
          <cell r="J3708">
            <v>46136</v>
          </cell>
          <cell r="K3708">
            <v>100.75</v>
          </cell>
          <cell r="L3708">
            <v>46118</v>
          </cell>
          <cell r="M3708">
            <v>-2004</v>
          </cell>
          <cell r="N3708">
            <v>97996</v>
          </cell>
        </row>
        <row r="3709">
          <cell r="A3709">
            <v>25483</v>
          </cell>
          <cell r="B3709">
            <v>3703</v>
          </cell>
          <cell r="C3709" t="str">
            <v>IASWD2410000383</v>
          </cell>
          <cell r="D3709">
            <v>45583</v>
          </cell>
          <cell r="E3709">
            <v>46662</v>
          </cell>
          <cell r="F3709" t="str">
            <v>25483</v>
          </cell>
          <cell r="G3709" t="str">
            <v>華固三</v>
          </cell>
          <cell r="H3709">
            <v>200000</v>
          </cell>
          <cell r="I3709">
            <v>3.25</v>
          </cell>
          <cell r="J3709">
            <v>46662</v>
          </cell>
          <cell r="K3709">
            <v>100</v>
          </cell>
          <cell r="L3709">
            <v>46644</v>
          </cell>
          <cell r="M3709">
            <v>-3722</v>
          </cell>
          <cell r="N3709">
            <v>196278</v>
          </cell>
        </row>
        <row r="3710">
          <cell r="A3710">
            <v>84781</v>
          </cell>
          <cell r="B3710">
            <v>3704</v>
          </cell>
          <cell r="C3710" t="str">
            <v>IASWD2410000384</v>
          </cell>
          <cell r="D3710">
            <v>45583</v>
          </cell>
          <cell r="E3710">
            <v>46583</v>
          </cell>
          <cell r="F3710" t="str">
            <v>84781</v>
          </cell>
          <cell r="G3710" t="str">
            <v>東哥遊艇一</v>
          </cell>
          <cell r="H3710">
            <v>100000</v>
          </cell>
          <cell r="I3710">
            <v>3.1</v>
          </cell>
          <cell r="J3710">
            <v>46583</v>
          </cell>
          <cell r="K3710">
            <v>100</v>
          </cell>
          <cell r="L3710">
            <v>46563</v>
          </cell>
          <cell r="M3710">
            <v>-1775</v>
          </cell>
          <cell r="N3710">
            <v>98225</v>
          </cell>
        </row>
        <row r="3711">
          <cell r="A3711">
            <v>33121</v>
          </cell>
          <cell r="B3711">
            <v>3705</v>
          </cell>
          <cell r="C3711" t="str">
            <v>IASWD2410000385</v>
          </cell>
          <cell r="D3711">
            <v>45583</v>
          </cell>
          <cell r="E3711">
            <v>46563</v>
          </cell>
          <cell r="F3711" t="str">
            <v>33121</v>
          </cell>
          <cell r="G3711" t="str">
            <v>弘憶股一</v>
          </cell>
          <cell r="H3711">
            <v>200000</v>
          </cell>
          <cell r="I3711">
            <v>3.35</v>
          </cell>
          <cell r="J3711">
            <v>46563</v>
          </cell>
          <cell r="K3711">
            <v>100</v>
          </cell>
          <cell r="L3711">
            <v>46545</v>
          </cell>
          <cell r="M3711">
            <v>-3836</v>
          </cell>
          <cell r="N3711">
            <v>196164</v>
          </cell>
        </row>
        <row r="3712">
          <cell r="A3712">
            <v>16095</v>
          </cell>
          <cell r="B3712">
            <v>3706</v>
          </cell>
          <cell r="C3712" t="str">
            <v>IASWD2410000386</v>
          </cell>
          <cell r="D3712">
            <v>45583</v>
          </cell>
          <cell r="E3712">
            <v>46660</v>
          </cell>
          <cell r="F3712" t="str">
            <v>16095</v>
          </cell>
          <cell r="G3712" t="str">
            <v>大亞五</v>
          </cell>
          <cell r="H3712">
            <v>100000</v>
          </cell>
          <cell r="I3712">
            <v>3</v>
          </cell>
          <cell r="J3712">
            <v>46660</v>
          </cell>
          <cell r="K3712">
            <v>100.75</v>
          </cell>
          <cell r="L3712">
            <v>46640</v>
          </cell>
          <cell r="M3712">
            <v>-1718</v>
          </cell>
          <cell r="N3712">
            <v>98282</v>
          </cell>
        </row>
        <row r="3713">
          <cell r="A3713">
            <v>25483</v>
          </cell>
          <cell r="B3713">
            <v>3707</v>
          </cell>
          <cell r="C3713" t="str">
            <v>IASWD2410000387</v>
          </cell>
          <cell r="D3713">
            <v>45583</v>
          </cell>
          <cell r="E3713">
            <v>46662</v>
          </cell>
          <cell r="F3713" t="str">
            <v>25483</v>
          </cell>
          <cell r="G3713" t="str">
            <v>華固三</v>
          </cell>
          <cell r="H3713">
            <v>500000</v>
          </cell>
          <cell r="I3713">
            <v>3.25</v>
          </cell>
          <cell r="J3713">
            <v>46662</v>
          </cell>
          <cell r="K3713">
            <v>100</v>
          </cell>
          <cell r="L3713">
            <v>46644</v>
          </cell>
          <cell r="M3713">
            <v>-9305</v>
          </cell>
          <cell r="N3713">
            <v>490695</v>
          </cell>
        </row>
        <row r="3714">
          <cell r="A3714">
            <v>35832</v>
          </cell>
          <cell r="B3714">
            <v>3708</v>
          </cell>
          <cell r="C3714" t="str">
            <v>IASWD2410000388</v>
          </cell>
          <cell r="D3714">
            <v>45583</v>
          </cell>
          <cell r="E3714">
            <v>46192</v>
          </cell>
          <cell r="F3714" t="str">
            <v>35832</v>
          </cell>
          <cell r="G3714" t="str">
            <v>辛耘二</v>
          </cell>
          <cell r="H3714">
            <v>300000</v>
          </cell>
          <cell r="I3714">
            <v>3</v>
          </cell>
          <cell r="J3714">
            <v>46192</v>
          </cell>
          <cell r="K3714">
            <v>100</v>
          </cell>
          <cell r="L3714">
            <v>46174</v>
          </cell>
          <cell r="M3714">
            <v>-5153</v>
          </cell>
          <cell r="N3714">
            <v>294847</v>
          </cell>
        </row>
        <row r="3715">
          <cell r="A3715">
            <v>80914</v>
          </cell>
          <cell r="B3715">
            <v>3709</v>
          </cell>
          <cell r="C3715" t="str">
            <v>IASWD2410000389</v>
          </cell>
          <cell r="D3715">
            <v>45583</v>
          </cell>
          <cell r="E3715">
            <v>46249</v>
          </cell>
          <cell r="F3715" t="str">
            <v>80914</v>
          </cell>
          <cell r="G3715" t="str">
            <v>翔名四</v>
          </cell>
          <cell r="H3715">
            <v>100000</v>
          </cell>
          <cell r="I3715">
            <v>3.1</v>
          </cell>
          <cell r="J3715">
            <v>46249</v>
          </cell>
          <cell r="K3715">
            <v>100.25</v>
          </cell>
          <cell r="L3715">
            <v>46231</v>
          </cell>
          <cell r="M3715">
            <v>-1775</v>
          </cell>
          <cell r="N3715">
            <v>98225</v>
          </cell>
        </row>
        <row r="3716">
          <cell r="A3716">
            <v>35871</v>
          </cell>
          <cell r="B3716">
            <v>3710</v>
          </cell>
          <cell r="C3716" t="str">
            <v>IASWD2410000391</v>
          </cell>
          <cell r="D3716">
            <v>45586</v>
          </cell>
          <cell r="E3716">
            <v>46193</v>
          </cell>
          <cell r="F3716" t="str">
            <v>35871</v>
          </cell>
          <cell r="G3716" t="str">
            <v>閎康一</v>
          </cell>
          <cell r="H3716">
            <v>100000</v>
          </cell>
          <cell r="I3716">
            <v>2.6</v>
          </cell>
          <cell r="J3716">
            <v>46193</v>
          </cell>
          <cell r="K3716">
            <v>100</v>
          </cell>
          <cell r="L3716">
            <v>46175</v>
          </cell>
          <cell r="M3716">
            <v>-1467</v>
          </cell>
          <cell r="N3716">
            <v>98533</v>
          </cell>
        </row>
        <row r="3717">
          <cell r="A3717">
            <v>53064</v>
          </cell>
          <cell r="B3717">
            <v>3711</v>
          </cell>
          <cell r="C3717" t="str">
            <v>IASWD2410000393</v>
          </cell>
          <cell r="D3717">
            <v>45586</v>
          </cell>
          <cell r="E3717">
            <v>46334</v>
          </cell>
          <cell r="F3717" t="str">
            <v>53064</v>
          </cell>
          <cell r="G3717" t="str">
            <v>桂盟四</v>
          </cell>
          <cell r="H3717">
            <v>100000</v>
          </cell>
          <cell r="I3717">
            <v>2.2999999999999998</v>
          </cell>
          <cell r="J3717">
            <v>46334</v>
          </cell>
          <cell r="K3717">
            <v>100</v>
          </cell>
          <cell r="L3717">
            <v>46315</v>
          </cell>
          <cell r="M3717">
            <v>-1298</v>
          </cell>
          <cell r="N3717">
            <v>98702</v>
          </cell>
        </row>
        <row r="3718">
          <cell r="A3718">
            <v>35832</v>
          </cell>
          <cell r="B3718">
            <v>3712</v>
          </cell>
          <cell r="C3718" t="str">
            <v>IASWD2410000395</v>
          </cell>
          <cell r="D3718">
            <v>45586</v>
          </cell>
          <cell r="E3718">
            <v>46192</v>
          </cell>
          <cell r="F3718" t="str">
            <v>35832</v>
          </cell>
          <cell r="G3718" t="str">
            <v>辛耘二</v>
          </cell>
          <cell r="H3718">
            <v>100000</v>
          </cell>
          <cell r="I3718">
            <v>3</v>
          </cell>
          <cell r="J3718">
            <v>46192</v>
          </cell>
          <cell r="K3718">
            <v>100</v>
          </cell>
          <cell r="L3718">
            <v>46174</v>
          </cell>
          <cell r="M3718">
            <v>-1693</v>
          </cell>
          <cell r="N3718">
            <v>98307</v>
          </cell>
        </row>
        <row r="3719">
          <cell r="A3719">
            <v>53064</v>
          </cell>
          <cell r="B3719">
            <v>3713</v>
          </cell>
          <cell r="C3719" t="str">
            <v>IASWD2410000397</v>
          </cell>
          <cell r="D3719">
            <v>45586</v>
          </cell>
          <cell r="E3719">
            <v>46334</v>
          </cell>
          <cell r="F3719" t="str">
            <v>53064</v>
          </cell>
          <cell r="G3719" t="str">
            <v>桂盟四</v>
          </cell>
          <cell r="H3719">
            <v>100000</v>
          </cell>
          <cell r="I3719">
            <v>2.2999999999999998</v>
          </cell>
          <cell r="J3719">
            <v>46334</v>
          </cell>
          <cell r="K3719">
            <v>100</v>
          </cell>
          <cell r="L3719">
            <v>46315</v>
          </cell>
          <cell r="M3719">
            <v>-1298</v>
          </cell>
          <cell r="N3719">
            <v>98702</v>
          </cell>
        </row>
        <row r="3720">
          <cell r="A3720">
            <v>53064</v>
          </cell>
          <cell r="B3720">
            <v>3714</v>
          </cell>
          <cell r="C3720" t="str">
            <v>IASWD2410000398</v>
          </cell>
          <cell r="D3720">
            <v>45586</v>
          </cell>
          <cell r="E3720">
            <v>46334</v>
          </cell>
          <cell r="F3720" t="str">
            <v>53064</v>
          </cell>
          <cell r="G3720" t="str">
            <v>桂盟四</v>
          </cell>
          <cell r="H3720">
            <v>700000</v>
          </cell>
          <cell r="I3720">
            <v>2.2999999999999998</v>
          </cell>
          <cell r="J3720">
            <v>46334</v>
          </cell>
          <cell r="K3720">
            <v>100</v>
          </cell>
          <cell r="L3720">
            <v>46315</v>
          </cell>
          <cell r="M3720">
            <v>-9087</v>
          </cell>
          <cell r="N3720">
            <v>690913</v>
          </cell>
        </row>
        <row r="3721">
          <cell r="A3721">
            <v>25483</v>
          </cell>
          <cell r="B3721">
            <v>3715</v>
          </cell>
          <cell r="C3721" t="str">
            <v>IASWD2410000400</v>
          </cell>
          <cell r="D3721">
            <v>45586</v>
          </cell>
          <cell r="E3721">
            <v>46662</v>
          </cell>
          <cell r="F3721" t="str">
            <v>25483</v>
          </cell>
          <cell r="G3721" t="str">
            <v>華固三</v>
          </cell>
          <cell r="H3721">
            <v>100000</v>
          </cell>
          <cell r="I3721">
            <v>3.25</v>
          </cell>
          <cell r="J3721">
            <v>46662</v>
          </cell>
          <cell r="K3721">
            <v>100</v>
          </cell>
          <cell r="L3721">
            <v>46644</v>
          </cell>
          <cell r="M3721">
            <v>-1834</v>
          </cell>
          <cell r="N3721">
            <v>98166</v>
          </cell>
        </row>
        <row r="3722">
          <cell r="A3722">
            <v>30061</v>
          </cell>
          <cell r="B3722">
            <v>3716</v>
          </cell>
          <cell r="C3722" t="str">
            <v>IASWD2410000402</v>
          </cell>
          <cell r="D3722">
            <v>45586</v>
          </cell>
          <cell r="E3722">
            <v>46322</v>
          </cell>
          <cell r="F3722" t="str">
            <v>30061</v>
          </cell>
          <cell r="G3722" t="str">
            <v>晶豪科一</v>
          </cell>
          <cell r="H3722">
            <v>100000</v>
          </cell>
          <cell r="I3722">
            <v>3.75</v>
          </cell>
          <cell r="J3722">
            <v>46322</v>
          </cell>
          <cell r="K3722">
            <v>100</v>
          </cell>
          <cell r="L3722">
            <v>46302</v>
          </cell>
          <cell r="M3722">
            <v>-2116</v>
          </cell>
          <cell r="N3722">
            <v>97884</v>
          </cell>
        </row>
        <row r="3723">
          <cell r="A3723">
            <v>84781</v>
          </cell>
          <cell r="B3723">
            <v>3717</v>
          </cell>
          <cell r="C3723" t="str">
            <v>IASWD2410000403</v>
          </cell>
          <cell r="D3723">
            <v>45586</v>
          </cell>
          <cell r="E3723">
            <v>46583</v>
          </cell>
          <cell r="F3723" t="str">
            <v>84781</v>
          </cell>
          <cell r="G3723" t="str">
            <v>東哥遊艇一</v>
          </cell>
          <cell r="H3723">
            <v>200000</v>
          </cell>
          <cell r="I3723">
            <v>3.1</v>
          </cell>
          <cell r="J3723">
            <v>46583</v>
          </cell>
          <cell r="K3723">
            <v>100</v>
          </cell>
          <cell r="L3723">
            <v>46563</v>
          </cell>
          <cell r="M3723">
            <v>-3499</v>
          </cell>
          <cell r="N3723">
            <v>196501</v>
          </cell>
        </row>
        <row r="3724">
          <cell r="A3724">
            <v>25483</v>
          </cell>
          <cell r="B3724">
            <v>3718</v>
          </cell>
          <cell r="C3724" t="str">
            <v>IASWD2410000404</v>
          </cell>
          <cell r="D3724">
            <v>45586</v>
          </cell>
          <cell r="E3724">
            <v>46662</v>
          </cell>
          <cell r="F3724" t="str">
            <v>25483</v>
          </cell>
          <cell r="G3724" t="str">
            <v>華固三</v>
          </cell>
          <cell r="H3724">
            <v>1000000</v>
          </cell>
          <cell r="I3724">
            <v>3.25</v>
          </cell>
          <cell r="J3724">
            <v>46662</v>
          </cell>
          <cell r="K3724">
            <v>100</v>
          </cell>
          <cell r="L3724">
            <v>46644</v>
          </cell>
          <cell r="M3724">
            <v>-18342</v>
          </cell>
          <cell r="N3724">
            <v>981658</v>
          </cell>
        </row>
        <row r="3725">
          <cell r="A3725">
            <v>56086</v>
          </cell>
          <cell r="B3725">
            <v>3719</v>
          </cell>
          <cell r="C3725" t="str">
            <v>IASWD2410000406</v>
          </cell>
          <cell r="D3725">
            <v>45586</v>
          </cell>
          <cell r="E3725">
            <v>46194</v>
          </cell>
          <cell r="F3725" t="str">
            <v>56086</v>
          </cell>
          <cell r="G3725" t="str">
            <v>四維航六</v>
          </cell>
          <cell r="H3725">
            <v>100000</v>
          </cell>
          <cell r="I3725">
            <v>2.35</v>
          </cell>
          <cell r="J3725">
            <v>46194</v>
          </cell>
          <cell r="K3725">
            <v>100</v>
          </cell>
          <cell r="L3725">
            <v>46175</v>
          </cell>
          <cell r="M3725">
            <v>-1326</v>
          </cell>
          <cell r="N3725">
            <v>98674</v>
          </cell>
        </row>
        <row r="3726">
          <cell r="A3726">
            <v>16095</v>
          </cell>
          <cell r="B3726">
            <v>3720</v>
          </cell>
          <cell r="C3726" t="str">
            <v>IASWD2410000407</v>
          </cell>
          <cell r="D3726">
            <v>45586</v>
          </cell>
          <cell r="E3726">
            <v>46660</v>
          </cell>
          <cell r="F3726" t="str">
            <v>16095</v>
          </cell>
          <cell r="G3726" t="str">
            <v>大亞五</v>
          </cell>
          <cell r="H3726">
            <v>100000</v>
          </cell>
          <cell r="I3726">
            <v>3</v>
          </cell>
          <cell r="J3726">
            <v>46660</v>
          </cell>
          <cell r="K3726">
            <v>100.75</v>
          </cell>
          <cell r="L3726">
            <v>46640</v>
          </cell>
          <cell r="M3726">
            <v>-1693</v>
          </cell>
          <cell r="N3726">
            <v>98307</v>
          </cell>
        </row>
        <row r="3727">
          <cell r="A3727">
            <v>61875</v>
          </cell>
          <cell r="B3727">
            <v>3721</v>
          </cell>
          <cell r="C3727" t="str">
            <v>IASWD2410000408</v>
          </cell>
          <cell r="D3727">
            <v>45586</v>
          </cell>
          <cell r="E3727">
            <v>46578</v>
          </cell>
          <cell r="F3727" t="str">
            <v>61875</v>
          </cell>
          <cell r="G3727" t="str">
            <v>萬潤五</v>
          </cell>
          <cell r="H3727">
            <v>100000</v>
          </cell>
          <cell r="I3727">
            <v>3.1</v>
          </cell>
          <cell r="J3727">
            <v>46578</v>
          </cell>
          <cell r="K3727">
            <v>100</v>
          </cell>
          <cell r="L3727">
            <v>46560</v>
          </cell>
          <cell r="M3727">
            <v>-1750</v>
          </cell>
          <cell r="N3727">
            <v>98250</v>
          </cell>
        </row>
        <row r="3728">
          <cell r="A3728">
            <v>67531</v>
          </cell>
          <cell r="B3728">
            <v>3722</v>
          </cell>
          <cell r="C3728" t="str">
            <v>IASWD2410000409</v>
          </cell>
          <cell r="D3728">
            <v>45586</v>
          </cell>
          <cell r="E3728">
            <v>46563</v>
          </cell>
          <cell r="F3728" t="str">
            <v>67531</v>
          </cell>
          <cell r="G3728" t="str">
            <v>龍德造船一</v>
          </cell>
          <cell r="H3728">
            <v>100000</v>
          </cell>
          <cell r="I3728">
            <v>3.35</v>
          </cell>
          <cell r="J3728">
            <v>46563</v>
          </cell>
          <cell r="K3728">
            <v>100</v>
          </cell>
          <cell r="L3728">
            <v>46545</v>
          </cell>
          <cell r="M3728">
            <v>-1891</v>
          </cell>
          <cell r="N3728">
            <v>98109</v>
          </cell>
        </row>
        <row r="3729">
          <cell r="A3729">
            <v>64145</v>
          </cell>
          <cell r="B3729">
            <v>3723</v>
          </cell>
          <cell r="C3729" t="str">
            <v>IASWD2410000411</v>
          </cell>
          <cell r="D3729">
            <v>45586</v>
          </cell>
          <cell r="E3729">
            <v>46250</v>
          </cell>
          <cell r="F3729" t="str">
            <v>64145</v>
          </cell>
          <cell r="G3729" t="str">
            <v>樺漢五</v>
          </cell>
          <cell r="H3729">
            <v>400000</v>
          </cell>
          <cell r="I3729">
            <v>3</v>
          </cell>
          <cell r="J3729">
            <v>46250</v>
          </cell>
          <cell r="K3729">
            <v>100</v>
          </cell>
          <cell r="L3729">
            <v>46231</v>
          </cell>
          <cell r="M3729">
            <v>-6773</v>
          </cell>
          <cell r="N3729">
            <v>393227</v>
          </cell>
        </row>
        <row r="3730">
          <cell r="A3730">
            <v>25483</v>
          </cell>
          <cell r="B3730">
            <v>3724</v>
          </cell>
          <cell r="C3730" t="str">
            <v>IASWD2410000412</v>
          </cell>
          <cell r="D3730">
            <v>45586</v>
          </cell>
          <cell r="E3730">
            <v>46662</v>
          </cell>
          <cell r="F3730" t="str">
            <v>25483</v>
          </cell>
          <cell r="G3730" t="str">
            <v>華固三</v>
          </cell>
          <cell r="H3730">
            <v>400000</v>
          </cell>
          <cell r="I3730">
            <v>3.25</v>
          </cell>
          <cell r="J3730">
            <v>46662</v>
          </cell>
          <cell r="K3730">
            <v>100</v>
          </cell>
          <cell r="L3730">
            <v>46644</v>
          </cell>
          <cell r="M3730">
            <v>-7337</v>
          </cell>
          <cell r="N3730">
            <v>392663</v>
          </cell>
        </row>
        <row r="3731">
          <cell r="A3731">
            <v>67531</v>
          </cell>
          <cell r="B3731">
            <v>3725</v>
          </cell>
          <cell r="C3731" t="str">
            <v>IASWD2410000415</v>
          </cell>
          <cell r="D3731">
            <v>45586</v>
          </cell>
          <cell r="E3731">
            <v>46563</v>
          </cell>
          <cell r="F3731" t="str">
            <v>67531</v>
          </cell>
          <cell r="G3731" t="str">
            <v>龍德造船一</v>
          </cell>
          <cell r="H3731">
            <v>100000</v>
          </cell>
          <cell r="I3731">
            <v>3.35</v>
          </cell>
          <cell r="J3731">
            <v>46563</v>
          </cell>
          <cell r="K3731">
            <v>100</v>
          </cell>
          <cell r="L3731">
            <v>46545</v>
          </cell>
          <cell r="M3731">
            <v>-1891</v>
          </cell>
          <cell r="N3731">
            <v>98109</v>
          </cell>
        </row>
        <row r="3732">
          <cell r="A3732">
            <v>811210</v>
          </cell>
          <cell r="B3732">
            <v>3726</v>
          </cell>
          <cell r="C3732" t="str">
            <v>IASWD2410000416</v>
          </cell>
          <cell r="D3732">
            <v>45586</v>
          </cell>
          <cell r="E3732">
            <v>46531</v>
          </cell>
          <cell r="F3732" t="str">
            <v>811210</v>
          </cell>
          <cell r="G3732" t="str">
            <v>至上十</v>
          </cell>
          <cell r="H3732">
            <v>600000</v>
          </cell>
          <cell r="I3732">
            <v>3.75</v>
          </cell>
          <cell r="J3732">
            <v>46531</v>
          </cell>
          <cell r="K3732">
            <v>100</v>
          </cell>
          <cell r="L3732">
            <v>46511</v>
          </cell>
          <cell r="M3732">
            <v>-12699</v>
          </cell>
          <cell r="N3732">
            <v>587301</v>
          </cell>
        </row>
        <row r="3733">
          <cell r="A3733">
            <v>30061</v>
          </cell>
          <cell r="B3733">
            <v>3727</v>
          </cell>
          <cell r="C3733" t="str">
            <v>IASWD2410000417</v>
          </cell>
          <cell r="D3733">
            <v>45586</v>
          </cell>
          <cell r="E3733">
            <v>46322</v>
          </cell>
          <cell r="F3733" t="str">
            <v>30061</v>
          </cell>
          <cell r="G3733" t="str">
            <v>晶豪科一</v>
          </cell>
          <cell r="H3733">
            <v>200000</v>
          </cell>
          <cell r="I3733">
            <v>3.75</v>
          </cell>
          <cell r="J3733">
            <v>46322</v>
          </cell>
          <cell r="K3733">
            <v>100</v>
          </cell>
          <cell r="L3733">
            <v>46302</v>
          </cell>
          <cell r="M3733">
            <v>-4233</v>
          </cell>
          <cell r="N3733">
            <v>195767</v>
          </cell>
        </row>
        <row r="3734">
          <cell r="A3734">
            <v>30238</v>
          </cell>
          <cell r="B3734">
            <v>3728</v>
          </cell>
          <cell r="C3734" t="str">
            <v>IASWD2410000419</v>
          </cell>
          <cell r="D3734">
            <v>45586</v>
          </cell>
          <cell r="E3734">
            <v>46003</v>
          </cell>
          <cell r="F3734" t="str">
            <v>30238</v>
          </cell>
          <cell r="G3734" t="str">
            <v>信邦八</v>
          </cell>
          <cell r="H3734">
            <v>200000</v>
          </cell>
          <cell r="I3734">
            <v>2.6</v>
          </cell>
          <cell r="J3734">
            <v>46003</v>
          </cell>
          <cell r="K3734">
            <v>100</v>
          </cell>
          <cell r="L3734">
            <v>45985</v>
          </cell>
          <cell r="M3734">
            <v>-2935</v>
          </cell>
          <cell r="N3734">
            <v>197065</v>
          </cell>
        </row>
        <row r="3735">
          <cell r="A3735">
            <v>25483</v>
          </cell>
          <cell r="B3735">
            <v>3729</v>
          </cell>
          <cell r="C3735" t="str">
            <v>IASWD2410000422</v>
          </cell>
          <cell r="D3735">
            <v>45587</v>
          </cell>
          <cell r="E3735">
            <v>46662</v>
          </cell>
          <cell r="F3735" t="str">
            <v>25483</v>
          </cell>
          <cell r="G3735" t="str">
            <v>華固三</v>
          </cell>
          <cell r="H3735">
            <v>100000</v>
          </cell>
          <cell r="I3735">
            <v>3.25</v>
          </cell>
          <cell r="J3735">
            <v>46662</v>
          </cell>
          <cell r="K3735">
            <v>100</v>
          </cell>
          <cell r="L3735">
            <v>46644</v>
          </cell>
          <cell r="M3735">
            <v>-1825</v>
          </cell>
          <cell r="N3735">
            <v>98175</v>
          </cell>
        </row>
        <row r="3736">
          <cell r="A3736">
            <v>16095</v>
          </cell>
          <cell r="B3736">
            <v>3730</v>
          </cell>
          <cell r="C3736" t="str">
            <v>IASWD2410000424</v>
          </cell>
          <cell r="D3736">
            <v>45587</v>
          </cell>
          <cell r="E3736">
            <v>46660</v>
          </cell>
          <cell r="F3736" t="str">
            <v>16095</v>
          </cell>
          <cell r="G3736" t="str">
            <v>大亞五</v>
          </cell>
          <cell r="H3736">
            <v>200000</v>
          </cell>
          <cell r="I3736">
            <v>3</v>
          </cell>
          <cell r="J3736">
            <v>46660</v>
          </cell>
          <cell r="K3736">
            <v>100.75</v>
          </cell>
          <cell r="L3736">
            <v>46640</v>
          </cell>
          <cell r="M3736">
            <v>-3370</v>
          </cell>
          <cell r="N3736">
            <v>196630</v>
          </cell>
        </row>
        <row r="3737">
          <cell r="A3737">
            <v>27323</v>
          </cell>
          <cell r="B3737">
            <v>3731</v>
          </cell>
          <cell r="C3737" t="str">
            <v>IASWD2410000425</v>
          </cell>
          <cell r="D3737">
            <v>45587</v>
          </cell>
          <cell r="E3737">
            <v>46048</v>
          </cell>
          <cell r="F3737" t="str">
            <v>27323</v>
          </cell>
          <cell r="G3737" t="str">
            <v>六角三</v>
          </cell>
          <cell r="H3737">
            <v>100000</v>
          </cell>
          <cell r="I3737">
            <v>3</v>
          </cell>
          <cell r="J3737">
            <v>46048</v>
          </cell>
          <cell r="K3737">
            <v>101</v>
          </cell>
          <cell r="L3737">
            <v>46028</v>
          </cell>
          <cell r="M3737">
            <v>-1685</v>
          </cell>
          <cell r="N3737">
            <v>98315</v>
          </cell>
        </row>
        <row r="3738">
          <cell r="A3738">
            <v>30238</v>
          </cell>
          <cell r="B3738">
            <v>3732</v>
          </cell>
          <cell r="C3738" t="str">
            <v>IASWD2410000426</v>
          </cell>
          <cell r="D3738">
            <v>45587</v>
          </cell>
          <cell r="E3738">
            <v>46003</v>
          </cell>
          <cell r="F3738" t="str">
            <v>30238</v>
          </cell>
          <cell r="G3738" t="str">
            <v>信邦八</v>
          </cell>
          <cell r="H3738">
            <v>500000</v>
          </cell>
          <cell r="I3738">
            <v>2.6</v>
          </cell>
          <cell r="J3738">
            <v>46003</v>
          </cell>
          <cell r="K3738">
            <v>100</v>
          </cell>
          <cell r="L3738">
            <v>45985</v>
          </cell>
          <cell r="M3738">
            <v>-7301</v>
          </cell>
          <cell r="N3738">
            <v>492699</v>
          </cell>
        </row>
        <row r="3739">
          <cell r="A3739">
            <v>140202</v>
          </cell>
          <cell r="B3739">
            <v>3733</v>
          </cell>
          <cell r="C3739" t="str">
            <v>IASWD2410000427</v>
          </cell>
          <cell r="D3739">
            <v>45587</v>
          </cell>
          <cell r="E3739">
            <v>46607</v>
          </cell>
          <cell r="F3739" t="str">
            <v>140202</v>
          </cell>
          <cell r="G3739" t="str">
            <v>遠東新E2永</v>
          </cell>
          <cell r="H3739">
            <v>300000</v>
          </cell>
          <cell r="I3739">
            <v>2.7</v>
          </cell>
          <cell r="J3739">
            <v>46607</v>
          </cell>
          <cell r="K3739">
            <v>100</v>
          </cell>
          <cell r="L3739">
            <v>46588</v>
          </cell>
          <cell r="M3739">
            <v>-4549</v>
          </cell>
          <cell r="N3739">
            <v>295451</v>
          </cell>
        </row>
        <row r="3740">
          <cell r="A3740">
            <v>22283</v>
          </cell>
          <cell r="B3740">
            <v>3734</v>
          </cell>
          <cell r="C3740" t="str">
            <v>IASWD2410000428</v>
          </cell>
          <cell r="D3740">
            <v>45587</v>
          </cell>
          <cell r="E3740">
            <v>46628</v>
          </cell>
          <cell r="F3740" t="str">
            <v>22283</v>
          </cell>
          <cell r="G3740" t="str">
            <v>劍麟三</v>
          </cell>
          <cell r="H3740">
            <v>100000</v>
          </cell>
          <cell r="I3740">
            <v>3</v>
          </cell>
          <cell r="J3740">
            <v>46628</v>
          </cell>
          <cell r="K3740">
            <v>100</v>
          </cell>
          <cell r="L3740">
            <v>46609</v>
          </cell>
          <cell r="M3740">
            <v>-1685</v>
          </cell>
          <cell r="N3740">
            <v>98315</v>
          </cell>
        </row>
        <row r="3741">
          <cell r="A3741">
            <v>30238</v>
          </cell>
          <cell r="B3741">
            <v>3735</v>
          </cell>
          <cell r="C3741" t="str">
            <v>IASWD2410000429</v>
          </cell>
          <cell r="D3741">
            <v>45587</v>
          </cell>
          <cell r="E3741">
            <v>46003</v>
          </cell>
          <cell r="F3741" t="str">
            <v>30238</v>
          </cell>
          <cell r="G3741" t="str">
            <v>信邦八</v>
          </cell>
          <cell r="H3741">
            <v>400000</v>
          </cell>
          <cell r="I3741">
            <v>2.6</v>
          </cell>
          <cell r="J3741">
            <v>46003</v>
          </cell>
          <cell r="K3741">
            <v>100</v>
          </cell>
          <cell r="L3741">
            <v>45985</v>
          </cell>
          <cell r="M3741">
            <v>-5841</v>
          </cell>
          <cell r="N3741">
            <v>394159</v>
          </cell>
        </row>
        <row r="3742">
          <cell r="A3742">
            <v>30238</v>
          </cell>
          <cell r="B3742">
            <v>3736</v>
          </cell>
          <cell r="C3742" t="str">
            <v>IASWD2410000430</v>
          </cell>
          <cell r="D3742">
            <v>45587</v>
          </cell>
          <cell r="E3742">
            <v>46003</v>
          </cell>
          <cell r="F3742" t="str">
            <v>30238</v>
          </cell>
          <cell r="G3742" t="str">
            <v>信邦八</v>
          </cell>
          <cell r="H3742">
            <v>200000</v>
          </cell>
          <cell r="I3742">
            <v>2.6</v>
          </cell>
          <cell r="J3742">
            <v>46003</v>
          </cell>
          <cell r="K3742">
            <v>100</v>
          </cell>
          <cell r="L3742">
            <v>45985</v>
          </cell>
          <cell r="M3742">
            <v>-2921</v>
          </cell>
          <cell r="N3742">
            <v>197079</v>
          </cell>
        </row>
        <row r="3743">
          <cell r="A3743">
            <v>30238</v>
          </cell>
          <cell r="B3743">
            <v>3737</v>
          </cell>
          <cell r="C3743" t="str">
            <v>IASWD2410000431</v>
          </cell>
          <cell r="D3743">
            <v>45587</v>
          </cell>
          <cell r="E3743">
            <v>46003</v>
          </cell>
          <cell r="F3743" t="str">
            <v>30238</v>
          </cell>
          <cell r="G3743" t="str">
            <v>信邦八</v>
          </cell>
          <cell r="H3743">
            <v>100000</v>
          </cell>
          <cell r="I3743">
            <v>2.6</v>
          </cell>
          <cell r="J3743">
            <v>46003</v>
          </cell>
          <cell r="K3743">
            <v>100</v>
          </cell>
          <cell r="L3743">
            <v>45985</v>
          </cell>
          <cell r="M3743">
            <v>-1460</v>
          </cell>
          <cell r="N3743">
            <v>98540</v>
          </cell>
        </row>
        <row r="3744">
          <cell r="A3744">
            <v>25483</v>
          </cell>
          <cell r="B3744">
            <v>3738</v>
          </cell>
          <cell r="C3744" t="str">
            <v>IASWD2410000432</v>
          </cell>
          <cell r="D3744">
            <v>45587</v>
          </cell>
          <cell r="E3744">
            <v>46662</v>
          </cell>
          <cell r="F3744" t="str">
            <v>25483</v>
          </cell>
          <cell r="G3744" t="str">
            <v>華固三</v>
          </cell>
          <cell r="H3744">
            <v>500000</v>
          </cell>
          <cell r="I3744">
            <v>3.25</v>
          </cell>
          <cell r="J3744">
            <v>46662</v>
          </cell>
          <cell r="K3744">
            <v>100</v>
          </cell>
          <cell r="L3744">
            <v>46644</v>
          </cell>
          <cell r="M3744">
            <v>-9127</v>
          </cell>
          <cell r="N3744">
            <v>490873</v>
          </cell>
        </row>
        <row r="3745">
          <cell r="A3745">
            <v>30238</v>
          </cell>
          <cell r="B3745">
            <v>3739</v>
          </cell>
          <cell r="C3745" t="str">
            <v>IASWD2410000433</v>
          </cell>
          <cell r="D3745">
            <v>45587</v>
          </cell>
          <cell r="E3745">
            <v>46003</v>
          </cell>
          <cell r="F3745" t="str">
            <v>30238</v>
          </cell>
          <cell r="G3745" t="str">
            <v>信邦八</v>
          </cell>
          <cell r="H3745">
            <v>300000</v>
          </cell>
          <cell r="I3745">
            <v>2.6</v>
          </cell>
          <cell r="J3745">
            <v>46003</v>
          </cell>
          <cell r="K3745">
            <v>100</v>
          </cell>
          <cell r="L3745">
            <v>45985</v>
          </cell>
          <cell r="M3745">
            <v>-4381</v>
          </cell>
          <cell r="N3745">
            <v>295619</v>
          </cell>
        </row>
        <row r="3746">
          <cell r="A3746">
            <v>80914</v>
          </cell>
          <cell r="B3746">
            <v>3740</v>
          </cell>
          <cell r="C3746" t="str">
            <v>IASWD2410000434</v>
          </cell>
          <cell r="D3746">
            <v>45587</v>
          </cell>
          <cell r="E3746">
            <v>46249</v>
          </cell>
          <cell r="F3746" t="str">
            <v>80914</v>
          </cell>
          <cell r="G3746" t="str">
            <v>翔名四</v>
          </cell>
          <cell r="H3746">
            <v>400000</v>
          </cell>
          <cell r="I3746">
            <v>3.1</v>
          </cell>
          <cell r="J3746">
            <v>46249</v>
          </cell>
          <cell r="K3746">
            <v>100.25</v>
          </cell>
          <cell r="L3746">
            <v>46231</v>
          </cell>
          <cell r="M3746">
            <v>-6964</v>
          </cell>
          <cell r="N3746">
            <v>393036</v>
          </cell>
        </row>
        <row r="3747">
          <cell r="A3747">
            <v>140202</v>
          </cell>
          <cell r="B3747">
            <v>3741</v>
          </cell>
          <cell r="C3747" t="str">
            <v>IASWD2410000435</v>
          </cell>
          <cell r="D3747">
            <v>45587</v>
          </cell>
          <cell r="E3747">
            <v>46607</v>
          </cell>
          <cell r="F3747" t="str">
            <v>140202</v>
          </cell>
          <cell r="G3747" t="str">
            <v>遠東新E2永</v>
          </cell>
          <cell r="H3747">
            <v>400000</v>
          </cell>
          <cell r="I3747">
            <v>2.7</v>
          </cell>
          <cell r="J3747">
            <v>46607</v>
          </cell>
          <cell r="K3747">
            <v>100</v>
          </cell>
          <cell r="L3747">
            <v>46588</v>
          </cell>
          <cell r="M3747">
            <v>-6066</v>
          </cell>
          <cell r="N3747">
            <v>393934</v>
          </cell>
        </row>
        <row r="3748">
          <cell r="A3748">
            <v>64145</v>
          </cell>
          <cell r="B3748">
            <v>3742</v>
          </cell>
          <cell r="C3748" t="str">
            <v>IASWD2410000437</v>
          </cell>
          <cell r="D3748">
            <v>45587</v>
          </cell>
          <cell r="E3748">
            <v>46250</v>
          </cell>
          <cell r="F3748" t="str">
            <v>64145</v>
          </cell>
          <cell r="G3748" t="str">
            <v>樺漢五</v>
          </cell>
          <cell r="H3748">
            <v>200000</v>
          </cell>
          <cell r="I3748">
            <v>3</v>
          </cell>
          <cell r="J3748">
            <v>46250</v>
          </cell>
          <cell r="K3748">
            <v>100</v>
          </cell>
          <cell r="L3748">
            <v>46231</v>
          </cell>
          <cell r="M3748">
            <v>-3370</v>
          </cell>
          <cell r="N3748">
            <v>196630</v>
          </cell>
        </row>
        <row r="3749">
          <cell r="A3749">
            <v>811210</v>
          </cell>
          <cell r="B3749">
            <v>3743</v>
          </cell>
          <cell r="C3749" t="str">
            <v>IASWD2410000440</v>
          </cell>
          <cell r="D3749">
            <v>45587</v>
          </cell>
          <cell r="E3749">
            <v>46531</v>
          </cell>
          <cell r="F3749" t="str">
            <v>811210</v>
          </cell>
          <cell r="G3749" t="str">
            <v>至上十</v>
          </cell>
          <cell r="H3749">
            <v>100000</v>
          </cell>
          <cell r="I3749">
            <v>3.75</v>
          </cell>
          <cell r="J3749">
            <v>46531</v>
          </cell>
          <cell r="K3749">
            <v>100</v>
          </cell>
          <cell r="L3749">
            <v>46511</v>
          </cell>
          <cell r="M3749">
            <v>-2106</v>
          </cell>
          <cell r="N3749">
            <v>97894</v>
          </cell>
        </row>
        <row r="3750">
          <cell r="A3750">
            <v>82551</v>
          </cell>
          <cell r="B3750">
            <v>3744</v>
          </cell>
          <cell r="C3750" t="str">
            <v>IASWD2410000441</v>
          </cell>
          <cell r="D3750">
            <v>45587</v>
          </cell>
          <cell r="E3750">
            <v>46243</v>
          </cell>
          <cell r="F3750" t="str">
            <v>82551</v>
          </cell>
          <cell r="G3750" t="str">
            <v>朋程一</v>
          </cell>
          <cell r="H3750">
            <v>100000</v>
          </cell>
          <cell r="I3750">
            <v>2.6</v>
          </cell>
          <cell r="J3750">
            <v>46243</v>
          </cell>
          <cell r="K3750">
            <v>100</v>
          </cell>
          <cell r="L3750">
            <v>46224</v>
          </cell>
          <cell r="M3750">
            <v>-1460</v>
          </cell>
          <cell r="N3750">
            <v>98540</v>
          </cell>
        </row>
        <row r="3751">
          <cell r="A3751">
            <v>64145</v>
          </cell>
          <cell r="B3751">
            <v>3745</v>
          </cell>
          <cell r="C3751" t="str">
            <v>IASWD2410000442</v>
          </cell>
          <cell r="D3751">
            <v>45587</v>
          </cell>
          <cell r="E3751">
            <v>46250</v>
          </cell>
          <cell r="F3751" t="str">
            <v>64145</v>
          </cell>
          <cell r="G3751" t="str">
            <v>樺漢五</v>
          </cell>
          <cell r="H3751">
            <v>200000</v>
          </cell>
          <cell r="I3751">
            <v>3</v>
          </cell>
          <cell r="J3751">
            <v>46250</v>
          </cell>
          <cell r="K3751">
            <v>100</v>
          </cell>
          <cell r="L3751">
            <v>46231</v>
          </cell>
          <cell r="M3751">
            <v>-3370</v>
          </cell>
          <cell r="N3751">
            <v>196630</v>
          </cell>
        </row>
        <row r="3752">
          <cell r="A3752">
            <v>67531</v>
          </cell>
          <cell r="B3752">
            <v>3746</v>
          </cell>
          <cell r="C3752" t="str">
            <v>IASWD2410000445</v>
          </cell>
          <cell r="D3752">
            <v>45587</v>
          </cell>
          <cell r="E3752">
            <v>46563</v>
          </cell>
          <cell r="F3752" t="str">
            <v>67531</v>
          </cell>
          <cell r="G3752" t="str">
            <v>龍德造船一</v>
          </cell>
          <cell r="H3752">
            <v>100000</v>
          </cell>
          <cell r="I3752">
            <v>3.35</v>
          </cell>
          <cell r="J3752">
            <v>46563</v>
          </cell>
          <cell r="K3752">
            <v>100</v>
          </cell>
          <cell r="L3752">
            <v>46545</v>
          </cell>
          <cell r="M3752">
            <v>-1882</v>
          </cell>
          <cell r="N3752">
            <v>98118</v>
          </cell>
        </row>
        <row r="3753">
          <cell r="A3753">
            <v>33121</v>
          </cell>
          <cell r="B3753">
            <v>3747</v>
          </cell>
          <cell r="C3753" t="str">
            <v>IASWD2410000446</v>
          </cell>
          <cell r="D3753">
            <v>45587</v>
          </cell>
          <cell r="E3753">
            <v>46563</v>
          </cell>
          <cell r="F3753" t="str">
            <v>33121</v>
          </cell>
          <cell r="G3753" t="str">
            <v>弘憶股一</v>
          </cell>
          <cell r="H3753">
            <v>100000</v>
          </cell>
          <cell r="I3753">
            <v>3.35</v>
          </cell>
          <cell r="J3753">
            <v>46563</v>
          </cell>
          <cell r="K3753">
            <v>100</v>
          </cell>
          <cell r="L3753">
            <v>46545</v>
          </cell>
          <cell r="M3753">
            <v>-1882</v>
          </cell>
          <cell r="N3753">
            <v>98118</v>
          </cell>
        </row>
        <row r="3754">
          <cell r="A3754">
            <v>811210</v>
          </cell>
          <cell r="B3754">
            <v>3748</v>
          </cell>
          <cell r="C3754" t="str">
            <v>IASWD2410000447</v>
          </cell>
          <cell r="D3754">
            <v>45587</v>
          </cell>
          <cell r="E3754">
            <v>46531</v>
          </cell>
          <cell r="F3754" t="str">
            <v>811210</v>
          </cell>
          <cell r="G3754" t="str">
            <v>至上十</v>
          </cell>
          <cell r="H3754">
            <v>100000</v>
          </cell>
          <cell r="I3754">
            <v>3.75</v>
          </cell>
          <cell r="J3754">
            <v>46531</v>
          </cell>
          <cell r="K3754">
            <v>100</v>
          </cell>
          <cell r="L3754">
            <v>46511</v>
          </cell>
          <cell r="M3754">
            <v>-2106</v>
          </cell>
          <cell r="N3754">
            <v>97894</v>
          </cell>
        </row>
        <row r="3755">
          <cell r="A3755">
            <v>811210</v>
          </cell>
          <cell r="B3755">
            <v>3749</v>
          </cell>
          <cell r="C3755" t="str">
            <v>IASWD2410000448</v>
          </cell>
          <cell r="D3755">
            <v>45587</v>
          </cell>
          <cell r="E3755">
            <v>46531</v>
          </cell>
          <cell r="F3755" t="str">
            <v>811210</v>
          </cell>
          <cell r="G3755" t="str">
            <v>至上十</v>
          </cell>
          <cell r="H3755">
            <v>500000</v>
          </cell>
          <cell r="I3755">
            <v>3.75</v>
          </cell>
          <cell r="J3755">
            <v>46531</v>
          </cell>
          <cell r="K3755">
            <v>100</v>
          </cell>
          <cell r="L3755">
            <v>46511</v>
          </cell>
          <cell r="M3755">
            <v>-10531</v>
          </cell>
          <cell r="N3755">
            <v>489469</v>
          </cell>
        </row>
        <row r="3756">
          <cell r="A3756">
            <v>22013</v>
          </cell>
          <cell r="B3756">
            <v>3750</v>
          </cell>
          <cell r="C3756" t="str">
            <v>IASWD2410000450</v>
          </cell>
          <cell r="D3756">
            <v>45587</v>
          </cell>
          <cell r="E3756">
            <v>46167</v>
          </cell>
          <cell r="F3756" t="str">
            <v>22013</v>
          </cell>
          <cell r="G3756" t="str">
            <v>裕隆三</v>
          </cell>
          <cell r="H3756">
            <v>100000</v>
          </cell>
          <cell r="I3756">
            <v>3.25</v>
          </cell>
          <cell r="J3756">
            <v>46167</v>
          </cell>
          <cell r="K3756">
            <v>100.75190000000001</v>
          </cell>
          <cell r="L3756">
            <v>46147</v>
          </cell>
          <cell r="M3756">
            <v>-1825</v>
          </cell>
          <cell r="N3756">
            <v>98175</v>
          </cell>
        </row>
        <row r="3757">
          <cell r="A3757">
            <v>53064</v>
          </cell>
          <cell r="B3757">
            <v>3751</v>
          </cell>
          <cell r="C3757" t="str">
            <v>IASWD2410000452</v>
          </cell>
          <cell r="D3757">
            <v>45587</v>
          </cell>
          <cell r="E3757">
            <v>46334</v>
          </cell>
          <cell r="F3757" t="str">
            <v>53064</v>
          </cell>
          <cell r="G3757" t="str">
            <v>桂盟四</v>
          </cell>
          <cell r="H3757">
            <v>100000</v>
          </cell>
          <cell r="I3757">
            <v>2.2999999999999998</v>
          </cell>
          <cell r="J3757">
            <v>46334</v>
          </cell>
          <cell r="K3757">
            <v>100</v>
          </cell>
          <cell r="L3757">
            <v>46315</v>
          </cell>
          <cell r="M3757">
            <v>-1292</v>
          </cell>
          <cell r="N3757">
            <v>98708</v>
          </cell>
        </row>
        <row r="3758">
          <cell r="A3758">
            <v>34834</v>
          </cell>
          <cell r="B3758">
            <v>3752</v>
          </cell>
          <cell r="C3758" t="str">
            <v>IASWD2410000453</v>
          </cell>
          <cell r="D3758">
            <v>45587</v>
          </cell>
          <cell r="E3758">
            <v>46529</v>
          </cell>
          <cell r="F3758" t="str">
            <v>34834</v>
          </cell>
          <cell r="G3758" t="str">
            <v>力致四</v>
          </cell>
          <cell r="H3758">
            <v>100000</v>
          </cell>
          <cell r="I3758">
            <v>3.75</v>
          </cell>
          <cell r="J3758">
            <v>46529</v>
          </cell>
          <cell r="K3758">
            <v>100</v>
          </cell>
          <cell r="L3758">
            <v>46511</v>
          </cell>
          <cell r="M3758">
            <v>-2106</v>
          </cell>
          <cell r="N3758">
            <v>97894</v>
          </cell>
        </row>
        <row r="3759">
          <cell r="A3759">
            <v>811210</v>
          </cell>
          <cell r="B3759">
            <v>3753</v>
          </cell>
          <cell r="C3759" t="str">
            <v>IASWD2410000456</v>
          </cell>
          <cell r="D3759">
            <v>45587</v>
          </cell>
          <cell r="E3759">
            <v>46531</v>
          </cell>
          <cell r="F3759" t="str">
            <v>811210</v>
          </cell>
          <cell r="G3759" t="str">
            <v>至上十</v>
          </cell>
          <cell r="H3759">
            <v>300000</v>
          </cell>
          <cell r="I3759">
            <v>3.75</v>
          </cell>
          <cell r="J3759">
            <v>46531</v>
          </cell>
          <cell r="K3759">
            <v>100</v>
          </cell>
          <cell r="L3759">
            <v>46511</v>
          </cell>
          <cell r="M3759">
            <v>-6318</v>
          </cell>
          <cell r="N3759">
            <v>293682</v>
          </cell>
        </row>
        <row r="3760">
          <cell r="A3760">
            <v>30238</v>
          </cell>
          <cell r="B3760">
            <v>3754</v>
          </cell>
          <cell r="C3760" t="str">
            <v>IASWD2410000457</v>
          </cell>
          <cell r="D3760">
            <v>45587</v>
          </cell>
          <cell r="E3760">
            <v>46003</v>
          </cell>
          <cell r="F3760" t="str">
            <v>30238</v>
          </cell>
          <cell r="G3760" t="str">
            <v>信邦八</v>
          </cell>
          <cell r="H3760">
            <v>1000000</v>
          </cell>
          <cell r="I3760">
            <v>2.6</v>
          </cell>
          <cell r="J3760">
            <v>46003</v>
          </cell>
          <cell r="K3760">
            <v>100</v>
          </cell>
          <cell r="L3760">
            <v>45985</v>
          </cell>
          <cell r="M3760">
            <v>-14603</v>
          </cell>
          <cell r="N3760">
            <v>985397</v>
          </cell>
        </row>
        <row r="3761">
          <cell r="A3761">
            <v>50097</v>
          </cell>
          <cell r="B3761">
            <v>3755</v>
          </cell>
          <cell r="C3761" t="str">
            <v>IASWD2410000458</v>
          </cell>
          <cell r="D3761">
            <v>45587</v>
          </cell>
          <cell r="E3761">
            <v>46234</v>
          </cell>
          <cell r="F3761" t="str">
            <v>50097</v>
          </cell>
          <cell r="G3761" t="str">
            <v>榮剛七</v>
          </cell>
          <cell r="H3761">
            <v>300000</v>
          </cell>
          <cell r="I3761">
            <v>4.0999999999999996</v>
          </cell>
          <cell r="J3761">
            <v>46234</v>
          </cell>
          <cell r="K3761">
            <v>101.51</v>
          </cell>
          <cell r="L3761">
            <v>46216</v>
          </cell>
          <cell r="M3761">
            <v>-6908</v>
          </cell>
          <cell r="N3761">
            <v>293092</v>
          </cell>
        </row>
        <row r="3762">
          <cell r="A3762">
            <v>33571</v>
          </cell>
          <cell r="B3762">
            <v>3756</v>
          </cell>
          <cell r="C3762" t="str">
            <v>IASWD2410000460</v>
          </cell>
          <cell r="D3762">
            <v>45587</v>
          </cell>
          <cell r="E3762">
            <v>46326</v>
          </cell>
          <cell r="F3762" t="str">
            <v>33571</v>
          </cell>
          <cell r="G3762" t="str">
            <v>臺慶科一</v>
          </cell>
          <cell r="H3762">
            <v>100000</v>
          </cell>
          <cell r="I3762">
            <v>2.6</v>
          </cell>
          <cell r="J3762">
            <v>46326</v>
          </cell>
          <cell r="K3762">
            <v>100</v>
          </cell>
          <cell r="L3762">
            <v>46308</v>
          </cell>
          <cell r="M3762">
            <v>-1460</v>
          </cell>
          <cell r="N3762">
            <v>98540</v>
          </cell>
        </row>
        <row r="3763">
          <cell r="A3763">
            <v>82551</v>
          </cell>
          <cell r="B3763">
            <v>3757</v>
          </cell>
          <cell r="C3763" t="str">
            <v>IASWD2410000461</v>
          </cell>
          <cell r="D3763">
            <v>45587</v>
          </cell>
          <cell r="E3763">
            <v>46243</v>
          </cell>
          <cell r="F3763" t="str">
            <v>82551</v>
          </cell>
          <cell r="G3763" t="str">
            <v>朋程一</v>
          </cell>
          <cell r="H3763">
            <v>100000</v>
          </cell>
          <cell r="I3763">
            <v>2.6</v>
          </cell>
          <cell r="J3763">
            <v>46243</v>
          </cell>
          <cell r="K3763">
            <v>100</v>
          </cell>
          <cell r="L3763">
            <v>46224</v>
          </cell>
          <cell r="M3763">
            <v>-1460</v>
          </cell>
          <cell r="N3763">
            <v>98540</v>
          </cell>
        </row>
        <row r="3764">
          <cell r="A3764">
            <v>30238</v>
          </cell>
          <cell r="B3764">
            <v>3758</v>
          </cell>
          <cell r="C3764" t="str">
            <v>IASWD2410000463</v>
          </cell>
          <cell r="D3764">
            <v>45587</v>
          </cell>
          <cell r="E3764">
            <v>46003</v>
          </cell>
          <cell r="F3764" t="str">
            <v>30238</v>
          </cell>
          <cell r="G3764" t="str">
            <v>信邦八</v>
          </cell>
          <cell r="H3764">
            <v>2000000</v>
          </cell>
          <cell r="I3764">
            <v>2.6</v>
          </cell>
          <cell r="J3764">
            <v>46003</v>
          </cell>
          <cell r="K3764">
            <v>100</v>
          </cell>
          <cell r="L3764">
            <v>45985</v>
          </cell>
          <cell r="M3764">
            <v>-29205</v>
          </cell>
          <cell r="N3764">
            <v>1970795</v>
          </cell>
        </row>
        <row r="3765">
          <cell r="A3765">
            <v>80506</v>
          </cell>
          <cell r="B3765">
            <v>3759</v>
          </cell>
          <cell r="C3765" t="str">
            <v>IASWD2410000464</v>
          </cell>
          <cell r="D3765">
            <v>45587</v>
          </cell>
          <cell r="E3765">
            <v>45983</v>
          </cell>
          <cell r="F3765" t="str">
            <v>80506</v>
          </cell>
          <cell r="G3765" t="str">
            <v>廣積六</v>
          </cell>
          <cell r="H3765">
            <v>200000</v>
          </cell>
          <cell r="I3765">
            <v>3.25</v>
          </cell>
          <cell r="J3765">
            <v>45983</v>
          </cell>
          <cell r="K3765">
            <v>100.75</v>
          </cell>
          <cell r="L3765">
            <v>45965</v>
          </cell>
          <cell r="M3765">
            <v>-3651</v>
          </cell>
          <cell r="N3765">
            <v>196349</v>
          </cell>
        </row>
        <row r="3766">
          <cell r="A3766">
            <v>84781</v>
          </cell>
          <cell r="B3766">
            <v>3760</v>
          </cell>
          <cell r="C3766" t="str">
            <v>IASWD2410000465</v>
          </cell>
          <cell r="D3766">
            <v>45587</v>
          </cell>
          <cell r="E3766">
            <v>46583</v>
          </cell>
          <cell r="F3766" t="str">
            <v>84781</v>
          </cell>
          <cell r="G3766" t="str">
            <v>東哥遊艇一</v>
          </cell>
          <cell r="H3766">
            <v>200000</v>
          </cell>
          <cell r="I3766">
            <v>3.1</v>
          </cell>
          <cell r="J3766">
            <v>46583</v>
          </cell>
          <cell r="K3766">
            <v>100</v>
          </cell>
          <cell r="L3766">
            <v>46563</v>
          </cell>
          <cell r="M3766">
            <v>-3482</v>
          </cell>
          <cell r="N3766">
            <v>196518</v>
          </cell>
        </row>
        <row r="3767">
          <cell r="A3767">
            <v>61973</v>
          </cell>
          <cell r="B3767">
            <v>3761</v>
          </cell>
          <cell r="C3767" t="str">
            <v>IASWD2410000466</v>
          </cell>
          <cell r="D3767">
            <v>45587</v>
          </cell>
          <cell r="E3767">
            <v>46675</v>
          </cell>
          <cell r="F3767" t="str">
            <v>61973</v>
          </cell>
          <cell r="G3767" t="str">
            <v>佳必琪三</v>
          </cell>
          <cell r="H3767">
            <v>2000000</v>
          </cell>
          <cell r="I3767">
            <v>3.1</v>
          </cell>
          <cell r="J3767">
            <v>46675</v>
          </cell>
          <cell r="K3767">
            <v>100</v>
          </cell>
          <cell r="L3767">
            <v>46657</v>
          </cell>
          <cell r="M3767">
            <v>-34822</v>
          </cell>
          <cell r="N3767">
            <v>1965178</v>
          </cell>
        </row>
        <row r="3768">
          <cell r="A3768">
            <v>140202</v>
          </cell>
          <cell r="B3768">
            <v>3762</v>
          </cell>
          <cell r="C3768" t="str">
            <v>IASWD2410000467</v>
          </cell>
          <cell r="D3768">
            <v>45587</v>
          </cell>
          <cell r="E3768">
            <v>46607</v>
          </cell>
          <cell r="F3768" t="str">
            <v>140202</v>
          </cell>
          <cell r="G3768" t="str">
            <v>遠東新E2永</v>
          </cell>
          <cell r="H3768">
            <v>200000</v>
          </cell>
          <cell r="I3768">
            <v>2.7</v>
          </cell>
          <cell r="J3768">
            <v>46607</v>
          </cell>
          <cell r="K3768">
            <v>100</v>
          </cell>
          <cell r="L3768">
            <v>46588</v>
          </cell>
          <cell r="M3768">
            <v>-3033</v>
          </cell>
          <cell r="N3768">
            <v>196967</v>
          </cell>
        </row>
        <row r="3769">
          <cell r="A3769">
            <v>84781</v>
          </cell>
          <cell r="B3769">
            <v>3763</v>
          </cell>
          <cell r="C3769" t="str">
            <v>IASWD2410000468</v>
          </cell>
          <cell r="D3769">
            <v>45587</v>
          </cell>
          <cell r="E3769">
            <v>46583</v>
          </cell>
          <cell r="F3769" t="str">
            <v>84781</v>
          </cell>
          <cell r="G3769" t="str">
            <v>東哥遊艇一</v>
          </cell>
          <cell r="H3769">
            <v>100000</v>
          </cell>
          <cell r="I3769">
            <v>3.1</v>
          </cell>
          <cell r="J3769">
            <v>46583</v>
          </cell>
          <cell r="K3769">
            <v>100</v>
          </cell>
          <cell r="L3769">
            <v>46563</v>
          </cell>
          <cell r="M3769">
            <v>-1741</v>
          </cell>
          <cell r="N3769">
            <v>98259</v>
          </cell>
        </row>
        <row r="3770">
          <cell r="A3770">
            <v>24361</v>
          </cell>
          <cell r="B3770">
            <v>3764</v>
          </cell>
          <cell r="C3770" t="str">
            <v>IASWD2410000469</v>
          </cell>
          <cell r="D3770">
            <v>45588</v>
          </cell>
          <cell r="E3770">
            <v>45911</v>
          </cell>
          <cell r="F3770" t="str">
            <v>24361</v>
          </cell>
          <cell r="G3770" t="str">
            <v>偉詮電一</v>
          </cell>
          <cell r="H3770">
            <v>500000</v>
          </cell>
          <cell r="I3770">
            <v>3.75</v>
          </cell>
          <cell r="J3770">
            <v>45911</v>
          </cell>
          <cell r="K3770">
            <v>100.50060000000001</v>
          </cell>
          <cell r="L3770">
            <v>45891</v>
          </cell>
          <cell r="M3770">
            <v>-10479</v>
          </cell>
          <cell r="N3770">
            <v>489521</v>
          </cell>
        </row>
        <row r="3771">
          <cell r="A3771">
            <v>64145</v>
          </cell>
          <cell r="B3771">
            <v>3765</v>
          </cell>
          <cell r="C3771" t="str">
            <v>IASWD2410000471</v>
          </cell>
          <cell r="D3771">
            <v>45588</v>
          </cell>
          <cell r="E3771">
            <v>46250</v>
          </cell>
          <cell r="F3771" t="str">
            <v>64145</v>
          </cell>
          <cell r="G3771" t="str">
            <v>樺漢五</v>
          </cell>
          <cell r="H3771">
            <v>100000</v>
          </cell>
          <cell r="I3771">
            <v>3</v>
          </cell>
          <cell r="J3771">
            <v>46250</v>
          </cell>
          <cell r="K3771">
            <v>100</v>
          </cell>
          <cell r="L3771">
            <v>46231</v>
          </cell>
          <cell r="M3771">
            <v>-1677</v>
          </cell>
          <cell r="N3771">
            <v>98323</v>
          </cell>
        </row>
        <row r="3772">
          <cell r="A3772">
            <v>25483</v>
          </cell>
          <cell r="B3772">
            <v>3766</v>
          </cell>
          <cell r="C3772" t="str">
            <v>IASWD2410000472</v>
          </cell>
          <cell r="D3772">
            <v>45588</v>
          </cell>
          <cell r="E3772">
            <v>46662</v>
          </cell>
          <cell r="F3772" t="str">
            <v>25483</v>
          </cell>
          <cell r="G3772" t="str">
            <v>華固三</v>
          </cell>
          <cell r="H3772">
            <v>100000</v>
          </cell>
          <cell r="I3772">
            <v>3.25</v>
          </cell>
          <cell r="J3772">
            <v>46662</v>
          </cell>
          <cell r="K3772">
            <v>100</v>
          </cell>
          <cell r="L3772">
            <v>46644</v>
          </cell>
          <cell r="M3772">
            <v>-1816</v>
          </cell>
          <cell r="N3772">
            <v>98184</v>
          </cell>
        </row>
        <row r="3773">
          <cell r="A3773">
            <v>64145</v>
          </cell>
          <cell r="B3773">
            <v>3767</v>
          </cell>
          <cell r="C3773" t="str">
            <v>IASWD2410000473</v>
          </cell>
          <cell r="D3773">
            <v>45588</v>
          </cell>
          <cell r="E3773">
            <v>46250</v>
          </cell>
          <cell r="F3773" t="str">
            <v>64145</v>
          </cell>
          <cell r="G3773" t="str">
            <v>樺漢五</v>
          </cell>
          <cell r="H3773">
            <v>500000</v>
          </cell>
          <cell r="I3773">
            <v>3</v>
          </cell>
          <cell r="J3773">
            <v>46250</v>
          </cell>
          <cell r="K3773">
            <v>100</v>
          </cell>
          <cell r="L3773">
            <v>46231</v>
          </cell>
          <cell r="M3773">
            <v>-8384</v>
          </cell>
          <cell r="N3773">
            <v>491616</v>
          </cell>
        </row>
        <row r="3774">
          <cell r="A3774">
            <v>64145</v>
          </cell>
          <cell r="B3774">
            <v>3768</v>
          </cell>
          <cell r="C3774" t="str">
            <v>IASWD2410000475</v>
          </cell>
          <cell r="D3774">
            <v>45588</v>
          </cell>
          <cell r="E3774">
            <v>46250</v>
          </cell>
          <cell r="F3774" t="str">
            <v>64145</v>
          </cell>
          <cell r="G3774" t="str">
            <v>樺漢五</v>
          </cell>
          <cell r="H3774">
            <v>500000</v>
          </cell>
          <cell r="I3774">
            <v>3</v>
          </cell>
          <cell r="J3774">
            <v>46250</v>
          </cell>
          <cell r="K3774">
            <v>100</v>
          </cell>
          <cell r="L3774">
            <v>46231</v>
          </cell>
          <cell r="M3774">
            <v>-8384</v>
          </cell>
          <cell r="N3774">
            <v>491616</v>
          </cell>
        </row>
        <row r="3775">
          <cell r="A3775">
            <v>64145</v>
          </cell>
          <cell r="B3775">
            <v>3769</v>
          </cell>
          <cell r="C3775" t="str">
            <v>IASWD2410000477</v>
          </cell>
          <cell r="D3775">
            <v>45588</v>
          </cell>
          <cell r="E3775">
            <v>46250</v>
          </cell>
          <cell r="F3775" t="str">
            <v>64145</v>
          </cell>
          <cell r="G3775" t="str">
            <v>樺漢五</v>
          </cell>
          <cell r="H3775">
            <v>100000</v>
          </cell>
          <cell r="I3775">
            <v>3</v>
          </cell>
          <cell r="J3775">
            <v>46250</v>
          </cell>
          <cell r="K3775">
            <v>100</v>
          </cell>
          <cell r="L3775">
            <v>46231</v>
          </cell>
          <cell r="M3775">
            <v>-1677</v>
          </cell>
          <cell r="N3775">
            <v>98323</v>
          </cell>
        </row>
        <row r="3776">
          <cell r="A3776">
            <v>35832</v>
          </cell>
          <cell r="B3776">
            <v>3770</v>
          </cell>
          <cell r="C3776" t="str">
            <v>IASWD2410000478</v>
          </cell>
          <cell r="D3776">
            <v>45588</v>
          </cell>
          <cell r="E3776">
            <v>46192</v>
          </cell>
          <cell r="F3776" t="str">
            <v>35832</v>
          </cell>
          <cell r="G3776" t="str">
            <v>辛耘二</v>
          </cell>
          <cell r="H3776">
            <v>100000</v>
          </cell>
          <cell r="I3776">
            <v>3</v>
          </cell>
          <cell r="J3776">
            <v>46192</v>
          </cell>
          <cell r="K3776">
            <v>100</v>
          </cell>
          <cell r="L3776">
            <v>46174</v>
          </cell>
          <cell r="M3776">
            <v>-1677</v>
          </cell>
          <cell r="N3776">
            <v>98323</v>
          </cell>
        </row>
        <row r="3777">
          <cell r="A3777">
            <v>61875</v>
          </cell>
          <cell r="B3777">
            <v>3771</v>
          </cell>
          <cell r="C3777" t="str">
            <v>IASWD2410000479</v>
          </cell>
          <cell r="D3777">
            <v>45588</v>
          </cell>
          <cell r="E3777">
            <v>46578</v>
          </cell>
          <cell r="F3777" t="str">
            <v>61875</v>
          </cell>
          <cell r="G3777" t="str">
            <v>萬潤五</v>
          </cell>
          <cell r="H3777">
            <v>300000</v>
          </cell>
          <cell r="I3777">
            <v>3.1</v>
          </cell>
          <cell r="J3777">
            <v>46578</v>
          </cell>
          <cell r="K3777">
            <v>100</v>
          </cell>
          <cell r="L3777">
            <v>46560</v>
          </cell>
          <cell r="M3777">
            <v>-5198</v>
          </cell>
          <cell r="N3777">
            <v>294802</v>
          </cell>
        </row>
        <row r="3778">
          <cell r="A3778">
            <v>50097</v>
          </cell>
          <cell r="B3778">
            <v>3772</v>
          </cell>
          <cell r="C3778" t="str">
            <v>IASWD2410000480</v>
          </cell>
          <cell r="D3778">
            <v>45588</v>
          </cell>
          <cell r="E3778">
            <v>46234</v>
          </cell>
          <cell r="F3778" t="str">
            <v>50097</v>
          </cell>
          <cell r="G3778" t="str">
            <v>榮剛七</v>
          </cell>
          <cell r="H3778">
            <v>100000</v>
          </cell>
          <cell r="I3778">
            <v>4.0999999999999996</v>
          </cell>
          <cell r="J3778">
            <v>46234</v>
          </cell>
          <cell r="K3778">
            <v>101.51</v>
          </cell>
          <cell r="L3778">
            <v>46216</v>
          </cell>
          <cell r="M3778">
            <v>-2292</v>
          </cell>
          <cell r="N3778">
            <v>97708</v>
          </cell>
        </row>
        <row r="3779">
          <cell r="A3779">
            <v>25483</v>
          </cell>
          <cell r="B3779">
            <v>3773</v>
          </cell>
          <cell r="C3779" t="str">
            <v>IASWD2410000481</v>
          </cell>
          <cell r="D3779">
            <v>45588</v>
          </cell>
          <cell r="E3779">
            <v>46662</v>
          </cell>
          <cell r="F3779" t="str">
            <v>25483</v>
          </cell>
          <cell r="G3779" t="str">
            <v>華固三</v>
          </cell>
          <cell r="H3779">
            <v>500000</v>
          </cell>
          <cell r="I3779">
            <v>3.25</v>
          </cell>
          <cell r="J3779">
            <v>46662</v>
          </cell>
          <cell r="K3779">
            <v>100</v>
          </cell>
          <cell r="L3779">
            <v>46644</v>
          </cell>
          <cell r="M3779">
            <v>-9082</v>
          </cell>
          <cell r="N3779">
            <v>490918</v>
          </cell>
        </row>
        <row r="3780">
          <cell r="A3780">
            <v>25483</v>
          </cell>
          <cell r="B3780">
            <v>3774</v>
          </cell>
          <cell r="C3780" t="str">
            <v>IASWD2410000482</v>
          </cell>
          <cell r="D3780">
            <v>45588</v>
          </cell>
          <cell r="E3780">
            <v>46662</v>
          </cell>
          <cell r="F3780" t="str">
            <v>25483</v>
          </cell>
          <cell r="G3780" t="str">
            <v>華固三</v>
          </cell>
          <cell r="H3780">
            <v>100000</v>
          </cell>
          <cell r="I3780">
            <v>3.25</v>
          </cell>
          <cell r="J3780">
            <v>46662</v>
          </cell>
          <cell r="K3780">
            <v>100</v>
          </cell>
          <cell r="L3780">
            <v>46644</v>
          </cell>
          <cell r="M3780">
            <v>-1816</v>
          </cell>
          <cell r="N3780">
            <v>98184</v>
          </cell>
        </row>
        <row r="3781">
          <cell r="A3781">
            <v>30238</v>
          </cell>
          <cell r="B3781">
            <v>3775</v>
          </cell>
          <cell r="C3781" t="str">
            <v>IASWD2410000483</v>
          </cell>
          <cell r="D3781">
            <v>45588</v>
          </cell>
          <cell r="E3781">
            <v>46003</v>
          </cell>
          <cell r="F3781" t="str">
            <v>30238</v>
          </cell>
          <cell r="G3781" t="str">
            <v>信邦八</v>
          </cell>
          <cell r="H3781">
            <v>500000</v>
          </cell>
          <cell r="I3781">
            <v>2.6</v>
          </cell>
          <cell r="J3781">
            <v>46003</v>
          </cell>
          <cell r="K3781">
            <v>100</v>
          </cell>
          <cell r="L3781">
            <v>45985</v>
          </cell>
          <cell r="M3781">
            <v>-7266</v>
          </cell>
          <cell r="N3781">
            <v>492734</v>
          </cell>
        </row>
        <row r="3782">
          <cell r="A3782">
            <v>140202</v>
          </cell>
          <cell r="B3782">
            <v>3776</v>
          </cell>
          <cell r="C3782" t="str">
            <v>IASWD2410000484</v>
          </cell>
          <cell r="D3782">
            <v>45588</v>
          </cell>
          <cell r="E3782">
            <v>46607</v>
          </cell>
          <cell r="F3782" t="str">
            <v>140202</v>
          </cell>
          <cell r="G3782" t="str">
            <v>遠東新E2永</v>
          </cell>
          <cell r="H3782">
            <v>400000</v>
          </cell>
          <cell r="I3782">
            <v>2.7</v>
          </cell>
          <cell r="J3782">
            <v>46607</v>
          </cell>
          <cell r="K3782">
            <v>100</v>
          </cell>
          <cell r="L3782">
            <v>46588</v>
          </cell>
          <cell r="M3782">
            <v>-6036</v>
          </cell>
          <cell r="N3782">
            <v>393964</v>
          </cell>
        </row>
        <row r="3783">
          <cell r="A3783">
            <v>30238</v>
          </cell>
          <cell r="B3783">
            <v>3777</v>
          </cell>
          <cell r="C3783" t="str">
            <v>IASWD2410000486</v>
          </cell>
          <cell r="D3783">
            <v>45588</v>
          </cell>
          <cell r="E3783">
            <v>46003</v>
          </cell>
          <cell r="F3783" t="str">
            <v>30238</v>
          </cell>
          <cell r="G3783" t="str">
            <v>信邦八</v>
          </cell>
          <cell r="H3783">
            <v>100000</v>
          </cell>
          <cell r="I3783">
            <v>2.6</v>
          </cell>
          <cell r="J3783">
            <v>46003</v>
          </cell>
          <cell r="K3783">
            <v>100</v>
          </cell>
          <cell r="L3783">
            <v>45985</v>
          </cell>
          <cell r="M3783">
            <v>-1453</v>
          </cell>
          <cell r="N3783">
            <v>98547</v>
          </cell>
        </row>
        <row r="3784">
          <cell r="A3784">
            <v>50097</v>
          </cell>
          <cell r="B3784">
            <v>3778</v>
          </cell>
          <cell r="C3784" t="str">
            <v>IASWD2410000487</v>
          </cell>
          <cell r="D3784">
            <v>45588</v>
          </cell>
          <cell r="E3784">
            <v>46234</v>
          </cell>
          <cell r="F3784" t="str">
            <v>50097</v>
          </cell>
          <cell r="G3784" t="str">
            <v>榮剛七</v>
          </cell>
          <cell r="H3784">
            <v>200000</v>
          </cell>
          <cell r="I3784">
            <v>4.0999999999999996</v>
          </cell>
          <cell r="J3784">
            <v>46234</v>
          </cell>
          <cell r="K3784">
            <v>101.51</v>
          </cell>
          <cell r="L3784">
            <v>46216</v>
          </cell>
          <cell r="M3784">
            <v>-4583</v>
          </cell>
          <cell r="N3784">
            <v>195417</v>
          </cell>
        </row>
        <row r="3785">
          <cell r="A3785">
            <v>35832</v>
          </cell>
          <cell r="B3785">
            <v>3779</v>
          </cell>
          <cell r="C3785" t="str">
            <v>IASWD2410000489</v>
          </cell>
          <cell r="D3785">
            <v>45588</v>
          </cell>
          <cell r="E3785">
            <v>46192</v>
          </cell>
          <cell r="F3785" t="str">
            <v>35832</v>
          </cell>
          <cell r="G3785" t="str">
            <v>辛耘二</v>
          </cell>
          <cell r="H3785">
            <v>300000</v>
          </cell>
          <cell r="I3785">
            <v>3</v>
          </cell>
          <cell r="J3785">
            <v>46192</v>
          </cell>
          <cell r="K3785">
            <v>100</v>
          </cell>
          <cell r="L3785">
            <v>46174</v>
          </cell>
          <cell r="M3785">
            <v>-5030</v>
          </cell>
          <cell r="N3785">
            <v>294970</v>
          </cell>
        </row>
        <row r="3786">
          <cell r="A3786">
            <v>80914</v>
          </cell>
          <cell r="B3786">
            <v>3780</v>
          </cell>
          <cell r="C3786" t="str">
            <v>IASWD2410000490</v>
          </cell>
          <cell r="D3786">
            <v>45588</v>
          </cell>
          <cell r="E3786">
            <v>46249</v>
          </cell>
          <cell r="F3786" t="str">
            <v>80914</v>
          </cell>
          <cell r="G3786" t="str">
            <v>翔名四</v>
          </cell>
          <cell r="H3786">
            <v>500000</v>
          </cell>
          <cell r="I3786">
            <v>3.1</v>
          </cell>
          <cell r="J3786">
            <v>46249</v>
          </cell>
          <cell r="K3786">
            <v>100.25</v>
          </cell>
          <cell r="L3786">
            <v>46231</v>
          </cell>
          <cell r="M3786">
            <v>-8663</v>
          </cell>
          <cell r="N3786">
            <v>491337</v>
          </cell>
        </row>
        <row r="3787">
          <cell r="A3787">
            <v>61973</v>
          </cell>
          <cell r="B3787">
            <v>3781</v>
          </cell>
          <cell r="C3787" t="str">
            <v>IASWD2410000491</v>
          </cell>
          <cell r="D3787">
            <v>45588</v>
          </cell>
          <cell r="E3787">
            <v>46675</v>
          </cell>
          <cell r="F3787" t="str">
            <v>61973</v>
          </cell>
          <cell r="G3787" t="str">
            <v>佳必琪三</v>
          </cell>
          <cell r="H3787">
            <v>200000</v>
          </cell>
          <cell r="I3787">
            <v>3.1</v>
          </cell>
          <cell r="J3787">
            <v>46675</v>
          </cell>
          <cell r="K3787">
            <v>100</v>
          </cell>
          <cell r="L3787">
            <v>46657</v>
          </cell>
          <cell r="M3787">
            <v>-3465</v>
          </cell>
          <cell r="N3787">
            <v>196535</v>
          </cell>
        </row>
        <row r="3788">
          <cell r="A3788">
            <v>61973</v>
          </cell>
          <cell r="B3788">
            <v>3782</v>
          </cell>
          <cell r="C3788" t="str">
            <v>IASWD2410000492</v>
          </cell>
          <cell r="D3788">
            <v>45588</v>
          </cell>
          <cell r="E3788">
            <v>46675</v>
          </cell>
          <cell r="F3788" t="str">
            <v>61973</v>
          </cell>
          <cell r="G3788" t="str">
            <v>佳必琪三</v>
          </cell>
          <cell r="H3788">
            <v>200000</v>
          </cell>
          <cell r="I3788">
            <v>3.1</v>
          </cell>
          <cell r="J3788">
            <v>46675</v>
          </cell>
          <cell r="K3788">
            <v>100</v>
          </cell>
          <cell r="L3788">
            <v>46657</v>
          </cell>
          <cell r="M3788">
            <v>-3465</v>
          </cell>
          <cell r="N3788">
            <v>196535</v>
          </cell>
        </row>
        <row r="3789">
          <cell r="A3789">
            <v>811210</v>
          </cell>
          <cell r="B3789">
            <v>3783</v>
          </cell>
          <cell r="C3789" t="str">
            <v>IASWD2410000493</v>
          </cell>
          <cell r="D3789">
            <v>45588</v>
          </cell>
          <cell r="E3789">
            <v>46531</v>
          </cell>
          <cell r="F3789" t="str">
            <v>811210</v>
          </cell>
          <cell r="G3789" t="str">
            <v>至上十</v>
          </cell>
          <cell r="H3789">
            <v>100000</v>
          </cell>
          <cell r="I3789">
            <v>3.75</v>
          </cell>
          <cell r="J3789">
            <v>46531</v>
          </cell>
          <cell r="K3789">
            <v>100</v>
          </cell>
          <cell r="L3789">
            <v>46511</v>
          </cell>
          <cell r="M3789">
            <v>-2096</v>
          </cell>
          <cell r="N3789">
            <v>97904</v>
          </cell>
        </row>
        <row r="3790">
          <cell r="A3790">
            <v>67531</v>
          </cell>
          <cell r="B3790">
            <v>3784</v>
          </cell>
          <cell r="C3790" t="str">
            <v>IASWD2410000494</v>
          </cell>
          <cell r="D3790">
            <v>45588</v>
          </cell>
          <cell r="E3790">
            <v>46563</v>
          </cell>
          <cell r="F3790" t="str">
            <v>67531</v>
          </cell>
          <cell r="G3790" t="str">
            <v>龍德造船一</v>
          </cell>
          <cell r="H3790">
            <v>100000</v>
          </cell>
          <cell r="I3790">
            <v>3.35</v>
          </cell>
          <cell r="J3790">
            <v>46563</v>
          </cell>
          <cell r="K3790">
            <v>100</v>
          </cell>
          <cell r="L3790">
            <v>46545</v>
          </cell>
          <cell r="M3790">
            <v>-1872</v>
          </cell>
          <cell r="N3790">
            <v>98128</v>
          </cell>
        </row>
        <row r="3791">
          <cell r="A3791">
            <v>35832</v>
          </cell>
          <cell r="B3791">
            <v>3785</v>
          </cell>
          <cell r="C3791" t="str">
            <v>IASWD2410000495</v>
          </cell>
          <cell r="D3791">
            <v>45588</v>
          </cell>
          <cell r="E3791">
            <v>46192</v>
          </cell>
          <cell r="F3791" t="str">
            <v>35832</v>
          </cell>
          <cell r="G3791" t="str">
            <v>辛耘二</v>
          </cell>
          <cell r="H3791">
            <v>300000</v>
          </cell>
          <cell r="I3791">
            <v>3</v>
          </cell>
          <cell r="J3791">
            <v>46192</v>
          </cell>
          <cell r="K3791">
            <v>100</v>
          </cell>
          <cell r="L3791">
            <v>46174</v>
          </cell>
          <cell r="M3791">
            <v>-5030</v>
          </cell>
          <cell r="N3791">
            <v>294970</v>
          </cell>
        </row>
        <row r="3792">
          <cell r="A3792">
            <v>61973</v>
          </cell>
          <cell r="B3792">
            <v>3786</v>
          </cell>
          <cell r="C3792" t="str">
            <v>IASWD2410000496</v>
          </cell>
          <cell r="D3792">
            <v>45588</v>
          </cell>
          <cell r="E3792">
            <v>46675</v>
          </cell>
          <cell r="F3792" t="str">
            <v>61973</v>
          </cell>
          <cell r="G3792" t="str">
            <v>佳必琪三</v>
          </cell>
          <cell r="H3792">
            <v>100000</v>
          </cell>
          <cell r="I3792">
            <v>3.1</v>
          </cell>
          <cell r="J3792">
            <v>46675</v>
          </cell>
          <cell r="K3792">
            <v>100</v>
          </cell>
          <cell r="L3792">
            <v>46657</v>
          </cell>
          <cell r="M3792">
            <v>-1733</v>
          </cell>
          <cell r="N3792">
            <v>98267</v>
          </cell>
        </row>
        <row r="3793">
          <cell r="A3793">
            <v>61875</v>
          </cell>
          <cell r="B3793">
            <v>3787</v>
          </cell>
          <cell r="C3793" t="str">
            <v>IASWD2410000498</v>
          </cell>
          <cell r="D3793">
            <v>45588</v>
          </cell>
          <cell r="E3793">
            <v>46578</v>
          </cell>
          <cell r="F3793" t="str">
            <v>61875</v>
          </cell>
          <cell r="G3793" t="str">
            <v>萬潤五</v>
          </cell>
          <cell r="H3793">
            <v>100000</v>
          </cell>
          <cell r="I3793">
            <v>3.1</v>
          </cell>
          <cell r="J3793">
            <v>46578</v>
          </cell>
          <cell r="K3793">
            <v>100</v>
          </cell>
          <cell r="L3793">
            <v>46560</v>
          </cell>
          <cell r="M3793">
            <v>-1733</v>
          </cell>
          <cell r="N3793">
            <v>98267</v>
          </cell>
        </row>
        <row r="3794">
          <cell r="A3794">
            <v>25483</v>
          </cell>
          <cell r="B3794">
            <v>3788</v>
          </cell>
          <cell r="C3794" t="str">
            <v>IASWD2410000499</v>
          </cell>
          <cell r="D3794">
            <v>45588</v>
          </cell>
          <cell r="E3794">
            <v>46662</v>
          </cell>
          <cell r="F3794" t="str">
            <v>25483</v>
          </cell>
          <cell r="G3794" t="str">
            <v>華固三</v>
          </cell>
          <cell r="H3794">
            <v>100000</v>
          </cell>
          <cell r="I3794">
            <v>3.25</v>
          </cell>
          <cell r="J3794">
            <v>46662</v>
          </cell>
          <cell r="K3794">
            <v>100</v>
          </cell>
          <cell r="L3794">
            <v>46644</v>
          </cell>
          <cell r="M3794">
            <v>-1816</v>
          </cell>
          <cell r="N3794">
            <v>98184</v>
          </cell>
        </row>
        <row r="3795">
          <cell r="A3795">
            <v>80506</v>
          </cell>
          <cell r="B3795">
            <v>3789</v>
          </cell>
          <cell r="C3795" t="str">
            <v>IASWD2410000501</v>
          </cell>
          <cell r="D3795">
            <v>45589</v>
          </cell>
          <cell r="E3795">
            <v>45983</v>
          </cell>
          <cell r="F3795" t="str">
            <v>80506</v>
          </cell>
          <cell r="G3795" t="str">
            <v>廣積六</v>
          </cell>
          <cell r="H3795">
            <v>600000</v>
          </cell>
          <cell r="I3795">
            <v>3.25</v>
          </cell>
          <cell r="J3795">
            <v>45983</v>
          </cell>
          <cell r="K3795">
            <v>100.75</v>
          </cell>
          <cell r="L3795">
            <v>45965</v>
          </cell>
          <cell r="M3795">
            <v>-10845</v>
          </cell>
          <cell r="N3795">
            <v>589155</v>
          </cell>
        </row>
        <row r="3796">
          <cell r="A3796">
            <v>35832</v>
          </cell>
          <cell r="B3796">
            <v>3790</v>
          </cell>
          <cell r="C3796" t="str">
            <v>IASWD2410000502</v>
          </cell>
          <cell r="D3796">
            <v>45589</v>
          </cell>
          <cell r="E3796">
            <v>46192</v>
          </cell>
          <cell r="F3796" t="str">
            <v>35832</v>
          </cell>
          <cell r="G3796" t="str">
            <v>辛耘二</v>
          </cell>
          <cell r="H3796">
            <v>100000</v>
          </cell>
          <cell r="I3796">
            <v>3</v>
          </cell>
          <cell r="J3796">
            <v>46192</v>
          </cell>
          <cell r="K3796">
            <v>100</v>
          </cell>
          <cell r="L3796">
            <v>46174</v>
          </cell>
          <cell r="M3796">
            <v>-1668</v>
          </cell>
          <cell r="N3796">
            <v>98332</v>
          </cell>
        </row>
        <row r="3797">
          <cell r="A3797">
            <v>30238</v>
          </cell>
          <cell r="B3797">
            <v>3791</v>
          </cell>
          <cell r="C3797" t="str">
            <v>IASWD2410000503</v>
          </cell>
          <cell r="D3797">
            <v>45589</v>
          </cell>
          <cell r="E3797">
            <v>46003</v>
          </cell>
          <cell r="F3797" t="str">
            <v>30238</v>
          </cell>
          <cell r="G3797" t="str">
            <v>信邦八</v>
          </cell>
          <cell r="H3797">
            <v>5800000</v>
          </cell>
          <cell r="I3797">
            <v>2.6</v>
          </cell>
          <cell r="J3797">
            <v>46003</v>
          </cell>
          <cell r="K3797">
            <v>100</v>
          </cell>
          <cell r="L3797">
            <v>45985</v>
          </cell>
          <cell r="M3797">
            <v>-83870</v>
          </cell>
          <cell r="N3797">
            <v>5716130</v>
          </cell>
        </row>
        <row r="3798">
          <cell r="A3798">
            <v>50097</v>
          </cell>
          <cell r="B3798">
            <v>3792</v>
          </cell>
          <cell r="C3798" t="str">
            <v>IASWD2410000504</v>
          </cell>
          <cell r="D3798">
            <v>45589</v>
          </cell>
          <cell r="E3798">
            <v>46234</v>
          </cell>
          <cell r="F3798" t="str">
            <v>50097</v>
          </cell>
          <cell r="G3798" t="str">
            <v>榮剛七</v>
          </cell>
          <cell r="H3798">
            <v>100000</v>
          </cell>
          <cell r="I3798">
            <v>4.0999999999999996</v>
          </cell>
          <cell r="J3798">
            <v>46234</v>
          </cell>
          <cell r="K3798">
            <v>101.51</v>
          </cell>
          <cell r="L3798">
            <v>46216</v>
          </cell>
          <cell r="M3798">
            <v>-2280</v>
          </cell>
          <cell r="N3798">
            <v>97720</v>
          </cell>
        </row>
        <row r="3799">
          <cell r="A3799">
            <v>30238</v>
          </cell>
          <cell r="B3799">
            <v>3793</v>
          </cell>
          <cell r="C3799" t="str">
            <v>IASWD2410000505</v>
          </cell>
          <cell r="D3799">
            <v>45589</v>
          </cell>
          <cell r="E3799">
            <v>46003</v>
          </cell>
          <cell r="F3799" t="str">
            <v>30238</v>
          </cell>
          <cell r="G3799" t="str">
            <v>信邦八</v>
          </cell>
          <cell r="H3799">
            <v>100000</v>
          </cell>
          <cell r="I3799">
            <v>2.6</v>
          </cell>
          <cell r="J3799">
            <v>46003</v>
          </cell>
          <cell r="K3799">
            <v>100</v>
          </cell>
          <cell r="L3799">
            <v>45985</v>
          </cell>
          <cell r="M3799">
            <v>-1446</v>
          </cell>
          <cell r="N3799">
            <v>98554</v>
          </cell>
        </row>
        <row r="3800">
          <cell r="A3800">
            <v>25483</v>
          </cell>
          <cell r="B3800">
            <v>3794</v>
          </cell>
          <cell r="C3800" t="str">
            <v>IASWD2410000506</v>
          </cell>
          <cell r="D3800">
            <v>45589</v>
          </cell>
          <cell r="E3800">
            <v>46662</v>
          </cell>
          <cell r="F3800" t="str">
            <v>25483</v>
          </cell>
          <cell r="G3800" t="str">
            <v>華固三</v>
          </cell>
          <cell r="H3800">
            <v>200000</v>
          </cell>
          <cell r="I3800">
            <v>3.25</v>
          </cell>
          <cell r="J3800">
            <v>46662</v>
          </cell>
          <cell r="K3800">
            <v>100</v>
          </cell>
          <cell r="L3800">
            <v>46644</v>
          </cell>
          <cell r="M3800">
            <v>-3615</v>
          </cell>
          <cell r="N3800">
            <v>196385</v>
          </cell>
        </row>
        <row r="3801">
          <cell r="A3801">
            <v>53064</v>
          </cell>
          <cell r="B3801">
            <v>3795</v>
          </cell>
          <cell r="C3801" t="str">
            <v>IASWD2410000507</v>
          </cell>
          <cell r="D3801">
            <v>45589</v>
          </cell>
          <cell r="E3801">
            <v>46334</v>
          </cell>
          <cell r="F3801" t="str">
            <v>53064</v>
          </cell>
          <cell r="G3801" t="str">
            <v>桂盟四</v>
          </cell>
          <cell r="H3801">
            <v>600000</v>
          </cell>
          <cell r="I3801">
            <v>2.2999999999999998</v>
          </cell>
          <cell r="J3801">
            <v>46334</v>
          </cell>
          <cell r="K3801">
            <v>100</v>
          </cell>
          <cell r="L3801">
            <v>46315</v>
          </cell>
          <cell r="M3801">
            <v>-7675</v>
          </cell>
          <cell r="N3801">
            <v>592325</v>
          </cell>
        </row>
        <row r="3802">
          <cell r="A3802">
            <v>50097</v>
          </cell>
          <cell r="B3802">
            <v>3796</v>
          </cell>
          <cell r="C3802" t="str">
            <v>IASWD2410000508</v>
          </cell>
          <cell r="D3802">
            <v>45589</v>
          </cell>
          <cell r="E3802">
            <v>46234</v>
          </cell>
          <cell r="F3802" t="str">
            <v>50097</v>
          </cell>
          <cell r="G3802" t="str">
            <v>榮剛七</v>
          </cell>
          <cell r="H3802">
            <v>100000</v>
          </cell>
          <cell r="I3802">
            <v>4.0999999999999996</v>
          </cell>
          <cell r="J3802">
            <v>46234</v>
          </cell>
          <cell r="K3802">
            <v>101.51</v>
          </cell>
          <cell r="L3802">
            <v>46216</v>
          </cell>
          <cell r="M3802">
            <v>-2280</v>
          </cell>
          <cell r="N3802">
            <v>97720</v>
          </cell>
        </row>
        <row r="3803">
          <cell r="A3803">
            <v>15364</v>
          </cell>
          <cell r="B3803">
            <v>3797</v>
          </cell>
          <cell r="C3803" t="str">
            <v>IASWD2410000509</v>
          </cell>
          <cell r="D3803">
            <v>45589</v>
          </cell>
          <cell r="E3803">
            <v>46246</v>
          </cell>
          <cell r="F3803" t="str">
            <v>15364</v>
          </cell>
          <cell r="G3803" t="str">
            <v>和大四</v>
          </cell>
          <cell r="H3803">
            <v>1000000</v>
          </cell>
          <cell r="I3803">
            <v>4</v>
          </cell>
          <cell r="J3803">
            <v>46246</v>
          </cell>
          <cell r="K3803">
            <v>100</v>
          </cell>
          <cell r="L3803">
            <v>46226</v>
          </cell>
          <cell r="M3803">
            <v>-22247</v>
          </cell>
          <cell r="N3803">
            <v>977753</v>
          </cell>
        </row>
        <row r="3804">
          <cell r="A3804">
            <v>50097</v>
          </cell>
          <cell r="B3804">
            <v>3798</v>
          </cell>
          <cell r="C3804" t="str">
            <v>IASWD2410000510</v>
          </cell>
          <cell r="D3804">
            <v>45589</v>
          </cell>
          <cell r="E3804">
            <v>46234</v>
          </cell>
          <cell r="F3804" t="str">
            <v>50097</v>
          </cell>
          <cell r="G3804" t="str">
            <v>榮剛七</v>
          </cell>
          <cell r="H3804">
            <v>400000</v>
          </cell>
          <cell r="I3804">
            <v>4.0999999999999996</v>
          </cell>
          <cell r="J3804">
            <v>46234</v>
          </cell>
          <cell r="K3804">
            <v>101.51</v>
          </cell>
          <cell r="L3804">
            <v>46216</v>
          </cell>
          <cell r="M3804">
            <v>-9121</v>
          </cell>
          <cell r="N3804">
            <v>390879</v>
          </cell>
        </row>
        <row r="3805">
          <cell r="A3805">
            <v>67531</v>
          </cell>
          <cell r="B3805">
            <v>3799</v>
          </cell>
          <cell r="C3805" t="str">
            <v>IASWD2410000511</v>
          </cell>
          <cell r="D3805">
            <v>45589</v>
          </cell>
          <cell r="E3805">
            <v>46563</v>
          </cell>
          <cell r="F3805" t="str">
            <v>67531</v>
          </cell>
          <cell r="G3805" t="str">
            <v>龍德造船一</v>
          </cell>
          <cell r="H3805">
            <v>100000</v>
          </cell>
          <cell r="I3805">
            <v>3.35</v>
          </cell>
          <cell r="J3805">
            <v>46563</v>
          </cell>
          <cell r="K3805">
            <v>100</v>
          </cell>
          <cell r="L3805">
            <v>46545</v>
          </cell>
          <cell r="M3805">
            <v>-1863</v>
          </cell>
          <cell r="N3805">
            <v>98137</v>
          </cell>
        </row>
        <row r="3806">
          <cell r="A3806">
            <v>15364</v>
          </cell>
          <cell r="B3806">
            <v>3800</v>
          </cell>
          <cell r="C3806" t="str">
            <v>IASWD2410000512</v>
          </cell>
          <cell r="D3806">
            <v>45589</v>
          </cell>
          <cell r="E3806">
            <v>46246</v>
          </cell>
          <cell r="F3806" t="str">
            <v>15364</v>
          </cell>
          <cell r="G3806" t="str">
            <v>和大四</v>
          </cell>
          <cell r="H3806">
            <v>100000</v>
          </cell>
          <cell r="I3806">
            <v>4</v>
          </cell>
          <cell r="J3806">
            <v>46246</v>
          </cell>
          <cell r="K3806">
            <v>100</v>
          </cell>
          <cell r="L3806">
            <v>46226</v>
          </cell>
          <cell r="M3806">
            <v>-2225</v>
          </cell>
          <cell r="N3806">
            <v>97775</v>
          </cell>
        </row>
        <row r="3807">
          <cell r="A3807">
            <v>25483</v>
          </cell>
          <cell r="B3807">
            <v>3801</v>
          </cell>
          <cell r="C3807" t="str">
            <v>IASWD2410000513</v>
          </cell>
          <cell r="D3807">
            <v>45589</v>
          </cell>
          <cell r="E3807">
            <v>46662</v>
          </cell>
          <cell r="F3807" t="str">
            <v>25483</v>
          </cell>
          <cell r="G3807" t="str">
            <v>華固三</v>
          </cell>
          <cell r="H3807">
            <v>100000</v>
          </cell>
          <cell r="I3807">
            <v>3.25</v>
          </cell>
          <cell r="J3807">
            <v>46662</v>
          </cell>
          <cell r="K3807">
            <v>100</v>
          </cell>
          <cell r="L3807">
            <v>46644</v>
          </cell>
          <cell r="M3807">
            <v>-1808</v>
          </cell>
          <cell r="N3807">
            <v>98192</v>
          </cell>
        </row>
        <row r="3808">
          <cell r="A3808">
            <v>36894</v>
          </cell>
          <cell r="B3808">
            <v>3802</v>
          </cell>
          <cell r="C3808" t="str">
            <v>IASWD2410000514</v>
          </cell>
          <cell r="D3808">
            <v>45589</v>
          </cell>
          <cell r="E3808">
            <v>46086</v>
          </cell>
          <cell r="F3808" t="str">
            <v>36894</v>
          </cell>
          <cell r="G3808" t="str">
            <v>湧德四</v>
          </cell>
          <cell r="H3808">
            <v>100000</v>
          </cell>
          <cell r="I3808">
            <v>3.25</v>
          </cell>
          <cell r="J3808">
            <v>46086</v>
          </cell>
          <cell r="K3808">
            <v>100</v>
          </cell>
          <cell r="L3808">
            <v>46066</v>
          </cell>
          <cell r="M3808">
            <v>-1808</v>
          </cell>
          <cell r="N3808">
            <v>98192</v>
          </cell>
        </row>
        <row r="3809">
          <cell r="A3809">
            <v>30238</v>
          </cell>
          <cell r="B3809">
            <v>3803</v>
          </cell>
          <cell r="C3809" t="str">
            <v>IASWD2410000516</v>
          </cell>
          <cell r="D3809">
            <v>45589</v>
          </cell>
          <cell r="E3809">
            <v>46003</v>
          </cell>
          <cell r="F3809" t="str">
            <v>30238</v>
          </cell>
          <cell r="G3809" t="str">
            <v>信邦八</v>
          </cell>
          <cell r="H3809">
            <v>5500000</v>
          </cell>
          <cell r="I3809">
            <v>2.6</v>
          </cell>
          <cell r="J3809">
            <v>46003</v>
          </cell>
          <cell r="K3809">
            <v>100</v>
          </cell>
          <cell r="L3809">
            <v>45985</v>
          </cell>
          <cell r="M3809">
            <v>-79532</v>
          </cell>
          <cell r="N3809">
            <v>5420468</v>
          </cell>
        </row>
        <row r="3810">
          <cell r="A3810">
            <v>30238</v>
          </cell>
          <cell r="B3810">
            <v>3804</v>
          </cell>
          <cell r="C3810" t="str">
            <v>IASWD2410000517</v>
          </cell>
          <cell r="D3810">
            <v>45589</v>
          </cell>
          <cell r="E3810">
            <v>46003</v>
          </cell>
          <cell r="F3810" t="str">
            <v>30238</v>
          </cell>
          <cell r="G3810" t="str">
            <v>信邦八</v>
          </cell>
          <cell r="H3810">
            <v>1000000</v>
          </cell>
          <cell r="I3810">
            <v>2.6</v>
          </cell>
          <cell r="J3810">
            <v>46003</v>
          </cell>
          <cell r="K3810">
            <v>100</v>
          </cell>
          <cell r="L3810">
            <v>45985</v>
          </cell>
          <cell r="M3810">
            <v>-14460</v>
          </cell>
          <cell r="N3810">
            <v>985540</v>
          </cell>
        </row>
        <row r="3811">
          <cell r="A3811">
            <v>25483</v>
          </cell>
          <cell r="B3811">
            <v>3805</v>
          </cell>
          <cell r="C3811" t="str">
            <v>IASWD2410000518</v>
          </cell>
          <cell r="D3811">
            <v>45589</v>
          </cell>
          <cell r="E3811">
            <v>46662</v>
          </cell>
          <cell r="F3811" t="str">
            <v>25483</v>
          </cell>
          <cell r="G3811" t="str">
            <v>華固三</v>
          </cell>
          <cell r="H3811">
            <v>100000</v>
          </cell>
          <cell r="I3811">
            <v>3.25</v>
          </cell>
          <cell r="J3811">
            <v>46662</v>
          </cell>
          <cell r="K3811">
            <v>100</v>
          </cell>
          <cell r="L3811">
            <v>46644</v>
          </cell>
          <cell r="M3811">
            <v>-1808</v>
          </cell>
          <cell r="N3811">
            <v>98192</v>
          </cell>
        </row>
        <row r="3812">
          <cell r="A3812">
            <v>82551</v>
          </cell>
          <cell r="B3812">
            <v>3806</v>
          </cell>
          <cell r="C3812" t="str">
            <v>IASWD2410000520</v>
          </cell>
          <cell r="D3812">
            <v>45589</v>
          </cell>
          <cell r="E3812">
            <v>46243</v>
          </cell>
          <cell r="F3812" t="str">
            <v>82551</v>
          </cell>
          <cell r="G3812" t="str">
            <v>朋程一</v>
          </cell>
          <cell r="H3812">
            <v>100000</v>
          </cell>
          <cell r="I3812">
            <v>2.6</v>
          </cell>
          <cell r="J3812">
            <v>46243</v>
          </cell>
          <cell r="K3812">
            <v>100</v>
          </cell>
          <cell r="L3812">
            <v>46224</v>
          </cell>
          <cell r="M3812">
            <v>-1446</v>
          </cell>
          <cell r="N3812">
            <v>98554</v>
          </cell>
        </row>
        <row r="3813">
          <cell r="A3813">
            <v>84781</v>
          </cell>
          <cell r="B3813">
            <v>3807</v>
          </cell>
          <cell r="C3813" t="str">
            <v>IASWD2410000521</v>
          </cell>
          <cell r="D3813">
            <v>45589</v>
          </cell>
          <cell r="E3813">
            <v>46583</v>
          </cell>
          <cell r="F3813" t="str">
            <v>84781</v>
          </cell>
          <cell r="G3813" t="str">
            <v>東哥遊艇一</v>
          </cell>
          <cell r="H3813">
            <v>100000</v>
          </cell>
          <cell r="I3813">
            <v>3.1</v>
          </cell>
          <cell r="J3813">
            <v>46583</v>
          </cell>
          <cell r="K3813">
            <v>100</v>
          </cell>
          <cell r="L3813">
            <v>46563</v>
          </cell>
          <cell r="M3813">
            <v>-1724</v>
          </cell>
          <cell r="N3813">
            <v>98276</v>
          </cell>
        </row>
        <row r="3814">
          <cell r="A3814">
            <v>84781</v>
          </cell>
          <cell r="B3814">
            <v>3808</v>
          </cell>
          <cell r="C3814" t="str">
            <v>IASWD2410000522</v>
          </cell>
          <cell r="D3814">
            <v>45589</v>
          </cell>
          <cell r="E3814">
            <v>46583</v>
          </cell>
          <cell r="F3814" t="str">
            <v>84781</v>
          </cell>
          <cell r="G3814" t="str">
            <v>東哥遊艇一</v>
          </cell>
          <cell r="H3814">
            <v>100000</v>
          </cell>
          <cell r="I3814">
            <v>3.1</v>
          </cell>
          <cell r="J3814">
            <v>46583</v>
          </cell>
          <cell r="K3814">
            <v>100</v>
          </cell>
          <cell r="L3814">
            <v>46563</v>
          </cell>
          <cell r="M3814">
            <v>-1724</v>
          </cell>
          <cell r="N3814">
            <v>98276</v>
          </cell>
        </row>
        <row r="3815">
          <cell r="A3815">
            <v>50097</v>
          </cell>
          <cell r="B3815">
            <v>3809</v>
          </cell>
          <cell r="C3815" t="str">
            <v>IASWD2410000523</v>
          </cell>
          <cell r="D3815">
            <v>45589</v>
          </cell>
          <cell r="E3815">
            <v>46234</v>
          </cell>
          <cell r="F3815" t="str">
            <v>50097</v>
          </cell>
          <cell r="G3815" t="str">
            <v>榮剛七</v>
          </cell>
          <cell r="H3815">
            <v>100000</v>
          </cell>
          <cell r="I3815">
            <v>4.0999999999999996</v>
          </cell>
          <cell r="J3815">
            <v>46234</v>
          </cell>
          <cell r="K3815">
            <v>101.51</v>
          </cell>
          <cell r="L3815">
            <v>46216</v>
          </cell>
          <cell r="M3815">
            <v>-2280</v>
          </cell>
          <cell r="N3815">
            <v>97720</v>
          </cell>
        </row>
        <row r="3816">
          <cell r="A3816">
            <v>811210</v>
          </cell>
          <cell r="B3816">
            <v>3810</v>
          </cell>
          <cell r="C3816" t="str">
            <v>IASWD2410000524</v>
          </cell>
          <cell r="D3816">
            <v>45589</v>
          </cell>
          <cell r="E3816">
            <v>46531</v>
          </cell>
          <cell r="F3816" t="str">
            <v>811210</v>
          </cell>
          <cell r="G3816" t="str">
            <v>至上十</v>
          </cell>
          <cell r="H3816">
            <v>100000</v>
          </cell>
          <cell r="I3816">
            <v>3.75</v>
          </cell>
          <cell r="J3816">
            <v>46531</v>
          </cell>
          <cell r="K3816">
            <v>100</v>
          </cell>
          <cell r="L3816">
            <v>46511</v>
          </cell>
          <cell r="M3816">
            <v>-2086</v>
          </cell>
          <cell r="N3816">
            <v>97914</v>
          </cell>
        </row>
        <row r="3817">
          <cell r="A3817">
            <v>64145</v>
          </cell>
          <cell r="B3817">
            <v>3811</v>
          </cell>
          <cell r="C3817" t="str">
            <v>IASWD2410000525</v>
          </cell>
          <cell r="D3817">
            <v>45589</v>
          </cell>
          <cell r="E3817">
            <v>46250</v>
          </cell>
          <cell r="F3817" t="str">
            <v>64145</v>
          </cell>
          <cell r="G3817" t="str">
            <v>樺漢五</v>
          </cell>
          <cell r="H3817">
            <v>100000</v>
          </cell>
          <cell r="I3817">
            <v>3</v>
          </cell>
          <cell r="J3817">
            <v>46250</v>
          </cell>
          <cell r="K3817">
            <v>100</v>
          </cell>
          <cell r="L3817">
            <v>46231</v>
          </cell>
          <cell r="M3817">
            <v>-1668</v>
          </cell>
          <cell r="N3817">
            <v>98332</v>
          </cell>
        </row>
        <row r="3818">
          <cell r="A3818">
            <v>25483</v>
          </cell>
          <cell r="B3818">
            <v>3812</v>
          </cell>
          <cell r="C3818" t="str">
            <v>IASWD2410000526</v>
          </cell>
          <cell r="D3818">
            <v>45589</v>
          </cell>
          <cell r="E3818">
            <v>46662</v>
          </cell>
          <cell r="F3818" t="str">
            <v>25483</v>
          </cell>
          <cell r="G3818" t="str">
            <v>華固三</v>
          </cell>
          <cell r="H3818">
            <v>200000</v>
          </cell>
          <cell r="I3818">
            <v>3.25</v>
          </cell>
          <cell r="J3818">
            <v>46662</v>
          </cell>
          <cell r="K3818">
            <v>100</v>
          </cell>
          <cell r="L3818">
            <v>46644</v>
          </cell>
          <cell r="M3818">
            <v>-3615</v>
          </cell>
          <cell r="N3818">
            <v>196385</v>
          </cell>
        </row>
        <row r="3819">
          <cell r="A3819">
            <v>35832</v>
          </cell>
          <cell r="B3819">
            <v>3813</v>
          </cell>
          <cell r="C3819" t="str">
            <v>IASWD2410000527</v>
          </cell>
          <cell r="D3819">
            <v>45590</v>
          </cell>
          <cell r="E3819">
            <v>46192</v>
          </cell>
          <cell r="F3819" t="str">
            <v>35832</v>
          </cell>
          <cell r="G3819" t="str">
            <v>辛耘二</v>
          </cell>
          <cell r="H3819">
            <v>300000</v>
          </cell>
          <cell r="I3819">
            <v>3</v>
          </cell>
          <cell r="J3819">
            <v>46192</v>
          </cell>
          <cell r="K3819">
            <v>100</v>
          </cell>
          <cell r="L3819">
            <v>46174</v>
          </cell>
          <cell r="M3819">
            <v>-4981</v>
          </cell>
          <cell r="N3819">
            <v>295019</v>
          </cell>
        </row>
        <row r="3820">
          <cell r="A3820">
            <v>35832</v>
          </cell>
          <cell r="B3820">
            <v>3814</v>
          </cell>
          <cell r="C3820" t="str">
            <v>IASWD2410000528</v>
          </cell>
          <cell r="D3820">
            <v>45590</v>
          </cell>
          <cell r="E3820">
            <v>46192</v>
          </cell>
          <cell r="F3820" t="str">
            <v>35832</v>
          </cell>
          <cell r="G3820" t="str">
            <v>辛耘二</v>
          </cell>
          <cell r="H3820">
            <v>200000</v>
          </cell>
          <cell r="I3820">
            <v>3</v>
          </cell>
          <cell r="J3820">
            <v>46192</v>
          </cell>
          <cell r="K3820">
            <v>100</v>
          </cell>
          <cell r="L3820">
            <v>46174</v>
          </cell>
          <cell r="M3820">
            <v>-3321</v>
          </cell>
          <cell r="N3820">
            <v>196679</v>
          </cell>
        </row>
        <row r="3821">
          <cell r="A3821">
            <v>140202</v>
          </cell>
          <cell r="B3821">
            <v>3815</v>
          </cell>
          <cell r="C3821" t="str">
            <v>IASWD2410000529</v>
          </cell>
          <cell r="D3821">
            <v>45590</v>
          </cell>
          <cell r="E3821">
            <v>46607</v>
          </cell>
          <cell r="F3821" t="str">
            <v>140202</v>
          </cell>
          <cell r="G3821" t="str">
            <v>遠東新E2永</v>
          </cell>
          <cell r="H3821">
            <v>100000</v>
          </cell>
          <cell r="I3821">
            <v>2.7</v>
          </cell>
          <cell r="J3821">
            <v>46607</v>
          </cell>
          <cell r="K3821">
            <v>100</v>
          </cell>
          <cell r="L3821">
            <v>46588</v>
          </cell>
          <cell r="M3821">
            <v>-1494</v>
          </cell>
          <cell r="N3821">
            <v>98506</v>
          </cell>
        </row>
        <row r="3822">
          <cell r="A3822">
            <v>35266</v>
          </cell>
          <cell r="B3822">
            <v>3816</v>
          </cell>
          <cell r="C3822" t="str">
            <v>IASWD2410000530</v>
          </cell>
          <cell r="D3822">
            <v>45590</v>
          </cell>
          <cell r="E3822">
            <v>46416</v>
          </cell>
          <cell r="F3822" t="str">
            <v>35266</v>
          </cell>
          <cell r="G3822" t="str">
            <v>凡甲六</v>
          </cell>
          <cell r="H3822">
            <v>100000</v>
          </cell>
          <cell r="I3822">
            <v>3.25</v>
          </cell>
          <cell r="J3822">
            <v>46416</v>
          </cell>
          <cell r="K3822">
            <v>100</v>
          </cell>
          <cell r="L3822">
            <v>46398</v>
          </cell>
          <cell r="M3822">
            <v>-1799</v>
          </cell>
          <cell r="N3822">
            <v>98201</v>
          </cell>
        </row>
        <row r="3823">
          <cell r="A3823">
            <v>53064</v>
          </cell>
          <cell r="B3823">
            <v>3817</v>
          </cell>
          <cell r="C3823" t="str">
            <v>IASWD2410000531</v>
          </cell>
          <cell r="D3823">
            <v>45590</v>
          </cell>
          <cell r="E3823">
            <v>46334</v>
          </cell>
          <cell r="F3823" t="str">
            <v>53064</v>
          </cell>
          <cell r="G3823" t="str">
            <v>桂盟四</v>
          </cell>
          <cell r="H3823">
            <v>100000</v>
          </cell>
          <cell r="I3823">
            <v>2.2999999999999998</v>
          </cell>
          <cell r="J3823">
            <v>46334</v>
          </cell>
          <cell r="K3823">
            <v>100</v>
          </cell>
          <cell r="L3823">
            <v>46315</v>
          </cell>
          <cell r="M3823">
            <v>-1273</v>
          </cell>
          <cell r="N3823">
            <v>98727</v>
          </cell>
        </row>
        <row r="3824">
          <cell r="A3824">
            <v>67531</v>
          </cell>
          <cell r="B3824">
            <v>3818</v>
          </cell>
          <cell r="C3824" t="str">
            <v>IASWD2410000532</v>
          </cell>
          <cell r="D3824">
            <v>45590</v>
          </cell>
          <cell r="E3824">
            <v>46563</v>
          </cell>
          <cell r="F3824" t="str">
            <v>67531</v>
          </cell>
          <cell r="G3824" t="str">
            <v>龍德造船一</v>
          </cell>
          <cell r="H3824">
            <v>100000</v>
          </cell>
          <cell r="I3824">
            <v>3.35</v>
          </cell>
          <cell r="J3824">
            <v>46563</v>
          </cell>
          <cell r="K3824">
            <v>100</v>
          </cell>
          <cell r="L3824">
            <v>46545</v>
          </cell>
          <cell r="M3824">
            <v>-1854</v>
          </cell>
          <cell r="N3824">
            <v>98146</v>
          </cell>
        </row>
        <row r="3825">
          <cell r="A3825">
            <v>80506</v>
          </cell>
          <cell r="B3825">
            <v>3819</v>
          </cell>
          <cell r="C3825" t="str">
            <v>IASWD2410000533</v>
          </cell>
          <cell r="D3825">
            <v>45590</v>
          </cell>
          <cell r="E3825">
            <v>45983</v>
          </cell>
          <cell r="F3825" t="str">
            <v>80506</v>
          </cell>
          <cell r="G3825" t="str">
            <v>廣積六</v>
          </cell>
          <cell r="H3825">
            <v>100000</v>
          </cell>
          <cell r="I3825">
            <v>3.25</v>
          </cell>
          <cell r="J3825">
            <v>45983</v>
          </cell>
          <cell r="K3825">
            <v>100.75</v>
          </cell>
          <cell r="L3825">
            <v>45965</v>
          </cell>
          <cell r="M3825">
            <v>-1799</v>
          </cell>
          <cell r="N3825">
            <v>98201</v>
          </cell>
        </row>
        <row r="3826">
          <cell r="A3826">
            <v>16095</v>
          </cell>
          <cell r="B3826">
            <v>3820</v>
          </cell>
          <cell r="C3826" t="str">
            <v>IASWD2410000534</v>
          </cell>
          <cell r="D3826">
            <v>45590</v>
          </cell>
          <cell r="E3826">
            <v>46660</v>
          </cell>
          <cell r="F3826" t="str">
            <v>16095</v>
          </cell>
          <cell r="G3826" t="str">
            <v>大亞五</v>
          </cell>
          <cell r="H3826">
            <v>100000</v>
          </cell>
          <cell r="I3826">
            <v>3</v>
          </cell>
          <cell r="J3826">
            <v>46660</v>
          </cell>
          <cell r="K3826">
            <v>100.75</v>
          </cell>
          <cell r="L3826">
            <v>46640</v>
          </cell>
          <cell r="M3826">
            <v>-1660</v>
          </cell>
          <cell r="N3826">
            <v>98340</v>
          </cell>
        </row>
        <row r="3827">
          <cell r="A3827">
            <v>35832</v>
          </cell>
          <cell r="B3827">
            <v>3821</v>
          </cell>
          <cell r="C3827" t="str">
            <v>IASWD2410000535</v>
          </cell>
          <cell r="D3827">
            <v>45590</v>
          </cell>
          <cell r="E3827">
            <v>46192</v>
          </cell>
          <cell r="F3827" t="str">
            <v>35832</v>
          </cell>
          <cell r="G3827" t="str">
            <v>辛耘二</v>
          </cell>
          <cell r="H3827">
            <v>400000</v>
          </cell>
          <cell r="I3827">
            <v>3</v>
          </cell>
          <cell r="J3827">
            <v>46192</v>
          </cell>
          <cell r="K3827">
            <v>100</v>
          </cell>
          <cell r="L3827">
            <v>46174</v>
          </cell>
          <cell r="M3827">
            <v>-6641</v>
          </cell>
          <cell r="N3827">
            <v>393359</v>
          </cell>
        </row>
        <row r="3828">
          <cell r="A3828">
            <v>35832</v>
          </cell>
          <cell r="B3828">
            <v>3822</v>
          </cell>
          <cell r="C3828" t="str">
            <v>IASWD2410000536</v>
          </cell>
          <cell r="D3828">
            <v>45590</v>
          </cell>
          <cell r="E3828">
            <v>46192</v>
          </cell>
          <cell r="F3828" t="str">
            <v>35832</v>
          </cell>
          <cell r="G3828" t="str">
            <v>辛耘二</v>
          </cell>
          <cell r="H3828">
            <v>100000</v>
          </cell>
          <cell r="I3828">
            <v>3</v>
          </cell>
          <cell r="J3828">
            <v>46192</v>
          </cell>
          <cell r="K3828">
            <v>100</v>
          </cell>
          <cell r="L3828">
            <v>46174</v>
          </cell>
          <cell r="M3828">
            <v>-1660</v>
          </cell>
          <cell r="N3828">
            <v>98340</v>
          </cell>
        </row>
        <row r="3829">
          <cell r="A3829">
            <v>84781</v>
          </cell>
          <cell r="B3829">
            <v>3823</v>
          </cell>
          <cell r="C3829" t="str">
            <v>IASWD2410000537</v>
          </cell>
          <cell r="D3829">
            <v>45590</v>
          </cell>
          <cell r="E3829">
            <v>46583</v>
          </cell>
          <cell r="F3829" t="str">
            <v>84781</v>
          </cell>
          <cell r="G3829" t="str">
            <v>東哥遊艇一</v>
          </cell>
          <cell r="H3829">
            <v>200000</v>
          </cell>
          <cell r="I3829">
            <v>3.1</v>
          </cell>
          <cell r="J3829">
            <v>46583</v>
          </cell>
          <cell r="K3829">
            <v>100</v>
          </cell>
          <cell r="L3829">
            <v>46563</v>
          </cell>
          <cell r="M3829">
            <v>-3431</v>
          </cell>
          <cell r="N3829">
            <v>196569</v>
          </cell>
        </row>
        <row r="3830">
          <cell r="A3830">
            <v>35832</v>
          </cell>
          <cell r="B3830">
            <v>3824</v>
          </cell>
          <cell r="C3830" t="str">
            <v>IASWD2410000538</v>
          </cell>
          <cell r="D3830">
            <v>45590</v>
          </cell>
          <cell r="E3830">
            <v>46192</v>
          </cell>
          <cell r="F3830" t="str">
            <v>35832</v>
          </cell>
          <cell r="G3830" t="str">
            <v>辛耘二</v>
          </cell>
          <cell r="H3830">
            <v>100000</v>
          </cell>
          <cell r="I3830">
            <v>3</v>
          </cell>
          <cell r="J3830">
            <v>46192</v>
          </cell>
          <cell r="K3830">
            <v>100</v>
          </cell>
          <cell r="L3830">
            <v>46174</v>
          </cell>
          <cell r="M3830">
            <v>-1660</v>
          </cell>
          <cell r="N3830">
            <v>98340</v>
          </cell>
        </row>
        <row r="3831">
          <cell r="A3831">
            <v>25483</v>
          </cell>
          <cell r="B3831">
            <v>3825</v>
          </cell>
          <cell r="C3831" t="str">
            <v>IASWD2410000539</v>
          </cell>
          <cell r="D3831">
            <v>45590</v>
          </cell>
          <cell r="E3831">
            <v>46662</v>
          </cell>
          <cell r="F3831" t="str">
            <v>25483</v>
          </cell>
          <cell r="G3831" t="str">
            <v>華固三</v>
          </cell>
          <cell r="H3831">
            <v>100000</v>
          </cell>
          <cell r="I3831">
            <v>3.25</v>
          </cell>
          <cell r="J3831">
            <v>46662</v>
          </cell>
          <cell r="K3831">
            <v>100</v>
          </cell>
          <cell r="L3831">
            <v>46644</v>
          </cell>
          <cell r="M3831">
            <v>-1799</v>
          </cell>
          <cell r="N3831">
            <v>98201</v>
          </cell>
        </row>
        <row r="3832">
          <cell r="A3832">
            <v>34843</v>
          </cell>
          <cell r="B3832">
            <v>3826</v>
          </cell>
          <cell r="C3832" t="str">
            <v>IASWD2410000540</v>
          </cell>
          <cell r="D3832">
            <v>45590</v>
          </cell>
          <cell r="E3832">
            <v>46136</v>
          </cell>
          <cell r="F3832" t="str">
            <v>34843</v>
          </cell>
          <cell r="G3832" t="str">
            <v>崧騰三</v>
          </cell>
          <cell r="H3832">
            <v>400000</v>
          </cell>
          <cell r="I3832">
            <v>3.5</v>
          </cell>
          <cell r="J3832">
            <v>46136</v>
          </cell>
          <cell r="K3832">
            <v>100.75</v>
          </cell>
          <cell r="L3832">
            <v>46118</v>
          </cell>
          <cell r="M3832">
            <v>-7748</v>
          </cell>
          <cell r="N3832">
            <v>392252</v>
          </cell>
        </row>
        <row r="3833">
          <cell r="A3833">
            <v>15364</v>
          </cell>
          <cell r="B3833">
            <v>3827</v>
          </cell>
          <cell r="C3833" t="str">
            <v>IASWD2410000541</v>
          </cell>
          <cell r="D3833">
            <v>45590</v>
          </cell>
          <cell r="E3833">
            <v>46246</v>
          </cell>
          <cell r="F3833" t="str">
            <v>15364</v>
          </cell>
          <cell r="G3833" t="str">
            <v>和大四</v>
          </cell>
          <cell r="H3833">
            <v>200000</v>
          </cell>
          <cell r="I3833">
            <v>4</v>
          </cell>
          <cell r="J3833">
            <v>46246</v>
          </cell>
          <cell r="K3833">
            <v>100</v>
          </cell>
          <cell r="L3833">
            <v>46226</v>
          </cell>
          <cell r="M3833">
            <v>-4427</v>
          </cell>
          <cell r="N3833">
            <v>195573</v>
          </cell>
        </row>
        <row r="3834">
          <cell r="A3834">
            <v>25483</v>
          </cell>
          <cell r="B3834">
            <v>3828</v>
          </cell>
          <cell r="C3834" t="str">
            <v>IASWD2410000542</v>
          </cell>
          <cell r="D3834">
            <v>45590</v>
          </cell>
          <cell r="E3834">
            <v>46662</v>
          </cell>
          <cell r="F3834" t="str">
            <v>25483</v>
          </cell>
          <cell r="G3834" t="str">
            <v>華固三</v>
          </cell>
          <cell r="H3834">
            <v>1000000</v>
          </cell>
          <cell r="I3834">
            <v>3.25</v>
          </cell>
          <cell r="J3834">
            <v>46662</v>
          </cell>
          <cell r="K3834">
            <v>100</v>
          </cell>
          <cell r="L3834">
            <v>46644</v>
          </cell>
          <cell r="M3834">
            <v>-17986</v>
          </cell>
          <cell r="N3834">
            <v>982014</v>
          </cell>
        </row>
        <row r="3835">
          <cell r="A3835">
            <v>35832</v>
          </cell>
          <cell r="B3835">
            <v>3829</v>
          </cell>
          <cell r="C3835" t="str">
            <v>IASWD2410000544</v>
          </cell>
          <cell r="D3835">
            <v>45590</v>
          </cell>
          <cell r="E3835">
            <v>46192</v>
          </cell>
          <cell r="F3835" t="str">
            <v>35832</v>
          </cell>
          <cell r="G3835" t="str">
            <v>辛耘二</v>
          </cell>
          <cell r="H3835">
            <v>100000</v>
          </cell>
          <cell r="I3835">
            <v>3</v>
          </cell>
          <cell r="J3835">
            <v>46192</v>
          </cell>
          <cell r="K3835">
            <v>100</v>
          </cell>
          <cell r="L3835">
            <v>46174</v>
          </cell>
          <cell r="M3835">
            <v>-1660</v>
          </cell>
          <cell r="N3835">
            <v>98340</v>
          </cell>
        </row>
        <row r="3836">
          <cell r="A3836">
            <v>65096</v>
          </cell>
          <cell r="B3836">
            <v>3830</v>
          </cell>
          <cell r="C3836" t="str">
            <v>IASWD2410000546</v>
          </cell>
          <cell r="D3836">
            <v>45590</v>
          </cell>
          <cell r="E3836">
            <v>46206</v>
          </cell>
          <cell r="F3836" t="str">
            <v>65096</v>
          </cell>
          <cell r="G3836" t="str">
            <v>聚和六</v>
          </cell>
          <cell r="H3836">
            <v>100000</v>
          </cell>
          <cell r="I3836">
            <v>3.1</v>
          </cell>
          <cell r="J3836">
            <v>46206</v>
          </cell>
          <cell r="K3836">
            <v>100</v>
          </cell>
          <cell r="L3836">
            <v>46188</v>
          </cell>
          <cell r="M3836">
            <v>-1716</v>
          </cell>
          <cell r="N3836">
            <v>98284</v>
          </cell>
        </row>
        <row r="3837">
          <cell r="A3837">
            <v>22013</v>
          </cell>
          <cell r="B3837">
            <v>3831</v>
          </cell>
          <cell r="C3837" t="str">
            <v>IASWD2410000547</v>
          </cell>
          <cell r="D3837">
            <v>45590</v>
          </cell>
          <cell r="E3837">
            <v>46167</v>
          </cell>
          <cell r="F3837" t="str">
            <v>22013</v>
          </cell>
          <cell r="G3837" t="str">
            <v>裕隆三</v>
          </cell>
          <cell r="H3837">
            <v>500000</v>
          </cell>
          <cell r="I3837">
            <v>3.25</v>
          </cell>
          <cell r="J3837">
            <v>46167</v>
          </cell>
          <cell r="K3837">
            <v>100.75190000000001</v>
          </cell>
          <cell r="L3837">
            <v>46147</v>
          </cell>
          <cell r="M3837">
            <v>-8993</v>
          </cell>
          <cell r="N3837">
            <v>491007</v>
          </cell>
        </row>
        <row r="3838">
          <cell r="A3838">
            <v>25483</v>
          </cell>
          <cell r="B3838">
            <v>3832</v>
          </cell>
          <cell r="C3838" t="str">
            <v>IASWD2410000548</v>
          </cell>
          <cell r="D3838">
            <v>45590</v>
          </cell>
          <cell r="E3838">
            <v>46662</v>
          </cell>
          <cell r="F3838" t="str">
            <v>25483</v>
          </cell>
          <cell r="G3838" t="str">
            <v>華固三</v>
          </cell>
          <cell r="H3838">
            <v>100000</v>
          </cell>
          <cell r="I3838">
            <v>3.25</v>
          </cell>
          <cell r="J3838">
            <v>46662</v>
          </cell>
          <cell r="K3838">
            <v>100</v>
          </cell>
          <cell r="L3838">
            <v>46644</v>
          </cell>
          <cell r="M3838">
            <v>-1799</v>
          </cell>
          <cell r="N3838">
            <v>98201</v>
          </cell>
        </row>
        <row r="3839">
          <cell r="A3839">
            <v>35832</v>
          </cell>
          <cell r="B3839">
            <v>3833</v>
          </cell>
          <cell r="C3839" t="str">
            <v>IASWD2410000549</v>
          </cell>
          <cell r="D3839">
            <v>45590</v>
          </cell>
          <cell r="E3839">
            <v>46192</v>
          </cell>
          <cell r="F3839" t="str">
            <v>35832</v>
          </cell>
          <cell r="G3839" t="str">
            <v>辛耘二</v>
          </cell>
          <cell r="H3839">
            <v>200000</v>
          </cell>
          <cell r="I3839">
            <v>3</v>
          </cell>
          <cell r="J3839">
            <v>46192</v>
          </cell>
          <cell r="K3839">
            <v>100</v>
          </cell>
          <cell r="L3839">
            <v>46174</v>
          </cell>
          <cell r="M3839">
            <v>-3321</v>
          </cell>
          <cell r="N3839">
            <v>196679</v>
          </cell>
        </row>
        <row r="3840">
          <cell r="A3840">
            <v>53064</v>
          </cell>
          <cell r="B3840">
            <v>3834</v>
          </cell>
          <cell r="C3840" t="str">
            <v>IASWD2410000551</v>
          </cell>
          <cell r="D3840">
            <v>45590</v>
          </cell>
          <cell r="E3840">
            <v>46334</v>
          </cell>
          <cell r="F3840" t="str">
            <v>53064</v>
          </cell>
          <cell r="G3840" t="str">
            <v>桂盟四</v>
          </cell>
          <cell r="H3840">
            <v>100000</v>
          </cell>
          <cell r="I3840">
            <v>2.2999999999999998</v>
          </cell>
          <cell r="J3840">
            <v>46334</v>
          </cell>
          <cell r="K3840">
            <v>100</v>
          </cell>
          <cell r="L3840">
            <v>46315</v>
          </cell>
          <cell r="M3840">
            <v>-1273</v>
          </cell>
          <cell r="N3840">
            <v>98727</v>
          </cell>
        </row>
        <row r="3841">
          <cell r="A3841">
            <v>53064</v>
          </cell>
          <cell r="B3841">
            <v>3835</v>
          </cell>
          <cell r="C3841" t="str">
            <v>IASWD2410000552</v>
          </cell>
          <cell r="D3841">
            <v>45590</v>
          </cell>
          <cell r="E3841">
            <v>46334</v>
          </cell>
          <cell r="F3841" t="str">
            <v>53064</v>
          </cell>
          <cell r="G3841" t="str">
            <v>桂盟四</v>
          </cell>
          <cell r="H3841">
            <v>100000</v>
          </cell>
          <cell r="I3841">
            <v>2.2999999999999998</v>
          </cell>
          <cell r="J3841">
            <v>46334</v>
          </cell>
          <cell r="K3841">
            <v>100</v>
          </cell>
          <cell r="L3841">
            <v>46315</v>
          </cell>
          <cell r="M3841">
            <v>-1273</v>
          </cell>
          <cell r="N3841">
            <v>98727</v>
          </cell>
        </row>
        <row r="3842">
          <cell r="A3842">
            <v>25484</v>
          </cell>
          <cell r="B3842">
            <v>3836</v>
          </cell>
          <cell r="C3842" t="str">
            <v>IASWD2410000554</v>
          </cell>
          <cell r="D3842">
            <v>45590</v>
          </cell>
          <cell r="E3842">
            <v>46678</v>
          </cell>
          <cell r="F3842" t="str">
            <v>25484</v>
          </cell>
          <cell r="G3842" t="str">
            <v>華固四</v>
          </cell>
          <cell r="H3842">
            <v>3000000</v>
          </cell>
          <cell r="I3842">
            <v>3.25</v>
          </cell>
          <cell r="J3842">
            <v>46678</v>
          </cell>
          <cell r="K3842">
            <v>100</v>
          </cell>
          <cell r="L3842">
            <v>46658</v>
          </cell>
          <cell r="M3842">
            <v>-53959</v>
          </cell>
          <cell r="N3842">
            <v>2946041</v>
          </cell>
        </row>
        <row r="3843">
          <cell r="A3843">
            <v>25484</v>
          </cell>
          <cell r="B3843">
            <v>3837</v>
          </cell>
          <cell r="C3843" t="str">
            <v>IASWD2410000555</v>
          </cell>
          <cell r="D3843">
            <v>45590</v>
          </cell>
          <cell r="E3843">
            <v>46678</v>
          </cell>
          <cell r="F3843" t="str">
            <v>25484</v>
          </cell>
          <cell r="G3843" t="str">
            <v>華固四</v>
          </cell>
          <cell r="H3843">
            <v>100000</v>
          </cell>
          <cell r="I3843">
            <v>3.25</v>
          </cell>
          <cell r="J3843">
            <v>46678</v>
          </cell>
          <cell r="K3843">
            <v>100</v>
          </cell>
          <cell r="L3843">
            <v>46658</v>
          </cell>
          <cell r="M3843">
            <v>-1799</v>
          </cell>
          <cell r="N3843">
            <v>98201</v>
          </cell>
        </row>
        <row r="3844">
          <cell r="A3844">
            <v>20632</v>
          </cell>
          <cell r="B3844">
            <v>3838</v>
          </cell>
          <cell r="C3844" t="str">
            <v>IASWD2410000556</v>
          </cell>
          <cell r="D3844">
            <v>45590</v>
          </cell>
          <cell r="E3844">
            <v>45971</v>
          </cell>
          <cell r="F3844" t="str">
            <v>20632</v>
          </cell>
          <cell r="G3844" t="str">
            <v>世鎧二</v>
          </cell>
          <cell r="H3844">
            <v>400000</v>
          </cell>
          <cell r="I3844">
            <v>3.25</v>
          </cell>
          <cell r="J3844">
            <v>45971</v>
          </cell>
          <cell r="K3844">
            <v>100</v>
          </cell>
          <cell r="L3844">
            <v>45951</v>
          </cell>
          <cell r="M3844">
            <v>-7195</v>
          </cell>
          <cell r="N3844">
            <v>392805</v>
          </cell>
        </row>
        <row r="3845">
          <cell r="A3845">
            <v>67531</v>
          </cell>
          <cell r="B3845">
            <v>3839</v>
          </cell>
          <cell r="C3845" t="str">
            <v>IASWD2410000557</v>
          </cell>
          <cell r="D3845">
            <v>45590</v>
          </cell>
          <cell r="E3845">
            <v>46563</v>
          </cell>
          <cell r="F3845" t="str">
            <v>67531</v>
          </cell>
          <cell r="G3845" t="str">
            <v>龍德造船一</v>
          </cell>
          <cell r="H3845">
            <v>100000</v>
          </cell>
          <cell r="I3845">
            <v>3.35</v>
          </cell>
          <cell r="J3845">
            <v>46563</v>
          </cell>
          <cell r="K3845">
            <v>100</v>
          </cell>
          <cell r="L3845">
            <v>46545</v>
          </cell>
          <cell r="M3845">
            <v>-1854</v>
          </cell>
          <cell r="N3845">
            <v>98146</v>
          </cell>
        </row>
        <row r="3846">
          <cell r="A3846">
            <v>811210</v>
          </cell>
          <cell r="B3846">
            <v>3840</v>
          </cell>
          <cell r="C3846" t="str">
            <v>IASWD2410000558</v>
          </cell>
          <cell r="D3846">
            <v>45590</v>
          </cell>
          <cell r="E3846">
            <v>46531</v>
          </cell>
          <cell r="F3846" t="str">
            <v>811210</v>
          </cell>
          <cell r="G3846" t="str">
            <v>至上十</v>
          </cell>
          <cell r="H3846">
            <v>100000</v>
          </cell>
          <cell r="I3846">
            <v>3.75</v>
          </cell>
          <cell r="J3846">
            <v>46531</v>
          </cell>
          <cell r="K3846">
            <v>100</v>
          </cell>
          <cell r="L3846">
            <v>46511</v>
          </cell>
          <cell r="M3846">
            <v>-2075</v>
          </cell>
          <cell r="N3846">
            <v>97925</v>
          </cell>
        </row>
        <row r="3847">
          <cell r="A3847">
            <v>67531</v>
          </cell>
          <cell r="B3847">
            <v>3841</v>
          </cell>
          <cell r="C3847" t="str">
            <v>IASWD2410000559</v>
          </cell>
          <cell r="D3847">
            <v>45590</v>
          </cell>
          <cell r="E3847">
            <v>46563</v>
          </cell>
          <cell r="F3847" t="str">
            <v>67531</v>
          </cell>
          <cell r="G3847" t="str">
            <v>龍德造船一</v>
          </cell>
          <cell r="H3847">
            <v>100000</v>
          </cell>
          <cell r="I3847">
            <v>3.35</v>
          </cell>
          <cell r="J3847">
            <v>46563</v>
          </cell>
          <cell r="K3847">
            <v>100</v>
          </cell>
          <cell r="L3847">
            <v>46545</v>
          </cell>
          <cell r="M3847">
            <v>-1854</v>
          </cell>
          <cell r="N3847">
            <v>98146</v>
          </cell>
        </row>
        <row r="3848">
          <cell r="A3848">
            <v>811210</v>
          </cell>
          <cell r="B3848">
            <v>3842</v>
          </cell>
          <cell r="C3848" t="str">
            <v>IASWD2410000560</v>
          </cell>
          <cell r="D3848">
            <v>45590</v>
          </cell>
          <cell r="E3848">
            <v>46531</v>
          </cell>
          <cell r="F3848" t="str">
            <v>811210</v>
          </cell>
          <cell r="G3848" t="str">
            <v>至上十</v>
          </cell>
          <cell r="H3848">
            <v>200000</v>
          </cell>
          <cell r="I3848">
            <v>3.75</v>
          </cell>
          <cell r="J3848">
            <v>46531</v>
          </cell>
          <cell r="K3848">
            <v>100</v>
          </cell>
          <cell r="L3848">
            <v>46511</v>
          </cell>
          <cell r="M3848">
            <v>-4151</v>
          </cell>
          <cell r="N3848">
            <v>195849</v>
          </cell>
        </row>
        <row r="3849">
          <cell r="A3849">
            <v>25483</v>
          </cell>
          <cell r="B3849">
            <v>3843</v>
          </cell>
          <cell r="C3849" t="str">
            <v>IASWD2410000561</v>
          </cell>
          <cell r="D3849">
            <v>45590</v>
          </cell>
          <cell r="E3849">
            <v>46662</v>
          </cell>
          <cell r="F3849" t="str">
            <v>25483</v>
          </cell>
          <cell r="G3849" t="str">
            <v>華固三</v>
          </cell>
          <cell r="H3849">
            <v>5000000</v>
          </cell>
          <cell r="I3849">
            <v>3.25</v>
          </cell>
          <cell r="J3849">
            <v>46662</v>
          </cell>
          <cell r="K3849">
            <v>100</v>
          </cell>
          <cell r="L3849">
            <v>46644</v>
          </cell>
          <cell r="M3849">
            <v>-89932</v>
          </cell>
          <cell r="N3849">
            <v>4910068</v>
          </cell>
        </row>
        <row r="3850">
          <cell r="A3850">
            <v>65096</v>
          </cell>
          <cell r="B3850">
            <v>3844</v>
          </cell>
          <cell r="C3850" t="str">
            <v>IASWD2410000562</v>
          </cell>
          <cell r="D3850">
            <v>45590</v>
          </cell>
          <cell r="E3850">
            <v>46206</v>
          </cell>
          <cell r="F3850" t="str">
            <v>65096</v>
          </cell>
          <cell r="G3850" t="str">
            <v>聚和六</v>
          </cell>
          <cell r="H3850">
            <v>200000</v>
          </cell>
          <cell r="I3850">
            <v>3.1</v>
          </cell>
          <cell r="J3850">
            <v>46206</v>
          </cell>
          <cell r="K3850">
            <v>100</v>
          </cell>
          <cell r="L3850">
            <v>46188</v>
          </cell>
          <cell r="M3850">
            <v>-3431</v>
          </cell>
          <cell r="N3850">
            <v>196569</v>
          </cell>
        </row>
        <row r="3851">
          <cell r="A3851">
            <v>35832</v>
          </cell>
          <cell r="B3851">
            <v>3845</v>
          </cell>
          <cell r="C3851" t="str">
            <v>IASWD2410000563</v>
          </cell>
          <cell r="D3851">
            <v>45590</v>
          </cell>
          <cell r="E3851">
            <v>46192</v>
          </cell>
          <cell r="F3851" t="str">
            <v>35832</v>
          </cell>
          <cell r="G3851" t="str">
            <v>辛耘二</v>
          </cell>
          <cell r="H3851">
            <v>100000</v>
          </cell>
          <cell r="I3851">
            <v>3</v>
          </cell>
          <cell r="J3851">
            <v>46192</v>
          </cell>
          <cell r="K3851">
            <v>100</v>
          </cell>
          <cell r="L3851">
            <v>46174</v>
          </cell>
          <cell r="M3851">
            <v>-1660</v>
          </cell>
          <cell r="N3851">
            <v>98340</v>
          </cell>
        </row>
        <row r="3852">
          <cell r="A3852">
            <v>811210</v>
          </cell>
          <cell r="B3852">
            <v>3846</v>
          </cell>
          <cell r="C3852" t="str">
            <v>IASWD2410000564</v>
          </cell>
          <cell r="D3852">
            <v>45590</v>
          </cell>
          <cell r="E3852">
            <v>46531</v>
          </cell>
          <cell r="F3852" t="str">
            <v>811210</v>
          </cell>
          <cell r="G3852" t="str">
            <v>至上十</v>
          </cell>
          <cell r="H3852">
            <v>100000</v>
          </cell>
          <cell r="I3852">
            <v>3.75</v>
          </cell>
          <cell r="J3852">
            <v>46531</v>
          </cell>
          <cell r="K3852">
            <v>100</v>
          </cell>
          <cell r="L3852">
            <v>46511</v>
          </cell>
          <cell r="M3852">
            <v>-2075</v>
          </cell>
          <cell r="N3852">
            <v>97925</v>
          </cell>
        </row>
        <row r="3853">
          <cell r="A3853">
            <v>25484</v>
          </cell>
          <cell r="B3853">
            <v>3847</v>
          </cell>
          <cell r="C3853" t="str">
            <v>IASWD2410000565</v>
          </cell>
          <cell r="D3853">
            <v>45590</v>
          </cell>
          <cell r="E3853">
            <v>46678</v>
          </cell>
          <cell r="F3853" t="str">
            <v>25484</v>
          </cell>
          <cell r="G3853" t="str">
            <v>華固四</v>
          </cell>
          <cell r="H3853">
            <v>100000</v>
          </cell>
          <cell r="I3853">
            <v>3.25</v>
          </cell>
          <cell r="J3853">
            <v>46678</v>
          </cell>
          <cell r="K3853">
            <v>100</v>
          </cell>
          <cell r="L3853">
            <v>46658</v>
          </cell>
          <cell r="M3853">
            <v>-1799</v>
          </cell>
          <cell r="N3853">
            <v>98201</v>
          </cell>
        </row>
        <row r="3854">
          <cell r="A3854">
            <v>140202</v>
          </cell>
          <cell r="B3854">
            <v>3848</v>
          </cell>
          <cell r="C3854" t="str">
            <v>IASWD2410000566</v>
          </cell>
          <cell r="D3854">
            <v>45590</v>
          </cell>
          <cell r="E3854">
            <v>46607</v>
          </cell>
          <cell r="F3854" t="str">
            <v>140202</v>
          </cell>
          <cell r="G3854" t="str">
            <v>遠東新E2永</v>
          </cell>
          <cell r="H3854">
            <v>100000</v>
          </cell>
          <cell r="I3854">
            <v>2.7</v>
          </cell>
          <cell r="J3854">
            <v>46607</v>
          </cell>
          <cell r="K3854">
            <v>100</v>
          </cell>
          <cell r="L3854">
            <v>46588</v>
          </cell>
          <cell r="M3854">
            <v>-1494</v>
          </cell>
          <cell r="N3854">
            <v>98506</v>
          </cell>
        </row>
        <row r="3855">
          <cell r="A3855">
            <v>25484</v>
          </cell>
          <cell r="B3855">
            <v>3849</v>
          </cell>
          <cell r="C3855" t="str">
            <v>IASWD2410000567</v>
          </cell>
          <cell r="D3855">
            <v>45590</v>
          </cell>
          <cell r="E3855">
            <v>46678</v>
          </cell>
          <cell r="F3855" t="str">
            <v>25484</v>
          </cell>
          <cell r="G3855" t="str">
            <v>華固四</v>
          </cell>
          <cell r="H3855">
            <v>100000</v>
          </cell>
          <cell r="I3855">
            <v>3.25</v>
          </cell>
          <cell r="J3855">
            <v>46678</v>
          </cell>
          <cell r="K3855">
            <v>100</v>
          </cell>
          <cell r="L3855">
            <v>46658</v>
          </cell>
          <cell r="M3855">
            <v>-1799</v>
          </cell>
          <cell r="N3855">
            <v>98201</v>
          </cell>
        </row>
        <row r="3856">
          <cell r="A3856">
            <v>25484</v>
          </cell>
          <cell r="B3856">
            <v>3850</v>
          </cell>
          <cell r="C3856" t="str">
            <v>IASWD2410000568</v>
          </cell>
          <cell r="D3856">
            <v>45590</v>
          </cell>
          <cell r="E3856">
            <v>46678</v>
          </cell>
          <cell r="F3856" t="str">
            <v>25484</v>
          </cell>
          <cell r="G3856" t="str">
            <v>華固四</v>
          </cell>
          <cell r="H3856">
            <v>5000000</v>
          </cell>
          <cell r="I3856">
            <v>3.25</v>
          </cell>
          <cell r="J3856">
            <v>46678</v>
          </cell>
          <cell r="K3856">
            <v>100</v>
          </cell>
          <cell r="L3856">
            <v>46658</v>
          </cell>
          <cell r="M3856">
            <v>-89932</v>
          </cell>
          <cell r="N3856">
            <v>4910068</v>
          </cell>
        </row>
        <row r="3857">
          <cell r="A3857">
            <v>811210</v>
          </cell>
          <cell r="B3857">
            <v>3851</v>
          </cell>
          <cell r="C3857" t="str">
            <v>IASWD2410000569</v>
          </cell>
          <cell r="D3857">
            <v>45590</v>
          </cell>
          <cell r="E3857">
            <v>46531</v>
          </cell>
          <cell r="F3857" t="str">
            <v>811210</v>
          </cell>
          <cell r="G3857" t="str">
            <v>至上十</v>
          </cell>
          <cell r="H3857">
            <v>100000</v>
          </cell>
          <cell r="I3857">
            <v>3.75</v>
          </cell>
          <cell r="J3857">
            <v>46531</v>
          </cell>
          <cell r="K3857">
            <v>100</v>
          </cell>
          <cell r="L3857">
            <v>46511</v>
          </cell>
          <cell r="M3857">
            <v>-2075</v>
          </cell>
          <cell r="N3857">
            <v>97925</v>
          </cell>
        </row>
        <row r="3858">
          <cell r="A3858">
            <v>25484</v>
          </cell>
          <cell r="B3858">
            <v>3852</v>
          </cell>
          <cell r="C3858" t="str">
            <v>IASWD2410000570</v>
          </cell>
          <cell r="D3858">
            <v>45590</v>
          </cell>
          <cell r="E3858">
            <v>46678</v>
          </cell>
          <cell r="F3858" t="str">
            <v>25484</v>
          </cell>
          <cell r="G3858" t="str">
            <v>華固四</v>
          </cell>
          <cell r="H3858">
            <v>100000</v>
          </cell>
          <cell r="I3858">
            <v>3.25</v>
          </cell>
          <cell r="J3858">
            <v>46678</v>
          </cell>
          <cell r="K3858">
            <v>100</v>
          </cell>
          <cell r="L3858">
            <v>46658</v>
          </cell>
          <cell r="M3858">
            <v>-1799</v>
          </cell>
          <cell r="N3858">
            <v>98201</v>
          </cell>
        </row>
        <row r="3859">
          <cell r="A3859">
            <v>25484</v>
          </cell>
          <cell r="B3859">
            <v>3853</v>
          </cell>
          <cell r="C3859" t="str">
            <v>IASWD2410000572</v>
          </cell>
          <cell r="D3859">
            <v>45590</v>
          </cell>
          <cell r="E3859">
            <v>46678</v>
          </cell>
          <cell r="F3859" t="str">
            <v>25484</v>
          </cell>
          <cell r="G3859" t="str">
            <v>華固四</v>
          </cell>
          <cell r="H3859">
            <v>200000</v>
          </cell>
          <cell r="I3859">
            <v>3.25</v>
          </cell>
          <cell r="J3859">
            <v>46678</v>
          </cell>
          <cell r="K3859">
            <v>100</v>
          </cell>
          <cell r="L3859">
            <v>46658</v>
          </cell>
          <cell r="M3859">
            <v>-3597</v>
          </cell>
          <cell r="N3859">
            <v>196403</v>
          </cell>
        </row>
        <row r="3860">
          <cell r="A3860">
            <v>30238</v>
          </cell>
          <cell r="B3860">
            <v>3854</v>
          </cell>
          <cell r="C3860" t="str">
            <v>IASWD2410000573</v>
          </cell>
          <cell r="D3860">
            <v>45590</v>
          </cell>
          <cell r="E3860">
            <v>46003</v>
          </cell>
          <cell r="F3860" t="str">
            <v>30238</v>
          </cell>
          <cell r="G3860" t="str">
            <v>信邦八</v>
          </cell>
          <cell r="H3860">
            <v>100000</v>
          </cell>
          <cell r="I3860">
            <v>2.6</v>
          </cell>
          <cell r="J3860">
            <v>46003</v>
          </cell>
          <cell r="K3860">
            <v>100</v>
          </cell>
          <cell r="L3860">
            <v>45985</v>
          </cell>
          <cell r="M3860">
            <v>-1439</v>
          </cell>
          <cell r="N3860">
            <v>98561</v>
          </cell>
        </row>
        <row r="3861">
          <cell r="A3861">
            <v>89964</v>
          </cell>
          <cell r="B3861">
            <v>3855</v>
          </cell>
          <cell r="C3861" t="str">
            <v>IASWD2410000574</v>
          </cell>
          <cell r="D3861">
            <v>45590</v>
          </cell>
          <cell r="E3861">
            <v>46362</v>
          </cell>
          <cell r="F3861" t="str">
            <v>89964</v>
          </cell>
          <cell r="G3861" t="str">
            <v>高力四</v>
          </cell>
          <cell r="H3861">
            <v>100000</v>
          </cell>
          <cell r="I3861">
            <v>3.5</v>
          </cell>
          <cell r="J3861">
            <v>46362</v>
          </cell>
          <cell r="K3861">
            <v>100.75190000000001</v>
          </cell>
          <cell r="L3861">
            <v>46343</v>
          </cell>
          <cell r="M3861">
            <v>-1937</v>
          </cell>
          <cell r="N3861">
            <v>98063</v>
          </cell>
        </row>
        <row r="3862">
          <cell r="A3862">
            <v>80506</v>
          </cell>
          <cell r="B3862">
            <v>3856</v>
          </cell>
          <cell r="C3862" t="str">
            <v>IASWD2410000575</v>
          </cell>
          <cell r="D3862">
            <v>45590</v>
          </cell>
          <cell r="E3862">
            <v>45983</v>
          </cell>
          <cell r="F3862" t="str">
            <v>80506</v>
          </cell>
          <cell r="G3862" t="str">
            <v>廣積六</v>
          </cell>
          <cell r="H3862">
            <v>500000</v>
          </cell>
          <cell r="I3862">
            <v>3.25</v>
          </cell>
          <cell r="J3862">
            <v>45983</v>
          </cell>
          <cell r="K3862">
            <v>100.75</v>
          </cell>
          <cell r="L3862">
            <v>45965</v>
          </cell>
          <cell r="M3862">
            <v>-8993</v>
          </cell>
          <cell r="N3862">
            <v>491007</v>
          </cell>
        </row>
        <row r="3863">
          <cell r="A3863">
            <v>25484</v>
          </cell>
          <cell r="B3863">
            <v>3857</v>
          </cell>
          <cell r="C3863" t="str">
            <v>IASWD2410000576</v>
          </cell>
          <cell r="D3863">
            <v>45590</v>
          </cell>
          <cell r="E3863">
            <v>46678</v>
          </cell>
          <cell r="F3863" t="str">
            <v>25484</v>
          </cell>
          <cell r="G3863" t="str">
            <v>華固四</v>
          </cell>
          <cell r="H3863">
            <v>100000</v>
          </cell>
          <cell r="I3863">
            <v>3.25</v>
          </cell>
          <cell r="J3863">
            <v>46678</v>
          </cell>
          <cell r="K3863">
            <v>100</v>
          </cell>
          <cell r="L3863">
            <v>46658</v>
          </cell>
          <cell r="M3863">
            <v>-1799</v>
          </cell>
          <cell r="N3863">
            <v>98201</v>
          </cell>
        </row>
        <row r="3864">
          <cell r="A3864">
            <v>61965</v>
          </cell>
          <cell r="B3864">
            <v>3858</v>
          </cell>
          <cell r="C3864" t="str">
            <v>IASWD2410000577</v>
          </cell>
          <cell r="D3864">
            <v>45593</v>
          </cell>
          <cell r="E3864">
            <v>46200</v>
          </cell>
          <cell r="F3864" t="str">
            <v>61965</v>
          </cell>
          <cell r="G3864" t="str">
            <v>帆宣五</v>
          </cell>
          <cell r="H3864">
            <v>100000</v>
          </cell>
          <cell r="I3864">
            <v>3</v>
          </cell>
          <cell r="J3864">
            <v>46200</v>
          </cell>
          <cell r="K3864">
            <v>100</v>
          </cell>
          <cell r="L3864">
            <v>46182</v>
          </cell>
          <cell r="M3864">
            <v>-1636</v>
          </cell>
          <cell r="N3864">
            <v>98364</v>
          </cell>
        </row>
        <row r="3865">
          <cell r="A3865">
            <v>67531</v>
          </cell>
          <cell r="B3865">
            <v>3859</v>
          </cell>
          <cell r="C3865" t="str">
            <v>IASWD2410000579</v>
          </cell>
          <cell r="D3865">
            <v>45593</v>
          </cell>
          <cell r="E3865">
            <v>46563</v>
          </cell>
          <cell r="F3865" t="str">
            <v>67531</v>
          </cell>
          <cell r="G3865" t="str">
            <v>龍德造船一</v>
          </cell>
          <cell r="H3865">
            <v>100000</v>
          </cell>
          <cell r="I3865">
            <v>3.35</v>
          </cell>
          <cell r="J3865">
            <v>46563</v>
          </cell>
          <cell r="K3865">
            <v>100</v>
          </cell>
          <cell r="L3865">
            <v>46545</v>
          </cell>
          <cell r="M3865">
            <v>-1826</v>
          </cell>
          <cell r="N3865">
            <v>98174</v>
          </cell>
        </row>
        <row r="3866">
          <cell r="A3866">
            <v>140202</v>
          </cell>
          <cell r="B3866">
            <v>3860</v>
          </cell>
          <cell r="C3866" t="str">
            <v>IASWD2410000580</v>
          </cell>
          <cell r="D3866">
            <v>45593</v>
          </cell>
          <cell r="E3866">
            <v>46607</v>
          </cell>
          <cell r="F3866" t="str">
            <v>140202</v>
          </cell>
          <cell r="G3866" t="str">
            <v>遠東新E2永</v>
          </cell>
          <cell r="H3866">
            <v>1000000</v>
          </cell>
          <cell r="I3866">
            <v>2.7</v>
          </cell>
          <cell r="J3866">
            <v>46607</v>
          </cell>
          <cell r="K3866">
            <v>100</v>
          </cell>
          <cell r="L3866">
            <v>46588</v>
          </cell>
          <cell r="M3866">
            <v>-14721</v>
          </cell>
          <cell r="N3866">
            <v>985279</v>
          </cell>
        </row>
        <row r="3867">
          <cell r="A3867">
            <v>140202</v>
          </cell>
          <cell r="B3867">
            <v>3861</v>
          </cell>
          <cell r="C3867" t="str">
            <v>IASWD2410000582</v>
          </cell>
          <cell r="D3867">
            <v>45593</v>
          </cell>
          <cell r="E3867">
            <v>46607</v>
          </cell>
          <cell r="F3867" t="str">
            <v>140202</v>
          </cell>
          <cell r="G3867" t="str">
            <v>遠東新E2永</v>
          </cell>
          <cell r="H3867">
            <v>200000</v>
          </cell>
          <cell r="I3867">
            <v>2.7</v>
          </cell>
          <cell r="J3867">
            <v>46607</v>
          </cell>
          <cell r="K3867">
            <v>100</v>
          </cell>
          <cell r="L3867">
            <v>46588</v>
          </cell>
          <cell r="M3867">
            <v>-2944</v>
          </cell>
          <cell r="N3867">
            <v>197056</v>
          </cell>
        </row>
        <row r="3868">
          <cell r="A3868">
            <v>25483</v>
          </cell>
          <cell r="B3868">
            <v>3862</v>
          </cell>
          <cell r="C3868" t="str">
            <v>IASWD2410000583</v>
          </cell>
          <cell r="D3868">
            <v>45593</v>
          </cell>
          <cell r="E3868">
            <v>46662</v>
          </cell>
          <cell r="F3868" t="str">
            <v>25483</v>
          </cell>
          <cell r="G3868" t="str">
            <v>華固三</v>
          </cell>
          <cell r="H3868">
            <v>100000</v>
          </cell>
          <cell r="I3868">
            <v>3.25</v>
          </cell>
          <cell r="J3868">
            <v>46662</v>
          </cell>
          <cell r="K3868">
            <v>100</v>
          </cell>
          <cell r="L3868">
            <v>46644</v>
          </cell>
          <cell r="M3868">
            <v>-1772</v>
          </cell>
          <cell r="N3868">
            <v>98228</v>
          </cell>
        </row>
        <row r="3869">
          <cell r="A3869">
            <v>811210</v>
          </cell>
          <cell r="B3869">
            <v>3863</v>
          </cell>
          <cell r="C3869" t="str">
            <v>IASWD2410000584</v>
          </cell>
          <cell r="D3869">
            <v>45593</v>
          </cell>
          <cell r="E3869">
            <v>46531</v>
          </cell>
          <cell r="F3869" t="str">
            <v>811210</v>
          </cell>
          <cell r="G3869" t="str">
            <v>至上十</v>
          </cell>
          <cell r="H3869">
            <v>100000</v>
          </cell>
          <cell r="I3869">
            <v>3.75</v>
          </cell>
          <cell r="J3869">
            <v>46531</v>
          </cell>
          <cell r="K3869">
            <v>100</v>
          </cell>
          <cell r="L3869">
            <v>46511</v>
          </cell>
          <cell r="M3869">
            <v>-2045</v>
          </cell>
          <cell r="N3869">
            <v>97955</v>
          </cell>
        </row>
        <row r="3870">
          <cell r="A3870">
            <v>50097</v>
          </cell>
          <cell r="B3870">
            <v>3864</v>
          </cell>
          <cell r="C3870" t="str">
            <v>IASWD2410000585</v>
          </cell>
          <cell r="D3870">
            <v>45593</v>
          </cell>
          <cell r="E3870">
            <v>46234</v>
          </cell>
          <cell r="F3870" t="str">
            <v>50097</v>
          </cell>
          <cell r="G3870" t="str">
            <v>榮剛七</v>
          </cell>
          <cell r="H3870">
            <v>100000</v>
          </cell>
          <cell r="I3870">
            <v>4.0999999999999996</v>
          </cell>
          <cell r="J3870">
            <v>46234</v>
          </cell>
          <cell r="K3870">
            <v>101.51</v>
          </cell>
          <cell r="L3870">
            <v>46216</v>
          </cell>
          <cell r="M3870">
            <v>-2235</v>
          </cell>
          <cell r="N3870">
            <v>97765</v>
          </cell>
        </row>
        <row r="3871">
          <cell r="A3871">
            <v>25484</v>
          </cell>
          <cell r="B3871">
            <v>3865</v>
          </cell>
          <cell r="C3871" t="str">
            <v>IASWD2410000586</v>
          </cell>
          <cell r="D3871">
            <v>45593</v>
          </cell>
          <cell r="E3871">
            <v>46678</v>
          </cell>
          <cell r="F3871" t="str">
            <v>25484</v>
          </cell>
          <cell r="G3871" t="str">
            <v>華固四</v>
          </cell>
          <cell r="H3871">
            <v>1000000</v>
          </cell>
          <cell r="I3871">
            <v>3.25</v>
          </cell>
          <cell r="J3871">
            <v>46678</v>
          </cell>
          <cell r="K3871">
            <v>100</v>
          </cell>
          <cell r="L3871">
            <v>46658</v>
          </cell>
          <cell r="M3871">
            <v>-17719</v>
          </cell>
          <cell r="N3871">
            <v>982281</v>
          </cell>
        </row>
        <row r="3872">
          <cell r="A3872">
            <v>25483</v>
          </cell>
          <cell r="B3872">
            <v>3866</v>
          </cell>
          <cell r="C3872" t="str">
            <v>IASWD2410000587</v>
          </cell>
          <cell r="D3872">
            <v>45593</v>
          </cell>
          <cell r="E3872">
            <v>46662</v>
          </cell>
          <cell r="F3872" t="str">
            <v>25483</v>
          </cell>
          <cell r="G3872" t="str">
            <v>華固三</v>
          </cell>
          <cell r="H3872">
            <v>100000</v>
          </cell>
          <cell r="I3872">
            <v>3.25</v>
          </cell>
          <cell r="J3872">
            <v>46662</v>
          </cell>
          <cell r="K3872">
            <v>100</v>
          </cell>
          <cell r="L3872">
            <v>46644</v>
          </cell>
          <cell r="M3872">
            <v>-1772</v>
          </cell>
          <cell r="N3872">
            <v>98228</v>
          </cell>
        </row>
        <row r="3873">
          <cell r="A3873">
            <v>34834</v>
          </cell>
          <cell r="B3873">
            <v>3867</v>
          </cell>
          <cell r="C3873" t="str">
            <v>IASWD2410000588</v>
          </cell>
          <cell r="D3873">
            <v>45593</v>
          </cell>
          <cell r="E3873">
            <v>46529</v>
          </cell>
          <cell r="F3873" t="str">
            <v>34834</v>
          </cell>
          <cell r="G3873" t="str">
            <v>力致四</v>
          </cell>
          <cell r="H3873">
            <v>400000</v>
          </cell>
          <cell r="I3873">
            <v>3.75</v>
          </cell>
          <cell r="J3873">
            <v>46529</v>
          </cell>
          <cell r="K3873">
            <v>100</v>
          </cell>
          <cell r="L3873">
            <v>46511</v>
          </cell>
          <cell r="M3873">
            <v>-8178</v>
          </cell>
          <cell r="N3873">
            <v>391822</v>
          </cell>
        </row>
        <row r="3874">
          <cell r="A3874">
            <v>25483</v>
          </cell>
          <cell r="B3874">
            <v>3868</v>
          </cell>
          <cell r="C3874" t="str">
            <v>IASWD2410000589</v>
          </cell>
          <cell r="D3874">
            <v>45593</v>
          </cell>
          <cell r="E3874">
            <v>46662</v>
          </cell>
          <cell r="F3874" t="str">
            <v>25483</v>
          </cell>
          <cell r="G3874" t="str">
            <v>華固三</v>
          </cell>
          <cell r="H3874">
            <v>100000</v>
          </cell>
          <cell r="I3874">
            <v>3.25</v>
          </cell>
          <cell r="J3874">
            <v>46662</v>
          </cell>
          <cell r="K3874">
            <v>100</v>
          </cell>
          <cell r="L3874">
            <v>46644</v>
          </cell>
          <cell r="M3874">
            <v>-1772</v>
          </cell>
          <cell r="N3874">
            <v>98228</v>
          </cell>
        </row>
        <row r="3875">
          <cell r="A3875">
            <v>16095</v>
          </cell>
          <cell r="B3875">
            <v>3869</v>
          </cell>
          <cell r="C3875" t="str">
            <v>IASWD2410000590</v>
          </cell>
          <cell r="D3875">
            <v>45593</v>
          </cell>
          <cell r="E3875">
            <v>46660</v>
          </cell>
          <cell r="F3875" t="str">
            <v>16095</v>
          </cell>
          <cell r="G3875" t="str">
            <v>大亞五</v>
          </cell>
          <cell r="H3875">
            <v>200000</v>
          </cell>
          <cell r="I3875">
            <v>3</v>
          </cell>
          <cell r="J3875">
            <v>46660</v>
          </cell>
          <cell r="K3875">
            <v>100.75</v>
          </cell>
          <cell r="L3875">
            <v>46640</v>
          </cell>
          <cell r="M3875">
            <v>-3271</v>
          </cell>
          <cell r="N3875">
            <v>196729</v>
          </cell>
        </row>
        <row r="3876">
          <cell r="A3876">
            <v>25483</v>
          </cell>
          <cell r="B3876">
            <v>3870</v>
          </cell>
          <cell r="C3876" t="str">
            <v>IASWD2410000591</v>
          </cell>
          <cell r="D3876">
            <v>45593</v>
          </cell>
          <cell r="E3876">
            <v>46662</v>
          </cell>
          <cell r="F3876" t="str">
            <v>25483</v>
          </cell>
          <cell r="G3876" t="str">
            <v>華固三</v>
          </cell>
          <cell r="H3876">
            <v>1600000</v>
          </cell>
          <cell r="I3876">
            <v>3.25</v>
          </cell>
          <cell r="J3876">
            <v>46662</v>
          </cell>
          <cell r="K3876">
            <v>100</v>
          </cell>
          <cell r="L3876">
            <v>46644</v>
          </cell>
          <cell r="M3876">
            <v>-28351</v>
          </cell>
          <cell r="N3876">
            <v>1571649</v>
          </cell>
        </row>
        <row r="3877">
          <cell r="A3877">
            <v>25483</v>
          </cell>
          <cell r="B3877">
            <v>3871</v>
          </cell>
          <cell r="C3877" t="str">
            <v>IASWD2410000592</v>
          </cell>
          <cell r="D3877">
            <v>45593</v>
          </cell>
          <cell r="E3877">
            <v>46662</v>
          </cell>
          <cell r="F3877" t="str">
            <v>25483</v>
          </cell>
          <cell r="G3877" t="str">
            <v>華固三</v>
          </cell>
          <cell r="H3877">
            <v>3000000</v>
          </cell>
          <cell r="I3877">
            <v>3.25</v>
          </cell>
          <cell r="J3877">
            <v>46662</v>
          </cell>
          <cell r="K3877">
            <v>100</v>
          </cell>
          <cell r="L3877">
            <v>46644</v>
          </cell>
          <cell r="M3877">
            <v>-53158</v>
          </cell>
          <cell r="N3877">
            <v>2946842</v>
          </cell>
        </row>
        <row r="3878">
          <cell r="A3878">
            <v>25484</v>
          </cell>
          <cell r="B3878">
            <v>3872</v>
          </cell>
          <cell r="C3878" t="str">
            <v>IASWD2410000593</v>
          </cell>
          <cell r="D3878">
            <v>45593</v>
          </cell>
          <cell r="E3878">
            <v>46678</v>
          </cell>
          <cell r="F3878" t="str">
            <v>25484</v>
          </cell>
          <cell r="G3878" t="str">
            <v>華固四</v>
          </cell>
          <cell r="H3878">
            <v>2000000</v>
          </cell>
          <cell r="I3878">
            <v>3.25</v>
          </cell>
          <cell r="J3878">
            <v>46678</v>
          </cell>
          <cell r="K3878">
            <v>100</v>
          </cell>
          <cell r="L3878">
            <v>46658</v>
          </cell>
          <cell r="M3878">
            <v>-35438</v>
          </cell>
          <cell r="N3878">
            <v>1964562</v>
          </cell>
        </row>
        <row r="3879">
          <cell r="A3879">
            <v>811210</v>
          </cell>
          <cell r="B3879">
            <v>3873</v>
          </cell>
          <cell r="C3879" t="str">
            <v>IASWD2410000594</v>
          </cell>
          <cell r="D3879">
            <v>45593</v>
          </cell>
          <cell r="E3879">
            <v>46531</v>
          </cell>
          <cell r="F3879" t="str">
            <v>811210</v>
          </cell>
          <cell r="G3879" t="str">
            <v>至上十</v>
          </cell>
          <cell r="H3879">
            <v>100000</v>
          </cell>
          <cell r="I3879">
            <v>3.75</v>
          </cell>
          <cell r="J3879">
            <v>46531</v>
          </cell>
          <cell r="K3879">
            <v>100</v>
          </cell>
          <cell r="L3879">
            <v>46511</v>
          </cell>
          <cell r="M3879">
            <v>-2045</v>
          </cell>
          <cell r="N3879">
            <v>97955</v>
          </cell>
        </row>
        <row r="3880">
          <cell r="A3880">
            <v>16095</v>
          </cell>
          <cell r="B3880">
            <v>3874</v>
          </cell>
          <cell r="C3880" t="str">
            <v>IASWD2410000595</v>
          </cell>
          <cell r="D3880">
            <v>45593</v>
          </cell>
          <cell r="E3880">
            <v>46660</v>
          </cell>
          <cell r="F3880" t="str">
            <v>16095</v>
          </cell>
          <cell r="G3880" t="str">
            <v>大亞五</v>
          </cell>
          <cell r="H3880">
            <v>100000</v>
          </cell>
          <cell r="I3880">
            <v>3</v>
          </cell>
          <cell r="J3880">
            <v>46660</v>
          </cell>
          <cell r="K3880">
            <v>100.75</v>
          </cell>
          <cell r="L3880">
            <v>46640</v>
          </cell>
          <cell r="M3880">
            <v>-1636</v>
          </cell>
          <cell r="N3880">
            <v>98364</v>
          </cell>
        </row>
        <row r="3881">
          <cell r="A3881">
            <v>25484</v>
          </cell>
          <cell r="B3881">
            <v>3875</v>
          </cell>
          <cell r="C3881" t="str">
            <v>IASWD2410000596</v>
          </cell>
          <cell r="D3881">
            <v>45593</v>
          </cell>
          <cell r="E3881">
            <v>46678</v>
          </cell>
          <cell r="F3881" t="str">
            <v>25484</v>
          </cell>
          <cell r="G3881" t="str">
            <v>華固四</v>
          </cell>
          <cell r="H3881">
            <v>2000000</v>
          </cell>
          <cell r="I3881">
            <v>3.25</v>
          </cell>
          <cell r="J3881">
            <v>46678</v>
          </cell>
          <cell r="K3881">
            <v>100</v>
          </cell>
          <cell r="L3881">
            <v>46658</v>
          </cell>
          <cell r="M3881">
            <v>-35438</v>
          </cell>
          <cell r="N3881">
            <v>1964562</v>
          </cell>
        </row>
        <row r="3882">
          <cell r="A3882">
            <v>34843</v>
          </cell>
          <cell r="B3882">
            <v>3876</v>
          </cell>
          <cell r="C3882" t="str">
            <v>IASWD2410000597</v>
          </cell>
          <cell r="D3882">
            <v>45593</v>
          </cell>
          <cell r="E3882">
            <v>46136</v>
          </cell>
          <cell r="F3882" t="str">
            <v>34843</v>
          </cell>
          <cell r="G3882" t="str">
            <v>崧騰三</v>
          </cell>
          <cell r="H3882">
            <v>300000</v>
          </cell>
          <cell r="I3882">
            <v>3.5</v>
          </cell>
          <cell r="J3882">
            <v>46136</v>
          </cell>
          <cell r="K3882">
            <v>100.75</v>
          </cell>
          <cell r="L3882">
            <v>46118</v>
          </cell>
          <cell r="M3882">
            <v>-5725</v>
          </cell>
          <cell r="N3882">
            <v>294275</v>
          </cell>
        </row>
        <row r="3883">
          <cell r="A3883">
            <v>67152</v>
          </cell>
          <cell r="B3883">
            <v>3877</v>
          </cell>
          <cell r="C3883" t="str">
            <v>IASWD2410000598</v>
          </cell>
          <cell r="D3883">
            <v>45593</v>
          </cell>
          <cell r="E3883">
            <v>46405</v>
          </cell>
          <cell r="F3883" t="str">
            <v>67152</v>
          </cell>
          <cell r="G3883" t="str">
            <v>嘉基二</v>
          </cell>
          <cell r="H3883">
            <v>500000</v>
          </cell>
          <cell r="I3883">
            <v>3</v>
          </cell>
          <cell r="J3883">
            <v>46405</v>
          </cell>
          <cell r="K3883">
            <v>100</v>
          </cell>
          <cell r="L3883">
            <v>46385</v>
          </cell>
          <cell r="M3883">
            <v>-8178</v>
          </cell>
          <cell r="N3883">
            <v>491822</v>
          </cell>
        </row>
        <row r="3884">
          <cell r="A3884">
            <v>22283</v>
          </cell>
          <cell r="B3884">
            <v>3878</v>
          </cell>
          <cell r="C3884" t="str">
            <v>IASWD2410000599</v>
          </cell>
          <cell r="D3884">
            <v>45593</v>
          </cell>
          <cell r="E3884">
            <v>46628</v>
          </cell>
          <cell r="F3884" t="str">
            <v>22283</v>
          </cell>
          <cell r="G3884" t="str">
            <v>劍麟三</v>
          </cell>
          <cell r="H3884">
            <v>100000</v>
          </cell>
          <cell r="I3884">
            <v>3</v>
          </cell>
          <cell r="J3884">
            <v>46628</v>
          </cell>
          <cell r="K3884">
            <v>100</v>
          </cell>
          <cell r="L3884">
            <v>46609</v>
          </cell>
          <cell r="M3884">
            <v>-1636</v>
          </cell>
          <cell r="N3884">
            <v>98364</v>
          </cell>
        </row>
        <row r="3885">
          <cell r="A3885">
            <v>84781</v>
          </cell>
          <cell r="B3885">
            <v>3879</v>
          </cell>
          <cell r="C3885" t="str">
            <v>IASWD2410000600</v>
          </cell>
          <cell r="D3885">
            <v>45593</v>
          </cell>
          <cell r="E3885">
            <v>46583</v>
          </cell>
          <cell r="F3885" t="str">
            <v>84781</v>
          </cell>
          <cell r="G3885" t="str">
            <v>東哥遊艇一</v>
          </cell>
          <cell r="H3885">
            <v>100000</v>
          </cell>
          <cell r="I3885">
            <v>3.1</v>
          </cell>
          <cell r="J3885">
            <v>46583</v>
          </cell>
          <cell r="K3885">
            <v>100</v>
          </cell>
          <cell r="L3885">
            <v>46563</v>
          </cell>
          <cell r="M3885">
            <v>-1690</v>
          </cell>
          <cell r="N3885">
            <v>98310</v>
          </cell>
        </row>
        <row r="3886">
          <cell r="A3886">
            <v>25484</v>
          </cell>
          <cell r="B3886">
            <v>3880</v>
          </cell>
          <cell r="C3886" t="str">
            <v>IASWD2410000601</v>
          </cell>
          <cell r="D3886">
            <v>45593</v>
          </cell>
          <cell r="E3886">
            <v>46678</v>
          </cell>
          <cell r="F3886" t="str">
            <v>25484</v>
          </cell>
          <cell r="G3886" t="str">
            <v>華固四</v>
          </cell>
          <cell r="H3886">
            <v>5000000</v>
          </cell>
          <cell r="I3886">
            <v>3.25</v>
          </cell>
          <cell r="J3886">
            <v>46678</v>
          </cell>
          <cell r="K3886">
            <v>100</v>
          </cell>
          <cell r="L3886">
            <v>46658</v>
          </cell>
          <cell r="M3886">
            <v>-88596</v>
          </cell>
          <cell r="N3886">
            <v>4911404</v>
          </cell>
        </row>
        <row r="3887">
          <cell r="A3887">
            <v>35832</v>
          </cell>
          <cell r="B3887">
            <v>3881</v>
          </cell>
          <cell r="C3887" t="str">
            <v>IASWD2410000603</v>
          </cell>
          <cell r="D3887">
            <v>45593</v>
          </cell>
          <cell r="E3887">
            <v>46192</v>
          </cell>
          <cell r="F3887" t="str">
            <v>35832</v>
          </cell>
          <cell r="G3887" t="str">
            <v>辛耘二</v>
          </cell>
          <cell r="H3887">
            <v>100000</v>
          </cell>
          <cell r="I3887">
            <v>3</v>
          </cell>
          <cell r="J3887">
            <v>46192</v>
          </cell>
          <cell r="K3887">
            <v>100</v>
          </cell>
          <cell r="L3887">
            <v>46174</v>
          </cell>
          <cell r="M3887">
            <v>-1636</v>
          </cell>
          <cell r="N3887">
            <v>98364</v>
          </cell>
        </row>
        <row r="3888">
          <cell r="A3888">
            <v>25483</v>
          </cell>
          <cell r="B3888">
            <v>3882</v>
          </cell>
          <cell r="C3888" t="str">
            <v>IASWD2410000604</v>
          </cell>
          <cell r="D3888">
            <v>45593</v>
          </cell>
          <cell r="E3888">
            <v>46662</v>
          </cell>
          <cell r="F3888" t="str">
            <v>25483</v>
          </cell>
          <cell r="G3888" t="str">
            <v>華固三</v>
          </cell>
          <cell r="H3888">
            <v>200000</v>
          </cell>
          <cell r="I3888">
            <v>3.25</v>
          </cell>
          <cell r="J3888">
            <v>46662</v>
          </cell>
          <cell r="K3888">
            <v>100</v>
          </cell>
          <cell r="L3888">
            <v>46644</v>
          </cell>
          <cell r="M3888">
            <v>-3544</v>
          </cell>
          <cell r="N3888">
            <v>196456</v>
          </cell>
        </row>
        <row r="3889">
          <cell r="A3889">
            <v>25484</v>
          </cell>
          <cell r="B3889">
            <v>3883</v>
          </cell>
          <cell r="C3889" t="str">
            <v>IASWD2410000605</v>
          </cell>
          <cell r="D3889">
            <v>45593</v>
          </cell>
          <cell r="E3889">
            <v>46678</v>
          </cell>
          <cell r="F3889" t="str">
            <v>25484</v>
          </cell>
          <cell r="G3889" t="str">
            <v>華固四</v>
          </cell>
          <cell r="H3889">
            <v>2000000</v>
          </cell>
          <cell r="I3889">
            <v>3.25</v>
          </cell>
          <cell r="J3889">
            <v>46678</v>
          </cell>
          <cell r="K3889">
            <v>100</v>
          </cell>
          <cell r="L3889">
            <v>46658</v>
          </cell>
          <cell r="M3889">
            <v>-35438</v>
          </cell>
          <cell r="N3889">
            <v>1964562</v>
          </cell>
        </row>
        <row r="3890">
          <cell r="A3890">
            <v>67531</v>
          </cell>
          <cell r="B3890">
            <v>3884</v>
          </cell>
          <cell r="C3890" t="str">
            <v>IASWD2410000606</v>
          </cell>
          <cell r="D3890">
            <v>45593</v>
          </cell>
          <cell r="E3890">
            <v>46563</v>
          </cell>
          <cell r="F3890" t="str">
            <v>67531</v>
          </cell>
          <cell r="G3890" t="str">
            <v>龍德造船一</v>
          </cell>
          <cell r="H3890">
            <v>100000</v>
          </cell>
          <cell r="I3890">
            <v>3.35</v>
          </cell>
          <cell r="J3890">
            <v>46563</v>
          </cell>
          <cell r="K3890">
            <v>100</v>
          </cell>
          <cell r="L3890">
            <v>46545</v>
          </cell>
          <cell r="M3890">
            <v>-1826</v>
          </cell>
          <cell r="N3890">
            <v>98174</v>
          </cell>
        </row>
        <row r="3891">
          <cell r="A3891">
            <v>41683</v>
          </cell>
          <cell r="B3891">
            <v>3885</v>
          </cell>
          <cell r="C3891" t="str">
            <v>IASWD2410000607</v>
          </cell>
          <cell r="D3891">
            <v>45593</v>
          </cell>
          <cell r="E3891">
            <v>45835</v>
          </cell>
          <cell r="F3891" t="str">
            <v>41683</v>
          </cell>
          <cell r="G3891" t="str">
            <v>醣聯三</v>
          </cell>
          <cell r="H3891">
            <v>300000</v>
          </cell>
          <cell r="I3891">
            <v>2.2000000000000002</v>
          </cell>
          <cell r="J3891">
            <v>45835</v>
          </cell>
          <cell r="K3891">
            <v>100</v>
          </cell>
          <cell r="L3891">
            <v>45817</v>
          </cell>
          <cell r="M3891">
            <v>-3598</v>
          </cell>
          <cell r="N3891">
            <v>296402</v>
          </cell>
        </row>
        <row r="3892">
          <cell r="A3892">
            <v>84781</v>
          </cell>
          <cell r="B3892">
            <v>3886</v>
          </cell>
          <cell r="C3892" t="str">
            <v>IASWD2410000608</v>
          </cell>
          <cell r="D3892">
            <v>45593</v>
          </cell>
          <cell r="E3892">
            <v>46583</v>
          </cell>
          <cell r="F3892" t="str">
            <v>84781</v>
          </cell>
          <cell r="G3892" t="str">
            <v>東哥遊艇一</v>
          </cell>
          <cell r="H3892">
            <v>400000</v>
          </cell>
          <cell r="I3892">
            <v>3.1</v>
          </cell>
          <cell r="J3892">
            <v>46583</v>
          </cell>
          <cell r="K3892">
            <v>100</v>
          </cell>
          <cell r="L3892">
            <v>46563</v>
          </cell>
          <cell r="M3892">
            <v>-6761</v>
          </cell>
          <cell r="N3892">
            <v>393239</v>
          </cell>
        </row>
        <row r="3893">
          <cell r="A3893">
            <v>25484</v>
          </cell>
          <cell r="B3893">
            <v>3887</v>
          </cell>
          <cell r="C3893" t="str">
            <v>IASWD2410000609</v>
          </cell>
          <cell r="D3893">
            <v>45593</v>
          </cell>
          <cell r="E3893">
            <v>46678</v>
          </cell>
          <cell r="F3893" t="str">
            <v>25484</v>
          </cell>
          <cell r="G3893" t="str">
            <v>華固四</v>
          </cell>
          <cell r="H3893">
            <v>500000</v>
          </cell>
          <cell r="I3893">
            <v>3.25</v>
          </cell>
          <cell r="J3893">
            <v>46678</v>
          </cell>
          <cell r="K3893">
            <v>100</v>
          </cell>
          <cell r="L3893">
            <v>46658</v>
          </cell>
          <cell r="M3893">
            <v>-8860</v>
          </cell>
          <cell r="N3893">
            <v>491140</v>
          </cell>
        </row>
        <row r="3894">
          <cell r="A3894">
            <v>25484</v>
          </cell>
          <cell r="B3894">
            <v>3888</v>
          </cell>
          <cell r="C3894" t="str">
            <v>IASWD2410000610</v>
          </cell>
          <cell r="D3894">
            <v>45593</v>
          </cell>
          <cell r="E3894">
            <v>46678</v>
          </cell>
          <cell r="F3894" t="str">
            <v>25484</v>
          </cell>
          <cell r="G3894" t="str">
            <v>華固四</v>
          </cell>
          <cell r="H3894">
            <v>4000000</v>
          </cell>
          <cell r="I3894">
            <v>3.25</v>
          </cell>
          <cell r="J3894">
            <v>46678</v>
          </cell>
          <cell r="K3894">
            <v>100</v>
          </cell>
          <cell r="L3894">
            <v>46658</v>
          </cell>
          <cell r="M3894">
            <v>-70877</v>
          </cell>
          <cell r="N3894">
            <v>3929123</v>
          </cell>
        </row>
        <row r="3895">
          <cell r="A3895">
            <v>35266</v>
          </cell>
          <cell r="B3895">
            <v>3889</v>
          </cell>
          <cell r="C3895" t="str">
            <v>IASWD2410000611</v>
          </cell>
          <cell r="D3895">
            <v>45593</v>
          </cell>
          <cell r="E3895">
            <v>46416</v>
          </cell>
          <cell r="F3895" t="str">
            <v>35266</v>
          </cell>
          <cell r="G3895" t="str">
            <v>凡甲六</v>
          </cell>
          <cell r="H3895">
            <v>500000</v>
          </cell>
          <cell r="I3895">
            <v>3.25</v>
          </cell>
          <cell r="J3895">
            <v>46416</v>
          </cell>
          <cell r="K3895">
            <v>100</v>
          </cell>
          <cell r="L3895">
            <v>46398</v>
          </cell>
          <cell r="M3895">
            <v>-8860</v>
          </cell>
          <cell r="N3895">
            <v>491140</v>
          </cell>
        </row>
        <row r="3896">
          <cell r="A3896">
            <v>34834</v>
          </cell>
          <cell r="B3896">
            <v>3890</v>
          </cell>
          <cell r="C3896" t="str">
            <v>IASWD2410000613</v>
          </cell>
          <cell r="D3896">
            <v>45594</v>
          </cell>
          <cell r="E3896">
            <v>46529</v>
          </cell>
          <cell r="F3896" t="str">
            <v>34834</v>
          </cell>
          <cell r="G3896" t="str">
            <v>力致四</v>
          </cell>
          <cell r="H3896">
            <v>200000</v>
          </cell>
          <cell r="I3896">
            <v>3.75</v>
          </cell>
          <cell r="J3896">
            <v>46529</v>
          </cell>
          <cell r="K3896">
            <v>100</v>
          </cell>
          <cell r="L3896">
            <v>46511</v>
          </cell>
          <cell r="M3896">
            <v>-4068</v>
          </cell>
          <cell r="N3896">
            <v>195932</v>
          </cell>
        </row>
        <row r="3897">
          <cell r="A3897">
            <v>811210</v>
          </cell>
          <cell r="B3897">
            <v>3891</v>
          </cell>
          <cell r="C3897" t="str">
            <v>IASWD2410000614</v>
          </cell>
          <cell r="D3897">
            <v>45594</v>
          </cell>
          <cell r="E3897">
            <v>46531</v>
          </cell>
          <cell r="F3897" t="str">
            <v>811210</v>
          </cell>
          <cell r="G3897" t="str">
            <v>至上十</v>
          </cell>
          <cell r="H3897">
            <v>100000</v>
          </cell>
          <cell r="I3897">
            <v>3.75</v>
          </cell>
          <cell r="J3897">
            <v>46531</v>
          </cell>
          <cell r="K3897">
            <v>100</v>
          </cell>
          <cell r="L3897">
            <v>46511</v>
          </cell>
          <cell r="M3897">
            <v>-2034</v>
          </cell>
          <cell r="N3897">
            <v>97966</v>
          </cell>
        </row>
        <row r="3898">
          <cell r="A3898">
            <v>80506</v>
          </cell>
          <cell r="B3898">
            <v>3892</v>
          </cell>
          <cell r="C3898" t="str">
            <v>IASWD2410000616</v>
          </cell>
          <cell r="D3898">
            <v>45594</v>
          </cell>
          <cell r="E3898">
            <v>45983</v>
          </cell>
          <cell r="F3898" t="str">
            <v>80506</v>
          </cell>
          <cell r="G3898" t="str">
            <v>廣積六</v>
          </cell>
          <cell r="H3898">
            <v>100000</v>
          </cell>
          <cell r="I3898">
            <v>3.25</v>
          </cell>
          <cell r="J3898">
            <v>45983</v>
          </cell>
          <cell r="K3898">
            <v>100.75</v>
          </cell>
          <cell r="L3898">
            <v>45965</v>
          </cell>
          <cell r="M3898">
            <v>-1763</v>
          </cell>
          <cell r="N3898">
            <v>98237</v>
          </cell>
        </row>
        <row r="3899">
          <cell r="A3899">
            <v>64145</v>
          </cell>
          <cell r="B3899">
            <v>3893</v>
          </cell>
          <cell r="C3899" t="str">
            <v>IASWD2410000617</v>
          </cell>
          <cell r="D3899">
            <v>45594</v>
          </cell>
          <cell r="E3899">
            <v>46250</v>
          </cell>
          <cell r="F3899" t="str">
            <v>64145</v>
          </cell>
          <cell r="G3899" t="str">
            <v>樺漢五</v>
          </cell>
          <cell r="H3899">
            <v>100000</v>
          </cell>
          <cell r="I3899">
            <v>3</v>
          </cell>
          <cell r="J3899">
            <v>46250</v>
          </cell>
          <cell r="K3899">
            <v>100</v>
          </cell>
          <cell r="L3899">
            <v>46231</v>
          </cell>
          <cell r="M3899">
            <v>-1627</v>
          </cell>
          <cell r="N3899">
            <v>98373</v>
          </cell>
        </row>
        <row r="3900">
          <cell r="A3900">
            <v>34834</v>
          </cell>
          <cell r="B3900">
            <v>3894</v>
          </cell>
          <cell r="C3900" t="str">
            <v>IASWD2410000619</v>
          </cell>
          <cell r="D3900">
            <v>45594</v>
          </cell>
          <cell r="E3900">
            <v>46529</v>
          </cell>
          <cell r="F3900" t="str">
            <v>34834</v>
          </cell>
          <cell r="G3900" t="str">
            <v>力致四</v>
          </cell>
          <cell r="H3900">
            <v>100000</v>
          </cell>
          <cell r="I3900">
            <v>3.75</v>
          </cell>
          <cell r="J3900">
            <v>46529</v>
          </cell>
          <cell r="K3900">
            <v>100</v>
          </cell>
          <cell r="L3900">
            <v>46511</v>
          </cell>
          <cell r="M3900">
            <v>-2034</v>
          </cell>
          <cell r="N3900">
            <v>97966</v>
          </cell>
        </row>
        <row r="3901">
          <cell r="A3901">
            <v>61965</v>
          </cell>
          <cell r="B3901">
            <v>3895</v>
          </cell>
          <cell r="C3901" t="str">
            <v>IASWD2410000622</v>
          </cell>
          <cell r="D3901">
            <v>45594</v>
          </cell>
          <cell r="E3901">
            <v>46200</v>
          </cell>
          <cell r="F3901" t="str">
            <v>61965</v>
          </cell>
          <cell r="G3901" t="str">
            <v>帆宣五</v>
          </cell>
          <cell r="H3901">
            <v>100000</v>
          </cell>
          <cell r="I3901">
            <v>3</v>
          </cell>
          <cell r="J3901">
            <v>46200</v>
          </cell>
          <cell r="K3901">
            <v>100</v>
          </cell>
          <cell r="L3901">
            <v>46182</v>
          </cell>
          <cell r="M3901">
            <v>-1627</v>
          </cell>
          <cell r="N3901">
            <v>98373</v>
          </cell>
        </row>
        <row r="3902">
          <cell r="A3902">
            <v>50097</v>
          </cell>
          <cell r="B3902">
            <v>3896</v>
          </cell>
          <cell r="C3902" t="str">
            <v>IASWD2410000623</v>
          </cell>
          <cell r="D3902">
            <v>45594</v>
          </cell>
          <cell r="E3902">
            <v>46234</v>
          </cell>
          <cell r="F3902" t="str">
            <v>50097</v>
          </cell>
          <cell r="G3902" t="str">
            <v>榮剛七</v>
          </cell>
          <cell r="H3902">
            <v>100000</v>
          </cell>
          <cell r="I3902">
            <v>4.0999999999999996</v>
          </cell>
          <cell r="J3902">
            <v>46234</v>
          </cell>
          <cell r="K3902">
            <v>101.51</v>
          </cell>
          <cell r="L3902">
            <v>46216</v>
          </cell>
          <cell r="M3902">
            <v>-2224</v>
          </cell>
          <cell r="N3902">
            <v>97776</v>
          </cell>
        </row>
        <row r="3903">
          <cell r="A3903">
            <v>811210</v>
          </cell>
          <cell r="B3903">
            <v>3897</v>
          </cell>
          <cell r="C3903" t="str">
            <v>IASWD2410000624</v>
          </cell>
          <cell r="D3903">
            <v>45594</v>
          </cell>
          <cell r="E3903">
            <v>46531</v>
          </cell>
          <cell r="F3903" t="str">
            <v>811210</v>
          </cell>
          <cell r="G3903" t="str">
            <v>至上十</v>
          </cell>
          <cell r="H3903">
            <v>100000</v>
          </cell>
          <cell r="I3903">
            <v>3.75</v>
          </cell>
          <cell r="J3903">
            <v>46531</v>
          </cell>
          <cell r="K3903">
            <v>100</v>
          </cell>
          <cell r="L3903">
            <v>46511</v>
          </cell>
          <cell r="M3903">
            <v>-2034</v>
          </cell>
          <cell r="N3903">
            <v>97966</v>
          </cell>
        </row>
        <row r="3904">
          <cell r="A3904">
            <v>50097</v>
          </cell>
          <cell r="B3904">
            <v>3898</v>
          </cell>
          <cell r="C3904" t="str">
            <v>IASWD2410000625</v>
          </cell>
          <cell r="D3904">
            <v>45594</v>
          </cell>
          <cell r="E3904">
            <v>46234</v>
          </cell>
          <cell r="F3904" t="str">
            <v>50097</v>
          </cell>
          <cell r="G3904" t="str">
            <v>榮剛七</v>
          </cell>
          <cell r="H3904">
            <v>200000</v>
          </cell>
          <cell r="I3904">
            <v>4.0999999999999996</v>
          </cell>
          <cell r="J3904">
            <v>46234</v>
          </cell>
          <cell r="K3904">
            <v>101.51</v>
          </cell>
          <cell r="L3904">
            <v>46216</v>
          </cell>
          <cell r="M3904">
            <v>-4448</v>
          </cell>
          <cell r="N3904">
            <v>195552</v>
          </cell>
        </row>
        <row r="3905">
          <cell r="A3905">
            <v>67152</v>
          </cell>
          <cell r="B3905">
            <v>3899</v>
          </cell>
          <cell r="C3905" t="str">
            <v>IASWD2410000626</v>
          </cell>
          <cell r="D3905">
            <v>45594</v>
          </cell>
          <cell r="E3905">
            <v>46405</v>
          </cell>
          <cell r="F3905" t="str">
            <v>67152</v>
          </cell>
          <cell r="G3905" t="str">
            <v>嘉基二</v>
          </cell>
          <cell r="H3905">
            <v>100000</v>
          </cell>
          <cell r="I3905">
            <v>3</v>
          </cell>
          <cell r="J3905">
            <v>46405</v>
          </cell>
          <cell r="K3905">
            <v>100</v>
          </cell>
          <cell r="L3905">
            <v>46385</v>
          </cell>
          <cell r="M3905">
            <v>-1627</v>
          </cell>
          <cell r="N3905">
            <v>98373</v>
          </cell>
        </row>
        <row r="3906">
          <cell r="A3906">
            <v>80506</v>
          </cell>
          <cell r="B3906">
            <v>3900</v>
          </cell>
          <cell r="C3906" t="str">
            <v>IASWD2410000627</v>
          </cell>
          <cell r="D3906">
            <v>45594</v>
          </cell>
          <cell r="E3906">
            <v>45983</v>
          </cell>
          <cell r="F3906" t="str">
            <v>80506</v>
          </cell>
          <cell r="G3906" t="str">
            <v>廣積六</v>
          </cell>
          <cell r="H3906">
            <v>100000</v>
          </cell>
          <cell r="I3906">
            <v>3.25</v>
          </cell>
          <cell r="J3906">
            <v>45983</v>
          </cell>
          <cell r="K3906">
            <v>100.75</v>
          </cell>
          <cell r="L3906">
            <v>45965</v>
          </cell>
          <cell r="M3906">
            <v>-1763</v>
          </cell>
          <cell r="N3906">
            <v>98237</v>
          </cell>
        </row>
        <row r="3907">
          <cell r="A3907">
            <v>84781</v>
          </cell>
          <cell r="B3907">
            <v>3901</v>
          </cell>
          <cell r="C3907" t="str">
            <v>IASWD2410000628</v>
          </cell>
          <cell r="D3907">
            <v>45594</v>
          </cell>
          <cell r="E3907">
            <v>46583</v>
          </cell>
          <cell r="F3907" t="str">
            <v>84781</v>
          </cell>
          <cell r="G3907" t="str">
            <v>東哥遊艇一</v>
          </cell>
          <cell r="H3907">
            <v>1800000</v>
          </cell>
          <cell r="I3907">
            <v>3.1</v>
          </cell>
          <cell r="J3907">
            <v>46583</v>
          </cell>
          <cell r="K3907">
            <v>100</v>
          </cell>
          <cell r="L3907">
            <v>46563</v>
          </cell>
          <cell r="M3907">
            <v>-30270</v>
          </cell>
          <cell r="N3907">
            <v>1769730</v>
          </cell>
        </row>
        <row r="3908">
          <cell r="A3908">
            <v>53064</v>
          </cell>
          <cell r="B3908">
            <v>3902</v>
          </cell>
          <cell r="C3908" t="str">
            <v>IASWD2410000629</v>
          </cell>
          <cell r="D3908">
            <v>45594</v>
          </cell>
          <cell r="E3908">
            <v>46334</v>
          </cell>
          <cell r="F3908" t="str">
            <v>53064</v>
          </cell>
          <cell r="G3908" t="str">
            <v>桂盟四</v>
          </cell>
          <cell r="H3908">
            <v>100000</v>
          </cell>
          <cell r="I3908">
            <v>2.2999999999999998</v>
          </cell>
          <cell r="J3908">
            <v>46334</v>
          </cell>
          <cell r="K3908">
            <v>100</v>
          </cell>
          <cell r="L3908">
            <v>46315</v>
          </cell>
          <cell r="M3908">
            <v>-1248</v>
          </cell>
          <cell r="N3908">
            <v>98752</v>
          </cell>
        </row>
        <row r="3909">
          <cell r="A3909">
            <v>34843</v>
          </cell>
          <cell r="B3909">
            <v>3903</v>
          </cell>
          <cell r="C3909" t="str">
            <v>IASWD2410000632</v>
          </cell>
          <cell r="D3909">
            <v>45594</v>
          </cell>
          <cell r="E3909">
            <v>46136</v>
          </cell>
          <cell r="F3909" t="str">
            <v>34843</v>
          </cell>
          <cell r="G3909" t="str">
            <v>崧騰三</v>
          </cell>
          <cell r="H3909">
            <v>600000</v>
          </cell>
          <cell r="I3909">
            <v>3.5</v>
          </cell>
          <cell r="J3909">
            <v>46136</v>
          </cell>
          <cell r="K3909">
            <v>100.75</v>
          </cell>
          <cell r="L3909">
            <v>46118</v>
          </cell>
          <cell r="M3909">
            <v>-11392</v>
          </cell>
          <cell r="N3909">
            <v>588608</v>
          </cell>
        </row>
        <row r="3910">
          <cell r="A3910">
            <v>64145</v>
          </cell>
          <cell r="B3910">
            <v>3904</v>
          </cell>
          <cell r="C3910" t="str">
            <v>IASWD2410000633</v>
          </cell>
          <cell r="D3910">
            <v>45594</v>
          </cell>
          <cell r="E3910">
            <v>46250</v>
          </cell>
          <cell r="F3910" t="str">
            <v>64145</v>
          </cell>
          <cell r="G3910" t="str">
            <v>樺漢五</v>
          </cell>
          <cell r="H3910">
            <v>100000</v>
          </cell>
          <cell r="I3910">
            <v>3</v>
          </cell>
          <cell r="J3910">
            <v>46250</v>
          </cell>
          <cell r="K3910">
            <v>100</v>
          </cell>
          <cell r="L3910">
            <v>46231</v>
          </cell>
          <cell r="M3910">
            <v>-1627</v>
          </cell>
          <cell r="N3910">
            <v>98373</v>
          </cell>
        </row>
        <row r="3911">
          <cell r="A3911">
            <v>22013</v>
          </cell>
          <cell r="B3911">
            <v>3905</v>
          </cell>
          <cell r="C3911" t="str">
            <v>IASWD2410000634</v>
          </cell>
          <cell r="D3911">
            <v>45594</v>
          </cell>
          <cell r="E3911">
            <v>46167</v>
          </cell>
          <cell r="F3911" t="str">
            <v>22013</v>
          </cell>
          <cell r="G3911" t="str">
            <v>裕隆三</v>
          </cell>
          <cell r="H3911">
            <v>900000</v>
          </cell>
          <cell r="I3911">
            <v>3.25</v>
          </cell>
          <cell r="J3911">
            <v>46167</v>
          </cell>
          <cell r="K3911">
            <v>100.75190000000001</v>
          </cell>
          <cell r="L3911">
            <v>46147</v>
          </cell>
          <cell r="M3911">
            <v>-15867</v>
          </cell>
          <cell r="N3911">
            <v>884133</v>
          </cell>
        </row>
        <row r="3912">
          <cell r="A3912">
            <v>811210</v>
          </cell>
          <cell r="B3912">
            <v>3906</v>
          </cell>
          <cell r="C3912" t="str">
            <v>IASWD2410000636</v>
          </cell>
          <cell r="D3912">
            <v>45594</v>
          </cell>
          <cell r="E3912">
            <v>46531</v>
          </cell>
          <cell r="F3912" t="str">
            <v>811210</v>
          </cell>
          <cell r="G3912" t="str">
            <v>至上十</v>
          </cell>
          <cell r="H3912">
            <v>500000</v>
          </cell>
          <cell r="I3912">
            <v>3.75</v>
          </cell>
          <cell r="J3912">
            <v>46531</v>
          </cell>
          <cell r="K3912">
            <v>100</v>
          </cell>
          <cell r="L3912">
            <v>46511</v>
          </cell>
          <cell r="M3912">
            <v>-10171</v>
          </cell>
          <cell r="N3912">
            <v>489829</v>
          </cell>
        </row>
        <row r="3913">
          <cell r="A3913">
            <v>34163</v>
          </cell>
          <cell r="B3913">
            <v>3907</v>
          </cell>
          <cell r="C3913" t="str">
            <v>IASWD2410000637</v>
          </cell>
          <cell r="D3913">
            <v>45594</v>
          </cell>
          <cell r="E3913">
            <v>46047</v>
          </cell>
          <cell r="F3913" t="str">
            <v>34163</v>
          </cell>
          <cell r="G3913" t="str">
            <v>融程電三</v>
          </cell>
          <cell r="H3913">
            <v>200000</v>
          </cell>
          <cell r="I3913">
            <v>3</v>
          </cell>
          <cell r="J3913">
            <v>46047</v>
          </cell>
          <cell r="K3913">
            <v>100.5</v>
          </cell>
          <cell r="L3913">
            <v>46028</v>
          </cell>
          <cell r="M3913">
            <v>-3255</v>
          </cell>
          <cell r="N3913">
            <v>196745</v>
          </cell>
        </row>
        <row r="3914">
          <cell r="A3914">
            <v>61394</v>
          </cell>
          <cell r="B3914">
            <v>3908</v>
          </cell>
          <cell r="C3914" t="str">
            <v>IASWD2410000640</v>
          </cell>
          <cell r="D3914">
            <v>45594</v>
          </cell>
          <cell r="E3914">
            <v>46047</v>
          </cell>
          <cell r="F3914" t="str">
            <v>61394</v>
          </cell>
          <cell r="G3914" t="str">
            <v>亞翔四</v>
          </cell>
          <cell r="H3914">
            <v>100000</v>
          </cell>
          <cell r="I3914">
            <v>3</v>
          </cell>
          <cell r="J3914">
            <v>46047</v>
          </cell>
          <cell r="K3914">
            <v>101.0025</v>
          </cell>
          <cell r="L3914">
            <v>46028</v>
          </cell>
          <cell r="M3914">
            <v>-1627</v>
          </cell>
          <cell r="N3914">
            <v>98373</v>
          </cell>
        </row>
        <row r="3915">
          <cell r="A3915">
            <v>61843</v>
          </cell>
          <cell r="B3915">
            <v>3909</v>
          </cell>
          <cell r="C3915" t="str">
            <v>IASWD2410000641</v>
          </cell>
          <cell r="D3915">
            <v>45594</v>
          </cell>
          <cell r="E3915">
            <v>46452</v>
          </cell>
          <cell r="F3915" t="str">
            <v>61843</v>
          </cell>
          <cell r="G3915" t="str">
            <v>大豐電三</v>
          </cell>
          <cell r="H3915">
            <v>200000</v>
          </cell>
          <cell r="I3915">
            <v>3.75</v>
          </cell>
          <cell r="J3915">
            <v>46452</v>
          </cell>
          <cell r="K3915">
            <v>101.50749999999999</v>
          </cell>
          <cell r="L3915">
            <v>46434</v>
          </cell>
          <cell r="M3915">
            <v>-4068</v>
          </cell>
          <cell r="N3915">
            <v>195932</v>
          </cell>
        </row>
        <row r="3916">
          <cell r="A3916">
            <v>22283</v>
          </cell>
          <cell r="B3916">
            <v>3910</v>
          </cell>
          <cell r="C3916" t="str">
            <v>IASWD2410000642</v>
          </cell>
          <cell r="D3916">
            <v>45594</v>
          </cell>
          <cell r="E3916">
            <v>46628</v>
          </cell>
          <cell r="F3916" t="str">
            <v>22283</v>
          </cell>
          <cell r="G3916" t="str">
            <v>劍麟三</v>
          </cell>
          <cell r="H3916">
            <v>300000</v>
          </cell>
          <cell r="I3916">
            <v>3</v>
          </cell>
          <cell r="J3916">
            <v>46628</v>
          </cell>
          <cell r="K3916">
            <v>100</v>
          </cell>
          <cell r="L3916">
            <v>46609</v>
          </cell>
          <cell r="M3916">
            <v>-4882</v>
          </cell>
          <cell r="N3916">
            <v>295118</v>
          </cell>
        </row>
        <row r="3917">
          <cell r="A3917">
            <v>33571</v>
          </cell>
          <cell r="B3917">
            <v>3911</v>
          </cell>
          <cell r="C3917" t="str">
            <v>IASWD2410000643</v>
          </cell>
          <cell r="D3917">
            <v>45594</v>
          </cell>
          <cell r="E3917">
            <v>46326</v>
          </cell>
          <cell r="F3917" t="str">
            <v>33571</v>
          </cell>
          <cell r="G3917" t="str">
            <v>臺慶科一</v>
          </cell>
          <cell r="H3917">
            <v>100000</v>
          </cell>
          <cell r="I3917">
            <v>2.6</v>
          </cell>
          <cell r="J3917">
            <v>46326</v>
          </cell>
          <cell r="K3917">
            <v>100</v>
          </cell>
          <cell r="L3917">
            <v>46308</v>
          </cell>
          <cell r="M3917">
            <v>-1410</v>
          </cell>
          <cell r="N3917">
            <v>98590</v>
          </cell>
        </row>
        <row r="3918">
          <cell r="A3918">
            <v>64145</v>
          </cell>
          <cell r="B3918">
            <v>3912</v>
          </cell>
          <cell r="C3918" t="str">
            <v>IASWD2410000644</v>
          </cell>
          <cell r="D3918">
            <v>45594</v>
          </cell>
          <cell r="E3918">
            <v>46250</v>
          </cell>
          <cell r="F3918" t="str">
            <v>64145</v>
          </cell>
          <cell r="G3918" t="str">
            <v>樺漢五</v>
          </cell>
          <cell r="H3918">
            <v>100000</v>
          </cell>
          <cell r="I3918">
            <v>3</v>
          </cell>
          <cell r="J3918">
            <v>46250</v>
          </cell>
          <cell r="K3918">
            <v>100</v>
          </cell>
          <cell r="L3918">
            <v>46231</v>
          </cell>
          <cell r="M3918">
            <v>-1627</v>
          </cell>
          <cell r="N3918">
            <v>98373</v>
          </cell>
        </row>
        <row r="3919">
          <cell r="A3919">
            <v>84781</v>
          </cell>
          <cell r="B3919">
            <v>3913</v>
          </cell>
          <cell r="C3919" t="str">
            <v>IASWD2410000645</v>
          </cell>
          <cell r="D3919">
            <v>45594</v>
          </cell>
          <cell r="E3919">
            <v>46583</v>
          </cell>
          <cell r="F3919" t="str">
            <v>84781</v>
          </cell>
          <cell r="G3919" t="str">
            <v>東哥遊艇一</v>
          </cell>
          <cell r="H3919">
            <v>100000</v>
          </cell>
          <cell r="I3919">
            <v>3.1</v>
          </cell>
          <cell r="J3919">
            <v>46583</v>
          </cell>
          <cell r="K3919">
            <v>100</v>
          </cell>
          <cell r="L3919">
            <v>46563</v>
          </cell>
          <cell r="M3919">
            <v>-1682</v>
          </cell>
          <cell r="N3919">
            <v>98318</v>
          </cell>
        </row>
        <row r="3920">
          <cell r="A3920">
            <v>811210</v>
          </cell>
          <cell r="B3920">
            <v>3914</v>
          </cell>
          <cell r="C3920" t="str">
            <v>IASWD2410000646</v>
          </cell>
          <cell r="D3920">
            <v>45595</v>
          </cell>
          <cell r="E3920">
            <v>46531</v>
          </cell>
          <cell r="F3920" t="str">
            <v>811210</v>
          </cell>
          <cell r="G3920" t="str">
            <v>至上十</v>
          </cell>
          <cell r="H3920">
            <v>500000</v>
          </cell>
          <cell r="I3920">
            <v>3.75</v>
          </cell>
          <cell r="J3920">
            <v>46531</v>
          </cell>
          <cell r="K3920">
            <v>100</v>
          </cell>
          <cell r="L3920">
            <v>46511</v>
          </cell>
          <cell r="M3920">
            <v>-10120</v>
          </cell>
          <cell r="N3920">
            <v>489880</v>
          </cell>
        </row>
        <row r="3921">
          <cell r="A3921">
            <v>80914</v>
          </cell>
          <cell r="B3921">
            <v>3915</v>
          </cell>
          <cell r="C3921" t="str">
            <v>IASWD2410000649</v>
          </cell>
          <cell r="D3921">
            <v>45595</v>
          </cell>
          <cell r="E3921">
            <v>46249</v>
          </cell>
          <cell r="F3921" t="str">
            <v>80914</v>
          </cell>
          <cell r="G3921" t="str">
            <v>翔名四</v>
          </cell>
          <cell r="H3921">
            <v>500000</v>
          </cell>
          <cell r="I3921">
            <v>3.1</v>
          </cell>
          <cell r="J3921">
            <v>46249</v>
          </cell>
          <cell r="K3921">
            <v>100.25</v>
          </cell>
          <cell r="L3921">
            <v>46231</v>
          </cell>
          <cell r="M3921">
            <v>-8366</v>
          </cell>
          <cell r="N3921">
            <v>491634</v>
          </cell>
        </row>
        <row r="3922">
          <cell r="A3922">
            <v>61843</v>
          </cell>
          <cell r="B3922">
            <v>3916</v>
          </cell>
          <cell r="C3922" t="str">
            <v>IASWD2410000650</v>
          </cell>
          <cell r="D3922">
            <v>45595</v>
          </cell>
          <cell r="E3922">
            <v>46452</v>
          </cell>
          <cell r="F3922" t="str">
            <v>61843</v>
          </cell>
          <cell r="G3922" t="str">
            <v>大豐電三</v>
          </cell>
          <cell r="H3922">
            <v>100000</v>
          </cell>
          <cell r="I3922">
            <v>3.75</v>
          </cell>
          <cell r="J3922">
            <v>46452</v>
          </cell>
          <cell r="K3922">
            <v>101.50749999999999</v>
          </cell>
          <cell r="L3922">
            <v>46434</v>
          </cell>
          <cell r="M3922">
            <v>-2024</v>
          </cell>
          <cell r="N3922">
            <v>97976</v>
          </cell>
        </row>
        <row r="3923">
          <cell r="A3923">
            <v>22013</v>
          </cell>
          <cell r="B3923">
            <v>3917</v>
          </cell>
          <cell r="C3923" t="str">
            <v>IASWD2410000651</v>
          </cell>
          <cell r="D3923">
            <v>45595</v>
          </cell>
          <cell r="E3923">
            <v>46167</v>
          </cell>
          <cell r="F3923" t="str">
            <v>22013</v>
          </cell>
          <cell r="G3923" t="str">
            <v>裕隆三</v>
          </cell>
          <cell r="H3923">
            <v>200000</v>
          </cell>
          <cell r="I3923">
            <v>3.25</v>
          </cell>
          <cell r="J3923">
            <v>46167</v>
          </cell>
          <cell r="K3923">
            <v>100.75190000000001</v>
          </cell>
          <cell r="L3923">
            <v>46147</v>
          </cell>
          <cell r="M3923">
            <v>-3508</v>
          </cell>
          <cell r="N3923">
            <v>196492</v>
          </cell>
        </row>
        <row r="3924">
          <cell r="A3924">
            <v>811210</v>
          </cell>
          <cell r="B3924">
            <v>3918</v>
          </cell>
          <cell r="C3924" t="str">
            <v>IASWD2410000652</v>
          </cell>
          <cell r="D3924">
            <v>45595</v>
          </cell>
          <cell r="E3924">
            <v>46531</v>
          </cell>
          <cell r="F3924" t="str">
            <v>811210</v>
          </cell>
          <cell r="G3924" t="str">
            <v>至上十</v>
          </cell>
          <cell r="H3924">
            <v>1000000</v>
          </cell>
          <cell r="I3924">
            <v>3.75</v>
          </cell>
          <cell r="J3924">
            <v>46531</v>
          </cell>
          <cell r="K3924">
            <v>100</v>
          </cell>
          <cell r="L3924">
            <v>46511</v>
          </cell>
          <cell r="M3924">
            <v>-20240</v>
          </cell>
          <cell r="N3924">
            <v>979760</v>
          </cell>
        </row>
        <row r="3925">
          <cell r="A3925">
            <v>50097</v>
          </cell>
          <cell r="B3925">
            <v>3919</v>
          </cell>
          <cell r="C3925" t="str">
            <v>IASWD2410000654</v>
          </cell>
          <cell r="D3925">
            <v>45595</v>
          </cell>
          <cell r="E3925">
            <v>46234</v>
          </cell>
          <cell r="F3925" t="str">
            <v>50097</v>
          </cell>
          <cell r="G3925" t="str">
            <v>榮剛七</v>
          </cell>
          <cell r="H3925">
            <v>100000</v>
          </cell>
          <cell r="I3925">
            <v>4.0999999999999996</v>
          </cell>
          <cell r="J3925">
            <v>46234</v>
          </cell>
          <cell r="K3925">
            <v>101.51</v>
          </cell>
          <cell r="L3925">
            <v>46216</v>
          </cell>
          <cell r="M3925">
            <v>-2213</v>
          </cell>
          <cell r="N3925">
            <v>97787</v>
          </cell>
        </row>
        <row r="3926">
          <cell r="A3926">
            <v>811210</v>
          </cell>
          <cell r="B3926">
            <v>3920</v>
          </cell>
          <cell r="C3926" t="str">
            <v>IASWD2410000656</v>
          </cell>
          <cell r="D3926">
            <v>45595</v>
          </cell>
          <cell r="E3926">
            <v>46531</v>
          </cell>
          <cell r="F3926" t="str">
            <v>811210</v>
          </cell>
          <cell r="G3926" t="str">
            <v>至上十</v>
          </cell>
          <cell r="H3926">
            <v>200000</v>
          </cell>
          <cell r="I3926">
            <v>3.75</v>
          </cell>
          <cell r="J3926">
            <v>46531</v>
          </cell>
          <cell r="K3926">
            <v>100</v>
          </cell>
          <cell r="L3926">
            <v>46511</v>
          </cell>
          <cell r="M3926">
            <v>-4048</v>
          </cell>
          <cell r="N3926">
            <v>195952</v>
          </cell>
        </row>
        <row r="3927">
          <cell r="A3927">
            <v>34843</v>
          </cell>
          <cell r="B3927">
            <v>3921</v>
          </cell>
          <cell r="C3927" t="str">
            <v>IASWD2410000657</v>
          </cell>
          <cell r="D3927">
            <v>45595</v>
          </cell>
          <cell r="E3927">
            <v>46136</v>
          </cell>
          <cell r="F3927" t="str">
            <v>34843</v>
          </cell>
          <cell r="G3927" t="str">
            <v>崧騰三</v>
          </cell>
          <cell r="H3927">
            <v>100000</v>
          </cell>
          <cell r="I3927">
            <v>3.5</v>
          </cell>
          <cell r="J3927">
            <v>46136</v>
          </cell>
          <cell r="K3927">
            <v>100.75</v>
          </cell>
          <cell r="L3927">
            <v>46118</v>
          </cell>
          <cell r="M3927">
            <v>-1889</v>
          </cell>
          <cell r="N3927">
            <v>98111</v>
          </cell>
        </row>
        <row r="3928">
          <cell r="A3928">
            <v>65096</v>
          </cell>
          <cell r="B3928">
            <v>3922</v>
          </cell>
          <cell r="C3928" t="str">
            <v>IASWD2410000658</v>
          </cell>
          <cell r="D3928">
            <v>45595</v>
          </cell>
          <cell r="E3928">
            <v>46206</v>
          </cell>
          <cell r="F3928" t="str">
            <v>65096</v>
          </cell>
          <cell r="G3928" t="str">
            <v>聚和六</v>
          </cell>
          <cell r="H3928">
            <v>400000</v>
          </cell>
          <cell r="I3928">
            <v>3.1</v>
          </cell>
          <cell r="J3928">
            <v>46206</v>
          </cell>
          <cell r="K3928">
            <v>100</v>
          </cell>
          <cell r="L3928">
            <v>46188</v>
          </cell>
          <cell r="M3928">
            <v>-6693</v>
          </cell>
          <cell r="N3928">
            <v>393307</v>
          </cell>
        </row>
        <row r="3929">
          <cell r="A3929">
            <v>84673</v>
          </cell>
          <cell r="B3929">
            <v>3923</v>
          </cell>
          <cell r="C3929" t="str">
            <v>IASWD2410000660</v>
          </cell>
          <cell r="D3929">
            <v>45595</v>
          </cell>
          <cell r="E3929">
            <v>46538</v>
          </cell>
          <cell r="F3929" t="str">
            <v>84673</v>
          </cell>
          <cell r="G3929" t="str">
            <v>波力三KY</v>
          </cell>
          <cell r="H3929">
            <v>300000</v>
          </cell>
          <cell r="I3929">
            <v>4.2</v>
          </cell>
          <cell r="J3929">
            <v>46538</v>
          </cell>
          <cell r="K3929">
            <v>100</v>
          </cell>
          <cell r="L3929">
            <v>46518</v>
          </cell>
          <cell r="M3929">
            <v>-6801</v>
          </cell>
          <cell r="N3929">
            <v>293199</v>
          </cell>
        </row>
        <row r="3930">
          <cell r="A3930">
            <v>35832</v>
          </cell>
          <cell r="B3930">
            <v>3924</v>
          </cell>
          <cell r="C3930" t="str">
            <v>IASWD2410000661</v>
          </cell>
          <cell r="D3930">
            <v>45595</v>
          </cell>
          <cell r="E3930">
            <v>46192</v>
          </cell>
          <cell r="F3930" t="str">
            <v>35832</v>
          </cell>
          <cell r="G3930" t="str">
            <v>辛耘二</v>
          </cell>
          <cell r="H3930">
            <v>100000</v>
          </cell>
          <cell r="I3930">
            <v>3</v>
          </cell>
          <cell r="J3930">
            <v>46192</v>
          </cell>
          <cell r="K3930">
            <v>100</v>
          </cell>
          <cell r="L3930">
            <v>46174</v>
          </cell>
          <cell r="M3930">
            <v>-1619</v>
          </cell>
          <cell r="N3930">
            <v>98381</v>
          </cell>
        </row>
        <row r="3931">
          <cell r="A3931">
            <v>24361</v>
          </cell>
          <cell r="B3931">
            <v>3925</v>
          </cell>
          <cell r="C3931" t="str">
            <v>IASWD2410000663</v>
          </cell>
          <cell r="D3931">
            <v>45595</v>
          </cell>
          <cell r="E3931">
            <v>45911</v>
          </cell>
          <cell r="F3931" t="str">
            <v>24361</v>
          </cell>
          <cell r="G3931" t="str">
            <v>偉詮電一</v>
          </cell>
          <cell r="H3931">
            <v>200000</v>
          </cell>
          <cell r="I3931">
            <v>3.75</v>
          </cell>
          <cell r="J3931">
            <v>45911</v>
          </cell>
          <cell r="K3931">
            <v>100.50060000000001</v>
          </cell>
          <cell r="L3931">
            <v>45891</v>
          </cell>
          <cell r="M3931">
            <v>-4048</v>
          </cell>
          <cell r="N3931">
            <v>195952</v>
          </cell>
        </row>
        <row r="3932">
          <cell r="A3932">
            <v>30061</v>
          </cell>
          <cell r="B3932">
            <v>3926</v>
          </cell>
          <cell r="C3932" t="str">
            <v>IASWD2410000664</v>
          </cell>
          <cell r="D3932">
            <v>45595</v>
          </cell>
          <cell r="E3932">
            <v>46322</v>
          </cell>
          <cell r="F3932" t="str">
            <v>30061</v>
          </cell>
          <cell r="G3932" t="str">
            <v>晶豪科一</v>
          </cell>
          <cell r="H3932">
            <v>400000</v>
          </cell>
          <cell r="I3932">
            <v>3.75</v>
          </cell>
          <cell r="J3932">
            <v>46322</v>
          </cell>
          <cell r="K3932">
            <v>100</v>
          </cell>
          <cell r="L3932">
            <v>46302</v>
          </cell>
          <cell r="M3932">
            <v>-8096</v>
          </cell>
          <cell r="N3932">
            <v>391904</v>
          </cell>
        </row>
        <row r="3933">
          <cell r="A3933">
            <v>80914</v>
          </cell>
          <cell r="B3933">
            <v>3927</v>
          </cell>
          <cell r="C3933" t="str">
            <v>IASWD2410000670</v>
          </cell>
          <cell r="D3933">
            <v>45595</v>
          </cell>
          <cell r="E3933">
            <v>46249</v>
          </cell>
          <cell r="F3933" t="str">
            <v>80914</v>
          </cell>
          <cell r="G3933" t="str">
            <v>翔名四</v>
          </cell>
          <cell r="H3933">
            <v>100000</v>
          </cell>
          <cell r="I3933">
            <v>3.1</v>
          </cell>
          <cell r="J3933">
            <v>46249</v>
          </cell>
          <cell r="K3933">
            <v>100.25</v>
          </cell>
          <cell r="L3933">
            <v>46231</v>
          </cell>
          <cell r="M3933">
            <v>-1673</v>
          </cell>
          <cell r="N3933">
            <v>98327</v>
          </cell>
        </row>
        <row r="3934">
          <cell r="A3934">
            <v>22283</v>
          </cell>
          <cell r="B3934">
            <v>3928</v>
          </cell>
          <cell r="C3934" t="str">
            <v>IASWD2410000671</v>
          </cell>
          <cell r="D3934">
            <v>45595</v>
          </cell>
          <cell r="E3934">
            <v>46628</v>
          </cell>
          <cell r="F3934" t="str">
            <v>22283</v>
          </cell>
          <cell r="G3934" t="str">
            <v>劍麟三</v>
          </cell>
          <cell r="H3934">
            <v>400000</v>
          </cell>
          <cell r="I3934">
            <v>3</v>
          </cell>
          <cell r="J3934">
            <v>46628</v>
          </cell>
          <cell r="K3934">
            <v>100</v>
          </cell>
          <cell r="L3934">
            <v>46609</v>
          </cell>
          <cell r="M3934">
            <v>-6477</v>
          </cell>
          <cell r="N3934">
            <v>393523</v>
          </cell>
        </row>
        <row r="3935">
          <cell r="A3935">
            <v>30061</v>
          </cell>
          <cell r="B3935">
            <v>3929</v>
          </cell>
          <cell r="C3935" t="str">
            <v>IASWD2410000672</v>
          </cell>
          <cell r="D3935">
            <v>45595</v>
          </cell>
          <cell r="E3935">
            <v>46322</v>
          </cell>
          <cell r="F3935" t="str">
            <v>30061</v>
          </cell>
          <cell r="G3935" t="str">
            <v>晶豪科一</v>
          </cell>
          <cell r="H3935">
            <v>100000</v>
          </cell>
          <cell r="I3935">
            <v>3.75</v>
          </cell>
          <cell r="J3935">
            <v>46322</v>
          </cell>
          <cell r="K3935">
            <v>100</v>
          </cell>
          <cell r="L3935">
            <v>46302</v>
          </cell>
          <cell r="M3935">
            <v>-2024</v>
          </cell>
          <cell r="N3935">
            <v>97976</v>
          </cell>
        </row>
        <row r="3936">
          <cell r="A3936">
            <v>61875</v>
          </cell>
          <cell r="B3936">
            <v>3930</v>
          </cell>
          <cell r="C3936" t="str">
            <v>IASWD2410000673</v>
          </cell>
          <cell r="D3936">
            <v>45595</v>
          </cell>
          <cell r="E3936">
            <v>46578</v>
          </cell>
          <cell r="F3936" t="str">
            <v>61875</v>
          </cell>
          <cell r="G3936" t="str">
            <v>萬潤五</v>
          </cell>
          <cell r="H3936">
            <v>100000</v>
          </cell>
          <cell r="I3936">
            <v>3.1</v>
          </cell>
          <cell r="J3936">
            <v>46578</v>
          </cell>
          <cell r="K3936">
            <v>100</v>
          </cell>
          <cell r="L3936">
            <v>46560</v>
          </cell>
          <cell r="M3936">
            <v>-1673</v>
          </cell>
          <cell r="N3936">
            <v>98327</v>
          </cell>
        </row>
        <row r="3937">
          <cell r="A3937">
            <v>140202</v>
          </cell>
          <cell r="B3937">
            <v>3931</v>
          </cell>
          <cell r="C3937" t="str">
            <v>IASWD2410000675</v>
          </cell>
          <cell r="D3937">
            <v>45595</v>
          </cell>
          <cell r="E3937">
            <v>46607</v>
          </cell>
          <cell r="F3937" t="str">
            <v>140202</v>
          </cell>
          <cell r="G3937" t="str">
            <v>遠東新E2永</v>
          </cell>
          <cell r="H3937">
            <v>200000</v>
          </cell>
          <cell r="I3937">
            <v>2.7</v>
          </cell>
          <cell r="J3937">
            <v>46607</v>
          </cell>
          <cell r="K3937">
            <v>100</v>
          </cell>
          <cell r="L3937">
            <v>46588</v>
          </cell>
          <cell r="M3937">
            <v>-2915</v>
          </cell>
          <cell r="N3937">
            <v>197085</v>
          </cell>
        </row>
        <row r="3938">
          <cell r="A3938">
            <v>50097</v>
          </cell>
          <cell r="B3938">
            <v>3932</v>
          </cell>
          <cell r="C3938" t="str">
            <v>IASWD2411000001</v>
          </cell>
          <cell r="D3938">
            <v>45597</v>
          </cell>
          <cell r="E3938">
            <v>46234</v>
          </cell>
          <cell r="F3938" t="str">
            <v>50097</v>
          </cell>
          <cell r="G3938" t="str">
            <v>榮剛七</v>
          </cell>
          <cell r="H3938">
            <v>100000</v>
          </cell>
          <cell r="I3938">
            <v>4.0999999999999996</v>
          </cell>
          <cell r="J3938">
            <v>46234</v>
          </cell>
          <cell r="K3938">
            <v>101.51</v>
          </cell>
          <cell r="L3938">
            <v>46216</v>
          </cell>
          <cell r="M3938">
            <v>-2190</v>
          </cell>
          <cell r="N3938">
            <v>97810</v>
          </cell>
        </row>
        <row r="3939">
          <cell r="A3939">
            <v>61394</v>
          </cell>
          <cell r="B3939">
            <v>3933</v>
          </cell>
          <cell r="C3939" t="str">
            <v>IASWD2411000005</v>
          </cell>
          <cell r="D3939">
            <v>45597</v>
          </cell>
          <cell r="E3939">
            <v>46047</v>
          </cell>
          <cell r="F3939" t="str">
            <v>61394</v>
          </cell>
          <cell r="G3939" t="str">
            <v>亞翔四</v>
          </cell>
          <cell r="H3939">
            <v>100000</v>
          </cell>
          <cell r="I3939">
            <v>3</v>
          </cell>
          <cell r="J3939">
            <v>46047</v>
          </cell>
          <cell r="K3939">
            <v>101.0025</v>
          </cell>
          <cell r="L3939">
            <v>46028</v>
          </cell>
          <cell r="M3939">
            <v>-1603</v>
          </cell>
          <cell r="N3939">
            <v>98397</v>
          </cell>
        </row>
        <row r="3940">
          <cell r="A3940">
            <v>35832</v>
          </cell>
          <cell r="B3940">
            <v>3934</v>
          </cell>
          <cell r="C3940" t="str">
            <v>IASWD2411000006</v>
          </cell>
          <cell r="D3940">
            <v>45597</v>
          </cell>
          <cell r="E3940">
            <v>46192</v>
          </cell>
          <cell r="F3940" t="str">
            <v>35832</v>
          </cell>
          <cell r="G3940" t="str">
            <v>辛耘二</v>
          </cell>
          <cell r="H3940">
            <v>100000</v>
          </cell>
          <cell r="I3940">
            <v>3</v>
          </cell>
          <cell r="J3940">
            <v>46192</v>
          </cell>
          <cell r="K3940">
            <v>100</v>
          </cell>
          <cell r="L3940">
            <v>46174</v>
          </cell>
          <cell r="M3940">
            <v>-1603</v>
          </cell>
          <cell r="N3940">
            <v>98397</v>
          </cell>
        </row>
        <row r="3941">
          <cell r="A3941">
            <v>65096</v>
          </cell>
          <cell r="B3941">
            <v>3935</v>
          </cell>
          <cell r="C3941" t="str">
            <v>IASWD2411000007</v>
          </cell>
          <cell r="D3941">
            <v>45597</v>
          </cell>
          <cell r="E3941">
            <v>46206</v>
          </cell>
          <cell r="F3941" t="str">
            <v>65096</v>
          </cell>
          <cell r="G3941" t="str">
            <v>聚和六</v>
          </cell>
          <cell r="H3941">
            <v>500000</v>
          </cell>
          <cell r="I3941">
            <v>3.1</v>
          </cell>
          <cell r="J3941">
            <v>46206</v>
          </cell>
          <cell r="K3941">
            <v>100</v>
          </cell>
          <cell r="L3941">
            <v>46188</v>
          </cell>
          <cell r="M3941">
            <v>-8281</v>
          </cell>
          <cell r="N3941">
            <v>491719</v>
          </cell>
        </row>
        <row r="3942">
          <cell r="A3942">
            <v>140202</v>
          </cell>
          <cell r="B3942">
            <v>3936</v>
          </cell>
          <cell r="C3942" t="str">
            <v>IASWD2411000009</v>
          </cell>
          <cell r="D3942">
            <v>45597</v>
          </cell>
          <cell r="E3942">
            <v>46607</v>
          </cell>
          <cell r="F3942" t="str">
            <v>140202</v>
          </cell>
          <cell r="G3942" t="str">
            <v>遠東新E2永</v>
          </cell>
          <cell r="H3942">
            <v>500000</v>
          </cell>
          <cell r="I3942">
            <v>2.7</v>
          </cell>
          <cell r="J3942">
            <v>46607</v>
          </cell>
          <cell r="K3942">
            <v>100</v>
          </cell>
          <cell r="L3942">
            <v>46588</v>
          </cell>
          <cell r="M3942">
            <v>-7212</v>
          </cell>
          <cell r="N3942">
            <v>492788</v>
          </cell>
        </row>
        <row r="3943">
          <cell r="A3943">
            <v>35832</v>
          </cell>
          <cell r="B3943">
            <v>3937</v>
          </cell>
          <cell r="C3943" t="str">
            <v>IASWD2411000010</v>
          </cell>
          <cell r="D3943">
            <v>45597</v>
          </cell>
          <cell r="E3943">
            <v>46192</v>
          </cell>
          <cell r="F3943" t="str">
            <v>35832</v>
          </cell>
          <cell r="G3943" t="str">
            <v>辛耘二</v>
          </cell>
          <cell r="H3943">
            <v>100000</v>
          </cell>
          <cell r="I3943">
            <v>3</v>
          </cell>
          <cell r="J3943">
            <v>46192</v>
          </cell>
          <cell r="K3943">
            <v>100</v>
          </cell>
          <cell r="L3943">
            <v>46174</v>
          </cell>
          <cell r="M3943">
            <v>-1603</v>
          </cell>
          <cell r="N3943">
            <v>98397</v>
          </cell>
        </row>
        <row r="3944">
          <cell r="A3944">
            <v>22013</v>
          </cell>
          <cell r="B3944">
            <v>3938</v>
          </cell>
          <cell r="C3944" t="str">
            <v>IASWD2411000011</v>
          </cell>
          <cell r="D3944">
            <v>45597</v>
          </cell>
          <cell r="E3944">
            <v>46167</v>
          </cell>
          <cell r="F3944" t="str">
            <v>22013</v>
          </cell>
          <cell r="G3944" t="str">
            <v>裕隆三</v>
          </cell>
          <cell r="H3944">
            <v>100000</v>
          </cell>
          <cell r="I3944">
            <v>3.25</v>
          </cell>
          <cell r="J3944">
            <v>46167</v>
          </cell>
          <cell r="K3944">
            <v>100.75190000000001</v>
          </cell>
          <cell r="L3944">
            <v>46147</v>
          </cell>
          <cell r="M3944">
            <v>-1736</v>
          </cell>
          <cell r="N3944">
            <v>98264</v>
          </cell>
        </row>
        <row r="3945">
          <cell r="A3945">
            <v>67531</v>
          </cell>
          <cell r="B3945">
            <v>3939</v>
          </cell>
          <cell r="C3945" t="str">
            <v>IASWD2411000012</v>
          </cell>
          <cell r="D3945">
            <v>45597</v>
          </cell>
          <cell r="E3945">
            <v>46563</v>
          </cell>
          <cell r="F3945" t="str">
            <v>67531</v>
          </cell>
          <cell r="G3945" t="str">
            <v>龍德造船一</v>
          </cell>
          <cell r="H3945">
            <v>100000</v>
          </cell>
          <cell r="I3945">
            <v>3.35</v>
          </cell>
          <cell r="J3945">
            <v>46563</v>
          </cell>
          <cell r="K3945">
            <v>100</v>
          </cell>
          <cell r="L3945">
            <v>46545</v>
          </cell>
          <cell r="M3945">
            <v>-1790</v>
          </cell>
          <cell r="N3945">
            <v>98210</v>
          </cell>
        </row>
        <row r="3946">
          <cell r="A3946">
            <v>50097</v>
          </cell>
          <cell r="B3946">
            <v>3940</v>
          </cell>
          <cell r="C3946" t="str">
            <v>IASWD2411000013</v>
          </cell>
          <cell r="D3946">
            <v>45597</v>
          </cell>
          <cell r="E3946">
            <v>46234</v>
          </cell>
          <cell r="F3946" t="str">
            <v>50097</v>
          </cell>
          <cell r="G3946" t="str">
            <v>榮剛七</v>
          </cell>
          <cell r="H3946">
            <v>100000</v>
          </cell>
          <cell r="I3946">
            <v>4.0999999999999996</v>
          </cell>
          <cell r="J3946">
            <v>46234</v>
          </cell>
          <cell r="K3946">
            <v>101.51</v>
          </cell>
          <cell r="L3946">
            <v>46216</v>
          </cell>
          <cell r="M3946">
            <v>-2190</v>
          </cell>
          <cell r="N3946">
            <v>97810</v>
          </cell>
        </row>
        <row r="3947">
          <cell r="A3947">
            <v>22283</v>
          </cell>
          <cell r="B3947">
            <v>3941</v>
          </cell>
          <cell r="C3947" t="str">
            <v>IASWD2411000014</v>
          </cell>
          <cell r="D3947">
            <v>45597</v>
          </cell>
          <cell r="E3947">
            <v>46628</v>
          </cell>
          <cell r="F3947" t="str">
            <v>22283</v>
          </cell>
          <cell r="G3947" t="str">
            <v>劍麟三</v>
          </cell>
          <cell r="H3947">
            <v>2100000</v>
          </cell>
          <cell r="I3947">
            <v>3</v>
          </cell>
          <cell r="J3947">
            <v>46628</v>
          </cell>
          <cell r="K3947">
            <v>100</v>
          </cell>
          <cell r="L3947">
            <v>46609</v>
          </cell>
          <cell r="M3947">
            <v>-33658</v>
          </cell>
          <cell r="N3947">
            <v>2066342</v>
          </cell>
        </row>
        <row r="3948">
          <cell r="A3948">
            <v>140202</v>
          </cell>
          <cell r="B3948">
            <v>3942</v>
          </cell>
          <cell r="C3948" t="str">
            <v>IASWD2411000015</v>
          </cell>
          <cell r="D3948">
            <v>45597</v>
          </cell>
          <cell r="E3948">
            <v>46607</v>
          </cell>
          <cell r="F3948" t="str">
            <v>140202</v>
          </cell>
          <cell r="G3948" t="str">
            <v>遠東新E2永</v>
          </cell>
          <cell r="H3948">
            <v>300000</v>
          </cell>
          <cell r="I3948">
            <v>2.7</v>
          </cell>
          <cell r="J3948">
            <v>46607</v>
          </cell>
          <cell r="K3948">
            <v>100</v>
          </cell>
          <cell r="L3948">
            <v>46588</v>
          </cell>
          <cell r="M3948">
            <v>-4327</v>
          </cell>
          <cell r="N3948">
            <v>295673</v>
          </cell>
        </row>
        <row r="3949">
          <cell r="A3949">
            <v>16095</v>
          </cell>
          <cell r="B3949">
            <v>3943</v>
          </cell>
          <cell r="C3949" t="str">
            <v>IASWD2411000017</v>
          </cell>
          <cell r="D3949">
            <v>45597</v>
          </cell>
          <cell r="E3949">
            <v>46660</v>
          </cell>
          <cell r="F3949" t="str">
            <v>16095</v>
          </cell>
          <cell r="G3949" t="str">
            <v>大亞五</v>
          </cell>
          <cell r="H3949">
            <v>100000</v>
          </cell>
          <cell r="I3949">
            <v>3</v>
          </cell>
          <cell r="J3949">
            <v>46660</v>
          </cell>
          <cell r="K3949">
            <v>100.75</v>
          </cell>
          <cell r="L3949">
            <v>46640</v>
          </cell>
          <cell r="M3949">
            <v>-1603</v>
          </cell>
          <cell r="N3949">
            <v>98397</v>
          </cell>
        </row>
        <row r="3950">
          <cell r="A3950">
            <v>50097</v>
          </cell>
          <cell r="B3950">
            <v>3944</v>
          </cell>
          <cell r="C3950" t="str">
            <v>IASWD2411000018</v>
          </cell>
          <cell r="D3950">
            <v>45597</v>
          </cell>
          <cell r="E3950">
            <v>46234</v>
          </cell>
          <cell r="F3950" t="str">
            <v>50097</v>
          </cell>
          <cell r="G3950" t="str">
            <v>榮剛七</v>
          </cell>
          <cell r="H3950">
            <v>100000</v>
          </cell>
          <cell r="I3950">
            <v>4.0999999999999996</v>
          </cell>
          <cell r="J3950">
            <v>46234</v>
          </cell>
          <cell r="K3950">
            <v>101.51</v>
          </cell>
          <cell r="L3950">
            <v>46216</v>
          </cell>
          <cell r="M3950">
            <v>-2190</v>
          </cell>
          <cell r="N3950">
            <v>97810</v>
          </cell>
        </row>
        <row r="3951">
          <cell r="A3951">
            <v>140202</v>
          </cell>
          <cell r="B3951">
            <v>3945</v>
          </cell>
          <cell r="C3951" t="str">
            <v>IASWD2411000019</v>
          </cell>
          <cell r="D3951">
            <v>45597</v>
          </cell>
          <cell r="E3951">
            <v>46607</v>
          </cell>
          <cell r="F3951" t="str">
            <v>140202</v>
          </cell>
          <cell r="G3951" t="str">
            <v>遠東新E2永</v>
          </cell>
          <cell r="H3951">
            <v>1000000</v>
          </cell>
          <cell r="I3951">
            <v>2.7</v>
          </cell>
          <cell r="J3951">
            <v>46607</v>
          </cell>
          <cell r="K3951">
            <v>100</v>
          </cell>
          <cell r="L3951">
            <v>46588</v>
          </cell>
          <cell r="M3951">
            <v>-14425</v>
          </cell>
          <cell r="N3951">
            <v>985575</v>
          </cell>
        </row>
        <row r="3952">
          <cell r="A3952">
            <v>61843</v>
          </cell>
          <cell r="B3952">
            <v>3946</v>
          </cell>
          <cell r="C3952" t="str">
            <v>IASWD2411000020</v>
          </cell>
          <cell r="D3952">
            <v>45597</v>
          </cell>
          <cell r="E3952">
            <v>46452</v>
          </cell>
          <cell r="F3952" t="str">
            <v>61843</v>
          </cell>
          <cell r="G3952" t="str">
            <v>大豐電三</v>
          </cell>
          <cell r="H3952">
            <v>100000</v>
          </cell>
          <cell r="I3952">
            <v>3.75</v>
          </cell>
          <cell r="J3952">
            <v>46452</v>
          </cell>
          <cell r="K3952">
            <v>101.50749999999999</v>
          </cell>
          <cell r="L3952">
            <v>46434</v>
          </cell>
          <cell r="M3952">
            <v>-2003</v>
          </cell>
          <cell r="N3952">
            <v>97997</v>
          </cell>
        </row>
        <row r="3953">
          <cell r="A3953">
            <v>61394</v>
          </cell>
          <cell r="B3953">
            <v>3947</v>
          </cell>
          <cell r="C3953" t="str">
            <v>IASWD2411000021</v>
          </cell>
          <cell r="D3953">
            <v>45597</v>
          </cell>
          <cell r="E3953">
            <v>46047</v>
          </cell>
          <cell r="F3953" t="str">
            <v>61394</v>
          </cell>
          <cell r="G3953" t="str">
            <v>亞翔四</v>
          </cell>
          <cell r="H3953">
            <v>100000</v>
          </cell>
          <cell r="I3953">
            <v>3</v>
          </cell>
          <cell r="J3953">
            <v>46047</v>
          </cell>
          <cell r="K3953">
            <v>101.0025</v>
          </cell>
          <cell r="L3953">
            <v>46028</v>
          </cell>
          <cell r="M3953">
            <v>-1603</v>
          </cell>
          <cell r="N3953">
            <v>98397</v>
          </cell>
        </row>
        <row r="3954">
          <cell r="A3954">
            <v>82551</v>
          </cell>
          <cell r="B3954">
            <v>3948</v>
          </cell>
          <cell r="C3954" t="str">
            <v>IASWD2411000022</v>
          </cell>
          <cell r="D3954">
            <v>45597</v>
          </cell>
          <cell r="E3954">
            <v>46243</v>
          </cell>
          <cell r="F3954" t="str">
            <v>82551</v>
          </cell>
          <cell r="G3954" t="str">
            <v>朋程一</v>
          </cell>
          <cell r="H3954">
            <v>100000</v>
          </cell>
          <cell r="I3954">
            <v>2.6</v>
          </cell>
          <cell r="J3954">
            <v>46243</v>
          </cell>
          <cell r="K3954">
            <v>100</v>
          </cell>
          <cell r="L3954">
            <v>46224</v>
          </cell>
          <cell r="M3954">
            <v>-1389</v>
          </cell>
          <cell r="N3954">
            <v>98611</v>
          </cell>
        </row>
        <row r="3955">
          <cell r="A3955">
            <v>33121</v>
          </cell>
          <cell r="B3955">
            <v>3949</v>
          </cell>
          <cell r="C3955" t="str">
            <v>IASWD2411000023</v>
          </cell>
          <cell r="D3955">
            <v>45597</v>
          </cell>
          <cell r="E3955">
            <v>46563</v>
          </cell>
          <cell r="F3955" t="str">
            <v>33121</v>
          </cell>
          <cell r="G3955" t="str">
            <v>弘憶股一</v>
          </cell>
          <cell r="H3955">
            <v>100000</v>
          </cell>
          <cell r="I3955">
            <v>3.35</v>
          </cell>
          <cell r="J3955">
            <v>46563</v>
          </cell>
          <cell r="K3955">
            <v>100</v>
          </cell>
          <cell r="L3955">
            <v>46545</v>
          </cell>
          <cell r="M3955">
            <v>-1790</v>
          </cell>
          <cell r="N3955">
            <v>98210</v>
          </cell>
        </row>
        <row r="3956">
          <cell r="A3956">
            <v>53064</v>
          </cell>
          <cell r="B3956">
            <v>3950</v>
          </cell>
          <cell r="C3956" t="str">
            <v>IASWD2411000024</v>
          </cell>
          <cell r="D3956">
            <v>45597</v>
          </cell>
          <cell r="E3956">
            <v>46334</v>
          </cell>
          <cell r="F3956" t="str">
            <v>53064</v>
          </cell>
          <cell r="G3956" t="str">
            <v>桂盟四</v>
          </cell>
          <cell r="H3956">
            <v>100000</v>
          </cell>
          <cell r="I3956">
            <v>2.2999999999999998</v>
          </cell>
          <cell r="J3956">
            <v>46334</v>
          </cell>
          <cell r="K3956">
            <v>100</v>
          </cell>
          <cell r="L3956">
            <v>46315</v>
          </cell>
          <cell r="M3956">
            <v>-1229</v>
          </cell>
          <cell r="N3956">
            <v>98771</v>
          </cell>
        </row>
        <row r="3957">
          <cell r="A3957">
            <v>50097</v>
          </cell>
          <cell r="B3957">
            <v>3951</v>
          </cell>
          <cell r="C3957" t="str">
            <v>IASWD2411000025</v>
          </cell>
          <cell r="D3957">
            <v>45600</v>
          </cell>
          <cell r="E3957">
            <v>46234</v>
          </cell>
          <cell r="F3957" t="str">
            <v>50097</v>
          </cell>
          <cell r="G3957" t="str">
            <v>榮剛七</v>
          </cell>
          <cell r="H3957">
            <v>100000</v>
          </cell>
          <cell r="I3957">
            <v>4.0999999999999996</v>
          </cell>
          <cell r="J3957">
            <v>46234</v>
          </cell>
          <cell r="K3957">
            <v>101.51</v>
          </cell>
          <cell r="L3957">
            <v>46216</v>
          </cell>
          <cell r="M3957">
            <v>-2157</v>
          </cell>
          <cell r="N3957">
            <v>97843</v>
          </cell>
        </row>
        <row r="3958">
          <cell r="A3958">
            <v>61973</v>
          </cell>
          <cell r="B3958">
            <v>3952</v>
          </cell>
          <cell r="C3958" t="str">
            <v>IASWD2411000026</v>
          </cell>
          <cell r="D3958">
            <v>45600</v>
          </cell>
          <cell r="E3958">
            <v>46675</v>
          </cell>
          <cell r="F3958" t="str">
            <v>61973</v>
          </cell>
          <cell r="G3958" t="str">
            <v>佳必琪三</v>
          </cell>
          <cell r="H3958">
            <v>100000</v>
          </cell>
          <cell r="I3958">
            <v>3</v>
          </cell>
          <cell r="J3958">
            <v>46675</v>
          </cell>
          <cell r="K3958">
            <v>100</v>
          </cell>
          <cell r="L3958">
            <v>46657</v>
          </cell>
          <cell r="M3958">
            <v>-1578</v>
          </cell>
          <cell r="N3958">
            <v>98422</v>
          </cell>
        </row>
        <row r="3959">
          <cell r="A3959">
            <v>61973</v>
          </cell>
          <cell r="B3959">
            <v>3953</v>
          </cell>
          <cell r="C3959" t="str">
            <v>IASWD2411000027</v>
          </cell>
          <cell r="D3959">
            <v>45600</v>
          </cell>
          <cell r="E3959">
            <v>46675</v>
          </cell>
          <cell r="F3959" t="str">
            <v>61973</v>
          </cell>
          <cell r="G3959" t="str">
            <v>佳必琪三</v>
          </cell>
          <cell r="H3959">
            <v>200000</v>
          </cell>
          <cell r="I3959">
            <v>3</v>
          </cell>
          <cell r="J3959">
            <v>46675</v>
          </cell>
          <cell r="K3959">
            <v>100</v>
          </cell>
          <cell r="L3959">
            <v>46657</v>
          </cell>
          <cell r="M3959">
            <v>-3156</v>
          </cell>
          <cell r="N3959">
            <v>196844</v>
          </cell>
        </row>
        <row r="3960">
          <cell r="A3960">
            <v>16095</v>
          </cell>
          <cell r="B3960">
            <v>3954</v>
          </cell>
          <cell r="C3960" t="str">
            <v>IASWD2411000028</v>
          </cell>
          <cell r="D3960">
            <v>45600</v>
          </cell>
          <cell r="E3960">
            <v>46660</v>
          </cell>
          <cell r="F3960" t="str">
            <v>16095</v>
          </cell>
          <cell r="G3960" t="str">
            <v>大亞五</v>
          </cell>
          <cell r="H3960">
            <v>300000</v>
          </cell>
          <cell r="I3960">
            <v>3</v>
          </cell>
          <cell r="J3960">
            <v>46660</v>
          </cell>
          <cell r="K3960">
            <v>100.75</v>
          </cell>
          <cell r="L3960">
            <v>46640</v>
          </cell>
          <cell r="M3960">
            <v>-4734</v>
          </cell>
          <cell r="N3960">
            <v>295266</v>
          </cell>
        </row>
        <row r="3961">
          <cell r="A3961">
            <v>24361</v>
          </cell>
          <cell r="B3961">
            <v>3955</v>
          </cell>
          <cell r="C3961" t="str">
            <v>IASWD2411000029</v>
          </cell>
          <cell r="D3961">
            <v>45600</v>
          </cell>
          <cell r="E3961">
            <v>45911</v>
          </cell>
          <cell r="F3961" t="str">
            <v>24361</v>
          </cell>
          <cell r="G3961" t="str">
            <v>偉詮電一</v>
          </cell>
          <cell r="H3961">
            <v>500000</v>
          </cell>
          <cell r="I3961">
            <v>3.75</v>
          </cell>
          <cell r="J3961">
            <v>45911</v>
          </cell>
          <cell r="K3961">
            <v>100.50060000000001</v>
          </cell>
          <cell r="L3961">
            <v>45891</v>
          </cell>
          <cell r="M3961">
            <v>-9863</v>
          </cell>
          <cell r="N3961">
            <v>490137</v>
          </cell>
        </row>
        <row r="3962">
          <cell r="A3962">
            <v>50097</v>
          </cell>
          <cell r="B3962">
            <v>3956</v>
          </cell>
          <cell r="C3962" t="str">
            <v>IASWD2411000030</v>
          </cell>
          <cell r="D3962">
            <v>45600</v>
          </cell>
          <cell r="E3962">
            <v>46234</v>
          </cell>
          <cell r="F3962" t="str">
            <v>50097</v>
          </cell>
          <cell r="G3962" t="str">
            <v>榮剛七</v>
          </cell>
          <cell r="H3962">
            <v>200000</v>
          </cell>
          <cell r="I3962">
            <v>4.0999999999999996</v>
          </cell>
          <cell r="J3962">
            <v>46234</v>
          </cell>
          <cell r="K3962">
            <v>101.51</v>
          </cell>
          <cell r="L3962">
            <v>46216</v>
          </cell>
          <cell r="M3962">
            <v>-4313</v>
          </cell>
          <cell r="N3962">
            <v>195687</v>
          </cell>
        </row>
        <row r="3963">
          <cell r="A3963">
            <v>65096</v>
          </cell>
          <cell r="B3963">
            <v>3957</v>
          </cell>
          <cell r="C3963" t="str">
            <v>IASWD2411000031</v>
          </cell>
          <cell r="D3963">
            <v>45600</v>
          </cell>
          <cell r="E3963">
            <v>46206</v>
          </cell>
          <cell r="F3963" t="str">
            <v>65096</v>
          </cell>
          <cell r="G3963" t="str">
            <v>聚和六</v>
          </cell>
          <cell r="H3963">
            <v>300000</v>
          </cell>
          <cell r="I3963">
            <v>3.1</v>
          </cell>
          <cell r="J3963">
            <v>46206</v>
          </cell>
          <cell r="K3963">
            <v>100</v>
          </cell>
          <cell r="L3963">
            <v>46188</v>
          </cell>
          <cell r="M3963">
            <v>-4892</v>
          </cell>
          <cell r="N3963">
            <v>295108</v>
          </cell>
        </row>
        <row r="3964">
          <cell r="A3964">
            <v>80914</v>
          </cell>
          <cell r="B3964">
            <v>3958</v>
          </cell>
          <cell r="C3964" t="str">
            <v>IASWD2411000033</v>
          </cell>
          <cell r="D3964">
            <v>45600</v>
          </cell>
          <cell r="E3964">
            <v>46249</v>
          </cell>
          <cell r="F3964" t="str">
            <v>80914</v>
          </cell>
          <cell r="G3964" t="str">
            <v>翔名四</v>
          </cell>
          <cell r="H3964">
            <v>500000</v>
          </cell>
          <cell r="I3964">
            <v>3.1</v>
          </cell>
          <cell r="J3964">
            <v>46249</v>
          </cell>
          <cell r="K3964">
            <v>100.25</v>
          </cell>
          <cell r="L3964">
            <v>46231</v>
          </cell>
          <cell r="M3964">
            <v>-8153</v>
          </cell>
          <cell r="N3964">
            <v>491847</v>
          </cell>
        </row>
        <row r="3965">
          <cell r="A3965">
            <v>61965</v>
          </cell>
          <cell r="B3965">
            <v>3959</v>
          </cell>
          <cell r="C3965" t="str">
            <v>IASWD2411000034</v>
          </cell>
          <cell r="D3965">
            <v>45600</v>
          </cell>
          <cell r="E3965">
            <v>46200</v>
          </cell>
          <cell r="F3965" t="str">
            <v>61965</v>
          </cell>
          <cell r="G3965" t="str">
            <v>帆宣五</v>
          </cell>
          <cell r="H3965">
            <v>100000</v>
          </cell>
          <cell r="I3965">
            <v>3</v>
          </cell>
          <cell r="J3965">
            <v>46200</v>
          </cell>
          <cell r="K3965">
            <v>100</v>
          </cell>
          <cell r="L3965">
            <v>46182</v>
          </cell>
          <cell r="M3965">
            <v>-1578</v>
          </cell>
          <cell r="N3965">
            <v>98422</v>
          </cell>
        </row>
        <row r="3966">
          <cell r="A3966">
            <v>61973</v>
          </cell>
          <cell r="B3966">
            <v>3960</v>
          </cell>
          <cell r="C3966" t="str">
            <v>IASWD2411000035</v>
          </cell>
          <cell r="D3966">
            <v>45600</v>
          </cell>
          <cell r="E3966">
            <v>46675</v>
          </cell>
          <cell r="F3966" t="str">
            <v>61973</v>
          </cell>
          <cell r="G3966" t="str">
            <v>佳必琪三</v>
          </cell>
          <cell r="H3966">
            <v>500000</v>
          </cell>
          <cell r="I3966">
            <v>3</v>
          </cell>
          <cell r="J3966">
            <v>46675</v>
          </cell>
          <cell r="K3966">
            <v>100</v>
          </cell>
          <cell r="L3966">
            <v>46657</v>
          </cell>
          <cell r="M3966">
            <v>-7890</v>
          </cell>
          <cell r="N3966">
            <v>492110</v>
          </cell>
        </row>
        <row r="3967">
          <cell r="A3967">
            <v>80506</v>
          </cell>
          <cell r="B3967">
            <v>3961</v>
          </cell>
          <cell r="C3967" t="str">
            <v>IASWD2411000036</v>
          </cell>
          <cell r="D3967">
            <v>45600</v>
          </cell>
          <cell r="E3967">
            <v>45983</v>
          </cell>
          <cell r="F3967" t="str">
            <v>80506</v>
          </cell>
          <cell r="G3967" t="str">
            <v>廣積六</v>
          </cell>
          <cell r="H3967">
            <v>1700000</v>
          </cell>
          <cell r="I3967">
            <v>3.25</v>
          </cell>
          <cell r="J3967">
            <v>45983</v>
          </cell>
          <cell r="K3967">
            <v>100.75</v>
          </cell>
          <cell r="L3967">
            <v>45965</v>
          </cell>
          <cell r="M3967">
            <v>-29063</v>
          </cell>
          <cell r="N3967">
            <v>1670937</v>
          </cell>
        </row>
        <row r="3968">
          <cell r="A3968">
            <v>53064</v>
          </cell>
          <cell r="B3968">
            <v>3962</v>
          </cell>
          <cell r="C3968" t="str">
            <v>IASWD2411000037</v>
          </cell>
          <cell r="D3968">
            <v>45600</v>
          </cell>
          <cell r="E3968">
            <v>46334</v>
          </cell>
          <cell r="F3968" t="str">
            <v>53064</v>
          </cell>
          <cell r="G3968" t="str">
            <v>桂盟四</v>
          </cell>
          <cell r="H3968">
            <v>200000</v>
          </cell>
          <cell r="I3968">
            <v>2.2999999999999998</v>
          </cell>
          <cell r="J3968">
            <v>46334</v>
          </cell>
          <cell r="K3968">
            <v>100</v>
          </cell>
          <cell r="L3968">
            <v>46315</v>
          </cell>
          <cell r="M3968">
            <v>-2420</v>
          </cell>
          <cell r="N3968">
            <v>197580</v>
          </cell>
        </row>
        <row r="3969">
          <cell r="A3969">
            <v>22013</v>
          </cell>
          <cell r="B3969">
            <v>3963</v>
          </cell>
          <cell r="C3969" t="str">
            <v>IASWD2411000038</v>
          </cell>
          <cell r="D3969">
            <v>45600</v>
          </cell>
          <cell r="E3969">
            <v>46167</v>
          </cell>
          <cell r="F3969" t="str">
            <v>22013</v>
          </cell>
          <cell r="G3969" t="str">
            <v>裕隆三</v>
          </cell>
          <cell r="H3969">
            <v>100000</v>
          </cell>
          <cell r="I3969">
            <v>3.25</v>
          </cell>
          <cell r="J3969">
            <v>46167</v>
          </cell>
          <cell r="K3969">
            <v>100.75190000000001</v>
          </cell>
          <cell r="L3969">
            <v>46147</v>
          </cell>
          <cell r="M3969">
            <v>-1710</v>
          </cell>
          <cell r="N3969">
            <v>98290</v>
          </cell>
        </row>
        <row r="3970">
          <cell r="A3970">
            <v>35832</v>
          </cell>
          <cell r="B3970">
            <v>3964</v>
          </cell>
          <cell r="C3970" t="str">
            <v>IASWD2411000039</v>
          </cell>
          <cell r="D3970">
            <v>45600</v>
          </cell>
          <cell r="E3970">
            <v>46192</v>
          </cell>
          <cell r="F3970" t="str">
            <v>35832</v>
          </cell>
          <cell r="G3970" t="str">
            <v>辛耘二</v>
          </cell>
          <cell r="H3970">
            <v>100000</v>
          </cell>
          <cell r="I3970">
            <v>3</v>
          </cell>
          <cell r="J3970">
            <v>46192</v>
          </cell>
          <cell r="K3970">
            <v>100</v>
          </cell>
          <cell r="L3970">
            <v>46174</v>
          </cell>
          <cell r="M3970">
            <v>-1578</v>
          </cell>
          <cell r="N3970">
            <v>98422</v>
          </cell>
        </row>
        <row r="3971">
          <cell r="A3971">
            <v>61973</v>
          </cell>
          <cell r="B3971">
            <v>3965</v>
          </cell>
          <cell r="C3971" t="str">
            <v>IASWD2411000040</v>
          </cell>
          <cell r="D3971">
            <v>45600</v>
          </cell>
          <cell r="E3971">
            <v>46675</v>
          </cell>
          <cell r="F3971" t="str">
            <v>61973</v>
          </cell>
          <cell r="G3971" t="str">
            <v>佳必琪三</v>
          </cell>
          <cell r="H3971">
            <v>200000</v>
          </cell>
          <cell r="I3971">
            <v>3</v>
          </cell>
          <cell r="J3971">
            <v>46675</v>
          </cell>
          <cell r="K3971">
            <v>100</v>
          </cell>
          <cell r="L3971">
            <v>46657</v>
          </cell>
          <cell r="M3971">
            <v>-3156</v>
          </cell>
          <cell r="N3971">
            <v>196844</v>
          </cell>
        </row>
        <row r="3972">
          <cell r="A3972">
            <v>82992</v>
          </cell>
          <cell r="B3972">
            <v>3966</v>
          </cell>
          <cell r="C3972" t="str">
            <v>IASWD2411000041</v>
          </cell>
          <cell r="D3972">
            <v>45601</v>
          </cell>
          <cell r="E3972">
            <v>46410</v>
          </cell>
          <cell r="F3972" t="str">
            <v>82992</v>
          </cell>
          <cell r="G3972" t="str">
            <v>群聯二</v>
          </cell>
          <cell r="H3972">
            <v>100000</v>
          </cell>
          <cell r="I3972">
            <v>2.6</v>
          </cell>
          <cell r="J3972">
            <v>46410</v>
          </cell>
          <cell r="K3972">
            <v>100</v>
          </cell>
          <cell r="L3972">
            <v>46392</v>
          </cell>
          <cell r="M3972">
            <v>-1361</v>
          </cell>
          <cell r="N3972">
            <v>98639</v>
          </cell>
        </row>
        <row r="3973">
          <cell r="A3973">
            <v>34163</v>
          </cell>
          <cell r="B3973">
            <v>3967</v>
          </cell>
          <cell r="C3973" t="str">
            <v>IASWD2411000042</v>
          </cell>
          <cell r="D3973">
            <v>45601</v>
          </cell>
          <cell r="E3973">
            <v>46047</v>
          </cell>
          <cell r="F3973" t="str">
            <v>34163</v>
          </cell>
          <cell r="G3973" t="str">
            <v>融程電三</v>
          </cell>
          <cell r="H3973">
            <v>500000</v>
          </cell>
          <cell r="I3973">
            <v>3</v>
          </cell>
          <cell r="J3973">
            <v>46047</v>
          </cell>
          <cell r="K3973">
            <v>100.5</v>
          </cell>
          <cell r="L3973">
            <v>46028</v>
          </cell>
          <cell r="M3973">
            <v>-7849</v>
          </cell>
          <cell r="N3973">
            <v>492151</v>
          </cell>
        </row>
        <row r="3974">
          <cell r="A3974">
            <v>80506</v>
          </cell>
          <cell r="B3974">
            <v>3968</v>
          </cell>
          <cell r="C3974" t="str">
            <v>IASWD2411000044</v>
          </cell>
          <cell r="D3974">
            <v>45601</v>
          </cell>
          <cell r="E3974">
            <v>45983</v>
          </cell>
          <cell r="F3974" t="str">
            <v>80506</v>
          </cell>
          <cell r="G3974" t="str">
            <v>廣積六</v>
          </cell>
          <cell r="H3974">
            <v>1100000</v>
          </cell>
          <cell r="I3974">
            <v>3.25</v>
          </cell>
          <cell r="J3974">
            <v>45983</v>
          </cell>
          <cell r="K3974">
            <v>100.75</v>
          </cell>
          <cell r="L3974">
            <v>45965</v>
          </cell>
          <cell r="M3974">
            <v>-18708</v>
          </cell>
          <cell r="N3974">
            <v>1081292</v>
          </cell>
        </row>
        <row r="3975">
          <cell r="A3975">
            <v>82992</v>
          </cell>
          <cell r="B3975">
            <v>3969</v>
          </cell>
          <cell r="C3975" t="str">
            <v>IASWD2411000045</v>
          </cell>
          <cell r="D3975">
            <v>45601</v>
          </cell>
          <cell r="E3975">
            <v>46410</v>
          </cell>
          <cell r="F3975" t="str">
            <v>82992</v>
          </cell>
          <cell r="G3975" t="str">
            <v>群聯二</v>
          </cell>
          <cell r="H3975">
            <v>100000</v>
          </cell>
          <cell r="I3975">
            <v>2.6</v>
          </cell>
          <cell r="J3975">
            <v>46410</v>
          </cell>
          <cell r="K3975">
            <v>100</v>
          </cell>
          <cell r="L3975">
            <v>46392</v>
          </cell>
          <cell r="M3975">
            <v>-1361</v>
          </cell>
          <cell r="N3975">
            <v>98639</v>
          </cell>
        </row>
        <row r="3976">
          <cell r="A3976">
            <v>64145</v>
          </cell>
          <cell r="B3976">
            <v>3970</v>
          </cell>
          <cell r="C3976" t="str">
            <v>IASWD2411000047</v>
          </cell>
          <cell r="D3976">
            <v>45601</v>
          </cell>
          <cell r="E3976">
            <v>46250</v>
          </cell>
          <cell r="F3976" t="str">
            <v>64145</v>
          </cell>
          <cell r="G3976" t="str">
            <v>樺漢五</v>
          </cell>
          <cell r="H3976">
            <v>200000</v>
          </cell>
          <cell r="I3976">
            <v>3</v>
          </cell>
          <cell r="J3976">
            <v>46250</v>
          </cell>
          <cell r="K3976">
            <v>100</v>
          </cell>
          <cell r="L3976">
            <v>46231</v>
          </cell>
          <cell r="M3976">
            <v>-3140</v>
          </cell>
          <cell r="N3976">
            <v>196860</v>
          </cell>
        </row>
        <row r="3977">
          <cell r="A3977">
            <v>61965</v>
          </cell>
          <cell r="B3977">
            <v>3971</v>
          </cell>
          <cell r="C3977" t="str">
            <v>IASWD2411000048</v>
          </cell>
          <cell r="D3977">
            <v>45601</v>
          </cell>
          <cell r="E3977">
            <v>46200</v>
          </cell>
          <cell r="F3977" t="str">
            <v>61965</v>
          </cell>
          <cell r="G3977" t="str">
            <v>帆宣五</v>
          </cell>
          <cell r="H3977">
            <v>100000</v>
          </cell>
          <cell r="I3977">
            <v>3</v>
          </cell>
          <cell r="J3977">
            <v>46200</v>
          </cell>
          <cell r="K3977">
            <v>100</v>
          </cell>
          <cell r="L3977">
            <v>46182</v>
          </cell>
          <cell r="M3977">
            <v>-1570</v>
          </cell>
          <cell r="N3977">
            <v>98430</v>
          </cell>
        </row>
        <row r="3978">
          <cell r="A3978">
            <v>64145</v>
          </cell>
          <cell r="B3978">
            <v>3972</v>
          </cell>
          <cell r="C3978" t="str">
            <v>IASWD2411000049</v>
          </cell>
          <cell r="D3978">
            <v>45601</v>
          </cell>
          <cell r="E3978">
            <v>46250</v>
          </cell>
          <cell r="F3978" t="str">
            <v>64145</v>
          </cell>
          <cell r="G3978" t="str">
            <v>樺漢五</v>
          </cell>
          <cell r="H3978">
            <v>100000</v>
          </cell>
          <cell r="I3978">
            <v>3</v>
          </cell>
          <cell r="J3978">
            <v>46250</v>
          </cell>
          <cell r="K3978">
            <v>100</v>
          </cell>
          <cell r="L3978">
            <v>46231</v>
          </cell>
          <cell r="M3978">
            <v>-1570</v>
          </cell>
          <cell r="N3978">
            <v>98430</v>
          </cell>
        </row>
        <row r="3979">
          <cell r="A3979">
            <v>50097</v>
          </cell>
          <cell r="B3979">
            <v>3973</v>
          </cell>
          <cell r="C3979" t="str">
            <v>IASWD2411000050</v>
          </cell>
          <cell r="D3979">
            <v>45601</v>
          </cell>
          <cell r="E3979">
            <v>46234</v>
          </cell>
          <cell r="F3979" t="str">
            <v>50097</v>
          </cell>
          <cell r="G3979" t="str">
            <v>榮剛七</v>
          </cell>
          <cell r="H3979">
            <v>100000</v>
          </cell>
          <cell r="I3979">
            <v>4.0999999999999996</v>
          </cell>
          <cell r="J3979">
            <v>46234</v>
          </cell>
          <cell r="K3979">
            <v>101.51</v>
          </cell>
          <cell r="L3979">
            <v>46216</v>
          </cell>
          <cell r="M3979">
            <v>-2145</v>
          </cell>
          <cell r="N3979">
            <v>97855</v>
          </cell>
        </row>
        <row r="3980">
          <cell r="A3980">
            <v>140202</v>
          </cell>
          <cell r="B3980">
            <v>3974</v>
          </cell>
          <cell r="C3980" t="str">
            <v>IASWD2411000051</v>
          </cell>
          <cell r="D3980">
            <v>45601</v>
          </cell>
          <cell r="E3980">
            <v>46607</v>
          </cell>
          <cell r="F3980" t="str">
            <v>140202</v>
          </cell>
          <cell r="G3980" t="str">
            <v>遠東新E2永</v>
          </cell>
          <cell r="H3980">
            <v>800000</v>
          </cell>
          <cell r="I3980">
            <v>2.7</v>
          </cell>
          <cell r="J3980">
            <v>46607</v>
          </cell>
          <cell r="K3980">
            <v>100</v>
          </cell>
          <cell r="L3980">
            <v>46588</v>
          </cell>
          <cell r="M3980">
            <v>-11303</v>
          </cell>
          <cell r="N3980">
            <v>788697</v>
          </cell>
        </row>
        <row r="3981">
          <cell r="A3981">
            <v>61965</v>
          </cell>
          <cell r="B3981">
            <v>3975</v>
          </cell>
          <cell r="C3981" t="str">
            <v>IASWD2411000052</v>
          </cell>
          <cell r="D3981">
            <v>45601</v>
          </cell>
          <cell r="E3981">
            <v>46200</v>
          </cell>
          <cell r="F3981" t="str">
            <v>61965</v>
          </cell>
          <cell r="G3981" t="str">
            <v>帆宣五</v>
          </cell>
          <cell r="H3981">
            <v>100000</v>
          </cell>
          <cell r="I3981">
            <v>3</v>
          </cell>
          <cell r="J3981">
            <v>46200</v>
          </cell>
          <cell r="K3981">
            <v>100</v>
          </cell>
          <cell r="L3981">
            <v>46182</v>
          </cell>
          <cell r="M3981">
            <v>-1570</v>
          </cell>
          <cell r="N3981">
            <v>98430</v>
          </cell>
        </row>
        <row r="3982">
          <cell r="A3982">
            <v>65096</v>
          </cell>
          <cell r="B3982">
            <v>3976</v>
          </cell>
          <cell r="C3982" t="str">
            <v>IASWD2411000053</v>
          </cell>
          <cell r="D3982">
            <v>45601</v>
          </cell>
          <cell r="E3982">
            <v>46206</v>
          </cell>
          <cell r="F3982" t="str">
            <v>65096</v>
          </cell>
          <cell r="G3982" t="str">
            <v>聚和六</v>
          </cell>
          <cell r="H3982">
            <v>100000</v>
          </cell>
          <cell r="I3982">
            <v>3.1</v>
          </cell>
          <cell r="J3982">
            <v>46206</v>
          </cell>
          <cell r="K3982">
            <v>100</v>
          </cell>
          <cell r="L3982">
            <v>46188</v>
          </cell>
          <cell r="M3982">
            <v>-1622</v>
          </cell>
          <cell r="N3982">
            <v>98378</v>
          </cell>
        </row>
        <row r="3983">
          <cell r="A3983">
            <v>50097</v>
          </cell>
          <cell r="B3983">
            <v>3977</v>
          </cell>
          <cell r="C3983" t="str">
            <v>IASWD2411000054</v>
          </cell>
          <cell r="D3983">
            <v>45601</v>
          </cell>
          <cell r="E3983">
            <v>46234</v>
          </cell>
          <cell r="F3983" t="str">
            <v>50097</v>
          </cell>
          <cell r="G3983" t="str">
            <v>榮剛七</v>
          </cell>
          <cell r="H3983">
            <v>100000</v>
          </cell>
          <cell r="I3983">
            <v>4.0999999999999996</v>
          </cell>
          <cell r="J3983">
            <v>46234</v>
          </cell>
          <cell r="K3983">
            <v>101.51</v>
          </cell>
          <cell r="L3983">
            <v>46216</v>
          </cell>
          <cell r="M3983">
            <v>-2145</v>
          </cell>
          <cell r="N3983">
            <v>97855</v>
          </cell>
        </row>
        <row r="3984">
          <cell r="A3984">
            <v>27323</v>
          </cell>
          <cell r="B3984">
            <v>3978</v>
          </cell>
          <cell r="C3984" t="str">
            <v>IASWD2411000055</v>
          </cell>
          <cell r="D3984">
            <v>45601</v>
          </cell>
          <cell r="E3984">
            <v>46048</v>
          </cell>
          <cell r="F3984" t="str">
            <v>27323</v>
          </cell>
          <cell r="G3984" t="str">
            <v>六角三</v>
          </cell>
          <cell r="H3984">
            <v>100000</v>
          </cell>
          <cell r="I3984">
            <v>3</v>
          </cell>
          <cell r="J3984">
            <v>46048</v>
          </cell>
          <cell r="K3984">
            <v>101</v>
          </cell>
          <cell r="L3984">
            <v>46028</v>
          </cell>
          <cell r="M3984">
            <v>-1570</v>
          </cell>
          <cell r="N3984">
            <v>98430</v>
          </cell>
        </row>
        <row r="3985">
          <cell r="A3985">
            <v>15364</v>
          </cell>
          <cell r="B3985">
            <v>3979</v>
          </cell>
          <cell r="C3985" t="str">
            <v>IASWD2411000057</v>
          </cell>
          <cell r="D3985">
            <v>45602</v>
          </cell>
          <cell r="E3985">
            <v>46246</v>
          </cell>
          <cell r="F3985" t="str">
            <v>15364</v>
          </cell>
          <cell r="G3985" t="str">
            <v>和大四</v>
          </cell>
          <cell r="H3985">
            <v>100000</v>
          </cell>
          <cell r="I3985">
            <v>4</v>
          </cell>
          <cell r="J3985">
            <v>46246</v>
          </cell>
          <cell r="K3985">
            <v>100</v>
          </cell>
          <cell r="L3985">
            <v>46226</v>
          </cell>
          <cell r="M3985">
            <v>-2082</v>
          </cell>
          <cell r="N3985">
            <v>97918</v>
          </cell>
        </row>
        <row r="3986">
          <cell r="A3986">
            <v>80506</v>
          </cell>
          <cell r="B3986">
            <v>3980</v>
          </cell>
          <cell r="C3986" t="str">
            <v>IASWD2411000058</v>
          </cell>
          <cell r="D3986">
            <v>45602</v>
          </cell>
          <cell r="E3986">
            <v>45983</v>
          </cell>
          <cell r="F3986" t="str">
            <v>80506</v>
          </cell>
          <cell r="G3986" t="str">
            <v>廣積六</v>
          </cell>
          <cell r="H3986">
            <v>100000</v>
          </cell>
          <cell r="I3986">
            <v>3.25</v>
          </cell>
          <cell r="J3986">
            <v>45983</v>
          </cell>
          <cell r="K3986">
            <v>100.75</v>
          </cell>
          <cell r="L3986">
            <v>45965</v>
          </cell>
          <cell r="M3986">
            <v>-1692</v>
          </cell>
          <cell r="N3986">
            <v>98308</v>
          </cell>
        </row>
        <row r="3987">
          <cell r="A3987">
            <v>56086</v>
          </cell>
          <cell r="B3987">
            <v>3981</v>
          </cell>
          <cell r="C3987" t="str">
            <v>IASWD2411000059</v>
          </cell>
          <cell r="D3987">
            <v>45602</v>
          </cell>
          <cell r="E3987">
            <v>46194</v>
          </cell>
          <cell r="F3987" t="str">
            <v>56086</v>
          </cell>
          <cell r="G3987" t="str">
            <v>四維航六</v>
          </cell>
          <cell r="H3987">
            <v>1200000</v>
          </cell>
          <cell r="I3987">
            <v>2.35</v>
          </cell>
          <cell r="J3987">
            <v>46194</v>
          </cell>
          <cell r="K3987">
            <v>100</v>
          </cell>
          <cell r="L3987">
            <v>46175</v>
          </cell>
          <cell r="M3987">
            <v>-14679</v>
          </cell>
          <cell r="N3987">
            <v>1185321</v>
          </cell>
        </row>
        <row r="3988">
          <cell r="A3988">
            <v>64145</v>
          </cell>
          <cell r="B3988">
            <v>3982</v>
          </cell>
          <cell r="C3988" t="str">
            <v>IASWD2411000060</v>
          </cell>
          <cell r="D3988">
            <v>45602</v>
          </cell>
          <cell r="E3988">
            <v>46250</v>
          </cell>
          <cell r="F3988" t="str">
            <v>64145</v>
          </cell>
          <cell r="G3988" t="str">
            <v>樺漢五</v>
          </cell>
          <cell r="H3988">
            <v>500000</v>
          </cell>
          <cell r="I3988">
            <v>3</v>
          </cell>
          <cell r="J3988">
            <v>46250</v>
          </cell>
          <cell r="K3988">
            <v>100</v>
          </cell>
          <cell r="L3988">
            <v>46231</v>
          </cell>
          <cell r="M3988">
            <v>-7808</v>
          </cell>
          <cell r="N3988">
            <v>492192</v>
          </cell>
        </row>
        <row r="3989">
          <cell r="A3989">
            <v>26417</v>
          </cell>
          <cell r="B3989">
            <v>3983</v>
          </cell>
          <cell r="C3989" t="str">
            <v>IASWD2411000061</v>
          </cell>
          <cell r="D3989">
            <v>45602</v>
          </cell>
          <cell r="E3989">
            <v>46594</v>
          </cell>
          <cell r="F3989" t="str">
            <v>26417</v>
          </cell>
          <cell r="G3989" t="str">
            <v>正德七</v>
          </cell>
          <cell r="H3989">
            <v>200000</v>
          </cell>
          <cell r="I3989">
            <v>4</v>
          </cell>
          <cell r="J3989">
            <v>46594</v>
          </cell>
          <cell r="K3989">
            <v>100</v>
          </cell>
          <cell r="L3989">
            <v>46574</v>
          </cell>
          <cell r="M3989">
            <v>-4164</v>
          </cell>
          <cell r="N3989">
            <v>195836</v>
          </cell>
        </row>
        <row r="3990">
          <cell r="A3990">
            <v>89964</v>
          </cell>
          <cell r="B3990">
            <v>3984</v>
          </cell>
          <cell r="C3990" t="str">
            <v>IASWD2411000063</v>
          </cell>
          <cell r="D3990">
            <v>45602</v>
          </cell>
          <cell r="E3990">
            <v>46362</v>
          </cell>
          <cell r="F3990" t="str">
            <v>89964</v>
          </cell>
          <cell r="G3990" t="str">
            <v>高力四</v>
          </cell>
          <cell r="H3990">
            <v>100000</v>
          </cell>
          <cell r="I3990">
            <v>3.5</v>
          </cell>
          <cell r="J3990">
            <v>46362</v>
          </cell>
          <cell r="K3990">
            <v>100.75190000000001</v>
          </cell>
          <cell r="L3990">
            <v>46343</v>
          </cell>
          <cell r="M3990">
            <v>-1822</v>
          </cell>
          <cell r="N3990">
            <v>98178</v>
          </cell>
        </row>
        <row r="3991">
          <cell r="A3991">
            <v>34163</v>
          </cell>
          <cell r="B3991">
            <v>3985</v>
          </cell>
          <cell r="C3991" t="str">
            <v>IASWD2411000065</v>
          </cell>
          <cell r="D3991">
            <v>45602</v>
          </cell>
          <cell r="E3991">
            <v>46047</v>
          </cell>
          <cell r="F3991" t="str">
            <v>34163</v>
          </cell>
          <cell r="G3991" t="str">
            <v>融程電三</v>
          </cell>
          <cell r="H3991">
            <v>100000</v>
          </cell>
          <cell r="I3991">
            <v>3</v>
          </cell>
          <cell r="J3991">
            <v>46047</v>
          </cell>
          <cell r="K3991">
            <v>100.5</v>
          </cell>
          <cell r="L3991">
            <v>46028</v>
          </cell>
          <cell r="M3991">
            <v>-1562</v>
          </cell>
          <cell r="N3991">
            <v>98438</v>
          </cell>
        </row>
        <row r="3992">
          <cell r="A3992">
            <v>34163</v>
          </cell>
          <cell r="B3992">
            <v>3986</v>
          </cell>
          <cell r="C3992" t="str">
            <v>IASWD2411000066</v>
          </cell>
          <cell r="D3992">
            <v>45602</v>
          </cell>
          <cell r="E3992">
            <v>46047</v>
          </cell>
          <cell r="F3992" t="str">
            <v>34163</v>
          </cell>
          <cell r="G3992" t="str">
            <v>融程電三</v>
          </cell>
          <cell r="H3992">
            <v>100000</v>
          </cell>
          <cell r="I3992">
            <v>3</v>
          </cell>
          <cell r="J3992">
            <v>46047</v>
          </cell>
          <cell r="K3992">
            <v>100.5</v>
          </cell>
          <cell r="L3992">
            <v>46028</v>
          </cell>
          <cell r="M3992">
            <v>-1562</v>
          </cell>
          <cell r="N3992">
            <v>98438</v>
          </cell>
        </row>
        <row r="3993">
          <cell r="A3993">
            <v>811210</v>
          </cell>
          <cell r="B3993">
            <v>3987</v>
          </cell>
          <cell r="C3993" t="str">
            <v>IASWD2411000067</v>
          </cell>
          <cell r="D3993">
            <v>45602</v>
          </cell>
          <cell r="E3993">
            <v>46531</v>
          </cell>
          <cell r="F3993" t="str">
            <v>811210</v>
          </cell>
          <cell r="G3993" t="str">
            <v>至上十</v>
          </cell>
          <cell r="H3993">
            <v>100000</v>
          </cell>
          <cell r="I3993">
            <v>3.75</v>
          </cell>
          <cell r="J3993">
            <v>46531</v>
          </cell>
          <cell r="K3993">
            <v>100</v>
          </cell>
          <cell r="L3993">
            <v>46511</v>
          </cell>
          <cell r="M3993">
            <v>-1952</v>
          </cell>
          <cell r="N3993">
            <v>98048</v>
          </cell>
        </row>
        <row r="3994">
          <cell r="A3994">
            <v>30061</v>
          </cell>
          <cell r="B3994">
            <v>3988</v>
          </cell>
          <cell r="C3994" t="str">
            <v>IASWD2411000068</v>
          </cell>
          <cell r="D3994">
            <v>45602</v>
          </cell>
          <cell r="E3994">
            <v>46322</v>
          </cell>
          <cell r="F3994" t="str">
            <v>30061</v>
          </cell>
          <cell r="G3994" t="str">
            <v>晶豪科一</v>
          </cell>
          <cell r="H3994">
            <v>100000</v>
          </cell>
          <cell r="I3994">
            <v>3.75</v>
          </cell>
          <cell r="J3994">
            <v>46322</v>
          </cell>
          <cell r="K3994">
            <v>100</v>
          </cell>
          <cell r="L3994">
            <v>46302</v>
          </cell>
          <cell r="M3994">
            <v>-1952</v>
          </cell>
          <cell r="N3994">
            <v>98048</v>
          </cell>
        </row>
        <row r="3995">
          <cell r="A3995">
            <v>61843</v>
          </cell>
          <cell r="B3995">
            <v>3989</v>
          </cell>
          <cell r="C3995" t="str">
            <v>IASWD2411000071</v>
          </cell>
          <cell r="D3995">
            <v>45602</v>
          </cell>
          <cell r="E3995">
            <v>46452</v>
          </cell>
          <cell r="F3995" t="str">
            <v>61843</v>
          </cell>
          <cell r="G3995" t="str">
            <v>大豐電三</v>
          </cell>
          <cell r="H3995">
            <v>100000</v>
          </cell>
          <cell r="I3995">
            <v>3.75</v>
          </cell>
          <cell r="J3995">
            <v>46452</v>
          </cell>
          <cell r="K3995">
            <v>101.50749999999999</v>
          </cell>
          <cell r="L3995">
            <v>46434</v>
          </cell>
          <cell r="M3995">
            <v>-1952</v>
          </cell>
          <cell r="N3995">
            <v>98048</v>
          </cell>
        </row>
        <row r="3996">
          <cell r="A3996">
            <v>35832</v>
          </cell>
          <cell r="B3996">
            <v>3990</v>
          </cell>
          <cell r="C3996" t="str">
            <v>IASWD2411000072</v>
          </cell>
          <cell r="D3996">
            <v>45602</v>
          </cell>
          <cell r="E3996">
            <v>46192</v>
          </cell>
          <cell r="F3996" t="str">
            <v>35832</v>
          </cell>
          <cell r="G3996" t="str">
            <v>辛耘二</v>
          </cell>
          <cell r="H3996">
            <v>100000</v>
          </cell>
          <cell r="I3996">
            <v>3</v>
          </cell>
          <cell r="J3996">
            <v>46192</v>
          </cell>
          <cell r="K3996">
            <v>100</v>
          </cell>
          <cell r="L3996">
            <v>46174</v>
          </cell>
          <cell r="M3996">
            <v>-1562</v>
          </cell>
          <cell r="N3996">
            <v>98438</v>
          </cell>
        </row>
        <row r="3997">
          <cell r="A3997">
            <v>50097</v>
          </cell>
          <cell r="B3997">
            <v>3991</v>
          </cell>
          <cell r="C3997" t="str">
            <v>IASWD2411000073</v>
          </cell>
          <cell r="D3997">
            <v>45602</v>
          </cell>
          <cell r="E3997">
            <v>46234</v>
          </cell>
          <cell r="F3997" t="str">
            <v>50097</v>
          </cell>
          <cell r="G3997" t="str">
            <v>榮剛七</v>
          </cell>
          <cell r="H3997">
            <v>300000</v>
          </cell>
          <cell r="I3997">
            <v>4.0999999999999996</v>
          </cell>
          <cell r="J3997">
            <v>46234</v>
          </cell>
          <cell r="K3997">
            <v>101.51</v>
          </cell>
          <cell r="L3997">
            <v>46216</v>
          </cell>
          <cell r="M3997">
            <v>-6403</v>
          </cell>
          <cell r="N3997">
            <v>293597</v>
          </cell>
        </row>
        <row r="3998">
          <cell r="A3998">
            <v>34163</v>
          </cell>
          <cell r="B3998">
            <v>3992</v>
          </cell>
          <cell r="C3998" t="str">
            <v>IASWD2411000074</v>
          </cell>
          <cell r="D3998">
            <v>45602</v>
          </cell>
          <cell r="E3998">
            <v>46047</v>
          </cell>
          <cell r="F3998" t="str">
            <v>34163</v>
          </cell>
          <cell r="G3998" t="str">
            <v>融程電三</v>
          </cell>
          <cell r="H3998">
            <v>5400000</v>
          </cell>
          <cell r="I3998">
            <v>3</v>
          </cell>
          <cell r="J3998">
            <v>46047</v>
          </cell>
          <cell r="K3998">
            <v>100.5</v>
          </cell>
          <cell r="L3998">
            <v>46028</v>
          </cell>
          <cell r="M3998">
            <v>-84329</v>
          </cell>
          <cell r="N3998">
            <v>5315671</v>
          </cell>
        </row>
        <row r="3999">
          <cell r="A3999">
            <v>15364</v>
          </cell>
          <cell r="B3999">
            <v>3993</v>
          </cell>
          <cell r="C3999" t="str">
            <v>IASWD2411000075</v>
          </cell>
          <cell r="D3999">
            <v>45603</v>
          </cell>
          <cell r="E3999">
            <v>46246</v>
          </cell>
          <cell r="F3999" t="str">
            <v>15364</v>
          </cell>
          <cell r="G3999" t="str">
            <v>和大四</v>
          </cell>
          <cell r="H3999">
            <v>100000</v>
          </cell>
          <cell r="I3999">
            <v>4</v>
          </cell>
          <cell r="J3999">
            <v>46246</v>
          </cell>
          <cell r="K3999">
            <v>100</v>
          </cell>
          <cell r="L3999">
            <v>46226</v>
          </cell>
          <cell r="M3999">
            <v>-2071</v>
          </cell>
          <cell r="N3999">
            <v>97929</v>
          </cell>
        </row>
        <row r="4000">
          <cell r="A4000">
            <v>16095</v>
          </cell>
          <cell r="B4000">
            <v>3994</v>
          </cell>
          <cell r="C4000" t="str">
            <v>IASWD2411000076</v>
          </cell>
          <cell r="D4000">
            <v>45603</v>
          </cell>
          <cell r="E4000">
            <v>46660</v>
          </cell>
          <cell r="F4000" t="str">
            <v>16095</v>
          </cell>
          <cell r="G4000" t="str">
            <v>大亞五</v>
          </cell>
          <cell r="H4000">
            <v>100000</v>
          </cell>
          <cell r="I4000">
            <v>3</v>
          </cell>
          <cell r="J4000">
            <v>46660</v>
          </cell>
          <cell r="K4000">
            <v>100.75</v>
          </cell>
          <cell r="L4000">
            <v>46640</v>
          </cell>
          <cell r="M4000">
            <v>-1553</v>
          </cell>
          <cell r="N4000">
            <v>98447</v>
          </cell>
        </row>
        <row r="4001">
          <cell r="A4001">
            <v>22013</v>
          </cell>
          <cell r="B4001">
            <v>3995</v>
          </cell>
          <cell r="C4001" t="str">
            <v>IASWD2411000077</v>
          </cell>
          <cell r="D4001">
            <v>45603</v>
          </cell>
          <cell r="E4001">
            <v>46167</v>
          </cell>
          <cell r="F4001" t="str">
            <v>22013</v>
          </cell>
          <cell r="G4001" t="str">
            <v>裕隆三</v>
          </cell>
          <cell r="H4001">
            <v>100000</v>
          </cell>
          <cell r="I4001">
            <v>3.25</v>
          </cell>
          <cell r="J4001">
            <v>46167</v>
          </cell>
          <cell r="K4001">
            <v>100.75190000000001</v>
          </cell>
          <cell r="L4001">
            <v>46147</v>
          </cell>
          <cell r="M4001">
            <v>-1683</v>
          </cell>
          <cell r="N4001">
            <v>98317</v>
          </cell>
        </row>
        <row r="4002">
          <cell r="A4002">
            <v>16095</v>
          </cell>
          <cell r="B4002">
            <v>3996</v>
          </cell>
          <cell r="C4002" t="str">
            <v>IASWD2411000078</v>
          </cell>
          <cell r="D4002">
            <v>45603</v>
          </cell>
          <cell r="E4002">
            <v>46660</v>
          </cell>
          <cell r="F4002" t="str">
            <v>16095</v>
          </cell>
          <cell r="G4002" t="str">
            <v>大亞五</v>
          </cell>
          <cell r="H4002">
            <v>100000</v>
          </cell>
          <cell r="I4002">
            <v>3</v>
          </cell>
          <cell r="J4002">
            <v>46660</v>
          </cell>
          <cell r="K4002">
            <v>100.75</v>
          </cell>
          <cell r="L4002">
            <v>46640</v>
          </cell>
          <cell r="M4002">
            <v>-1553</v>
          </cell>
          <cell r="N4002">
            <v>98447</v>
          </cell>
        </row>
        <row r="4003">
          <cell r="A4003">
            <v>82992</v>
          </cell>
          <cell r="B4003">
            <v>3997</v>
          </cell>
          <cell r="C4003" t="str">
            <v>IASWD2411000079</v>
          </cell>
          <cell r="D4003">
            <v>45603</v>
          </cell>
          <cell r="E4003">
            <v>46410</v>
          </cell>
          <cell r="F4003" t="str">
            <v>82992</v>
          </cell>
          <cell r="G4003" t="str">
            <v>群聯二</v>
          </cell>
          <cell r="H4003">
            <v>400000</v>
          </cell>
          <cell r="I4003">
            <v>2.6</v>
          </cell>
          <cell r="J4003">
            <v>46410</v>
          </cell>
          <cell r="K4003">
            <v>100</v>
          </cell>
          <cell r="L4003">
            <v>46392</v>
          </cell>
          <cell r="M4003">
            <v>-5385</v>
          </cell>
          <cell r="N4003">
            <v>394615</v>
          </cell>
        </row>
        <row r="4004">
          <cell r="A4004">
            <v>64145</v>
          </cell>
          <cell r="B4004">
            <v>3998</v>
          </cell>
          <cell r="C4004" t="str">
            <v>IASWD2411000080</v>
          </cell>
          <cell r="D4004">
            <v>45603</v>
          </cell>
          <cell r="E4004">
            <v>46250</v>
          </cell>
          <cell r="F4004" t="str">
            <v>64145</v>
          </cell>
          <cell r="G4004" t="str">
            <v>樺漢五</v>
          </cell>
          <cell r="H4004">
            <v>400000</v>
          </cell>
          <cell r="I4004">
            <v>3</v>
          </cell>
          <cell r="J4004">
            <v>46250</v>
          </cell>
          <cell r="K4004">
            <v>100</v>
          </cell>
          <cell r="L4004">
            <v>46231</v>
          </cell>
          <cell r="M4004">
            <v>-6214</v>
          </cell>
          <cell r="N4004">
            <v>393786</v>
          </cell>
        </row>
        <row r="4005">
          <cell r="A4005">
            <v>22013</v>
          </cell>
          <cell r="B4005">
            <v>3999</v>
          </cell>
          <cell r="C4005" t="str">
            <v>IASWD2411000081</v>
          </cell>
          <cell r="D4005">
            <v>45603</v>
          </cell>
          <cell r="E4005">
            <v>46167</v>
          </cell>
          <cell r="F4005" t="str">
            <v>22013</v>
          </cell>
          <cell r="G4005" t="str">
            <v>裕隆三</v>
          </cell>
          <cell r="H4005">
            <v>100000</v>
          </cell>
          <cell r="I4005">
            <v>3.25</v>
          </cell>
          <cell r="J4005">
            <v>46167</v>
          </cell>
          <cell r="K4005">
            <v>100.75190000000001</v>
          </cell>
          <cell r="L4005">
            <v>46147</v>
          </cell>
          <cell r="M4005">
            <v>-1683</v>
          </cell>
          <cell r="N4005">
            <v>98317</v>
          </cell>
        </row>
        <row r="4006">
          <cell r="A4006">
            <v>80506</v>
          </cell>
          <cell r="B4006">
            <v>4000</v>
          </cell>
          <cell r="C4006" t="str">
            <v>IASWD2411000082</v>
          </cell>
          <cell r="D4006">
            <v>45603</v>
          </cell>
          <cell r="E4006">
            <v>45983</v>
          </cell>
          <cell r="F4006" t="str">
            <v>80506</v>
          </cell>
          <cell r="G4006" t="str">
            <v>廣積六</v>
          </cell>
          <cell r="H4006">
            <v>200000</v>
          </cell>
          <cell r="I4006">
            <v>3.25</v>
          </cell>
          <cell r="J4006">
            <v>45983</v>
          </cell>
          <cell r="K4006">
            <v>100.75</v>
          </cell>
          <cell r="L4006">
            <v>45965</v>
          </cell>
          <cell r="M4006">
            <v>-3366</v>
          </cell>
          <cell r="N4006">
            <v>196634</v>
          </cell>
        </row>
        <row r="4007">
          <cell r="A4007">
            <v>34793</v>
          </cell>
          <cell r="B4007">
            <v>4001</v>
          </cell>
          <cell r="C4007" t="str">
            <v>IASWD2411000083</v>
          </cell>
          <cell r="D4007">
            <v>45603</v>
          </cell>
          <cell r="E4007">
            <v>46409</v>
          </cell>
          <cell r="F4007" t="str">
            <v>34793</v>
          </cell>
          <cell r="G4007" t="str">
            <v>安勤三</v>
          </cell>
          <cell r="H4007">
            <v>100000</v>
          </cell>
          <cell r="I4007">
            <v>3</v>
          </cell>
          <cell r="J4007">
            <v>46409</v>
          </cell>
          <cell r="K4007">
            <v>100</v>
          </cell>
          <cell r="L4007">
            <v>46391</v>
          </cell>
          <cell r="M4007">
            <v>-1553</v>
          </cell>
          <cell r="N4007">
            <v>98447</v>
          </cell>
        </row>
        <row r="4008">
          <cell r="A4008">
            <v>64145</v>
          </cell>
          <cell r="B4008">
            <v>4002</v>
          </cell>
          <cell r="C4008" t="str">
            <v>IASWD2411000085</v>
          </cell>
          <cell r="D4008">
            <v>45603</v>
          </cell>
          <cell r="E4008">
            <v>46250</v>
          </cell>
          <cell r="F4008" t="str">
            <v>64145</v>
          </cell>
          <cell r="G4008" t="str">
            <v>樺漢五</v>
          </cell>
          <cell r="H4008">
            <v>100000</v>
          </cell>
          <cell r="I4008">
            <v>3</v>
          </cell>
          <cell r="J4008">
            <v>46250</v>
          </cell>
          <cell r="K4008">
            <v>100</v>
          </cell>
          <cell r="L4008">
            <v>46231</v>
          </cell>
          <cell r="M4008">
            <v>-1553</v>
          </cell>
          <cell r="N4008">
            <v>98447</v>
          </cell>
        </row>
        <row r="4009">
          <cell r="A4009">
            <v>64145</v>
          </cell>
          <cell r="B4009">
            <v>4003</v>
          </cell>
          <cell r="C4009" t="str">
            <v>IASWD2411000086</v>
          </cell>
          <cell r="D4009">
            <v>45603</v>
          </cell>
          <cell r="E4009">
            <v>46250</v>
          </cell>
          <cell r="F4009" t="str">
            <v>64145</v>
          </cell>
          <cell r="G4009" t="str">
            <v>樺漢五</v>
          </cell>
          <cell r="H4009">
            <v>100000</v>
          </cell>
          <cell r="I4009">
            <v>3</v>
          </cell>
          <cell r="J4009">
            <v>46250</v>
          </cell>
          <cell r="K4009">
            <v>100</v>
          </cell>
          <cell r="L4009">
            <v>46231</v>
          </cell>
          <cell r="M4009">
            <v>-1553</v>
          </cell>
          <cell r="N4009">
            <v>98447</v>
          </cell>
        </row>
        <row r="4010">
          <cell r="A4010">
            <v>15364</v>
          </cell>
          <cell r="B4010">
            <v>4004</v>
          </cell>
          <cell r="C4010" t="str">
            <v>IASWD2411000087</v>
          </cell>
          <cell r="D4010">
            <v>45603</v>
          </cell>
          <cell r="E4010">
            <v>46246</v>
          </cell>
          <cell r="F4010" t="str">
            <v>15364</v>
          </cell>
          <cell r="G4010" t="str">
            <v>和大四</v>
          </cell>
          <cell r="H4010">
            <v>100000</v>
          </cell>
          <cell r="I4010">
            <v>4</v>
          </cell>
          <cell r="J4010">
            <v>46246</v>
          </cell>
          <cell r="K4010">
            <v>100</v>
          </cell>
          <cell r="L4010">
            <v>46226</v>
          </cell>
          <cell r="M4010">
            <v>-2071</v>
          </cell>
          <cell r="N4010">
            <v>97929</v>
          </cell>
        </row>
        <row r="4011">
          <cell r="A4011">
            <v>27323</v>
          </cell>
          <cell r="B4011">
            <v>4005</v>
          </cell>
          <cell r="C4011" t="str">
            <v>IASWD2411000088</v>
          </cell>
          <cell r="D4011">
            <v>45603</v>
          </cell>
          <cell r="E4011">
            <v>46048</v>
          </cell>
          <cell r="F4011" t="str">
            <v>27323</v>
          </cell>
          <cell r="G4011" t="str">
            <v>六角三</v>
          </cell>
          <cell r="H4011">
            <v>100000</v>
          </cell>
          <cell r="I4011">
            <v>3</v>
          </cell>
          <cell r="J4011">
            <v>46048</v>
          </cell>
          <cell r="K4011">
            <v>101</v>
          </cell>
          <cell r="L4011">
            <v>46028</v>
          </cell>
          <cell r="M4011">
            <v>-1553</v>
          </cell>
          <cell r="N4011">
            <v>98447</v>
          </cell>
        </row>
        <row r="4012">
          <cell r="A4012">
            <v>15364</v>
          </cell>
          <cell r="B4012">
            <v>4006</v>
          </cell>
          <cell r="C4012" t="str">
            <v>IASWD2411000089</v>
          </cell>
          <cell r="D4012">
            <v>45603</v>
          </cell>
          <cell r="E4012">
            <v>46246</v>
          </cell>
          <cell r="F4012" t="str">
            <v>15364</v>
          </cell>
          <cell r="G4012" t="str">
            <v>和大四</v>
          </cell>
          <cell r="H4012">
            <v>300000</v>
          </cell>
          <cell r="I4012">
            <v>4</v>
          </cell>
          <cell r="J4012">
            <v>46246</v>
          </cell>
          <cell r="K4012">
            <v>100</v>
          </cell>
          <cell r="L4012">
            <v>46226</v>
          </cell>
          <cell r="M4012">
            <v>-6214</v>
          </cell>
          <cell r="N4012">
            <v>293786</v>
          </cell>
        </row>
        <row r="4013">
          <cell r="A4013">
            <v>35832</v>
          </cell>
          <cell r="B4013">
            <v>4007</v>
          </cell>
          <cell r="C4013" t="str">
            <v>IASWD2411000090</v>
          </cell>
          <cell r="D4013">
            <v>45603</v>
          </cell>
          <cell r="E4013">
            <v>46192</v>
          </cell>
          <cell r="F4013" t="str">
            <v>35832</v>
          </cell>
          <cell r="G4013" t="str">
            <v>辛耘二</v>
          </cell>
          <cell r="H4013">
            <v>200000</v>
          </cell>
          <cell r="I4013">
            <v>3</v>
          </cell>
          <cell r="J4013">
            <v>46192</v>
          </cell>
          <cell r="K4013">
            <v>100</v>
          </cell>
          <cell r="L4013">
            <v>46174</v>
          </cell>
          <cell r="M4013">
            <v>-3107</v>
          </cell>
          <cell r="N4013">
            <v>196893</v>
          </cell>
        </row>
        <row r="4014">
          <cell r="A4014">
            <v>82992</v>
          </cell>
          <cell r="B4014">
            <v>4008</v>
          </cell>
          <cell r="C4014" t="str">
            <v>IASWD2411000092</v>
          </cell>
          <cell r="D4014">
            <v>45603</v>
          </cell>
          <cell r="E4014">
            <v>46410</v>
          </cell>
          <cell r="F4014" t="str">
            <v>82992</v>
          </cell>
          <cell r="G4014" t="str">
            <v>群聯二</v>
          </cell>
          <cell r="H4014">
            <v>400000</v>
          </cell>
          <cell r="I4014">
            <v>2.6</v>
          </cell>
          <cell r="J4014">
            <v>46410</v>
          </cell>
          <cell r="K4014">
            <v>100</v>
          </cell>
          <cell r="L4014">
            <v>46392</v>
          </cell>
          <cell r="M4014">
            <v>-5385</v>
          </cell>
          <cell r="N4014">
            <v>394615</v>
          </cell>
        </row>
        <row r="4015">
          <cell r="A4015">
            <v>22013</v>
          </cell>
          <cell r="B4015">
            <v>4009</v>
          </cell>
          <cell r="C4015" t="str">
            <v>IASWD2411000095</v>
          </cell>
          <cell r="D4015">
            <v>45603</v>
          </cell>
          <cell r="E4015">
            <v>46167</v>
          </cell>
          <cell r="F4015" t="str">
            <v>22013</v>
          </cell>
          <cell r="G4015" t="str">
            <v>裕隆三</v>
          </cell>
          <cell r="H4015">
            <v>600000</v>
          </cell>
          <cell r="I4015">
            <v>3.25</v>
          </cell>
          <cell r="J4015">
            <v>46167</v>
          </cell>
          <cell r="K4015">
            <v>100.75190000000001</v>
          </cell>
          <cell r="L4015">
            <v>46147</v>
          </cell>
          <cell r="M4015">
            <v>-10097</v>
          </cell>
          <cell r="N4015">
            <v>589903</v>
          </cell>
        </row>
        <row r="4016">
          <cell r="A4016">
            <v>61973</v>
          </cell>
          <cell r="B4016">
            <v>4010</v>
          </cell>
          <cell r="C4016" t="str">
            <v>IASWD2411000096</v>
          </cell>
          <cell r="D4016">
            <v>45603</v>
          </cell>
          <cell r="E4016">
            <v>46675</v>
          </cell>
          <cell r="F4016" t="str">
            <v>61973</v>
          </cell>
          <cell r="G4016" t="str">
            <v>佳必琪三</v>
          </cell>
          <cell r="H4016">
            <v>100000</v>
          </cell>
          <cell r="I4016">
            <v>3</v>
          </cell>
          <cell r="J4016">
            <v>46675</v>
          </cell>
          <cell r="K4016">
            <v>100</v>
          </cell>
          <cell r="L4016">
            <v>46657</v>
          </cell>
          <cell r="M4016">
            <v>-1553</v>
          </cell>
          <cell r="N4016">
            <v>98447</v>
          </cell>
        </row>
        <row r="4017">
          <cell r="A4017">
            <v>811210</v>
          </cell>
          <cell r="B4017">
            <v>4011</v>
          </cell>
          <cell r="C4017" t="str">
            <v>IASWD2411000097</v>
          </cell>
          <cell r="D4017">
            <v>45603</v>
          </cell>
          <cell r="E4017">
            <v>46531</v>
          </cell>
          <cell r="F4017" t="str">
            <v>811210</v>
          </cell>
          <cell r="G4017" t="str">
            <v>至上十</v>
          </cell>
          <cell r="H4017">
            <v>100000</v>
          </cell>
          <cell r="I4017">
            <v>3.75</v>
          </cell>
          <cell r="J4017">
            <v>46531</v>
          </cell>
          <cell r="K4017">
            <v>100</v>
          </cell>
          <cell r="L4017">
            <v>46511</v>
          </cell>
          <cell r="M4017">
            <v>-1942</v>
          </cell>
          <cell r="N4017">
            <v>98058</v>
          </cell>
        </row>
        <row r="4018">
          <cell r="A4018">
            <v>82992</v>
          </cell>
          <cell r="B4018">
            <v>4012</v>
          </cell>
          <cell r="C4018" t="str">
            <v>IASWD2411000098</v>
          </cell>
          <cell r="D4018">
            <v>45603</v>
          </cell>
          <cell r="E4018">
            <v>46410</v>
          </cell>
          <cell r="F4018" t="str">
            <v>82992</v>
          </cell>
          <cell r="G4018" t="str">
            <v>群聯二</v>
          </cell>
          <cell r="H4018">
            <v>800000</v>
          </cell>
          <cell r="I4018">
            <v>2.6</v>
          </cell>
          <cell r="J4018">
            <v>46410</v>
          </cell>
          <cell r="K4018">
            <v>100</v>
          </cell>
          <cell r="L4018">
            <v>46392</v>
          </cell>
          <cell r="M4018">
            <v>-10770</v>
          </cell>
          <cell r="N4018">
            <v>789230</v>
          </cell>
        </row>
        <row r="4019">
          <cell r="A4019">
            <v>34793</v>
          </cell>
          <cell r="B4019">
            <v>4013</v>
          </cell>
          <cell r="C4019" t="str">
            <v>IASWD2411000099</v>
          </cell>
          <cell r="D4019">
            <v>45603</v>
          </cell>
          <cell r="E4019">
            <v>46409</v>
          </cell>
          <cell r="F4019" t="str">
            <v>34793</v>
          </cell>
          <cell r="G4019" t="str">
            <v>安勤三</v>
          </cell>
          <cell r="H4019">
            <v>200000</v>
          </cell>
          <cell r="I4019">
            <v>3</v>
          </cell>
          <cell r="J4019">
            <v>46409</v>
          </cell>
          <cell r="K4019">
            <v>100</v>
          </cell>
          <cell r="L4019">
            <v>46391</v>
          </cell>
          <cell r="M4019">
            <v>-3107</v>
          </cell>
          <cell r="N4019">
            <v>196893</v>
          </cell>
        </row>
        <row r="4020">
          <cell r="A4020">
            <v>61973</v>
          </cell>
          <cell r="B4020">
            <v>4014</v>
          </cell>
          <cell r="C4020" t="str">
            <v>IASWD2411000100</v>
          </cell>
          <cell r="D4020">
            <v>45603</v>
          </cell>
          <cell r="E4020">
            <v>46675</v>
          </cell>
          <cell r="F4020" t="str">
            <v>61973</v>
          </cell>
          <cell r="G4020" t="str">
            <v>佳必琪三</v>
          </cell>
          <cell r="H4020">
            <v>100000</v>
          </cell>
          <cell r="I4020">
            <v>3</v>
          </cell>
          <cell r="J4020">
            <v>46675</v>
          </cell>
          <cell r="K4020">
            <v>100</v>
          </cell>
          <cell r="L4020">
            <v>46657</v>
          </cell>
          <cell r="M4020">
            <v>-1553</v>
          </cell>
          <cell r="N4020">
            <v>98447</v>
          </cell>
        </row>
        <row r="4021">
          <cell r="A4021">
            <v>22283</v>
          </cell>
          <cell r="B4021">
            <v>4015</v>
          </cell>
          <cell r="C4021" t="str">
            <v>IASWD2411000101</v>
          </cell>
          <cell r="D4021">
            <v>45603</v>
          </cell>
          <cell r="E4021">
            <v>46628</v>
          </cell>
          <cell r="F4021" t="str">
            <v>22283</v>
          </cell>
          <cell r="G4021" t="str">
            <v>劍麟三</v>
          </cell>
          <cell r="H4021">
            <v>100000</v>
          </cell>
          <cell r="I4021">
            <v>3</v>
          </cell>
          <cell r="J4021">
            <v>46628</v>
          </cell>
          <cell r="K4021">
            <v>100</v>
          </cell>
          <cell r="L4021">
            <v>46609</v>
          </cell>
          <cell r="M4021">
            <v>-1553</v>
          </cell>
          <cell r="N4021">
            <v>98447</v>
          </cell>
        </row>
        <row r="4022">
          <cell r="A4022">
            <v>30061</v>
          </cell>
          <cell r="B4022">
            <v>4016</v>
          </cell>
          <cell r="C4022" t="str">
            <v>IASWD2411000102</v>
          </cell>
          <cell r="D4022">
            <v>45603</v>
          </cell>
          <cell r="E4022">
            <v>46322</v>
          </cell>
          <cell r="F4022" t="str">
            <v>30061</v>
          </cell>
          <cell r="G4022" t="str">
            <v>晶豪科一</v>
          </cell>
          <cell r="H4022">
            <v>200000</v>
          </cell>
          <cell r="I4022">
            <v>3.75</v>
          </cell>
          <cell r="J4022">
            <v>46322</v>
          </cell>
          <cell r="K4022">
            <v>100</v>
          </cell>
          <cell r="L4022">
            <v>46302</v>
          </cell>
          <cell r="M4022">
            <v>-3884</v>
          </cell>
          <cell r="N4022">
            <v>196116</v>
          </cell>
        </row>
        <row r="4023">
          <cell r="A4023">
            <v>30061</v>
          </cell>
          <cell r="B4023">
            <v>4017</v>
          </cell>
          <cell r="C4023" t="str">
            <v>IASWD2411000103</v>
          </cell>
          <cell r="D4023">
            <v>45603</v>
          </cell>
          <cell r="E4023">
            <v>46322</v>
          </cell>
          <cell r="F4023" t="str">
            <v>30061</v>
          </cell>
          <cell r="G4023" t="str">
            <v>晶豪科一</v>
          </cell>
          <cell r="H4023">
            <v>600000</v>
          </cell>
          <cell r="I4023">
            <v>3.75</v>
          </cell>
          <cell r="J4023">
            <v>46322</v>
          </cell>
          <cell r="K4023">
            <v>100</v>
          </cell>
          <cell r="L4023">
            <v>46302</v>
          </cell>
          <cell r="M4023">
            <v>-11651</v>
          </cell>
          <cell r="N4023">
            <v>588349</v>
          </cell>
        </row>
        <row r="4024">
          <cell r="A4024">
            <v>64145</v>
          </cell>
          <cell r="B4024">
            <v>4018</v>
          </cell>
          <cell r="C4024" t="str">
            <v>IASWD2411000105</v>
          </cell>
          <cell r="D4024">
            <v>45604</v>
          </cell>
          <cell r="E4024">
            <v>46250</v>
          </cell>
          <cell r="F4024" t="str">
            <v>64145</v>
          </cell>
          <cell r="G4024" t="str">
            <v>樺漢五</v>
          </cell>
          <cell r="H4024">
            <v>200000</v>
          </cell>
          <cell r="I4024">
            <v>3</v>
          </cell>
          <cell r="J4024">
            <v>46250</v>
          </cell>
          <cell r="K4024">
            <v>100</v>
          </cell>
          <cell r="L4024">
            <v>46231</v>
          </cell>
          <cell r="M4024">
            <v>-3090</v>
          </cell>
          <cell r="N4024">
            <v>196910</v>
          </cell>
        </row>
        <row r="4025">
          <cell r="A4025">
            <v>22013</v>
          </cell>
          <cell r="B4025">
            <v>4019</v>
          </cell>
          <cell r="C4025" t="str">
            <v>IASWD2411000108</v>
          </cell>
          <cell r="D4025">
            <v>45604</v>
          </cell>
          <cell r="E4025">
            <v>46167</v>
          </cell>
          <cell r="F4025" t="str">
            <v>22013</v>
          </cell>
          <cell r="G4025" t="str">
            <v>裕隆三</v>
          </cell>
          <cell r="H4025">
            <v>2100000</v>
          </cell>
          <cell r="I4025">
            <v>3.25</v>
          </cell>
          <cell r="J4025">
            <v>46167</v>
          </cell>
          <cell r="K4025">
            <v>100.75190000000001</v>
          </cell>
          <cell r="L4025">
            <v>46147</v>
          </cell>
          <cell r="M4025">
            <v>-35153</v>
          </cell>
          <cell r="N4025">
            <v>2064847</v>
          </cell>
        </row>
        <row r="4026">
          <cell r="A4026">
            <v>15364</v>
          </cell>
          <cell r="B4026">
            <v>4020</v>
          </cell>
          <cell r="C4026" t="str">
            <v>IASWD2411000109</v>
          </cell>
          <cell r="D4026">
            <v>45604</v>
          </cell>
          <cell r="E4026">
            <v>46246</v>
          </cell>
          <cell r="F4026" t="str">
            <v>15364</v>
          </cell>
          <cell r="G4026" t="str">
            <v>和大四</v>
          </cell>
          <cell r="H4026">
            <v>100000</v>
          </cell>
          <cell r="I4026">
            <v>4</v>
          </cell>
          <cell r="J4026">
            <v>46246</v>
          </cell>
          <cell r="K4026">
            <v>100</v>
          </cell>
          <cell r="L4026">
            <v>46226</v>
          </cell>
          <cell r="M4026">
            <v>-2060</v>
          </cell>
          <cell r="N4026">
            <v>97940</v>
          </cell>
        </row>
        <row r="4027">
          <cell r="A4027">
            <v>80506</v>
          </cell>
          <cell r="B4027">
            <v>4021</v>
          </cell>
          <cell r="C4027" t="str">
            <v>IASWD2411000110</v>
          </cell>
          <cell r="D4027">
            <v>45604</v>
          </cell>
          <cell r="E4027">
            <v>45983</v>
          </cell>
          <cell r="F4027" t="str">
            <v>80506</v>
          </cell>
          <cell r="G4027" t="str">
            <v>廣積六</v>
          </cell>
          <cell r="H4027">
            <v>100000</v>
          </cell>
          <cell r="I4027">
            <v>3.25</v>
          </cell>
          <cell r="J4027">
            <v>45983</v>
          </cell>
          <cell r="K4027">
            <v>100.75</v>
          </cell>
          <cell r="L4027">
            <v>45965</v>
          </cell>
          <cell r="M4027">
            <v>-1674</v>
          </cell>
          <cell r="N4027">
            <v>98326</v>
          </cell>
        </row>
        <row r="4028">
          <cell r="A4028">
            <v>61875</v>
          </cell>
          <cell r="B4028">
            <v>4022</v>
          </cell>
          <cell r="C4028" t="str">
            <v>IASWD2411000111</v>
          </cell>
          <cell r="D4028">
            <v>45604</v>
          </cell>
          <cell r="E4028">
            <v>46578</v>
          </cell>
          <cell r="F4028" t="str">
            <v>61875</v>
          </cell>
          <cell r="G4028" t="str">
            <v>萬潤五</v>
          </cell>
          <cell r="H4028">
            <v>100000</v>
          </cell>
          <cell r="I4028">
            <v>3</v>
          </cell>
          <cell r="J4028">
            <v>46578</v>
          </cell>
          <cell r="K4028">
            <v>100</v>
          </cell>
          <cell r="L4028">
            <v>46560</v>
          </cell>
          <cell r="M4028">
            <v>-1545</v>
          </cell>
          <cell r="N4028">
            <v>98455</v>
          </cell>
        </row>
        <row r="4029">
          <cell r="A4029">
            <v>34163</v>
          </cell>
          <cell r="B4029">
            <v>4023</v>
          </cell>
          <cell r="C4029" t="str">
            <v>IASWD2411000112</v>
          </cell>
          <cell r="D4029">
            <v>45604</v>
          </cell>
          <cell r="E4029">
            <v>46047</v>
          </cell>
          <cell r="F4029" t="str">
            <v>34163</v>
          </cell>
          <cell r="G4029" t="str">
            <v>融程電三</v>
          </cell>
          <cell r="H4029">
            <v>800000</v>
          </cell>
          <cell r="I4029">
            <v>3</v>
          </cell>
          <cell r="J4029">
            <v>46047</v>
          </cell>
          <cell r="K4029">
            <v>100.5</v>
          </cell>
          <cell r="L4029">
            <v>46028</v>
          </cell>
          <cell r="M4029">
            <v>-12362</v>
          </cell>
          <cell r="N4029">
            <v>787638</v>
          </cell>
        </row>
        <row r="4030">
          <cell r="A4030">
            <v>22013</v>
          </cell>
          <cell r="B4030">
            <v>4024</v>
          </cell>
          <cell r="C4030" t="str">
            <v>IASWD2411000113</v>
          </cell>
          <cell r="D4030">
            <v>45604</v>
          </cell>
          <cell r="E4030">
            <v>46167</v>
          </cell>
          <cell r="F4030" t="str">
            <v>22013</v>
          </cell>
          <cell r="G4030" t="str">
            <v>裕隆三</v>
          </cell>
          <cell r="H4030">
            <v>100000</v>
          </cell>
          <cell r="I4030">
            <v>3.25</v>
          </cell>
          <cell r="J4030">
            <v>46167</v>
          </cell>
          <cell r="K4030">
            <v>100.75190000000001</v>
          </cell>
          <cell r="L4030">
            <v>46147</v>
          </cell>
          <cell r="M4030">
            <v>-1674</v>
          </cell>
          <cell r="N4030">
            <v>98326</v>
          </cell>
        </row>
        <row r="4031">
          <cell r="A4031">
            <v>82992</v>
          </cell>
          <cell r="B4031">
            <v>4025</v>
          </cell>
          <cell r="C4031" t="str">
            <v>IASWD2411000114</v>
          </cell>
          <cell r="D4031">
            <v>45604</v>
          </cell>
          <cell r="E4031">
            <v>46410</v>
          </cell>
          <cell r="F4031" t="str">
            <v>82992</v>
          </cell>
          <cell r="G4031" t="str">
            <v>群聯二</v>
          </cell>
          <cell r="H4031">
            <v>600000</v>
          </cell>
          <cell r="I4031">
            <v>2.6</v>
          </cell>
          <cell r="J4031">
            <v>46410</v>
          </cell>
          <cell r="K4031">
            <v>100</v>
          </cell>
          <cell r="L4031">
            <v>46392</v>
          </cell>
          <cell r="M4031">
            <v>-8035</v>
          </cell>
          <cell r="N4031">
            <v>591965</v>
          </cell>
        </row>
        <row r="4032">
          <cell r="A4032">
            <v>27323</v>
          </cell>
          <cell r="B4032">
            <v>4026</v>
          </cell>
          <cell r="C4032" t="str">
            <v>IASWD2411000115</v>
          </cell>
          <cell r="D4032">
            <v>45604</v>
          </cell>
          <cell r="E4032">
            <v>46048</v>
          </cell>
          <cell r="F4032" t="str">
            <v>27323</v>
          </cell>
          <cell r="G4032" t="str">
            <v>六角三</v>
          </cell>
          <cell r="H4032">
            <v>100000</v>
          </cell>
          <cell r="I4032">
            <v>3</v>
          </cell>
          <cell r="J4032">
            <v>46048</v>
          </cell>
          <cell r="K4032">
            <v>101</v>
          </cell>
          <cell r="L4032">
            <v>46028</v>
          </cell>
          <cell r="M4032">
            <v>-1545</v>
          </cell>
          <cell r="N4032">
            <v>98455</v>
          </cell>
        </row>
        <row r="4033">
          <cell r="A4033">
            <v>50097</v>
          </cell>
          <cell r="B4033">
            <v>4027</v>
          </cell>
          <cell r="C4033" t="str">
            <v>IASWD2411000116</v>
          </cell>
          <cell r="D4033">
            <v>45604</v>
          </cell>
          <cell r="E4033">
            <v>46234</v>
          </cell>
          <cell r="F4033" t="str">
            <v>50097</v>
          </cell>
          <cell r="G4033" t="str">
            <v>榮剛七</v>
          </cell>
          <cell r="H4033">
            <v>100000</v>
          </cell>
          <cell r="I4033">
            <v>4.0999999999999996</v>
          </cell>
          <cell r="J4033">
            <v>46234</v>
          </cell>
          <cell r="K4033">
            <v>101.51</v>
          </cell>
          <cell r="L4033">
            <v>46216</v>
          </cell>
          <cell r="M4033">
            <v>-2112</v>
          </cell>
          <cell r="N4033">
            <v>97888</v>
          </cell>
        </row>
        <row r="4034">
          <cell r="A4034">
            <v>34163</v>
          </cell>
          <cell r="B4034">
            <v>4028</v>
          </cell>
          <cell r="C4034" t="str">
            <v>IASWD2411000118</v>
          </cell>
          <cell r="D4034">
            <v>45604</v>
          </cell>
          <cell r="E4034">
            <v>46047</v>
          </cell>
          <cell r="F4034" t="str">
            <v>34163</v>
          </cell>
          <cell r="G4034" t="str">
            <v>融程電三</v>
          </cell>
          <cell r="H4034">
            <v>500000</v>
          </cell>
          <cell r="I4034">
            <v>3</v>
          </cell>
          <cell r="J4034">
            <v>46047</v>
          </cell>
          <cell r="K4034">
            <v>100.5</v>
          </cell>
          <cell r="L4034">
            <v>46028</v>
          </cell>
          <cell r="M4034">
            <v>-7726</v>
          </cell>
          <cell r="N4034">
            <v>492274</v>
          </cell>
        </row>
        <row r="4035">
          <cell r="A4035">
            <v>52091</v>
          </cell>
          <cell r="B4035">
            <v>4029</v>
          </cell>
          <cell r="C4035" t="str">
            <v>IASWD2411000120</v>
          </cell>
          <cell r="D4035">
            <v>45604</v>
          </cell>
          <cell r="E4035">
            <v>46301</v>
          </cell>
          <cell r="F4035" t="str">
            <v>52091</v>
          </cell>
          <cell r="G4035" t="str">
            <v>新鼎一</v>
          </cell>
          <cell r="H4035">
            <v>100000</v>
          </cell>
          <cell r="I4035">
            <v>3.75</v>
          </cell>
          <cell r="J4035">
            <v>46301</v>
          </cell>
          <cell r="K4035">
            <v>100</v>
          </cell>
          <cell r="L4035">
            <v>46281</v>
          </cell>
          <cell r="M4035">
            <v>-1932</v>
          </cell>
          <cell r="N4035">
            <v>98068</v>
          </cell>
        </row>
        <row r="4036">
          <cell r="A4036">
            <v>33244</v>
          </cell>
          <cell r="B4036">
            <v>4030</v>
          </cell>
          <cell r="C4036" t="str">
            <v>IASWD2411000121</v>
          </cell>
          <cell r="D4036">
            <v>45604</v>
          </cell>
          <cell r="E4036">
            <v>45973</v>
          </cell>
          <cell r="F4036" t="str">
            <v>33244</v>
          </cell>
          <cell r="G4036" t="str">
            <v>雙鴻四</v>
          </cell>
          <cell r="H4036">
            <v>100000</v>
          </cell>
          <cell r="I4036">
            <v>2.4</v>
          </cell>
          <cell r="J4036">
            <v>45973</v>
          </cell>
          <cell r="K4036">
            <v>100</v>
          </cell>
          <cell r="L4036">
            <v>45953</v>
          </cell>
          <cell r="M4036">
            <v>-1236</v>
          </cell>
          <cell r="N4036">
            <v>98764</v>
          </cell>
        </row>
        <row r="4037">
          <cell r="A4037">
            <v>64145</v>
          </cell>
          <cell r="B4037">
            <v>4031</v>
          </cell>
          <cell r="C4037" t="str">
            <v>IASWD2411000123</v>
          </cell>
          <cell r="D4037">
            <v>45604</v>
          </cell>
          <cell r="E4037">
            <v>46250</v>
          </cell>
          <cell r="F4037" t="str">
            <v>64145</v>
          </cell>
          <cell r="G4037" t="str">
            <v>樺漢五</v>
          </cell>
          <cell r="H4037">
            <v>100000</v>
          </cell>
          <cell r="I4037">
            <v>3</v>
          </cell>
          <cell r="J4037">
            <v>46250</v>
          </cell>
          <cell r="K4037">
            <v>100</v>
          </cell>
          <cell r="L4037">
            <v>46231</v>
          </cell>
          <cell r="M4037">
            <v>-1545</v>
          </cell>
          <cell r="N4037">
            <v>98455</v>
          </cell>
        </row>
        <row r="4038">
          <cell r="A4038">
            <v>67531</v>
          </cell>
          <cell r="B4038">
            <v>4032</v>
          </cell>
          <cell r="C4038" t="str">
            <v>IASWD2411000127</v>
          </cell>
          <cell r="D4038">
            <v>45604</v>
          </cell>
          <cell r="E4038">
            <v>46563</v>
          </cell>
          <cell r="F4038" t="str">
            <v>67531</v>
          </cell>
          <cell r="G4038" t="str">
            <v>龍德造船一</v>
          </cell>
          <cell r="H4038">
            <v>100000</v>
          </cell>
          <cell r="I4038">
            <v>3.35</v>
          </cell>
          <cell r="J4038">
            <v>46563</v>
          </cell>
          <cell r="K4038">
            <v>100</v>
          </cell>
          <cell r="L4038">
            <v>46545</v>
          </cell>
          <cell r="M4038">
            <v>-1725</v>
          </cell>
          <cell r="N4038">
            <v>98275</v>
          </cell>
        </row>
        <row r="4039">
          <cell r="A4039">
            <v>22013</v>
          </cell>
          <cell r="B4039">
            <v>4033</v>
          </cell>
          <cell r="C4039" t="str">
            <v>IASWD2411000128</v>
          </cell>
          <cell r="D4039">
            <v>45604</v>
          </cell>
          <cell r="E4039">
            <v>46167</v>
          </cell>
          <cell r="F4039" t="str">
            <v>22013</v>
          </cell>
          <cell r="G4039" t="str">
            <v>裕隆三</v>
          </cell>
          <cell r="H4039">
            <v>100000</v>
          </cell>
          <cell r="I4039">
            <v>3.25</v>
          </cell>
          <cell r="J4039">
            <v>46167</v>
          </cell>
          <cell r="K4039">
            <v>100.75190000000001</v>
          </cell>
          <cell r="L4039">
            <v>46147</v>
          </cell>
          <cell r="M4039">
            <v>-1674</v>
          </cell>
          <cell r="N4039">
            <v>98326</v>
          </cell>
        </row>
        <row r="4040">
          <cell r="A4040">
            <v>64145</v>
          </cell>
          <cell r="B4040">
            <v>4034</v>
          </cell>
          <cell r="C4040" t="str">
            <v>IASWD2411000129</v>
          </cell>
          <cell r="D4040">
            <v>45604</v>
          </cell>
          <cell r="E4040">
            <v>46250</v>
          </cell>
          <cell r="F4040" t="str">
            <v>64145</v>
          </cell>
          <cell r="G4040" t="str">
            <v>樺漢五</v>
          </cell>
          <cell r="H4040">
            <v>500000</v>
          </cell>
          <cell r="I4040">
            <v>3</v>
          </cell>
          <cell r="J4040">
            <v>46250</v>
          </cell>
          <cell r="K4040">
            <v>100</v>
          </cell>
          <cell r="L4040">
            <v>46231</v>
          </cell>
          <cell r="M4040">
            <v>-7726</v>
          </cell>
          <cell r="N4040">
            <v>492274</v>
          </cell>
        </row>
        <row r="4041">
          <cell r="A4041">
            <v>15364</v>
          </cell>
          <cell r="B4041">
            <v>4035</v>
          </cell>
          <cell r="C4041" t="str">
            <v>IASWD2411000130</v>
          </cell>
          <cell r="D4041">
            <v>45604</v>
          </cell>
          <cell r="E4041">
            <v>46246</v>
          </cell>
          <cell r="F4041" t="str">
            <v>15364</v>
          </cell>
          <cell r="G4041" t="str">
            <v>和大四</v>
          </cell>
          <cell r="H4041">
            <v>100000</v>
          </cell>
          <cell r="I4041">
            <v>4</v>
          </cell>
          <cell r="J4041">
            <v>46246</v>
          </cell>
          <cell r="K4041">
            <v>100</v>
          </cell>
          <cell r="L4041">
            <v>46226</v>
          </cell>
          <cell r="M4041">
            <v>-2060</v>
          </cell>
          <cell r="N4041">
            <v>97940</v>
          </cell>
        </row>
        <row r="4042">
          <cell r="A4042">
            <v>811210</v>
          </cell>
          <cell r="B4042">
            <v>4036</v>
          </cell>
          <cell r="C4042" t="str">
            <v>IASWD2411000131</v>
          </cell>
          <cell r="D4042">
            <v>45604</v>
          </cell>
          <cell r="E4042">
            <v>46531</v>
          </cell>
          <cell r="F4042" t="str">
            <v>811210</v>
          </cell>
          <cell r="G4042" t="str">
            <v>至上十</v>
          </cell>
          <cell r="H4042">
            <v>200000</v>
          </cell>
          <cell r="I4042">
            <v>3.75</v>
          </cell>
          <cell r="J4042">
            <v>46531</v>
          </cell>
          <cell r="K4042">
            <v>100</v>
          </cell>
          <cell r="L4042">
            <v>46511</v>
          </cell>
          <cell r="M4042">
            <v>-3863</v>
          </cell>
          <cell r="N4042">
            <v>196137</v>
          </cell>
        </row>
        <row r="4043">
          <cell r="A4043">
            <v>67681</v>
          </cell>
          <cell r="B4043">
            <v>4037</v>
          </cell>
          <cell r="C4043" t="str">
            <v>IASWD2411000132</v>
          </cell>
          <cell r="D4043">
            <v>45604</v>
          </cell>
          <cell r="E4043">
            <v>46691</v>
          </cell>
          <cell r="F4043" t="str">
            <v>67681</v>
          </cell>
          <cell r="G4043" t="str">
            <v>志強一KY</v>
          </cell>
          <cell r="H4043">
            <v>400000</v>
          </cell>
          <cell r="I4043">
            <v>3.25</v>
          </cell>
          <cell r="J4043">
            <v>46691</v>
          </cell>
          <cell r="K4043">
            <v>100</v>
          </cell>
          <cell r="L4043">
            <v>46672</v>
          </cell>
          <cell r="M4043">
            <v>-6696</v>
          </cell>
          <cell r="N4043">
            <v>393304</v>
          </cell>
        </row>
        <row r="4044">
          <cell r="A4044">
            <v>64145</v>
          </cell>
          <cell r="B4044">
            <v>4038</v>
          </cell>
          <cell r="C4044" t="str">
            <v>IASWD2411000133</v>
          </cell>
          <cell r="D4044">
            <v>45604</v>
          </cell>
          <cell r="E4044">
            <v>46250</v>
          </cell>
          <cell r="F4044" t="str">
            <v>64145</v>
          </cell>
          <cell r="G4044" t="str">
            <v>樺漢五</v>
          </cell>
          <cell r="H4044">
            <v>100000</v>
          </cell>
          <cell r="I4044">
            <v>3</v>
          </cell>
          <cell r="J4044">
            <v>46250</v>
          </cell>
          <cell r="K4044">
            <v>100</v>
          </cell>
          <cell r="L4044">
            <v>46231</v>
          </cell>
          <cell r="M4044">
            <v>-1545</v>
          </cell>
          <cell r="N4044">
            <v>98455</v>
          </cell>
        </row>
        <row r="4045">
          <cell r="A4045">
            <v>45663</v>
          </cell>
          <cell r="B4045">
            <v>4039</v>
          </cell>
          <cell r="C4045" t="str">
            <v>IASWD2411000135</v>
          </cell>
          <cell r="D4045">
            <v>45604</v>
          </cell>
          <cell r="E4045">
            <v>46353</v>
          </cell>
          <cell r="F4045" t="str">
            <v>45663</v>
          </cell>
          <cell r="G4045" t="str">
            <v>時碩工業三</v>
          </cell>
          <cell r="H4045">
            <v>600000</v>
          </cell>
          <cell r="I4045">
            <v>3.25</v>
          </cell>
          <cell r="J4045">
            <v>46353</v>
          </cell>
          <cell r="K4045">
            <v>100</v>
          </cell>
          <cell r="L4045">
            <v>46335</v>
          </cell>
          <cell r="M4045">
            <v>-10044</v>
          </cell>
          <cell r="N4045">
            <v>589956</v>
          </cell>
        </row>
        <row r="4046">
          <cell r="A4046">
            <v>50097</v>
          </cell>
          <cell r="B4046">
            <v>4040</v>
          </cell>
          <cell r="C4046" t="str">
            <v>IASWD2411000138</v>
          </cell>
          <cell r="D4046">
            <v>45604</v>
          </cell>
          <cell r="E4046">
            <v>46234</v>
          </cell>
          <cell r="F4046" t="str">
            <v>50097</v>
          </cell>
          <cell r="G4046" t="str">
            <v>榮剛七</v>
          </cell>
          <cell r="H4046">
            <v>700000</v>
          </cell>
          <cell r="I4046">
            <v>4.0999999999999996</v>
          </cell>
          <cell r="J4046">
            <v>46234</v>
          </cell>
          <cell r="K4046">
            <v>101.51</v>
          </cell>
          <cell r="L4046">
            <v>46216</v>
          </cell>
          <cell r="M4046">
            <v>-14782</v>
          </cell>
          <cell r="N4046">
            <v>685218</v>
          </cell>
        </row>
        <row r="4047">
          <cell r="A4047">
            <v>50097</v>
          </cell>
          <cell r="B4047">
            <v>4041</v>
          </cell>
          <cell r="C4047" t="str">
            <v>IASWD2411000140</v>
          </cell>
          <cell r="D4047">
            <v>45604</v>
          </cell>
          <cell r="E4047">
            <v>46234</v>
          </cell>
          <cell r="F4047" t="str">
            <v>50097</v>
          </cell>
          <cell r="G4047" t="str">
            <v>榮剛七</v>
          </cell>
          <cell r="H4047">
            <v>100000</v>
          </cell>
          <cell r="I4047">
            <v>4.0999999999999996</v>
          </cell>
          <cell r="J4047">
            <v>46234</v>
          </cell>
          <cell r="K4047">
            <v>101.51</v>
          </cell>
          <cell r="L4047">
            <v>46216</v>
          </cell>
          <cell r="M4047">
            <v>-2112</v>
          </cell>
          <cell r="N4047">
            <v>97888</v>
          </cell>
        </row>
        <row r="4048">
          <cell r="A4048">
            <v>99392</v>
          </cell>
          <cell r="B4048">
            <v>4042</v>
          </cell>
          <cell r="C4048" t="str">
            <v>IASWD2411000141</v>
          </cell>
          <cell r="D4048">
            <v>45604</v>
          </cell>
          <cell r="E4048">
            <v>46689</v>
          </cell>
          <cell r="F4048" t="str">
            <v>99392</v>
          </cell>
          <cell r="G4048" t="str">
            <v>宏全二</v>
          </cell>
          <cell r="H4048">
            <v>5100000</v>
          </cell>
          <cell r="I4048">
            <v>2.5</v>
          </cell>
          <cell r="J4048">
            <v>46689</v>
          </cell>
          <cell r="K4048">
            <v>100</v>
          </cell>
          <cell r="L4048">
            <v>46671</v>
          </cell>
          <cell r="M4048">
            <v>-65671</v>
          </cell>
          <cell r="N4048">
            <v>5034329</v>
          </cell>
        </row>
        <row r="4049">
          <cell r="A4049">
            <v>67681</v>
          </cell>
          <cell r="B4049">
            <v>4043</v>
          </cell>
          <cell r="C4049" t="str">
            <v>IASWD2411000142</v>
          </cell>
          <cell r="D4049">
            <v>45604</v>
          </cell>
          <cell r="E4049">
            <v>46691</v>
          </cell>
          <cell r="F4049" t="str">
            <v>67681</v>
          </cell>
          <cell r="G4049" t="str">
            <v>志強一KY</v>
          </cell>
          <cell r="H4049">
            <v>100000</v>
          </cell>
          <cell r="I4049">
            <v>3.25</v>
          </cell>
          <cell r="J4049">
            <v>46691</v>
          </cell>
          <cell r="K4049">
            <v>100</v>
          </cell>
          <cell r="L4049">
            <v>46672</v>
          </cell>
          <cell r="M4049">
            <v>-1674</v>
          </cell>
          <cell r="N4049">
            <v>98326</v>
          </cell>
        </row>
        <row r="4050">
          <cell r="A4050">
            <v>35832</v>
          </cell>
          <cell r="B4050">
            <v>4044</v>
          </cell>
          <cell r="C4050" t="str">
            <v>IASWD2411000143</v>
          </cell>
          <cell r="D4050">
            <v>45604</v>
          </cell>
          <cell r="E4050">
            <v>46192</v>
          </cell>
          <cell r="F4050" t="str">
            <v>35832</v>
          </cell>
          <cell r="G4050" t="str">
            <v>辛耘二</v>
          </cell>
          <cell r="H4050">
            <v>100000</v>
          </cell>
          <cell r="I4050">
            <v>3</v>
          </cell>
          <cell r="J4050">
            <v>46192</v>
          </cell>
          <cell r="K4050">
            <v>100</v>
          </cell>
          <cell r="L4050">
            <v>46174</v>
          </cell>
          <cell r="M4050">
            <v>-1545</v>
          </cell>
          <cell r="N4050">
            <v>98455</v>
          </cell>
        </row>
        <row r="4051">
          <cell r="A4051">
            <v>82992</v>
          </cell>
          <cell r="B4051">
            <v>4045</v>
          </cell>
          <cell r="C4051" t="str">
            <v>IASWD2411000144</v>
          </cell>
          <cell r="D4051">
            <v>45607</v>
          </cell>
          <cell r="E4051">
            <v>46410</v>
          </cell>
          <cell r="F4051" t="str">
            <v>82992</v>
          </cell>
          <cell r="G4051" t="str">
            <v>群聯二</v>
          </cell>
          <cell r="H4051">
            <v>200000</v>
          </cell>
          <cell r="I4051">
            <v>2.6</v>
          </cell>
          <cell r="J4051">
            <v>46410</v>
          </cell>
          <cell r="K4051">
            <v>100</v>
          </cell>
          <cell r="L4051">
            <v>46392</v>
          </cell>
          <cell r="M4051">
            <v>-2636</v>
          </cell>
          <cell r="N4051">
            <v>197364</v>
          </cell>
        </row>
        <row r="4052">
          <cell r="A4052">
            <v>61875</v>
          </cell>
          <cell r="B4052">
            <v>4046</v>
          </cell>
          <cell r="C4052" t="str">
            <v>IASWD2411000145</v>
          </cell>
          <cell r="D4052">
            <v>45607</v>
          </cell>
          <cell r="E4052">
            <v>46578</v>
          </cell>
          <cell r="F4052" t="str">
            <v>61875</v>
          </cell>
          <cell r="G4052" t="str">
            <v>萬潤五</v>
          </cell>
          <cell r="H4052">
            <v>100000</v>
          </cell>
          <cell r="I4052">
            <v>3</v>
          </cell>
          <cell r="J4052">
            <v>46578</v>
          </cell>
          <cell r="K4052">
            <v>100</v>
          </cell>
          <cell r="L4052">
            <v>46560</v>
          </cell>
          <cell r="M4052">
            <v>-1521</v>
          </cell>
          <cell r="N4052">
            <v>98479</v>
          </cell>
        </row>
        <row r="4053">
          <cell r="A4053">
            <v>50097</v>
          </cell>
          <cell r="B4053">
            <v>4047</v>
          </cell>
          <cell r="C4053" t="str">
            <v>IASWD2411000146</v>
          </cell>
          <cell r="D4053">
            <v>45607</v>
          </cell>
          <cell r="E4053">
            <v>46234</v>
          </cell>
          <cell r="F4053" t="str">
            <v>50097</v>
          </cell>
          <cell r="G4053" t="str">
            <v>榮剛七</v>
          </cell>
          <cell r="H4053">
            <v>100000</v>
          </cell>
          <cell r="I4053">
            <v>4.0999999999999996</v>
          </cell>
          <cell r="J4053">
            <v>46234</v>
          </cell>
          <cell r="K4053">
            <v>101.51</v>
          </cell>
          <cell r="L4053">
            <v>46216</v>
          </cell>
          <cell r="M4053">
            <v>-2078</v>
          </cell>
          <cell r="N4053">
            <v>97922</v>
          </cell>
        </row>
        <row r="4054">
          <cell r="A4054">
            <v>50097</v>
          </cell>
          <cell r="B4054">
            <v>4048</v>
          </cell>
          <cell r="C4054" t="str">
            <v>IASWD2411000147</v>
          </cell>
          <cell r="D4054">
            <v>45607</v>
          </cell>
          <cell r="E4054">
            <v>46234</v>
          </cell>
          <cell r="F4054" t="str">
            <v>50097</v>
          </cell>
          <cell r="G4054" t="str">
            <v>榮剛七</v>
          </cell>
          <cell r="H4054">
            <v>600000</v>
          </cell>
          <cell r="I4054">
            <v>4.0999999999999996</v>
          </cell>
          <cell r="J4054">
            <v>46234</v>
          </cell>
          <cell r="K4054">
            <v>101.51</v>
          </cell>
          <cell r="L4054">
            <v>46216</v>
          </cell>
          <cell r="M4054">
            <v>-12468</v>
          </cell>
          <cell r="N4054">
            <v>587532</v>
          </cell>
        </row>
        <row r="4055">
          <cell r="A4055">
            <v>50097</v>
          </cell>
          <cell r="B4055">
            <v>4049</v>
          </cell>
          <cell r="C4055" t="str">
            <v>IASWD2411000148</v>
          </cell>
          <cell r="D4055">
            <v>45607</v>
          </cell>
          <cell r="E4055">
            <v>46234</v>
          </cell>
          <cell r="F4055" t="str">
            <v>50097</v>
          </cell>
          <cell r="G4055" t="str">
            <v>榮剛七</v>
          </cell>
          <cell r="H4055">
            <v>200000</v>
          </cell>
          <cell r="I4055">
            <v>4.0999999999999996</v>
          </cell>
          <cell r="J4055">
            <v>46234</v>
          </cell>
          <cell r="K4055">
            <v>101.51</v>
          </cell>
          <cell r="L4055">
            <v>46216</v>
          </cell>
          <cell r="M4055">
            <v>-4156</v>
          </cell>
          <cell r="N4055">
            <v>195844</v>
          </cell>
        </row>
        <row r="4056">
          <cell r="A4056">
            <v>22013</v>
          </cell>
          <cell r="B4056">
            <v>4050</v>
          </cell>
          <cell r="C4056" t="str">
            <v>IASWD2411000149</v>
          </cell>
          <cell r="D4056">
            <v>45607</v>
          </cell>
          <cell r="E4056">
            <v>46167</v>
          </cell>
          <cell r="F4056" t="str">
            <v>22013</v>
          </cell>
          <cell r="G4056" t="str">
            <v>裕隆三</v>
          </cell>
          <cell r="H4056">
            <v>1000000</v>
          </cell>
          <cell r="I4056">
            <v>3.25</v>
          </cell>
          <cell r="J4056">
            <v>46167</v>
          </cell>
          <cell r="K4056">
            <v>100.75190000000001</v>
          </cell>
          <cell r="L4056">
            <v>46147</v>
          </cell>
          <cell r="M4056">
            <v>-16473</v>
          </cell>
          <cell r="N4056">
            <v>983527</v>
          </cell>
        </row>
        <row r="4057">
          <cell r="A4057">
            <v>811210</v>
          </cell>
          <cell r="B4057">
            <v>4051</v>
          </cell>
          <cell r="C4057" t="str">
            <v>IASWD2411000150</v>
          </cell>
          <cell r="D4057">
            <v>45607</v>
          </cell>
          <cell r="E4057">
            <v>46531</v>
          </cell>
          <cell r="F4057" t="str">
            <v>811210</v>
          </cell>
          <cell r="G4057" t="str">
            <v>至上十</v>
          </cell>
          <cell r="H4057">
            <v>100000</v>
          </cell>
          <cell r="I4057">
            <v>3.75</v>
          </cell>
          <cell r="J4057">
            <v>46531</v>
          </cell>
          <cell r="K4057">
            <v>100</v>
          </cell>
          <cell r="L4057">
            <v>46511</v>
          </cell>
          <cell r="M4057">
            <v>-1901</v>
          </cell>
          <cell r="N4057">
            <v>98099</v>
          </cell>
        </row>
        <row r="4058">
          <cell r="A4058">
            <v>36894</v>
          </cell>
          <cell r="B4058">
            <v>4052</v>
          </cell>
          <cell r="C4058" t="str">
            <v>IASWD2411000152</v>
          </cell>
          <cell r="D4058">
            <v>45607</v>
          </cell>
          <cell r="E4058">
            <v>46086</v>
          </cell>
          <cell r="F4058" t="str">
            <v>36894</v>
          </cell>
          <cell r="G4058" t="str">
            <v>湧德四</v>
          </cell>
          <cell r="H4058">
            <v>100000</v>
          </cell>
          <cell r="I4058">
            <v>3.25</v>
          </cell>
          <cell r="J4058">
            <v>46086</v>
          </cell>
          <cell r="K4058">
            <v>100</v>
          </cell>
          <cell r="L4058">
            <v>46066</v>
          </cell>
          <cell r="M4058">
            <v>-1647</v>
          </cell>
          <cell r="N4058">
            <v>98353</v>
          </cell>
        </row>
        <row r="4059">
          <cell r="A4059">
            <v>64145</v>
          </cell>
          <cell r="B4059">
            <v>4053</v>
          </cell>
          <cell r="C4059" t="str">
            <v>IASWD2411000153</v>
          </cell>
          <cell r="D4059">
            <v>45607</v>
          </cell>
          <cell r="E4059">
            <v>46250</v>
          </cell>
          <cell r="F4059" t="str">
            <v>64145</v>
          </cell>
          <cell r="G4059" t="str">
            <v>樺漢五</v>
          </cell>
          <cell r="H4059">
            <v>400000</v>
          </cell>
          <cell r="I4059">
            <v>3</v>
          </cell>
          <cell r="J4059">
            <v>46250</v>
          </cell>
          <cell r="K4059">
            <v>100</v>
          </cell>
          <cell r="L4059">
            <v>46231</v>
          </cell>
          <cell r="M4059">
            <v>-6082</v>
          </cell>
          <cell r="N4059">
            <v>393918</v>
          </cell>
        </row>
        <row r="4060">
          <cell r="A4060">
            <v>99392</v>
          </cell>
          <cell r="B4060">
            <v>4054</v>
          </cell>
          <cell r="C4060" t="str">
            <v>IASWD2411000154</v>
          </cell>
          <cell r="D4060">
            <v>45607</v>
          </cell>
          <cell r="E4060">
            <v>46689</v>
          </cell>
          <cell r="F4060" t="str">
            <v>99392</v>
          </cell>
          <cell r="G4060" t="str">
            <v>宏全二</v>
          </cell>
          <cell r="H4060">
            <v>100000</v>
          </cell>
          <cell r="I4060">
            <v>2.5</v>
          </cell>
          <cell r="J4060">
            <v>46689</v>
          </cell>
          <cell r="K4060">
            <v>100</v>
          </cell>
          <cell r="L4060">
            <v>46671</v>
          </cell>
          <cell r="M4060">
            <v>-1267</v>
          </cell>
          <cell r="N4060">
            <v>98733</v>
          </cell>
        </row>
        <row r="4061">
          <cell r="A4061">
            <v>82992</v>
          </cell>
          <cell r="B4061">
            <v>4055</v>
          </cell>
          <cell r="C4061" t="str">
            <v>IASWD2411000155</v>
          </cell>
          <cell r="D4061">
            <v>45607</v>
          </cell>
          <cell r="E4061">
            <v>46410</v>
          </cell>
          <cell r="F4061" t="str">
            <v>82992</v>
          </cell>
          <cell r="G4061" t="str">
            <v>群聯二</v>
          </cell>
          <cell r="H4061">
            <v>1000000</v>
          </cell>
          <cell r="I4061">
            <v>2.6</v>
          </cell>
          <cell r="J4061">
            <v>46410</v>
          </cell>
          <cell r="K4061">
            <v>100</v>
          </cell>
          <cell r="L4061">
            <v>46392</v>
          </cell>
          <cell r="M4061">
            <v>-13178</v>
          </cell>
          <cell r="N4061">
            <v>986822</v>
          </cell>
        </row>
        <row r="4062">
          <cell r="A4062">
            <v>99392</v>
          </cell>
          <cell r="B4062">
            <v>4056</v>
          </cell>
          <cell r="C4062" t="str">
            <v>IASWD2411000156</v>
          </cell>
          <cell r="D4062">
            <v>45607</v>
          </cell>
          <cell r="E4062">
            <v>46689</v>
          </cell>
          <cell r="F4062" t="str">
            <v>99392</v>
          </cell>
          <cell r="G4062" t="str">
            <v>宏全二</v>
          </cell>
          <cell r="H4062">
            <v>500000</v>
          </cell>
          <cell r="I4062">
            <v>2.5</v>
          </cell>
          <cell r="J4062">
            <v>46689</v>
          </cell>
          <cell r="K4062">
            <v>100</v>
          </cell>
          <cell r="L4062">
            <v>46671</v>
          </cell>
          <cell r="M4062">
            <v>-6336</v>
          </cell>
          <cell r="N4062">
            <v>493664</v>
          </cell>
        </row>
        <row r="4063">
          <cell r="A4063">
            <v>82992</v>
          </cell>
          <cell r="B4063">
            <v>4057</v>
          </cell>
          <cell r="C4063" t="str">
            <v>IASWD2411000157</v>
          </cell>
          <cell r="D4063">
            <v>45607</v>
          </cell>
          <cell r="E4063">
            <v>46410</v>
          </cell>
          <cell r="F4063" t="str">
            <v>82992</v>
          </cell>
          <cell r="G4063" t="str">
            <v>群聯二</v>
          </cell>
          <cell r="H4063">
            <v>200000</v>
          </cell>
          <cell r="I4063">
            <v>2.6</v>
          </cell>
          <cell r="J4063">
            <v>46410</v>
          </cell>
          <cell r="K4063">
            <v>100</v>
          </cell>
          <cell r="L4063">
            <v>46392</v>
          </cell>
          <cell r="M4063">
            <v>-2636</v>
          </cell>
          <cell r="N4063">
            <v>197364</v>
          </cell>
        </row>
        <row r="4064">
          <cell r="A4064">
            <v>15364</v>
          </cell>
          <cell r="B4064">
            <v>4058</v>
          </cell>
          <cell r="C4064" t="str">
            <v>IASWD2411000158</v>
          </cell>
          <cell r="D4064">
            <v>45607</v>
          </cell>
          <cell r="E4064">
            <v>46246</v>
          </cell>
          <cell r="F4064" t="str">
            <v>15364</v>
          </cell>
          <cell r="G4064" t="str">
            <v>和大四</v>
          </cell>
          <cell r="H4064">
            <v>100000</v>
          </cell>
          <cell r="I4064">
            <v>4</v>
          </cell>
          <cell r="J4064">
            <v>46246</v>
          </cell>
          <cell r="K4064">
            <v>100</v>
          </cell>
          <cell r="L4064">
            <v>46226</v>
          </cell>
          <cell r="M4064">
            <v>-2027</v>
          </cell>
          <cell r="N4064">
            <v>97973</v>
          </cell>
        </row>
        <row r="4065">
          <cell r="A4065">
            <v>33121</v>
          </cell>
          <cell r="B4065">
            <v>4059</v>
          </cell>
          <cell r="C4065" t="str">
            <v>IASWD2411000159</v>
          </cell>
          <cell r="D4065">
            <v>45607</v>
          </cell>
          <cell r="E4065">
            <v>46563</v>
          </cell>
          <cell r="F4065" t="str">
            <v>33121</v>
          </cell>
          <cell r="G4065" t="str">
            <v>弘憶股一</v>
          </cell>
          <cell r="H4065">
            <v>100000</v>
          </cell>
          <cell r="I4065">
            <v>3.35</v>
          </cell>
          <cell r="J4065">
            <v>46563</v>
          </cell>
          <cell r="K4065">
            <v>100</v>
          </cell>
          <cell r="L4065">
            <v>46545</v>
          </cell>
          <cell r="M4065">
            <v>-1698</v>
          </cell>
          <cell r="N4065">
            <v>98302</v>
          </cell>
        </row>
        <row r="4066">
          <cell r="A4066">
            <v>811210</v>
          </cell>
          <cell r="B4066">
            <v>4060</v>
          </cell>
          <cell r="C4066" t="str">
            <v>IASWD2411000160</v>
          </cell>
          <cell r="D4066">
            <v>45607</v>
          </cell>
          <cell r="E4066">
            <v>46531</v>
          </cell>
          <cell r="F4066" t="str">
            <v>811210</v>
          </cell>
          <cell r="G4066" t="str">
            <v>至上十</v>
          </cell>
          <cell r="H4066">
            <v>200000</v>
          </cell>
          <cell r="I4066">
            <v>3.75</v>
          </cell>
          <cell r="J4066">
            <v>46531</v>
          </cell>
          <cell r="K4066">
            <v>100</v>
          </cell>
          <cell r="L4066">
            <v>46511</v>
          </cell>
          <cell r="M4066">
            <v>-3801</v>
          </cell>
          <cell r="N4066">
            <v>196199</v>
          </cell>
        </row>
        <row r="4067">
          <cell r="A4067">
            <v>22013</v>
          </cell>
          <cell r="B4067">
            <v>4061</v>
          </cell>
          <cell r="C4067" t="str">
            <v>IASWD2411000163</v>
          </cell>
          <cell r="D4067">
            <v>45607</v>
          </cell>
          <cell r="E4067">
            <v>46167</v>
          </cell>
          <cell r="F4067" t="str">
            <v>22013</v>
          </cell>
          <cell r="G4067" t="str">
            <v>裕隆三</v>
          </cell>
          <cell r="H4067">
            <v>300000</v>
          </cell>
          <cell r="I4067">
            <v>3.25</v>
          </cell>
          <cell r="J4067">
            <v>46167</v>
          </cell>
          <cell r="K4067">
            <v>100.75190000000001</v>
          </cell>
          <cell r="L4067">
            <v>46147</v>
          </cell>
          <cell r="M4067">
            <v>-4942</v>
          </cell>
          <cell r="N4067">
            <v>295058</v>
          </cell>
        </row>
        <row r="4068">
          <cell r="A4068">
            <v>34163</v>
          </cell>
          <cell r="B4068">
            <v>4062</v>
          </cell>
          <cell r="C4068" t="str">
            <v>IASWD2411000164</v>
          </cell>
          <cell r="D4068">
            <v>45607</v>
          </cell>
          <cell r="E4068">
            <v>46047</v>
          </cell>
          <cell r="F4068" t="str">
            <v>34163</v>
          </cell>
          <cell r="G4068" t="str">
            <v>融程電三</v>
          </cell>
          <cell r="H4068">
            <v>2200000</v>
          </cell>
          <cell r="I4068">
            <v>3</v>
          </cell>
          <cell r="J4068">
            <v>46047</v>
          </cell>
          <cell r="K4068">
            <v>100.5</v>
          </cell>
          <cell r="L4068">
            <v>46028</v>
          </cell>
          <cell r="M4068">
            <v>-33452</v>
          </cell>
          <cell r="N4068">
            <v>2166548</v>
          </cell>
        </row>
        <row r="4069">
          <cell r="A4069">
            <v>50097</v>
          </cell>
          <cell r="B4069">
            <v>4063</v>
          </cell>
          <cell r="C4069" t="str">
            <v>IASWD2411000165</v>
          </cell>
          <cell r="D4069">
            <v>45607</v>
          </cell>
          <cell r="E4069">
            <v>46234</v>
          </cell>
          <cell r="F4069" t="str">
            <v>50097</v>
          </cell>
          <cell r="G4069" t="str">
            <v>榮剛七</v>
          </cell>
          <cell r="H4069">
            <v>100000</v>
          </cell>
          <cell r="I4069">
            <v>4.0999999999999996</v>
          </cell>
          <cell r="J4069">
            <v>46234</v>
          </cell>
          <cell r="K4069">
            <v>101.51</v>
          </cell>
          <cell r="L4069">
            <v>46216</v>
          </cell>
          <cell r="M4069">
            <v>-2078</v>
          </cell>
          <cell r="N4069">
            <v>97922</v>
          </cell>
        </row>
        <row r="4070">
          <cell r="A4070">
            <v>64145</v>
          </cell>
          <cell r="B4070">
            <v>4064</v>
          </cell>
          <cell r="C4070" t="str">
            <v>IASWD2411000166</v>
          </cell>
          <cell r="D4070">
            <v>45607</v>
          </cell>
          <cell r="E4070">
            <v>46250</v>
          </cell>
          <cell r="F4070" t="str">
            <v>64145</v>
          </cell>
          <cell r="G4070" t="str">
            <v>樺漢五</v>
          </cell>
          <cell r="H4070">
            <v>100000</v>
          </cell>
          <cell r="I4070">
            <v>3</v>
          </cell>
          <cell r="J4070">
            <v>46250</v>
          </cell>
          <cell r="K4070">
            <v>100</v>
          </cell>
          <cell r="L4070">
            <v>46231</v>
          </cell>
          <cell r="M4070">
            <v>-1521</v>
          </cell>
          <cell r="N4070">
            <v>98479</v>
          </cell>
        </row>
        <row r="4071">
          <cell r="A4071">
            <v>56086</v>
          </cell>
          <cell r="B4071">
            <v>4065</v>
          </cell>
          <cell r="C4071" t="str">
            <v>IASWD2411000167</v>
          </cell>
          <cell r="D4071">
            <v>45607</v>
          </cell>
          <cell r="E4071">
            <v>46194</v>
          </cell>
          <cell r="F4071" t="str">
            <v>56086</v>
          </cell>
          <cell r="G4071" t="str">
            <v>四維航六</v>
          </cell>
          <cell r="H4071">
            <v>100000</v>
          </cell>
          <cell r="I4071">
            <v>2.35</v>
          </cell>
          <cell r="J4071">
            <v>46194</v>
          </cell>
          <cell r="K4071">
            <v>100</v>
          </cell>
          <cell r="L4071">
            <v>46175</v>
          </cell>
          <cell r="M4071">
            <v>-1191</v>
          </cell>
          <cell r="N4071">
            <v>98809</v>
          </cell>
        </row>
        <row r="4072">
          <cell r="A4072">
            <v>99392</v>
          </cell>
          <cell r="B4072">
            <v>4066</v>
          </cell>
          <cell r="C4072" t="str">
            <v>IASWD2411000168</v>
          </cell>
          <cell r="D4072">
            <v>45607</v>
          </cell>
          <cell r="E4072">
            <v>46689</v>
          </cell>
          <cell r="F4072" t="str">
            <v>99392</v>
          </cell>
          <cell r="G4072" t="str">
            <v>宏全二</v>
          </cell>
          <cell r="H4072">
            <v>8000000</v>
          </cell>
          <cell r="I4072">
            <v>2.5</v>
          </cell>
          <cell r="J4072">
            <v>46689</v>
          </cell>
          <cell r="K4072">
            <v>100</v>
          </cell>
          <cell r="L4072">
            <v>46671</v>
          </cell>
          <cell r="M4072">
            <v>-101370</v>
          </cell>
          <cell r="N4072">
            <v>7898630</v>
          </cell>
        </row>
        <row r="4073">
          <cell r="A4073">
            <v>27323</v>
          </cell>
          <cell r="B4073">
            <v>4067</v>
          </cell>
          <cell r="C4073" t="str">
            <v>IASWD2411000170</v>
          </cell>
          <cell r="D4073">
            <v>45607</v>
          </cell>
          <cell r="E4073">
            <v>46048</v>
          </cell>
          <cell r="F4073" t="str">
            <v>27323</v>
          </cell>
          <cell r="G4073" t="str">
            <v>六角三</v>
          </cell>
          <cell r="H4073">
            <v>100000</v>
          </cell>
          <cell r="I4073">
            <v>3</v>
          </cell>
          <cell r="J4073">
            <v>46048</v>
          </cell>
          <cell r="K4073">
            <v>101</v>
          </cell>
          <cell r="L4073">
            <v>46028</v>
          </cell>
          <cell r="M4073">
            <v>-1521</v>
          </cell>
          <cell r="N4073">
            <v>98479</v>
          </cell>
        </row>
        <row r="4074">
          <cell r="A4074">
            <v>140202</v>
          </cell>
          <cell r="B4074">
            <v>4068</v>
          </cell>
          <cell r="C4074" t="str">
            <v>IASWD2411000171</v>
          </cell>
          <cell r="D4074">
            <v>45607</v>
          </cell>
          <cell r="E4074">
            <v>46607</v>
          </cell>
          <cell r="F4074" t="str">
            <v>140202</v>
          </cell>
          <cell r="G4074" t="str">
            <v>遠東新E2永</v>
          </cell>
          <cell r="H4074">
            <v>1000000</v>
          </cell>
          <cell r="I4074">
            <v>2.7</v>
          </cell>
          <cell r="J4074">
            <v>46607</v>
          </cell>
          <cell r="K4074">
            <v>100</v>
          </cell>
          <cell r="L4074">
            <v>46588</v>
          </cell>
          <cell r="M4074">
            <v>-13685</v>
          </cell>
          <cell r="N4074">
            <v>986315</v>
          </cell>
        </row>
        <row r="4075">
          <cell r="A4075">
            <v>99392</v>
          </cell>
          <cell r="B4075">
            <v>4069</v>
          </cell>
          <cell r="C4075" t="str">
            <v>IASWD2411000172</v>
          </cell>
          <cell r="D4075">
            <v>45607</v>
          </cell>
          <cell r="E4075">
            <v>46689</v>
          </cell>
          <cell r="F4075" t="str">
            <v>99392</v>
          </cell>
          <cell r="G4075" t="str">
            <v>宏全二</v>
          </cell>
          <cell r="H4075">
            <v>100000</v>
          </cell>
          <cell r="I4075">
            <v>2.5</v>
          </cell>
          <cell r="J4075">
            <v>46689</v>
          </cell>
          <cell r="K4075">
            <v>100</v>
          </cell>
          <cell r="L4075">
            <v>46671</v>
          </cell>
          <cell r="M4075">
            <v>-1267</v>
          </cell>
          <cell r="N4075">
            <v>98733</v>
          </cell>
        </row>
        <row r="4076">
          <cell r="A4076">
            <v>99392</v>
          </cell>
          <cell r="B4076">
            <v>4070</v>
          </cell>
          <cell r="C4076" t="str">
            <v>IASWD2411000173</v>
          </cell>
          <cell r="D4076">
            <v>45607</v>
          </cell>
          <cell r="E4076">
            <v>46689</v>
          </cell>
          <cell r="F4076" t="str">
            <v>99392</v>
          </cell>
          <cell r="G4076" t="str">
            <v>宏全二</v>
          </cell>
          <cell r="H4076">
            <v>300000</v>
          </cell>
          <cell r="I4076">
            <v>2.5</v>
          </cell>
          <cell r="J4076">
            <v>46689</v>
          </cell>
          <cell r="K4076">
            <v>100</v>
          </cell>
          <cell r="L4076">
            <v>46671</v>
          </cell>
          <cell r="M4076">
            <v>-3801</v>
          </cell>
          <cell r="N4076">
            <v>296199</v>
          </cell>
        </row>
        <row r="4077">
          <cell r="A4077">
            <v>82992</v>
          </cell>
          <cell r="B4077">
            <v>4071</v>
          </cell>
          <cell r="C4077" t="str">
            <v>IASWD2411000174</v>
          </cell>
          <cell r="D4077">
            <v>45607</v>
          </cell>
          <cell r="E4077">
            <v>46410</v>
          </cell>
          <cell r="F4077" t="str">
            <v>82992</v>
          </cell>
          <cell r="G4077" t="str">
            <v>群聯二</v>
          </cell>
          <cell r="H4077">
            <v>200000</v>
          </cell>
          <cell r="I4077">
            <v>2.6</v>
          </cell>
          <cell r="J4077">
            <v>46410</v>
          </cell>
          <cell r="K4077">
            <v>100</v>
          </cell>
          <cell r="L4077">
            <v>46392</v>
          </cell>
          <cell r="M4077">
            <v>-2636</v>
          </cell>
          <cell r="N4077">
            <v>197364</v>
          </cell>
        </row>
        <row r="4078">
          <cell r="A4078">
            <v>22013</v>
          </cell>
          <cell r="B4078">
            <v>4072</v>
          </cell>
          <cell r="C4078" t="str">
            <v>IASWD2411000176</v>
          </cell>
          <cell r="D4078">
            <v>45607</v>
          </cell>
          <cell r="E4078">
            <v>46167</v>
          </cell>
          <cell r="F4078" t="str">
            <v>22013</v>
          </cell>
          <cell r="G4078" t="str">
            <v>裕隆三</v>
          </cell>
          <cell r="H4078">
            <v>500000</v>
          </cell>
          <cell r="I4078">
            <v>3.25</v>
          </cell>
          <cell r="J4078">
            <v>46167</v>
          </cell>
          <cell r="K4078">
            <v>100.75190000000001</v>
          </cell>
          <cell r="L4078">
            <v>46147</v>
          </cell>
          <cell r="M4078">
            <v>-8236</v>
          </cell>
          <cell r="N4078">
            <v>491764</v>
          </cell>
        </row>
        <row r="4079">
          <cell r="A4079">
            <v>82992</v>
          </cell>
          <cell r="B4079">
            <v>4073</v>
          </cell>
          <cell r="C4079" t="str">
            <v>IASWD2411000177</v>
          </cell>
          <cell r="D4079">
            <v>45607</v>
          </cell>
          <cell r="E4079">
            <v>46410</v>
          </cell>
          <cell r="F4079" t="str">
            <v>82992</v>
          </cell>
          <cell r="G4079" t="str">
            <v>群聯二</v>
          </cell>
          <cell r="H4079">
            <v>200000</v>
          </cell>
          <cell r="I4079">
            <v>2.6</v>
          </cell>
          <cell r="J4079">
            <v>46410</v>
          </cell>
          <cell r="K4079">
            <v>100</v>
          </cell>
          <cell r="L4079">
            <v>46392</v>
          </cell>
          <cell r="M4079">
            <v>-2636</v>
          </cell>
          <cell r="N4079">
            <v>197364</v>
          </cell>
        </row>
        <row r="4080">
          <cell r="A4080">
            <v>82992</v>
          </cell>
          <cell r="B4080">
            <v>4074</v>
          </cell>
          <cell r="C4080" t="str">
            <v>IASWD2411000178</v>
          </cell>
          <cell r="D4080">
            <v>45607</v>
          </cell>
          <cell r="E4080">
            <v>46410</v>
          </cell>
          <cell r="F4080" t="str">
            <v>82992</v>
          </cell>
          <cell r="G4080" t="str">
            <v>群聯二</v>
          </cell>
          <cell r="H4080">
            <v>600000</v>
          </cell>
          <cell r="I4080">
            <v>2.6</v>
          </cell>
          <cell r="J4080">
            <v>46410</v>
          </cell>
          <cell r="K4080">
            <v>100</v>
          </cell>
          <cell r="L4080">
            <v>46392</v>
          </cell>
          <cell r="M4080">
            <v>-7907</v>
          </cell>
          <cell r="N4080">
            <v>592093</v>
          </cell>
        </row>
        <row r="4081">
          <cell r="A4081">
            <v>22283</v>
          </cell>
          <cell r="B4081">
            <v>4075</v>
          </cell>
          <cell r="C4081" t="str">
            <v>IASWD2411000179</v>
          </cell>
          <cell r="D4081">
            <v>45607</v>
          </cell>
          <cell r="E4081">
            <v>46628</v>
          </cell>
          <cell r="F4081" t="str">
            <v>22283</v>
          </cell>
          <cell r="G4081" t="str">
            <v>劍麟三</v>
          </cell>
          <cell r="H4081">
            <v>100000</v>
          </cell>
          <cell r="I4081">
            <v>3</v>
          </cell>
          <cell r="J4081">
            <v>46628</v>
          </cell>
          <cell r="K4081">
            <v>100</v>
          </cell>
          <cell r="L4081">
            <v>46609</v>
          </cell>
          <cell r="M4081">
            <v>-1521</v>
          </cell>
          <cell r="N4081">
            <v>98479</v>
          </cell>
        </row>
        <row r="4082">
          <cell r="A4082">
            <v>82992</v>
          </cell>
          <cell r="B4082">
            <v>4076</v>
          </cell>
          <cell r="C4082" t="str">
            <v>IASWD2411000180</v>
          </cell>
          <cell r="D4082">
            <v>45607</v>
          </cell>
          <cell r="E4082">
            <v>46410</v>
          </cell>
          <cell r="F4082" t="str">
            <v>82992</v>
          </cell>
          <cell r="G4082" t="str">
            <v>群聯二</v>
          </cell>
          <cell r="H4082">
            <v>100000</v>
          </cell>
          <cell r="I4082">
            <v>2.6</v>
          </cell>
          <cell r="J4082">
            <v>46410</v>
          </cell>
          <cell r="K4082">
            <v>100</v>
          </cell>
          <cell r="L4082">
            <v>46392</v>
          </cell>
          <cell r="M4082">
            <v>-1318</v>
          </cell>
          <cell r="N4082">
            <v>98682</v>
          </cell>
        </row>
        <row r="4083">
          <cell r="A4083">
            <v>82992</v>
          </cell>
          <cell r="B4083">
            <v>4077</v>
          </cell>
          <cell r="C4083" t="str">
            <v>IASWD2411000182</v>
          </cell>
          <cell r="D4083">
            <v>45607</v>
          </cell>
          <cell r="E4083">
            <v>46410</v>
          </cell>
          <cell r="F4083" t="str">
            <v>82992</v>
          </cell>
          <cell r="G4083" t="str">
            <v>群聯二</v>
          </cell>
          <cell r="H4083">
            <v>500000</v>
          </cell>
          <cell r="I4083">
            <v>2.6</v>
          </cell>
          <cell r="J4083">
            <v>46410</v>
          </cell>
          <cell r="K4083">
            <v>100</v>
          </cell>
          <cell r="L4083">
            <v>46392</v>
          </cell>
          <cell r="M4083">
            <v>-6589</v>
          </cell>
          <cell r="N4083">
            <v>493411</v>
          </cell>
        </row>
        <row r="4084">
          <cell r="A4084">
            <v>80914</v>
          </cell>
          <cell r="B4084">
            <v>4078</v>
          </cell>
          <cell r="C4084" t="str">
            <v>IASWD2411000183</v>
          </cell>
          <cell r="D4084">
            <v>45607</v>
          </cell>
          <cell r="E4084">
            <v>46249</v>
          </cell>
          <cell r="F4084" t="str">
            <v>80914</v>
          </cell>
          <cell r="G4084" t="str">
            <v>翔名四</v>
          </cell>
          <cell r="H4084">
            <v>100000</v>
          </cell>
          <cell r="I4084">
            <v>3</v>
          </cell>
          <cell r="J4084">
            <v>46249</v>
          </cell>
          <cell r="K4084">
            <v>100.25</v>
          </cell>
          <cell r="L4084">
            <v>46231</v>
          </cell>
          <cell r="M4084">
            <v>-1521</v>
          </cell>
          <cell r="N4084">
            <v>98479</v>
          </cell>
        </row>
        <row r="4085">
          <cell r="A4085">
            <v>99392</v>
          </cell>
          <cell r="B4085">
            <v>4079</v>
          </cell>
          <cell r="C4085" t="str">
            <v>IASWD2411000185</v>
          </cell>
          <cell r="D4085">
            <v>45607</v>
          </cell>
          <cell r="E4085">
            <v>46689</v>
          </cell>
          <cell r="F4085" t="str">
            <v>99392</v>
          </cell>
          <cell r="G4085" t="str">
            <v>宏全二</v>
          </cell>
          <cell r="H4085">
            <v>100000</v>
          </cell>
          <cell r="I4085">
            <v>2.5</v>
          </cell>
          <cell r="J4085">
            <v>46689</v>
          </cell>
          <cell r="K4085">
            <v>100</v>
          </cell>
          <cell r="L4085">
            <v>46671</v>
          </cell>
          <cell r="M4085">
            <v>-1267</v>
          </cell>
          <cell r="N4085">
            <v>98733</v>
          </cell>
        </row>
        <row r="4086">
          <cell r="A4086">
            <v>82992</v>
          </cell>
          <cell r="B4086">
            <v>4080</v>
          </cell>
          <cell r="C4086" t="str">
            <v>IASWD2411000187</v>
          </cell>
          <cell r="D4086">
            <v>45607</v>
          </cell>
          <cell r="E4086">
            <v>46410</v>
          </cell>
          <cell r="F4086" t="str">
            <v>82992</v>
          </cell>
          <cell r="G4086" t="str">
            <v>群聯二</v>
          </cell>
          <cell r="H4086">
            <v>600000</v>
          </cell>
          <cell r="I4086">
            <v>2.6</v>
          </cell>
          <cell r="J4086">
            <v>46410</v>
          </cell>
          <cell r="K4086">
            <v>100</v>
          </cell>
          <cell r="L4086">
            <v>46392</v>
          </cell>
          <cell r="M4086">
            <v>-7907</v>
          </cell>
          <cell r="N4086">
            <v>592093</v>
          </cell>
        </row>
        <row r="4087">
          <cell r="A4087">
            <v>811210</v>
          </cell>
          <cell r="B4087">
            <v>4081</v>
          </cell>
          <cell r="C4087" t="str">
            <v>IASWD2411000188</v>
          </cell>
          <cell r="D4087">
            <v>45607</v>
          </cell>
          <cell r="E4087">
            <v>46531</v>
          </cell>
          <cell r="F4087" t="str">
            <v>811210</v>
          </cell>
          <cell r="G4087" t="str">
            <v>至上十</v>
          </cell>
          <cell r="H4087">
            <v>100000</v>
          </cell>
          <cell r="I4087">
            <v>3.75</v>
          </cell>
          <cell r="J4087">
            <v>46531</v>
          </cell>
          <cell r="K4087">
            <v>100</v>
          </cell>
          <cell r="L4087">
            <v>46511</v>
          </cell>
          <cell r="M4087">
            <v>-1901</v>
          </cell>
          <cell r="N4087">
            <v>98099</v>
          </cell>
        </row>
        <row r="4088">
          <cell r="A4088">
            <v>82992</v>
          </cell>
          <cell r="B4088">
            <v>4082</v>
          </cell>
          <cell r="C4088" t="str">
            <v>IASWD2411000189</v>
          </cell>
          <cell r="D4088">
            <v>45607</v>
          </cell>
          <cell r="E4088">
            <v>46410</v>
          </cell>
          <cell r="F4088" t="str">
            <v>82992</v>
          </cell>
          <cell r="G4088" t="str">
            <v>群聯二</v>
          </cell>
          <cell r="H4088">
            <v>300000</v>
          </cell>
          <cell r="I4088">
            <v>2.6</v>
          </cell>
          <cell r="J4088">
            <v>46410</v>
          </cell>
          <cell r="K4088">
            <v>100</v>
          </cell>
          <cell r="L4088">
            <v>46392</v>
          </cell>
          <cell r="M4088">
            <v>-3953</v>
          </cell>
          <cell r="N4088">
            <v>296047</v>
          </cell>
        </row>
        <row r="4089">
          <cell r="A4089">
            <v>22013</v>
          </cell>
          <cell r="B4089">
            <v>4083</v>
          </cell>
          <cell r="C4089" t="str">
            <v>IASWD2411000190</v>
          </cell>
          <cell r="D4089">
            <v>45607</v>
          </cell>
          <cell r="E4089">
            <v>46167</v>
          </cell>
          <cell r="F4089" t="str">
            <v>22013</v>
          </cell>
          <cell r="G4089" t="str">
            <v>裕隆三</v>
          </cell>
          <cell r="H4089">
            <v>600000</v>
          </cell>
          <cell r="I4089">
            <v>3.25</v>
          </cell>
          <cell r="J4089">
            <v>46167</v>
          </cell>
          <cell r="K4089">
            <v>100.75190000000001</v>
          </cell>
          <cell r="L4089">
            <v>46147</v>
          </cell>
          <cell r="M4089">
            <v>-9884</v>
          </cell>
          <cell r="N4089">
            <v>590116</v>
          </cell>
        </row>
        <row r="4090">
          <cell r="A4090">
            <v>140202</v>
          </cell>
          <cell r="B4090">
            <v>4084</v>
          </cell>
          <cell r="C4090" t="str">
            <v>IASWD2411000191</v>
          </cell>
          <cell r="D4090">
            <v>45607</v>
          </cell>
          <cell r="E4090">
            <v>46607</v>
          </cell>
          <cell r="F4090" t="str">
            <v>140202</v>
          </cell>
          <cell r="G4090" t="str">
            <v>遠東新E2永</v>
          </cell>
          <cell r="H4090">
            <v>1000000</v>
          </cell>
          <cell r="I4090">
            <v>2.7</v>
          </cell>
          <cell r="J4090">
            <v>46607</v>
          </cell>
          <cell r="K4090">
            <v>100</v>
          </cell>
          <cell r="L4090">
            <v>46588</v>
          </cell>
          <cell r="M4090">
            <v>-13685</v>
          </cell>
          <cell r="N4090">
            <v>986315</v>
          </cell>
        </row>
        <row r="4091">
          <cell r="A4091">
            <v>15364</v>
          </cell>
          <cell r="B4091">
            <v>4085</v>
          </cell>
          <cell r="C4091" t="str">
            <v>IASWD2411000192</v>
          </cell>
          <cell r="D4091">
            <v>45607</v>
          </cell>
          <cell r="E4091">
            <v>46246</v>
          </cell>
          <cell r="F4091" t="str">
            <v>15364</v>
          </cell>
          <cell r="G4091" t="str">
            <v>和大四</v>
          </cell>
          <cell r="H4091">
            <v>100000</v>
          </cell>
          <cell r="I4091">
            <v>4</v>
          </cell>
          <cell r="J4091">
            <v>46246</v>
          </cell>
          <cell r="K4091">
            <v>100</v>
          </cell>
          <cell r="L4091">
            <v>46226</v>
          </cell>
          <cell r="M4091">
            <v>-2027</v>
          </cell>
          <cell r="N4091">
            <v>97973</v>
          </cell>
        </row>
        <row r="4092">
          <cell r="A4092">
            <v>99392</v>
          </cell>
          <cell r="B4092">
            <v>4086</v>
          </cell>
          <cell r="C4092" t="str">
            <v>IASWD2411000193</v>
          </cell>
          <cell r="D4092">
            <v>45607</v>
          </cell>
          <cell r="E4092">
            <v>46689</v>
          </cell>
          <cell r="F4092" t="str">
            <v>99392</v>
          </cell>
          <cell r="G4092" t="str">
            <v>宏全二</v>
          </cell>
          <cell r="H4092">
            <v>100000</v>
          </cell>
          <cell r="I4092">
            <v>2.5</v>
          </cell>
          <cell r="J4092">
            <v>46689</v>
          </cell>
          <cell r="K4092">
            <v>100</v>
          </cell>
          <cell r="L4092">
            <v>46671</v>
          </cell>
          <cell r="M4092">
            <v>-1267</v>
          </cell>
          <cell r="N4092">
            <v>98733</v>
          </cell>
        </row>
        <row r="4093">
          <cell r="A4093">
            <v>26417</v>
          </cell>
          <cell r="B4093">
            <v>4087</v>
          </cell>
          <cell r="C4093" t="str">
            <v>IASWD2411000194</v>
          </cell>
          <cell r="D4093">
            <v>45608</v>
          </cell>
          <cell r="E4093">
            <v>46594</v>
          </cell>
          <cell r="F4093" t="str">
            <v>26417</v>
          </cell>
          <cell r="G4093" t="str">
            <v>正德七</v>
          </cell>
          <cell r="H4093">
            <v>2800000</v>
          </cell>
          <cell r="I4093">
            <v>4</v>
          </cell>
          <cell r="J4093">
            <v>46594</v>
          </cell>
          <cell r="K4093">
            <v>100</v>
          </cell>
          <cell r="L4093">
            <v>46574</v>
          </cell>
          <cell r="M4093">
            <v>-56460</v>
          </cell>
          <cell r="N4093">
            <v>2743540</v>
          </cell>
        </row>
        <row r="4094">
          <cell r="A4094">
            <v>50097</v>
          </cell>
          <cell r="B4094">
            <v>4088</v>
          </cell>
          <cell r="C4094" t="str">
            <v>IASWD2411000195</v>
          </cell>
          <cell r="D4094">
            <v>45608</v>
          </cell>
          <cell r="E4094">
            <v>46234</v>
          </cell>
          <cell r="F4094" t="str">
            <v>50097</v>
          </cell>
          <cell r="G4094" t="str">
            <v>榮剛七</v>
          </cell>
          <cell r="H4094">
            <v>1100000</v>
          </cell>
          <cell r="I4094">
            <v>4.0999999999999996</v>
          </cell>
          <cell r="J4094">
            <v>46234</v>
          </cell>
          <cell r="K4094">
            <v>101.51</v>
          </cell>
          <cell r="L4094">
            <v>46216</v>
          </cell>
          <cell r="M4094">
            <v>-22735</v>
          </cell>
          <cell r="N4094">
            <v>1077265</v>
          </cell>
        </row>
        <row r="4095">
          <cell r="A4095">
            <v>22013</v>
          </cell>
          <cell r="B4095">
            <v>4089</v>
          </cell>
          <cell r="C4095" t="str">
            <v>IASWD2411000196</v>
          </cell>
          <cell r="D4095">
            <v>45608</v>
          </cell>
          <cell r="E4095">
            <v>46167</v>
          </cell>
          <cell r="F4095" t="str">
            <v>22013</v>
          </cell>
          <cell r="G4095" t="str">
            <v>裕隆三</v>
          </cell>
          <cell r="H4095">
            <v>100000</v>
          </cell>
          <cell r="I4095">
            <v>3.25</v>
          </cell>
          <cell r="J4095">
            <v>46167</v>
          </cell>
          <cell r="K4095">
            <v>100.75190000000001</v>
          </cell>
          <cell r="L4095">
            <v>46147</v>
          </cell>
          <cell r="M4095">
            <v>-1638</v>
          </cell>
          <cell r="N4095">
            <v>98362</v>
          </cell>
        </row>
        <row r="4096">
          <cell r="A4096">
            <v>22013</v>
          </cell>
          <cell r="B4096">
            <v>4090</v>
          </cell>
          <cell r="C4096" t="str">
            <v>IASWD2411000197</v>
          </cell>
          <cell r="D4096">
            <v>45608</v>
          </cell>
          <cell r="E4096">
            <v>46167</v>
          </cell>
          <cell r="F4096" t="str">
            <v>22013</v>
          </cell>
          <cell r="G4096" t="str">
            <v>裕隆三</v>
          </cell>
          <cell r="H4096">
            <v>500000</v>
          </cell>
          <cell r="I4096">
            <v>3.25</v>
          </cell>
          <cell r="J4096">
            <v>46167</v>
          </cell>
          <cell r="K4096">
            <v>100.75190000000001</v>
          </cell>
          <cell r="L4096">
            <v>46147</v>
          </cell>
          <cell r="M4096">
            <v>-8192</v>
          </cell>
          <cell r="N4096">
            <v>491808</v>
          </cell>
        </row>
        <row r="4097">
          <cell r="A4097">
            <v>82992</v>
          </cell>
          <cell r="B4097">
            <v>4091</v>
          </cell>
          <cell r="C4097" t="str">
            <v>IASWD2411000198</v>
          </cell>
          <cell r="D4097">
            <v>45608</v>
          </cell>
          <cell r="E4097">
            <v>46410</v>
          </cell>
          <cell r="F4097" t="str">
            <v>82992</v>
          </cell>
          <cell r="G4097" t="str">
            <v>群聯二</v>
          </cell>
          <cell r="H4097">
            <v>200000</v>
          </cell>
          <cell r="I4097">
            <v>2.6</v>
          </cell>
          <cell r="J4097">
            <v>46410</v>
          </cell>
          <cell r="K4097">
            <v>100</v>
          </cell>
          <cell r="L4097">
            <v>46392</v>
          </cell>
          <cell r="M4097">
            <v>-2621</v>
          </cell>
          <cell r="N4097">
            <v>197379</v>
          </cell>
        </row>
        <row r="4098">
          <cell r="A4098">
            <v>82992</v>
          </cell>
          <cell r="B4098">
            <v>4092</v>
          </cell>
          <cell r="C4098" t="str">
            <v>IASWD2411000199</v>
          </cell>
          <cell r="D4098">
            <v>45608</v>
          </cell>
          <cell r="E4098">
            <v>46410</v>
          </cell>
          <cell r="F4098" t="str">
            <v>82992</v>
          </cell>
          <cell r="G4098" t="str">
            <v>群聯二</v>
          </cell>
          <cell r="H4098">
            <v>200000</v>
          </cell>
          <cell r="I4098">
            <v>2.6</v>
          </cell>
          <cell r="J4098">
            <v>46410</v>
          </cell>
          <cell r="K4098">
            <v>100</v>
          </cell>
          <cell r="L4098">
            <v>46392</v>
          </cell>
          <cell r="M4098">
            <v>-2621</v>
          </cell>
          <cell r="N4098">
            <v>197379</v>
          </cell>
        </row>
        <row r="4099">
          <cell r="A4099">
            <v>33571</v>
          </cell>
          <cell r="B4099">
            <v>4093</v>
          </cell>
          <cell r="C4099" t="str">
            <v>IASWD2411000200</v>
          </cell>
          <cell r="D4099">
            <v>45608</v>
          </cell>
          <cell r="E4099">
            <v>46326</v>
          </cell>
          <cell r="F4099" t="str">
            <v>33571</v>
          </cell>
          <cell r="G4099" t="str">
            <v>臺慶科一</v>
          </cell>
          <cell r="H4099">
            <v>200000</v>
          </cell>
          <cell r="I4099">
            <v>2.6</v>
          </cell>
          <cell r="J4099">
            <v>46326</v>
          </cell>
          <cell r="K4099">
            <v>100</v>
          </cell>
          <cell r="L4099">
            <v>46308</v>
          </cell>
          <cell r="M4099">
            <v>-2621</v>
          </cell>
          <cell r="N4099">
            <v>197379</v>
          </cell>
        </row>
        <row r="4100">
          <cell r="A4100">
            <v>33571</v>
          </cell>
          <cell r="B4100">
            <v>4094</v>
          </cell>
          <cell r="C4100" t="str">
            <v>IASWD2411000202</v>
          </cell>
          <cell r="D4100">
            <v>45608</v>
          </cell>
          <cell r="E4100">
            <v>46326</v>
          </cell>
          <cell r="F4100" t="str">
            <v>33571</v>
          </cell>
          <cell r="G4100" t="str">
            <v>臺慶科一</v>
          </cell>
          <cell r="H4100">
            <v>100000</v>
          </cell>
          <cell r="I4100">
            <v>2.6</v>
          </cell>
          <cell r="J4100">
            <v>46326</v>
          </cell>
          <cell r="K4100">
            <v>100</v>
          </cell>
          <cell r="L4100">
            <v>46308</v>
          </cell>
          <cell r="M4100">
            <v>-1311</v>
          </cell>
          <cell r="N4100">
            <v>98689</v>
          </cell>
        </row>
        <row r="4101">
          <cell r="A4101">
            <v>82992</v>
          </cell>
          <cell r="B4101">
            <v>4095</v>
          </cell>
          <cell r="C4101" t="str">
            <v>IASWD2411000204</v>
          </cell>
          <cell r="D4101">
            <v>45608</v>
          </cell>
          <cell r="E4101">
            <v>46410</v>
          </cell>
          <cell r="F4101" t="str">
            <v>82992</v>
          </cell>
          <cell r="G4101" t="str">
            <v>群聯二</v>
          </cell>
          <cell r="H4101">
            <v>800000</v>
          </cell>
          <cell r="I4101">
            <v>2.6</v>
          </cell>
          <cell r="J4101">
            <v>46410</v>
          </cell>
          <cell r="K4101">
            <v>100</v>
          </cell>
          <cell r="L4101">
            <v>46392</v>
          </cell>
          <cell r="M4101">
            <v>-10485</v>
          </cell>
          <cell r="N4101">
            <v>789515</v>
          </cell>
        </row>
        <row r="4102">
          <cell r="A4102">
            <v>82992</v>
          </cell>
          <cell r="B4102">
            <v>4096</v>
          </cell>
          <cell r="C4102" t="str">
            <v>IASWD2411000205</v>
          </cell>
          <cell r="D4102">
            <v>45608</v>
          </cell>
          <cell r="E4102">
            <v>46410</v>
          </cell>
          <cell r="F4102" t="str">
            <v>82992</v>
          </cell>
          <cell r="G4102" t="str">
            <v>群聯二</v>
          </cell>
          <cell r="H4102">
            <v>200000</v>
          </cell>
          <cell r="I4102">
            <v>2.6</v>
          </cell>
          <cell r="J4102">
            <v>46410</v>
          </cell>
          <cell r="K4102">
            <v>100</v>
          </cell>
          <cell r="L4102">
            <v>46392</v>
          </cell>
          <cell r="M4102">
            <v>-2621</v>
          </cell>
          <cell r="N4102">
            <v>197379</v>
          </cell>
        </row>
        <row r="4103">
          <cell r="A4103">
            <v>22013</v>
          </cell>
          <cell r="B4103">
            <v>4097</v>
          </cell>
          <cell r="C4103" t="str">
            <v>IASWD2411000206</v>
          </cell>
          <cell r="D4103">
            <v>45608</v>
          </cell>
          <cell r="E4103">
            <v>46167</v>
          </cell>
          <cell r="F4103" t="str">
            <v>22013</v>
          </cell>
          <cell r="G4103" t="str">
            <v>裕隆三</v>
          </cell>
          <cell r="H4103">
            <v>100000</v>
          </cell>
          <cell r="I4103">
            <v>3.25</v>
          </cell>
          <cell r="J4103">
            <v>46167</v>
          </cell>
          <cell r="K4103">
            <v>100.75190000000001</v>
          </cell>
          <cell r="L4103">
            <v>46147</v>
          </cell>
          <cell r="M4103">
            <v>-1638</v>
          </cell>
          <cell r="N4103">
            <v>98362</v>
          </cell>
        </row>
        <row r="4104">
          <cell r="A4104">
            <v>27323</v>
          </cell>
          <cell r="B4104">
            <v>4098</v>
          </cell>
          <cell r="C4104" t="str">
            <v>IASWD2411000207</v>
          </cell>
          <cell r="D4104">
            <v>45608</v>
          </cell>
          <cell r="E4104">
            <v>46048</v>
          </cell>
          <cell r="F4104" t="str">
            <v>27323</v>
          </cell>
          <cell r="G4104" t="str">
            <v>六角三</v>
          </cell>
          <cell r="H4104">
            <v>100000</v>
          </cell>
          <cell r="I4104">
            <v>3</v>
          </cell>
          <cell r="J4104">
            <v>46048</v>
          </cell>
          <cell r="K4104">
            <v>101</v>
          </cell>
          <cell r="L4104">
            <v>46028</v>
          </cell>
          <cell r="M4104">
            <v>-1512</v>
          </cell>
          <cell r="N4104">
            <v>98488</v>
          </cell>
        </row>
        <row r="4105">
          <cell r="A4105">
            <v>50097</v>
          </cell>
          <cell r="B4105">
            <v>4099</v>
          </cell>
          <cell r="C4105" t="str">
            <v>IASWD2411000208</v>
          </cell>
          <cell r="D4105">
            <v>45608</v>
          </cell>
          <cell r="E4105">
            <v>46234</v>
          </cell>
          <cell r="F4105" t="str">
            <v>50097</v>
          </cell>
          <cell r="G4105" t="str">
            <v>榮剛七</v>
          </cell>
          <cell r="H4105">
            <v>300000</v>
          </cell>
          <cell r="I4105">
            <v>4.0999999999999996</v>
          </cell>
          <cell r="J4105">
            <v>46234</v>
          </cell>
          <cell r="K4105">
            <v>101.51</v>
          </cell>
          <cell r="L4105">
            <v>46216</v>
          </cell>
          <cell r="M4105">
            <v>-6201</v>
          </cell>
          <cell r="N4105">
            <v>293799</v>
          </cell>
        </row>
        <row r="4106">
          <cell r="A4106">
            <v>53064</v>
          </cell>
          <cell r="B4106">
            <v>4100</v>
          </cell>
          <cell r="C4106" t="str">
            <v>IASWD2411000209</v>
          </cell>
          <cell r="D4106">
            <v>45608</v>
          </cell>
          <cell r="E4106">
            <v>46334</v>
          </cell>
          <cell r="F4106" t="str">
            <v>53064</v>
          </cell>
          <cell r="G4106" t="str">
            <v>桂盟四</v>
          </cell>
          <cell r="H4106">
            <v>100000</v>
          </cell>
          <cell r="I4106">
            <v>2.2999999999999998</v>
          </cell>
          <cell r="J4106">
            <v>46334</v>
          </cell>
          <cell r="K4106">
            <v>100</v>
          </cell>
          <cell r="L4106">
            <v>46315</v>
          </cell>
          <cell r="M4106">
            <v>-1159</v>
          </cell>
          <cell r="N4106">
            <v>98841</v>
          </cell>
        </row>
        <row r="4107">
          <cell r="A4107">
            <v>82992</v>
          </cell>
          <cell r="B4107">
            <v>4101</v>
          </cell>
          <cell r="C4107" t="str">
            <v>IASWD2411000210</v>
          </cell>
          <cell r="D4107">
            <v>45608</v>
          </cell>
          <cell r="E4107">
            <v>46410</v>
          </cell>
          <cell r="F4107" t="str">
            <v>82992</v>
          </cell>
          <cell r="G4107" t="str">
            <v>群聯二</v>
          </cell>
          <cell r="H4107">
            <v>100000</v>
          </cell>
          <cell r="I4107">
            <v>2.6</v>
          </cell>
          <cell r="J4107">
            <v>46410</v>
          </cell>
          <cell r="K4107">
            <v>100</v>
          </cell>
          <cell r="L4107">
            <v>46392</v>
          </cell>
          <cell r="M4107">
            <v>-1311</v>
          </cell>
          <cell r="N4107">
            <v>98689</v>
          </cell>
        </row>
        <row r="4108">
          <cell r="A4108">
            <v>82992</v>
          </cell>
          <cell r="B4108">
            <v>4102</v>
          </cell>
          <cell r="C4108" t="str">
            <v>IASWD2411000211</v>
          </cell>
          <cell r="D4108">
            <v>45608</v>
          </cell>
          <cell r="E4108">
            <v>46410</v>
          </cell>
          <cell r="F4108" t="str">
            <v>82992</v>
          </cell>
          <cell r="G4108" t="str">
            <v>群聯二</v>
          </cell>
          <cell r="H4108">
            <v>100000</v>
          </cell>
          <cell r="I4108">
            <v>2.6</v>
          </cell>
          <cell r="J4108">
            <v>46410</v>
          </cell>
          <cell r="K4108">
            <v>100</v>
          </cell>
          <cell r="L4108">
            <v>46392</v>
          </cell>
          <cell r="M4108">
            <v>-1311</v>
          </cell>
          <cell r="N4108">
            <v>98689</v>
          </cell>
        </row>
        <row r="4109">
          <cell r="A4109">
            <v>53064</v>
          </cell>
          <cell r="B4109">
            <v>4103</v>
          </cell>
          <cell r="C4109" t="str">
            <v>IASWD2411000212</v>
          </cell>
          <cell r="D4109">
            <v>45608</v>
          </cell>
          <cell r="E4109">
            <v>46334</v>
          </cell>
          <cell r="F4109" t="str">
            <v>53064</v>
          </cell>
          <cell r="G4109" t="str">
            <v>桂盟四</v>
          </cell>
          <cell r="H4109">
            <v>200000</v>
          </cell>
          <cell r="I4109">
            <v>2.2999999999999998</v>
          </cell>
          <cell r="J4109">
            <v>46334</v>
          </cell>
          <cell r="K4109">
            <v>100</v>
          </cell>
          <cell r="L4109">
            <v>46315</v>
          </cell>
          <cell r="M4109">
            <v>-2319</v>
          </cell>
          <cell r="N4109">
            <v>197681</v>
          </cell>
        </row>
        <row r="4110">
          <cell r="A4110">
            <v>50097</v>
          </cell>
          <cell r="B4110">
            <v>4104</v>
          </cell>
          <cell r="C4110" t="str">
            <v>IASWD2411000213</v>
          </cell>
          <cell r="D4110">
            <v>45608</v>
          </cell>
          <cell r="E4110">
            <v>46234</v>
          </cell>
          <cell r="F4110" t="str">
            <v>50097</v>
          </cell>
          <cell r="G4110" t="str">
            <v>榮剛七</v>
          </cell>
          <cell r="H4110">
            <v>400000</v>
          </cell>
          <cell r="I4110">
            <v>4.0999999999999996</v>
          </cell>
          <cell r="J4110">
            <v>46234</v>
          </cell>
          <cell r="K4110">
            <v>101.51</v>
          </cell>
          <cell r="L4110">
            <v>46216</v>
          </cell>
          <cell r="M4110">
            <v>-8267</v>
          </cell>
          <cell r="N4110">
            <v>391733</v>
          </cell>
        </row>
        <row r="4111">
          <cell r="A4111">
            <v>89964</v>
          </cell>
          <cell r="B4111">
            <v>4105</v>
          </cell>
          <cell r="C4111" t="str">
            <v>IASWD2411000214</v>
          </cell>
          <cell r="D4111">
            <v>45608</v>
          </cell>
          <cell r="E4111">
            <v>46362</v>
          </cell>
          <cell r="F4111" t="str">
            <v>89964</v>
          </cell>
          <cell r="G4111" t="str">
            <v>高力四</v>
          </cell>
          <cell r="H4111">
            <v>100000</v>
          </cell>
          <cell r="I4111">
            <v>3.5</v>
          </cell>
          <cell r="J4111">
            <v>46362</v>
          </cell>
          <cell r="K4111">
            <v>100.75190000000001</v>
          </cell>
          <cell r="L4111">
            <v>46343</v>
          </cell>
          <cell r="M4111">
            <v>-1764</v>
          </cell>
          <cell r="N4111">
            <v>98236</v>
          </cell>
        </row>
        <row r="4112">
          <cell r="A4112">
            <v>34163</v>
          </cell>
          <cell r="B4112">
            <v>4106</v>
          </cell>
          <cell r="C4112" t="str">
            <v>IASWD2411000215</v>
          </cell>
          <cell r="D4112">
            <v>45608</v>
          </cell>
          <cell r="E4112">
            <v>46047</v>
          </cell>
          <cell r="F4112" t="str">
            <v>34163</v>
          </cell>
          <cell r="G4112" t="str">
            <v>融程電三</v>
          </cell>
          <cell r="H4112">
            <v>2000000</v>
          </cell>
          <cell r="I4112">
            <v>3</v>
          </cell>
          <cell r="J4112">
            <v>46047</v>
          </cell>
          <cell r="K4112">
            <v>100.5</v>
          </cell>
          <cell r="L4112">
            <v>46028</v>
          </cell>
          <cell r="M4112">
            <v>-30247</v>
          </cell>
          <cell r="N4112">
            <v>1969753</v>
          </cell>
        </row>
        <row r="4113">
          <cell r="A4113">
            <v>33121</v>
          </cell>
          <cell r="B4113">
            <v>4107</v>
          </cell>
          <cell r="C4113" t="str">
            <v>IASWD2411000216</v>
          </cell>
          <cell r="D4113">
            <v>45608</v>
          </cell>
          <cell r="E4113">
            <v>46563</v>
          </cell>
          <cell r="F4113" t="str">
            <v>33121</v>
          </cell>
          <cell r="G4113" t="str">
            <v>弘憶股一</v>
          </cell>
          <cell r="H4113">
            <v>100000</v>
          </cell>
          <cell r="I4113">
            <v>3.35</v>
          </cell>
          <cell r="J4113">
            <v>46563</v>
          </cell>
          <cell r="K4113">
            <v>100</v>
          </cell>
          <cell r="L4113">
            <v>46545</v>
          </cell>
          <cell r="M4113">
            <v>-1689</v>
          </cell>
          <cell r="N4113">
            <v>98311</v>
          </cell>
        </row>
        <row r="4114">
          <cell r="A4114">
            <v>82992</v>
          </cell>
          <cell r="B4114">
            <v>4108</v>
          </cell>
          <cell r="C4114" t="str">
            <v>IASWD2411000217</v>
          </cell>
          <cell r="D4114">
            <v>45608</v>
          </cell>
          <cell r="E4114">
            <v>46410</v>
          </cell>
          <cell r="F4114" t="str">
            <v>82992</v>
          </cell>
          <cell r="G4114" t="str">
            <v>群聯二</v>
          </cell>
          <cell r="H4114">
            <v>100000</v>
          </cell>
          <cell r="I4114">
            <v>2.6</v>
          </cell>
          <cell r="J4114">
            <v>46410</v>
          </cell>
          <cell r="K4114">
            <v>100</v>
          </cell>
          <cell r="L4114">
            <v>46392</v>
          </cell>
          <cell r="M4114">
            <v>-1311</v>
          </cell>
          <cell r="N4114">
            <v>98689</v>
          </cell>
        </row>
        <row r="4115">
          <cell r="A4115">
            <v>82992</v>
          </cell>
          <cell r="B4115">
            <v>4109</v>
          </cell>
          <cell r="C4115" t="str">
            <v>IASWD2411000218</v>
          </cell>
          <cell r="D4115">
            <v>45608</v>
          </cell>
          <cell r="E4115">
            <v>46410</v>
          </cell>
          <cell r="F4115" t="str">
            <v>82992</v>
          </cell>
          <cell r="G4115" t="str">
            <v>群聯二</v>
          </cell>
          <cell r="H4115">
            <v>2000000</v>
          </cell>
          <cell r="I4115">
            <v>2.6</v>
          </cell>
          <cell r="J4115">
            <v>46410</v>
          </cell>
          <cell r="K4115">
            <v>100</v>
          </cell>
          <cell r="L4115">
            <v>46392</v>
          </cell>
          <cell r="M4115">
            <v>-26214</v>
          </cell>
          <cell r="N4115">
            <v>1973786</v>
          </cell>
        </row>
        <row r="4116">
          <cell r="A4116">
            <v>53064</v>
          </cell>
          <cell r="B4116">
            <v>4110</v>
          </cell>
          <cell r="C4116" t="str">
            <v>IASWD2411000220</v>
          </cell>
          <cell r="D4116">
            <v>45608</v>
          </cell>
          <cell r="E4116">
            <v>46334</v>
          </cell>
          <cell r="F4116" t="str">
            <v>53064</v>
          </cell>
          <cell r="G4116" t="str">
            <v>桂盟四</v>
          </cell>
          <cell r="H4116">
            <v>100000</v>
          </cell>
          <cell r="I4116">
            <v>2.2999999999999998</v>
          </cell>
          <cell r="J4116">
            <v>46334</v>
          </cell>
          <cell r="K4116">
            <v>100</v>
          </cell>
          <cell r="L4116">
            <v>46315</v>
          </cell>
          <cell r="M4116">
            <v>-1159</v>
          </cell>
          <cell r="N4116">
            <v>98841</v>
          </cell>
        </row>
        <row r="4117">
          <cell r="A4117">
            <v>82992</v>
          </cell>
          <cell r="B4117">
            <v>4111</v>
          </cell>
          <cell r="C4117" t="str">
            <v>IASWD2411000221</v>
          </cell>
          <cell r="D4117">
            <v>45608</v>
          </cell>
          <cell r="E4117">
            <v>46410</v>
          </cell>
          <cell r="F4117" t="str">
            <v>82992</v>
          </cell>
          <cell r="G4117" t="str">
            <v>群聯二</v>
          </cell>
          <cell r="H4117">
            <v>300000</v>
          </cell>
          <cell r="I4117">
            <v>2.6</v>
          </cell>
          <cell r="J4117">
            <v>46410</v>
          </cell>
          <cell r="K4117">
            <v>100</v>
          </cell>
          <cell r="L4117">
            <v>46392</v>
          </cell>
          <cell r="M4117">
            <v>-3932</v>
          </cell>
          <cell r="N4117">
            <v>296068</v>
          </cell>
        </row>
        <row r="4118">
          <cell r="A4118">
            <v>82992</v>
          </cell>
          <cell r="B4118">
            <v>4112</v>
          </cell>
          <cell r="C4118" t="str">
            <v>IASWD2411000222</v>
          </cell>
          <cell r="D4118">
            <v>45608</v>
          </cell>
          <cell r="E4118">
            <v>46410</v>
          </cell>
          <cell r="F4118" t="str">
            <v>82992</v>
          </cell>
          <cell r="G4118" t="str">
            <v>群聯二</v>
          </cell>
          <cell r="H4118">
            <v>1500000</v>
          </cell>
          <cell r="I4118">
            <v>2.6</v>
          </cell>
          <cell r="J4118">
            <v>46410</v>
          </cell>
          <cell r="K4118">
            <v>100</v>
          </cell>
          <cell r="L4118">
            <v>46392</v>
          </cell>
          <cell r="M4118">
            <v>-19660</v>
          </cell>
          <cell r="N4118">
            <v>1480340</v>
          </cell>
        </row>
        <row r="4119">
          <cell r="A4119">
            <v>22283</v>
          </cell>
          <cell r="B4119">
            <v>4113</v>
          </cell>
          <cell r="C4119" t="str">
            <v>IASWD2411000223</v>
          </cell>
          <cell r="D4119">
            <v>45608</v>
          </cell>
          <cell r="E4119">
            <v>46628</v>
          </cell>
          <cell r="F4119" t="str">
            <v>22283</v>
          </cell>
          <cell r="G4119" t="str">
            <v>劍麟三</v>
          </cell>
          <cell r="H4119">
            <v>700000</v>
          </cell>
          <cell r="I4119">
            <v>3</v>
          </cell>
          <cell r="J4119">
            <v>46628</v>
          </cell>
          <cell r="K4119">
            <v>100</v>
          </cell>
          <cell r="L4119">
            <v>46609</v>
          </cell>
          <cell r="M4119">
            <v>-10586</v>
          </cell>
          <cell r="N4119">
            <v>689414</v>
          </cell>
        </row>
        <row r="4120">
          <cell r="A4120">
            <v>99392</v>
          </cell>
          <cell r="B4120">
            <v>4114</v>
          </cell>
          <cell r="C4120" t="str">
            <v>IASWD2411000224</v>
          </cell>
          <cell r="D4120">
            <v>45608</v>
          </cell>
          <cell r="E4120">
            <v>46689</v>
          </cell>
          <cell r="F4120" t="str">
            <v>99392</v>
          </cell>
          <cell r="G4120" t="str">
            <v>宏全二</v>
          </cell>
          <cell r="H4120">
            <v>1900000</v>
          </cell>
          <cell r="I4120">
            <v>2.5</v>
          </cell>
          <cell r="J4120">
            <v>46689</v>
          </cell>
          <cell r="K4120">
            <v>100</v>
          </cell>
          <cell r="L4120">
            <v>46671</v>
          </cell>
          <cell r="M4120">
            <v>-23945</v>
          </cell>
          <cell r="N4120">
            <v>1876055</v>
          </cell>
        </row>
        <row r="4121">
          <cell r="A4121">
            <v>82992</v>
          </cell>
          <cell r="B4121">
            <v>4115</v>
          </cell>
          <cell r="C4121" t="str">
            <v>IASWD2411000225</v>
          </cell>
          <cell r="D4121">
            <v>45608</v>
          </cell>
          <cell r="E4121">
            <v>46410</v>
          </cell>
          <cell r="F4121" t="str">
            <v>82992</v>
          </cell>
          <cell r="G4121" t="str">
            <v>群聯二</v>
          </cell>
          <cell r="H4121">
            <v>100000</v>
          </cell>
          <cell r="I4121">
            <v>2.6</v>
          </cell>
          <cell r="J4121">
            <v>46410</v>
          </cell>
          <cell r="K4121">
            <v>100</v>
          </cell>
          <cell r="L4121">
            <v>46392</v>
          </cell>
          <cell r="M4121">
            <v>-1311</v>
          </cell>
          <cell r="N4121">
            <v>98689</v>
          </cell>
        </row>
        <row r="4122">
          <cell r="A4122">
            <v>22013</v>
          </cell>
          <cell r="B4122">
            <v>4116</v>
          </cell>
          <cell r="C4122" t="str">
            <v>IASWD2411000226</v>
          </cell>
          <cell r="D4122">
            <v>45608</v>
          </cell>
          <cell r="E4122">
            <v>46167</v>
          </cell>
          <cell r="F4122" t="str">
            <v>22013</v>
          </cell>
          <cell r="G4122" t="str">
            <v>裕隆三</v>
          </cell>
          <cell r="H4122">
            <v>200000</v>
          </cell>
          <cell r="I4122">
            <v>3.25</v>
          </cell>
          <cell r="J4122">
            <v>46167</v>
          </cell>
          <cell r="K4122">
            <v>100.75190000000001</v>
          </cell>
          <cell r="L4122">
            <v>46147</v>
          </cell>
          <cell r="M4122">
            <v>-3277</v>
          </cell>
          <cell r="N4122">
            <v>196723</v>
          </cell>
        </row>
        <row r="4123">
          <cell r="A4123">
            <v>82551</v>
          </cell>
          <cell r="B4123">
            <v>4117</v>
          </cell>
          <cell r="C4123" t="str">
            <v>IASWD2411000227</v>
          </cell>
          <cell r="D4123">
            <v>45608</v>
          </cell>
          <cell r="E4123">
            <v>46243</v>
          </cell>
          <cell r="F4123" t="str">
            <v>82551</v>
          </cell>
          <cell r="G4123" t="str">
            <v>朋程一</v>
          </cell>
          <cell r="H4123">
            <v>100000</v>
          </cell>
          <cell r="I4123">
            <v>2.6</v>
          </cell>
          <cell r="J4123">
            <v>46243</v>
          </cell>
          <cell r="K4123">
            <v>100</v>
          </cell>
          <cell r="L4123">
            <v>46224</v>
          </cell>
          <cell r="M4123">
            <v>-1311</v>
          </cell>
          <cell r="N4123">
            <v>98689</v>
          </cell>
        </row>
        <row r="4124">
          <cell r="A4124">
            <v>61843</v>
          </cell>
          <cell r="B4124">
            <v>4118</v>
          </cell>
          <cell r="C4124" t="str">
            <v>IASWD2411000228</v>
          </cell>
          <cell r="D4124">
            <v>45608</v>
          </cell>
          <cell r="E4124">
            <v>46452</v>
          </cell>
          <cell r="F4124" t="str">
            <v>61843</v>
          </cell>
          <cell r="G4124" t="str">
            <v>大豐電三</v>
          </cell>
          <cell r="H4124">
            <v>200000</v>
          </cell>
          <cell r="I4124">
            <v>3.75</v>
          </cell>
          <cell r="J4124">
            <v>46452</v>
          </cell>
          <cell r="K4124">
            <v>101.50749999999999</v>
          </cell>
          <cell r="L4124">
            <v>46434</v>
          </cell>
          <cell r="M4124">
            <v>-3781</v>
          </cell>
          <cell r="N4124">
            <v>196219</v>
          </cell>
        </row>
        <row r="4125">
          <cell r="A4125">
            <v>50097</v>
          </cell>
          <cell r="B4125">
            <v>4119</v>
          </cell>
          <cell r="C4125" t="str">
            <v>IASWD2411000229</v>
          </cell>
          <cell r="D4125">
            <v>45608</v>
          </cell>
          <cell r="E4125">
            <v>46234</v>
          </cell>
          <cell r="F4125" t="str">
            <v>50097</v>
          </cell>
          <cell r="G4125" t="str">
            <v>榮剛七</v>
          </cell>
          <cell r="H4125">
            <v>300000</v>
          </cell>
          <cell r="I4125">
            <v>4.0999999999999996</v>
          </cell>
          <cell r="J4125">
            <v>46234</v>
          </cell>
          <cell r="K4125">
            <v>101.51</v>
          </cell>
          <cell r="L4125">
            <v>46216</v>
          </cell>
          <cell r="M4125">
            <v>-6201</v>
          </cell>
          <cell r="N4125">
            <v>293799</v>
          </cell>
        </row>
        <row r="4126">
          <cell r="A4126">
            <v>22013</v>
          </cell>
          <cell r="B4126">
            <v>4120</v>
          </cell>
          <cell r="C4126" t="str">
            <v>IASWD2411000230</v>
          </cell>
          <cell r="D4126">
            <v>45608</v>
          </cell>
          <cell r="E4126">
            <v>46167</v>
          </cell>
          <cell r="F4126" t="str">
            <v>22013</v>
          </cell>
          <cell r="G4126" t="str">
            <v>裕隆三</v>
          </cell>
          <cell r="H4126">
            <v>100000</v>
          </cell>
          <cell r="I4126">
            <v>3.25</v>
          </cell>
          <cell r="J4126">
            <v>46167</v>
          </cell>
          <cell r="K4126">
            <v>100.75190000000001</v>
          </cell>
          <cell r="L4126">
            <v>46147</v>
          </cell>
          <cell r="M4126">
            <v>-1638</v>
          </cell>
          <cell r="N4126">
            <v>98362</v>
          </cell>
        </row>
        <row r="4127">
          <cell r="A4127">
            <v>22013</v>
          </cell>
          <cell r="B4127">
            <v>4121</v>
          </cell>
          <cell r="C4127" t="str">
            <v>IASWD2411000231</v>
          </cell>
          <cell r="D4127">
            <v>45608</v>
          </cell>
          <cell r="E4127">
            <v>46167</v>
          </cell>
          <cell r="F4127" t="str">
            <v>22013</v>
          </cell>
          <cell r="G4127" t="str">
            <v>裕隆三</v>
          </cell>
          <cell r="H4127">
            <v>100000</v>
          </cell>
          <cell r="I4127">
            <v>3.25</v>
          </cell>
          <cell r="J4127">
            <v>46167</v>
          </cell>
          <cell r="K4127">
            <v>100.75190000000001</v>
          </cell>
          <cell r="L4127">
            <v>46147</v>
          </cell>
          <cell r="M4127">
            <v>-1638</v>
          </cell>
          <cell r="N4127">
            <v>98362</v>
          </cell>
        </row>
        <row r="4128">
          <cell r="A4128">
            <v>82992</v>
          </cell>
          <cell r="B4128">
            <v>4122</v>
          </cell>
          <cell r="C4128" t="str">
            <v>IASWD2411000232</v>
          </cell>
          <cell r="D4128">
            <v>45609</v>
          </cell>
          <cell r="E4128">
            <v>46410</v>
          </cell>
          <cell r="F4128" t="str">
            <v>82992</v>
          </cell>
          <cell r="G4128" t="str">
            <v>群聯二</v>
          </cell>
          <cell r="H4128">
            <v>100000</v>
          </cell>
          <cell r="I4128">
            <v>2.6</v>
          </cell>
          <cell r="J4128">
            <v>46410</v>
          </cell>
          <cell r="K4128">
            <v>100</v>
          </cell>
          <cell r="L4128">
            <v>46392</v>
          </cell>
          <cell r="M4128">
            <v>-1304</v>
          </cell>
          <cell r="N4128">
            <v>98696</v>
          </cell>
        </row>
        <row r="4129">
          <cell r="A4129">
            <v>82992</v>
          </cell>
          <cell r="B4129">
            <v>4123</v>
          </cell>
          <cell r="C4129" t="str">
            <v>IASWD2411000233</v>
          </cell>
          <cell r="D4129">
            <v>45609</v>
          </cell>
          <cell r="E4129">
            <v>46410</v>
          </cell>
          <cell r="F4129" t="str">
            <v>82992</v>
          </cell>
          <cell r="G4129" t="str">
            <v>群聯二</v>
          </cell>
          <cell r="H4129">
            <v>100000</v>
          </cell>
          <cell r="I4129">
            <v>2.6</v>
          </cell>
          <cell r="J4129">
            <v>46410</v>
          </cell>
          <cell r="K4129">
            <v>100</v>
          </cell>
          <cell r="L4129">
            <v>46392</v>
          </cell>
          <cell r="M4129">
            <v>-1304</v>
          </cell>
          <cell r="N4129">
            <v>98696</v>
          </cell>
        </row>
        <row r="4130">
          <cell r="A4130">
            <v>67531</v>
          </cell>
          <cell r="B4130">
            <v>4124</v>
          </cell>
          <cell r="C4130" t="str">
            <v>IASWD2411000234</v>
          </cell>
          <cell r="D4130">
            <v>45609</v>
          </cell>
          <cell r="E4130">
            <v>46563</v>
          </cell>
          <cell r="F4130" t="str">
            <v>67531</v>
          </cell>
          <cell r="G4130" t="str">
            <v>龍德造船一</v>
          </cell>
          <cell r="H4130">
            <v>4200000</v>
          </cell>
          <cell r="I4130">
            <v>3.35</v>
          </cell>
          <cell r="J4130">
            <v>46563</v>
          </cell>
          <cell r="K4130">
            <v>100</v>
          </cell>
          <cell r="L4130">
            <v>46545</v>
          </cell>
          <cell r="M4130">
            <v>-70543</v>
          </cell>
          <cell r="N4130">
            <v>4129457</v>
          </cell>
        </row>
        <row r="4131">
          <cell r="A4131">
            <v>80914</v>
          </cell>
          <cell r="B4131">
            <v>4125</v>
          </cell>
          <cell r="C4131" t="str">
            <v>IASWD2411000235</v>
          </cell>
          <cell r="D4131">
            <v>45609</v>
          </cell>
          <cell r="E4131">
            <v>46249</v>
          </cell>
          <cell r="F4131" t="str">
            <v>80914</v>
          </cell>
          <cell r="G4131" t="str">
            <v>翔名四</v>
          </cell>
          <cell r="H4131">
            <v>100000</v>
          </cell>
          <cell r="I4131">
            <v>3</v>
          </cell>
          <cell r="J4131">
            <v>46249</v>
          </cell>
          <cell r="K4131">
            <v>100.25</v>
          </cell>
          <cell r="L4131">
            <v>46231</v>
          </cell>
          <cell r="M4131">
            <v>-1504</v>
          </cell>
          <cell r="N4131">
            <v>98496</v>
          </cell>
        </row>
        <row r="4132">
          <cell r="A4132">
            <v>22013</v>
          </cell>
          <cell r="B4132">
            <v>4126</v>
          </cell>
          <cell r="C4132" t="str">
            <v>IASWD2411000236</v>
          </cell>
          <cell r="D4132">
            <v>45609</v>
          </cell>
          <cell r="E4132">
            <v>46167</v>
          </cell>
          <cell r="F4132" t="str">
            <v>22013</v>
          </cell>
          <cell r="G4132" t="str">
            <v>裕隆三</v>
          </cell>
          <cell r="H4132">
            <v>1000000</v>
          </cell>
          <cell r="I4132">
            <v>3.25</v>
          </cell>
          <cell r="J4132">
            <v>46167</v>
          </cell>
          <cell r="K4132">
            <v>100.75190000000001</v>
          </cell>
          <cell r="L4132">
            <v>46147</v>
          </cell>
          <cell r="M4132">
            <v>-16295</v>
          </cell>
          <cell r="N4132">
            <v>983705</v>
          </cell>
        </row>
        <row r="4133">
          <cell r="A4133">
            <v>22013</v>
          </cell>
          <cell r="B4133">
            <v>4127</v>
          </cell>
          <cell r="C4133" t="str">
            <v>IASWD2411000237</v>
          </cell>
          <cell r="D4133">
            <v>45609</v>
          </cell>
          <cell r="E4133">
            <v>46167</v>
          </cell>
          <cell r="F4133" t="str">
            <v>22013</v>
          </cell>
          <cell r="G4133" t="str">
            <v>裕隆三</v>
          </cell>
          <cell r="H4133">
            <v>100000</v>
          </cell>
          <cell r="I4133">
            <v>3.25</v>
          </cell>
          <cell r="J4133">
            <v>46167</v>
          </cell>
          <cell r="K4133">
            <v>100.75190000000001</v>
          </cell>
          <cell r="L4133">
            <v>46147</v>
          </cell>
          <cell r="M4133">
            <v>-1629</v>
          </cell>
          <cell r="N4133">
            <v>98371</v>
          </cell>
        </row>
        <row r="4134">
          <cell r="A4134">
            <v>67531</v>
          </cell>
          <cell r="B4134">
            <v>4128</v>
          </cell>
          <cell r="C4134" t="str">
            <v>IASWD2411000238</v>
          </cell>
          <cell r="D4134">
            <v>45609</v>
          </cell>
          <cell r="E4134">
            <v>46563</v>
          </cell>
          <cell r="F4134" t="str">
            <v>67531</v>
          </cell>
          <cell r="G4134" t="str">
            <v>龍德造船一</v>
          </cell>
          <cell r="H4134">
            <v>200000</v>
          </cell>
          <cell r="I4134">
            <v>3.35</v>
          </cell>
          <cell r="J4134">
            <v>46563</v>
          </cell>
          <cell r="K4134">
            <v>100</v>
          </cell>
          <cell r="L4134">
            <v>46545</v>
          </cell>
          <cell r="M4134">
            <v>-3359</v>
          </cell>
          <cell r="N4134">
            <v>196641</v>
          </cell>
        </row>
        <row r="4135">
          <cell r="A4135">
            <v>82992</v>
          </cell>
          <cell r="B4135">
            <v>4129</v>
          </cell>
          <cell r="C4135" t="str">
            <v>IASWD2411000241</v>
          </cell>
          <cell r="D4135">
            <v>45609</v>
          </cell>
          <cell r="E4135">
            <v>46410</v>
          </cell>
          <cell r="F4135" t="str">
            <v>82992</v>
          </cell>
          <cell r="G4135" t="str">
            <v>群聯二</v>
          </cell>
          <cell r="H4135">
            <v>300000</v>
          </cell>
          <cell r="I4135">
            <v>2.6</v>
          </cell>
          <cell r="J4135">
            <v>46410</v>
          </cell>
          <cell r="K4135">
            <v>100</v>
          </cell>
          <cell r="L4135">
            <v>46392</v>
          </cell>
          <cell r="M4135">
            <v>-3911</v>
          </cell>
          <cell r="N4135">
            <v>296089</v>
          </cell>
        </row>
        <row r="4136">
          <cell r="A4136">
            <v>50097</v>
          </cell>
          <cell r="B4136">
            <v>4130</v>
          </cell>
          <cell r="C4136" t="str">
            <v>IASWD2411000243</v>
          </cell>
          <cell r="D4136">
            <v>45609</v>
          </cell>
          <cell r="E4136">
            <v>46234</v>
          </cell>
          <cell r="F4136" t="str">
            <v>50097</v>
          </cell>
          <cell r="G4136" t="str">
            <v>榮剛七</v>
          </cell>
          <cell r="H4136">
            <v>100000</v>
          </cell>
          <cell r="I4136">
            <v>4.0999999999999996</v>
          </cell>
          <cell r="J4136">
            <v>46234</v>
          </cell>
          <cell r="K4136">
            <v>101.51</v>
          </cell>
          <cell r="L4136">
            <v>46216</v>
          </cell>
          <cell r="M4136">
            <v>-2056</v>
          </cell>
          <cell r="N4136">
            <v>97944</v>
          </cell>
        </row>
        <row r="4137">
          <cell r="A4137">
            <v>82992</v>
          </cell>
          <cell r="B4137">
            <v>4131</v>
          </cell>
          <cell r="C4137" t="str">
            <v>IASWD2411000244</v>
          </cell>
          <cell r="D4137">
            <v>45609</v>
          </cell>
          <cell r="E4137">
            <v>46410</v>
          </cell>
          <cell r="F4137" t="str">
            <v>82992</v>
          </cell>
          <cell r="G4137" t="str">
            <v>群聯二</v>
          </cell>
          <cell r="H4137">
            <v>500000</v>
          </cell>
          <cell r="I4137">
            <v>2.6</v>
          </cell>
          <cell r="J4137">
            <v>46410</v>
          </cell>
          <cell r="K4137">
            <v>100</v>
          </cell>
          <cell r="L4137">
            <v>46392</v>
          </cell>
          <cell r="M4137">
            <v>-6518</v>
          </cell>
          <cell r="N4137">
            <v>493482</v>
          </cell>
        </row>
        <row r="4138">
          <cell r="A4138">
            <v>50097</v>
          </cell>
          <cell r="B4138">
            <v>4132</v>
          </cell>
          <cell r="C4138" t="str">
            <v>IASWD2411000245</v>
          </cell>
          <cell r="D4138">
            <v>45609</v>
          </cell>
          <cell r="E4138">
            <v>46234</v>
          </cell>
          <cell r="F4138" t="str">
            <v>50097</v>
          </cell>
          <cell r="G4138" t="str">
            <v>榮剛七</v>
          </cell>
          <cell r="H4138">
            <v>300000</v>
          </cell>
          <cell r="I4138">
            <v>4.0999999999999996</v>
          </cell>
          <cell r="J4138">
            <v>46234</v>
          </cell>
          <cell r="K4138">
            <v>101.51</v>
          </cell>
          <cell r="L4138">
            <v>46216</v>
          </cell>
          <cell r="M4138">
            <v>-6167</v>
          </cell>
          <cell r="N4138">
            <v>293833</v>
          </cell>
        </row>
        <row r="4139">
          <cell r="A4139">
            <v>22013</v>
          </cell>
          <cell r="B4139">
            <v>4133</v>
          </cell>
          <cell r="C4139" t="str">
            <v>IASWD2411000246</v>
          </cell>
          <cell r="D4139">
            <v>45609</v>
          </cell>
          <cell r="E4139">
            <v>46167</v>
          </cell>
          <cell r="F4139" t="str">
            <v>22013</v>
          </cell>
          <cell r="G4139" t="str">
            <v>裕隆三</v>
          </cell>
          <cell r="H4139">
            <v>100000</v>
          </cell>
          <cell r="I4139">
            <v>3.25</v>
          </cell>
          <cell r="J4139">
            <v>46167</v>
          </cell>
          <cell r="K4139">
            <v>100.75190000000001</v>
          </cell>
          <cell r="L4139">
            <v>46147</v>
          </cell>
          <cell r="M4139">
            <v>-1629</v>
          </cell>
          <cell r="N4139">
            <v>98371</v>
          </cell>
        </row>
        <row r="4140">
          <cell r="A4140">
            <v>82992</v>
          </cell>
          <cell r="B4140">
            <v>4134</v>
          </cell>
          <cell r="C4140" t="str">
            <v>IASWD2411000247</v>
          </cell>
          <cell r="D4140">
            <v>45609</v>
          </cell>
          <cell r="E4140">
            <v>46410</v>
          </cell>
          <cell r="F4140" t="str">
            <v>82992</v>
          </cell>
          <cell r="G4140" t="str">
            <v>群聯二</v>
          </cell>
          <cell r="H4140">
            <v>100000</v>
          </cell>
          <cell r="I4140">
            <v>2.6</v>
          </cell>
          <cell r="J4140">
            <v>46410</v>
          </cell>
          <cell r="K4140">
            <v>100</v>
          </cell>
          <cell r="L4140">
            <v>46392</v>
          </cell>
          <cell r="M4140">
            <v>-1304</v>
          </cell>
          <cell r="N4140">
            <v>98696</v>
          </cell>
        </row>
        <row r="4141">
          <cell r="A4141">
            <v>34834</v>
          </cell>
          <cell r="B4141">
            <v>4135</v>
          </cell>
          <cell r="C4141" t="str">
            <v>IASWD2411000248</v>
          </cell>
          <cell r="D4141">
            <v>45609</v>
          </cell>
          <cell r="E4141">
            <v>46529</v>
          </cell>
          <cell r="F4141" t="str">
            <v>34834</v>
          </cell>
          <cell r="G4141" t="str">
            <v>力致四</v>
          </cell>
          <cell r="H4141">
            <v>100000</v>
          </cell>
          <cell r="I4141">
            <v>3.75</v>
          </cell>
          <cell r="J4141">
            <v>46529</v>
          </cell>
          <cell r="K4141">
            <v>100</v>
          </cell>
          <cell r="L4141">
            <v>46511</v>
          </cell>
          <cell r="M4141">
            <v>-1880</v>
          </cell>
          <cell r="N4141">
            <v>98120</v>
          </cell>
        </row>
        <row r="4142">
          <cell r="A4142">
            <v>82992</v>
          </cell>
          <cell r="B4142">
            <v>4136</v>
          </cell>
          <cell r="C4142" t="str">
            <v>IASWD2411000249</v>
          </cell>
          <cell r="D4142">
            <v>45609</v>
          </cell>
          <cell r="E4142">
            <v>46410</v>
          </cell>
          <cell r="F4142" t="str">
            <v>82992</v>
          </cell>
          <cell r="G4142" t="str">
            <v>群聯二</v>
          </cell>
          <cell r="H4142">
            <v>300000</v>
          </cell>
          <cell r="I4142">
            <v>2.6</v>
          </cell>
          <cell r="J4142">
            <v>46410</v>
          </cell>
          <cell r="K4142">
            <v>100</v>
          </cell>
          <cell r="L4142">
            <v>46392</v>
          </cell>
          <cell r="M4142">
            <v>-3911</v>
          </cell>
          <cell r="N4142">
            <v>296089</v>
          </cell>
        </row>
        <row r="4143">
          <cell r="A4143">
            <v>82992</v>
          </cell>
          <cell r="B4143">
            <v>4137</v>
          </cell>
          <cell r="C4143" t="str">
            <v>IASWD2411000254</v>
          </cell>
          <cell r="D4143">
            <v>45609</v>
          </cell>
          <cell r="E4143">
            <v>46410</v>
          </cell>
          <cell r="F4143" t="str">
            <v>82992</v>
          </cell>
          <cell r="G4143" t="str">
            <v>群聯二</v>
          </cell>
          <cell r="H4143">
            <v>5000000</v>
          </cell>
          <cell r="I4143">
            <v>2.6</v>
          </cell>
          <cell r="J4143">
            <v>46410</v>
          </cell>
          <cell r="K4143">
            <v>100</v>
          </cell>
          <cell r="L4143">
            <v>46392</v>
          </cell>
          <cell r="M4143">
            <v>-65178</v>
          </cell>
          <cell r="N4143">
            <v>4934822</v>
          </cell>
        </row>
        <row r="4144">
          <cell r="A4144">
            <v>140202</v>
          </cell>
          <cell r="B4144">
            <v>4138</v>
          </cell>
          <cell r="C4144" t="str">
            <v>IASWD2411000257</v>
          </cell>
          <cell r="D4144">
            <v>45610</v>
          </cell>
          <cell r="E4144">
            <v>46607</v>
          </cell>
          <cell r="F4144" t="str">
            <v>140202</v>
          </cell>
          <cell r="G4144" t="str">
            <v>遠東新E2永</v>
          </cell>
          <cell r="H4144">
            <v>500000</v>
          </cell>
          <cell r="I4144">
            <v>2.7</v>
          </cell>
          <cell r="J4144">
            <v>46607</v>
          </cell>
          <cell r="K4144">
            <v>100</v>
          </cell>
          <cell r="L4144">
            <v>46588</v>
          </cell>
          <cell r="M4144">
            <v>-6732</v>
          </cell>
          <cell r="N4144">
            <v>493268</v>
          </cell>
        </row>
        <row r="4145">
          <cell r="A4145">
            <v>34834</v>
          </cell>
          <cell r="B4145">
            <v>4139</v>
          </cell>
          <cell r="C4145" t="str">
            <v>IASWD2411000258</v>
          </cell>
          <cell r="D4145">
            <v>45610</v>
          </cell>
          <cell r="E4145">
            <v>46529</v>
          </cell>
          <cell r="F4145" t="str">
            <v>34834</v>
          </cell>
          <cell r="G4145" t="str">
            <v>力致四</v>
          </cell>
          <cell r="H4145">
            <v>200000</v>
          </cell>
          <cell r="I4145">
            <v>3.75</v>
          </cell>
          <cell r="J4145">
            <v>46529</v>
          </cell>
          <cell r="K4145">
            <v>100</v>
          </cell>
          <cell r="L4145">
            <v>46511</v>
          </cell>
          <cell r="M4145">
            <v>-3740</v>
          </cell>
          <cell r="N4145">
            <v>196260</v>
          </cell>
        </row>
        <row r="4146">
          <cell r="A4146">
            <v>34163</v>
          </cell>
          <cell r="B4146">
            <v>4140</v>
          </cell>
          <cell r="C4146" t="str">
            <v>IASWD2411000259</v>
          </cell>
          <cell r="D4146">
            <v>45610</v>
          </cell>
          <cell r="E4146">
            <v>46047</v>
          </cell>
          <cell r="F4146" t="str">
            <v>34163</v>
          </cell>
          <cell r="G4146" t="str">
            <v>融程電三</v>
          </cell>
          <cell r="H4146">
            <v>1000000</v>
          </cell>
          <cell r="I4146">
            <v>3</v>
          </cell>
          <cell r="J4146">
            <v>46047</v>
          </cell>
          <cell r="K4146">
            <v>100.5</v>
          </cell>
          <cell r="L4146">
            <v>46028</v>
          </cell>
          <cell r="M4146">
            <v>-14959</v>
          </cell>
          <cell r="N4146">
            <v>985041</v>
          </cell>
        </row>
        <row r="4147">
          <cell r="A4147">
            <v>15364</v>
          </cell>
          <cell r="B4147">
            <v>4141</v>
          </cell>
          <cell r="C4147" t="str">
            <v>IASWD2411000260</v>
          </cell>
          <cell r="D4147">
            <v>45610</v>
          </cell>
          <cell r="E4147">
            <v>46246</v>
          </cell>
          <cell r="F4147" t="str">
            <v>15364</v>
          </cell>
          <cell r="G4147" t="str">
            <v>和大四</v>
          </cell>
          <cell r="H4147">
            <v>100000</v>
          </cell>
          <cell r="I4147">
            <v>4</v>
          </cell>
          <cell r="J4147">
            <v>46246</v>
          </cell>
          <cell r="K4147">
            <v>100</v>
          </cell>
          <cell r="L4147">
            <v>46226</v>
          </cell>
          <cell r="M4147">
            <v>-1995</v>
          </cell>
          <cell r="N4147">
            <v>98005</v>
          </cell>
        </row>
        <row r="4148">
          <cell r="A4148">
            <v>53064</v>
          </cell>
          <cell r="B4148">
            <v>4142</v>
          </cell>
          <cell r="C4148" t="str">
            <v>IASWD2411000261</v>
          </cell>
          <cell r="D4148">
            <v>45610</v>
          </cell>
          <cell r="E4148">
            <v>46334</v>
          </cell>
          <cell r="F4148" t="str">
            <v>53064</v>
          </cell>
          <cell r="G4148" t="str">
            <v>桂盟四</v>
          </cell>
          <cell r="H4148">
            <v>200000</v>
          </cell>
          <cell r="I4148">
            <v>2.2999999999999998</v>
          </cell>
          <cell r="J4148">
            <v>46334</v>
          </cell>
          <cell r="K4148">
            <v>100</v>
          </cell>
          <cell r="L4148">
            <v>46315</v>
          </cell>
          <cell r="M4148">
            <v>-2294</v>
          </cell>
          <cell r="N4148">
            <v>197706</v>
          </cell>
        </row>
        <row r="4149">
          <cell r="A4149">
            <v>82992</v>
          </cell>
          <cell r="B4149">
            <v>4143</v>
          </cell>
          <cell r="C4149" t="str">
            <v>IASWD2411000262</v>
          </cell>
          <cell r="D4149">
            <v>45610</v>
          </cell>
          <cell r="E4149">
            <v>46410</v>
          </cell>
          <cell r="F4149" t="str">
            <v>82992</v>
          </cell>
          <cell r="G4149" t="str">
            <v>群聯二</v>
          </cell>
          <cell r="H4149">
            <v>8100000</v>
          </cell>
          <cell r="I4149">
            <v>2.6</v>
          </cell>
          <cell r="J4149">
            <v>46410</v>
          </cell>
          <cell r="K4149">
            <v>100</v>
          </cell>
          <cell r="L4149">
            <v>46392</v>
          </cell>
          <cell r="M4149">
            <v>-105012</v>
          </cell>
          <cell r="N4149">
            <v>7994988</v>
          </cell>
        </row>
        <row r="4150">
          <cell r="A4150">
            <v>82992</v>
          </cell>
          <cell r="B4150">
            <v>4144</v>
          </cell>
          <cell r="C4150" t="str">
            <v>IASWD2411000263</v>
          </cell>
          <cell r="D4150">
            <v>45610</v>
          </cell>
          <cell r="E4150">
            <v>46410</v>
          </cell>
          <cell r="F4150" t="str">
            <v>82992</v>
          </cell>
          <cell r="G4150" t="str">
            <v>群聯二</v>
          </cell>
          <cell r="H4150">
            <v>100000</v>
          </cell>
          <cell r="I4150">
            <v>2.6</v>
          </cell>
          <cell r="J4150">
            <v>46410</v>
          </cell>
          <cell r="K4150">
            <v>100</v>
          </cell>
          <cell r="L4150">
            <v>46392</v>
          </cell>
          <cell r="M4150">
            <v>-1296</v>
          </cell>
          <cell r="N4150">
            <v>98704</v>
          </cell>
        </row>
        <row r="4151">
          <cell r="A4151">
            <v>22283</v>
          </cell>
          <cell r="B4151">
            <v>4145</v>
          </cell>
          <cell r="C4151" t="str">
            <v>IASWD2411000264</v>
          </cell>
          <cell r="D4151">
            <v>45610</v>
          </cell>
          <cell r="E4151">
            <v>46628</v>
          </cell>
          <cell r="F4151" t="str">
            <v>22283</v>
          </cell>
          <cell r="G4151" t="str">
            <v>劍麟三</v>
          </cell>
          <cell r="H4151">
            <v>700000</v>
          </cell>
          <cell r="I4151">
            <v>3</v>
          </cell>
          <cell r="J4151">
            <v>46628</v>
          </cell>
          <cell r="K4151">
            <v>100</v>
          </cell>
          <cell r="L4151">
            <v>46609</v>
          </cell>
          <cell r="M4151">
            <v>-10471</v>
          </cell>
          <cell r="N4151">
            <v>689529</v>
          </cell>
        </row>
        <row r="4152">
          <cell r="A4152">
            <v>33244</v>
          </cell>
          <cell r="B4152">
            <v>4146</v>
          </cell>
          <cell r="C4152" t="str">
            <v>IASWD2411000265</v>
          </cell>
          <cell r="D4152">
            <v>45610</v>
          </cell>
          <cell r="E4152">
            <v>45973</v>
          </cell>
          <cell r="F4152" t="str">
            <v>33244</v>
          </cell>
          <cell r="G4152" t="str">
            <v>雙鴻四</v>
          </cell>
          <cell r="H4152">
            <v>200000</v>
          </cell>
          <cell r="I4152">
            <v>2.4</v>
          </cell>
          <cell r="J4152">
            <v>45973</v>
          </cell>
          <cell r="K4152">
            <v>100</v>
          </cell>
          <cell r="L4152">
            <v>45953</v>
          </cell>
          <cell r="M4152">
            <v>-2393</v>
          </cell>
          <cell r="N4152">
            <v>197607</v>
          </cell>
        </row>
        <row r="4153">
          <cell r="A4153">
            <v>50097</v>
          </cell>
          <cell r="B4153">
            <v>4147</v>
          </cell>
          <cell r="C4153" t="str">
            <v>IASWD2411000267</v>
          </cell>
          <cell r="D4153">
            <v>45610</v>
          </cell>
          <cell r="E4153">
            <v>46234</v>
          </cell>
          <cell r="F4153" t="str">
            <v>50097</v>
          </cell>
          <cell r="G4153" t="str">
            <v>榮剛七</v>
          </cell>
          <cell r="H4153">
            <v>200000</v>
          </cell>
          <cell r="I4153">
            <v>4.0999999999999996</v>
          </cell>
          <cell r="J4153">
            <v>46234</v>
          </cell>
          <cell r="K4153">
            <v>101.51</v>
          </cell>
          <cell r="L4153">
            <v>46216</v>
          </cell>
          <cell r="M4153">
            <v>-4089</v>
          </cell>
          <cell r="N4153">
            <v>195911</v>
          </cell>
        </row>
        <row r="4154">
          <cell r="A4154">
            <v>30061</v>
          </cell>
          <cell r="B4154">
            <v>4148</v>
          </cell>
          <cell r="C4154" t="str">
            <v>IASWD2411000268</v>
          </cell>
          <cell r="D4154">
            <v>45610</v>
          </cell>
          <cell r="E4154">
            <v>46322</v>
          </cell>
          <cell r="F4154" t="str">
            <v>30061</v>
          </cell>
          <cell r="G4154" t="str">
            <v>晶豪科一</v>
          </cell>
          <cell r="H4154">
            <v>100000</v>
          </cell>
          <cell r="I4154">
            <v>3.75</v>
          </cell>
          <cell r="J4154">
            <v>46322</v>
          </cell>
          <cell r="K4154">
            <v>100</v>
          </cell>
          <cell r="L4154">
            <v>46302</v>
          </cell>
          <cell r="M4154">
            <v>-1870</v>
          </cell>
          <cell r="N4154">
            <v>98130</v>
          </cell>
        </row>
        <row r="4155">
          <cell r="A4155">
            <v>82992</v>
          </cell>
          <cell r="B4155">
            <v>4149</v>
          </cell>
          <cell r="C4155" t="str">
            <v>IASWD2411000269</v>
          </cell>
          <cell r="D4155">
            <v>45610</v>
          </cell>
          <cell r="E4155">
            <v>46410</v>
          </cell>
          <cell r="F4155" t="str">
            <v>82992</v>
          </cell>
          <cell r="G4155" t="str">
            <v>群聯二</v>
          </cell>
          <cell r="H4155">
            <v>100000</v>
          </cell>
          <cell r="I4155">
            <v>2.6</v>
          </cell>
          <cell r="J4155">
            <v>46410</v>
          </cell>
          <cell r="K4155">
            <v>100</v>
          </cell>
          <cell r="L4155">
            <v>46392</v>
          </cell>
          <cell r="M4155">
            <v>-1296</v>
          </cell>
          <cell r="N4155">
            <v>98704</v>
          </cell>
        </row>
        <row r="4156">
          <cell r="A4156">
            <v>34834</v>
          </cell>
          <cell r="B4156">
            <v>4150</v>
          </cell>
          <cell r="C4156" t="str">
            <v>IASWD2411000270</v>
          </cell>
          <cell r="D4156">
            <v>45610</v>
          </cell>
          <cell r="E4156">
            <v>46529</v>
          </cell>
          <cell r="F4156" t="str">
            <v>34834</v>
          </cell>
          <cell r="G4156" t="str">
            <v>力致四</v>
          </cell>
          <cell r="H4156">
            <v>100000</v>
          </cell>
          <cell r="I4156">
            <v>3.75</v>
          </cell>
          <cell r="J4156">
            <v>46529</v>
          </cell>
          <cell r="K4156">
            <v>100</v>
          </cell>
          <cell r="L4156">
            <v>46511</v>
          </cell>
          <cell r="M4156">
            <v>-1870</v>
          </cell>
          <cell r="N4156">
            <v>98130</v>
          </cell>
        </row>
        <row r="4157">
          <cell r="A4157">
            <v>67531</v>
          </cell>
          <cell r="B4157">
            <v>4151</v>
          </cell>
          <cell r="C4157" t="str">
            <v>IASWD2411000271</v>
          </cell>
          <cell r="D4157">
            <v>45610</v>
          </cell>
          <cell r="E4157">
            <v>46563</v>
          </cell>
          <cell r="F4157" t="str">
            <v>67531</v>
          </cell>
          <cell r="G4157" t="str">
            <v>龍德造船一</v>
          </cell>
          <cell r="H4157">
            <v>1500000</v>
          </cell>
          <cell r="I4157">
            <v>3.35</v>
          </cell>
          <cell r="J4157">
            <v>46563</v>
          </cell>
          <cell r="K4157">
            <v>100</v>
          </cell>
          <cell r="L4157">
            <v>46545</v>
          </cell>
          <cell r="M4157">
            <v>-25056</v>
          </cell>
          <cell r="N4157">
            <v>1474944</v>
          </cell>
        </row>
        <row r="4158">
          <cell r="A4158">
            <v>67531</v>
          </cell>
          <cell r="B4158">
            <v>4152</v>
          </cell>
          <cell r="C4158" t="str">
            <v>IASWD2411000273</v>
          </cell>
          <cell r="D4158">
            <v>45610</v>
          </cell>
          <cell r="E4158">
            <v>46563</v>
          </cell>
          <cell r="F4158" t="str">
            <v>67531</v>
          </cell>
          <cell r="G4158" t="str">
            <v>龍德造船一</v>
          </cell>
          <cell r="H4158">
            <v>100000</v>
          </cell>
          <cell r="I4158">
            <v>3.35</v>
          </cell>
          <cell r="J4158">
            <v>46563</v>
          </cell>
          <cell r="K4158">
            <v>100</v>
          </cell>
          <cell r="L4158">
            <v>46545</v>
          </cell>
          <cell r="M4158">
            <v>-1670</v>
          </cell>
          <cell r="N4158">
            <v>98330</v>
          </cell>
        </row>
        <row r="4159">
          <cell r="A4159">
            <v>64145</v>
          </cell>
          <cell r="B4159">
            <v>4153</v>
          </cell>
          <cell r="C4159" t="str">
            <v>IASWD2411000274</v>
          </cell>
          <cell r="D4159">
            <v>45610</v>
          </cell>
          <cell r="E4159">
            <v>46250</v>
          </cell>
          <cell r="F4159" t="str">
            <v>64145</v>
          </cell>
          <cell r="G4159" t="str">
            <v>樺漢五</v>
          </cell>
          <cell r="H4159">
            <v>100000</v>
          </cell>
          <cell r="I4159">
            <v>3</v>
          </cell>
          <cell r="J4159">
            <v>46250</v>
          </cell>
          <cell r="K4159">
            <v>100</v>
          </cell>
          <cell r="L4159">
            <v>46231</v>
          </cell>
          <cell r="M4159">
            <v>-1496</v>
          </cell>
          <cell r="N4159">
            <v>98504</v>
          </cell>
        </row>
        <row r="4160">
          <cell r="A4160">
            <v>50097</v>
          </cell>
          <cell r="B4160">
            <v>4154</v>
          </cell>
          <cell r="C4160" t="str">
            <v>IASWD2411000276</v>
          </cell>
          <cell r="D4160">
            <v>45610</v>
          </cell>
          <cell r="E4160">
            <v>46234</v>
          </cell>
          <cell r="F4160" t="str">
            <v>50097</v>
          </cell>
          <cell r="G4160" t="str">
            <v>榮剛七</v>
          </cell>
          <cell r="H4160">
            <v>300000</v>
          </cell>
          <cell r="I4160">
            <v>4.0999999999999996</v>
          </cell>
          <cell r="J4160">
            <v>46234</v>
          </cell>
          <cell r="K4160">
            <v>101.51</v>
          </cell>
          <cell r="L4160">
            <v>46216</v>
          </cell>
          <cell r="M4160">
            <v>-6133</v>
          </cell>
          <cell r="N4160">
            <v>293867</v>
          </cell>
        </row>
        <row r="4161">
          <cell r="A4161">
            <v>82992</v>
          </cell>
          <cell r="B4161">
            <v>4155</v>
          </cell>
          <cell r="C4161" t="str">
            <v>IASWD2411000277</v>
          </cell>
          <cell r="D4161">
            <v>45610</v>
          </cell>
          <cell r="E4161">
            <v>46410</v>
          </cell>
          <cell r="F4161" t="str">
            <v>82992</v>
          </cell>
          <cell r="G4161" t="str">
            <v>群聯二</v>
          </cell>
          <cell r="H4161">
            <v>3000000</v>
          </cell>
          <cell r="I4161">
            <v>2.6</v>
          </cell>
          <cell r="J4161">
            <v>46410</v>
          </cell>
          <cell r="K4161">
            <v>100</v>
          </cell>
          <cell r="L4161">
            <v>46392</v>
          </cell>
          <cell r="M4161">
            <v>-38893</v>
          </cell>
          <cell r="N4161">
            <v>2961107</v>
          </cell>
        </row>
        <row r="4162">
          <cell r="A4162">
            <v>82992</v>
          </cell>
          <cell r="B4162">
            <v>4156</v>
          </cell>
          <cell r="C4162" t="str">
            <v>IASWD2411000278</v>
          </cell>
          <cell r="D4162">
            <v>45610</v>
          </cell>
          <cell r="E4162">
            <v>46410</v>
          </cell>
          <cell r="F4162" t="str">
            <v>82992</v>
          </cell>
          <cell r="G4162" t="str">
            <v>群聯二</v>
          </cell>
          <cell r="H4162">
            <v>100000</v>
          </cell>
          <cell r="I4162">
            <v>2.6</v>
          </cell>
          <cell r="J4162">
            <v>46410</v>
          </cell>
          <cell r="K4162">
            <v>100</v>
          </cell>
          <cell r="L4162">
            <v>46392</v>
          </cell>
          <cell r="M4162">
            <v>-1296</v>
          </cell>
          <cell r="N4162">
            <v>98704</v>
          </cell>
        </row>
        <row r="4163">
          <cell r="A4163">
            <v>64145</v>
          </cell>
          <cell r="B4163">
            <v>4157</v>
          </cell>
          <cell r="C4163" t="str">
            <v>IASWD2411000279</v>
          </cell>
          <cell r="D4163">
            <v>45610</v>
          </cell>
          <cell r="E4163">
            <v>46250</v>
          </cell>
          <cell r="F4163" t="str">
            <v>64145</v>
          </cell>
          <cell r="G4163" t="str">
            <v>樺漢五</v>
          </cell>
          <cell r="H4163">
            <v>200000</v>
          </cell>
          <cell r="I4163">
            <v>3</v>
          </cell>
          <cell r="J4163">
            <v>46250</v>
          </cell>
          <cell r="K4163">
            <v>100</v>
          </cell>
          <cell r="L4163">
            <v>46231</v>
          </cell>
          <cell r="M4163">
            <v>-2992</v>
          </cell>
          <cell r="N4163">
            <v>197008</v>
          </cell>
        </row>
        <row r="4164">
          <cell r="A4164">
            <v>33244</v>
          </cell>
          <cell r="B4164">
            <v>4158</v>
          </cell>
          <cell r="C4164" t="str">
            <v>IASWD2411000280</v>
          </cell>
          <cell r="D4164">
            <v>45610</v>
          </cell>
          <cell r="E4164">
            <v>45973</v>
          </cell>
          <cell r="F4164" t="str">
            <v>33244</v>
          </cell>
          <cell r="G4164" t="str">
            <v>雙鴻四</v>
          </cell>
          <cell r="H4164">
            <v>200000</v>
          </cell>
          <cell r="I4164">
            <v>2.4</v>
          </cell>
          <cell r="J4164">
            <v>45973</v>
          </cell>
          <cell r="K4164">
            <v>100</v>
          </cell>
          <cell r="L4164">
            <v>45953</v>
          </cell>
          <cell r="M4164">
            <v>-2393</v>
          </cell>
          <cell r="N4164">
            <v>197607</v>
          </cell>
        </row>
        <row r="4165">
          <cell r="A4165">
            <v>82992</v>
          </cell>
          <cell r="B4165">
            <v>4159</v>
          </cell>
          <cell r="C4165" t="str">
            <v>IASWD2411000281</v>
          </cell>
          <cell r="D4165">
            <v>45610</v>
          </cell>
          <cell r="E4165">
            <v>46410</v>
          </cell>
          <cell r="F4165" t="str">
            <v>82992</v>
          </cell>
          <cell r="G4165" t="str">
            <v>群聯二</v>
          </cell>
          <cell r="H4165">
            <v>300000</v>
          </cell>
          <cell r="I4165">
            <v>2.6</v>
          </cell>
          <cell r="J4165">
            <v>46410</v>
          </cell>
          <cell r="K4165">
            <v>100</v>
          </cell>
          <cell r="L4165">
            <v>46392</v>
          </cell>
          <cell r="M4165">
            <v>-3889</v>
          </cell>
          <cell r="N4165">
            <v>296111</v>
          </cell>
        </row>
        <row r="4166">
          <cell r="A4166">
            <v>82992</v>
          </cell>
          <cell r="B4166">
            <v>4160</v>
          </cell>
          <cell r="C4166" t="str">
            <v>IASWD2411000282</v>
          </cell>
          <cell r="D4166">
            <v>45610</v>
          </cell>
          <cell r="E4166">
            <v>46410</v>
          </cell>
          <cell r="F4166" t="str">
            <v>82992</v>
          </cell>
          <cell r="G4166" t="str">
            <v>群聯二</v>
          </cell>
          <cell r="H4166">
            <v>400000</v>
          </cell>
          <cell r="I4166">
            <v>2.6</v>
          </cell>
          <cell r="J4166">
            <v>46410</v>
          </cell>
          <cell r="K4166">
            <v>100</v>
          </cell>
          <cell r="L4166">
            <v>46392</v>
          </cell>
          <cell r="M4166">
            <v>-5186</v>
          </cell>
          <cell r="N4166">
            <v>394814</v>
          </cell>
        </row>
        <row r="4167">
          <cell r="A4167">
            <v>82992</v>
          </cell>
          <cell r="B4167">
            <v>4161</v>
          </cell>
          <cell r="C4167" t="str">
            <v>IASWD2411000283</v>
          </cell>
          <cell r="D4167">
            <v>45610</v>
          </cell>
          <cell r="E4167">
            <v>46410</v>
          </cell>
          <cell r="F4167" t="str">
            <v>82992</v>
          </cell>
          <cell r="G4167" t="str">
            <v>群聯二</v>
          </cell>
          <cell r="H4167">
            <v>500000</v>
          </cell>
          <cell r="I4167">
            <v>2.6</v>
          </cell>
          <cell r="J4167">
            <v>46410</v>
          </cell>
          <cell r="K4167">
            <v>100</v>
          </cell>
          <cell r="L4167">
            <v>46392</v>
          </cell>
          <cell r="M4167">
            <v>-6482</v>
          </cell>
          <cell r="N4167">
            <v>493518</v>
          </cell>
        </row>
        <row r="4168">
          <cell r="A4168">
            <v>22013</v>
          </cell>
          <cell r="B4168">
            <v>4162</v>
          </cell>
          <cell r="C4168" t="str">
            <v>IASWD2411000284</v>
          </cell>
          <cell r="D4168">
            <v>45610</v>
          </cell>
          <cell r="E4168">
            <v>46167</v>
          </cell>
          <cell r="F4168" t="str">
            <v>22013</v>
          </cell>
          <cell r="G4168" t="str">
            <v>裕隆三</v>
          </cell>
          <cell r="H4168">
            <v>400000</v>
          </cell>
          <cell r="I4168">
            <v>3.25</v>
          </cell>
          <cell r="J4168">
            <v>46167</v>
          </cell>
          <cell r="K4168">
            <v>100.75190000000001</v>
          </cell>
          <cell r="L4168">
            <v>46147</v>
          </cell>
          <cell r="M4168">
            <v>-6482</v>
          </cell>
          <cell r="N4168">
            <v>393518</v>
          </cell>
        </row>
        <row r="4169">
          <cell r="A4169">
            <v>61965</v>
          </cell>
          <cell r="B4169">
            <v>4163</v>
          </cell>
          <cell r="C4169" t="str">
            <v>IASWD2411000285</v>
          </cell>
          <cell r="D4169">
            <v>45611</v>
          </cell>
          <cell r="E4169">
            <v>46200</v>
          </cell>
          <cell r="F4169" t="str">
            <v>61965</v>
          </cell>
          <cell r="G4169" t="str">
            <v>帆宣五</v>
          </cell>
          <cell r="H4169">
            <v>100000</v>
          </cell>
          <cell r="I4169">
            <v>3</v>
          </cell>
          <cell r="J4169">
            <v>46200</v>
          </cell>
          <cell r="K4169">
            <v>100</v>
          </cell>
          <cell r="L4169">
            <v>46182</v>
          </cell>
          <cell r="M4169">
            <v>-1488</v>
          </cell>
          <cell r="N4169">
            <v>98512</v>
          </cell>
        </row>
        <row r="4170">
          <cell r="A4170">
            <v>22283</v>
          </cell>
          <cell r="B4170">
            <v>4164</v>
          </cell>
          <cell r="C4170" t="str">
            <v>IASWD2411000287</v>
          </cell>
          <cell r="D4170">
            <v>45611</v>
          </cell>
          <cell r="E4170">
            <v>46628</v>
          </cell>
          <cell r="F4170" t="str">
            <v>22283</v>
          </cell>
          <cell r="G4170" t="str">
            <v>劍麟三</v>
          </cell>
          <cell r="H4170">
            <v>200000</v>
          </cell>
          <cell r="I4170">
            <v>3</v>
          </cell>
          <cell r="J4170">
            <v>46628</v>
          </cell>
          <cell r="K4170">
            <v>100</v>
          </cell>
          <cell r="L4170">
            <v>46609</v>
          </cell>
          <cell r="M4170">
            <v>-2975</v>
          </cell>
          <cell r="N4170">
            <v>197025</v>
          </cell>
        </row>
        <row r="4171">
          <cell r="A4171">
            <v>22013</v>
          </cell>
          <cell r="B4171">
            <v>4165</v>
          </cell>
          <cell r="C4171" t="str">
            <v>IASWD2411000288</v>
          </cell>
          <cell r="D4171">
            <v>45611</v>
          </cell>
          <cell r="E4171">
            <v>46167</v>
          </cell>
          <cell r="F4171" t="str">
            <v>22013</v>
          </cell>
          <cell r="G4171" t="str">
            <v>裕隆三</v>
          </cell>
          <cell r="H4171">
            <v>100000</v>
          </cell>
          <cell r="I4171">
            <v>3.25</v>
          </cell>
          <cell r="J4171">
            <v>46167</v>
          </cell>
          <cell r="K4171">
            <v>100.75190000000001</v>
          </cell>
          <cell r="L4171">
            <v>46147</v>
          </cell>
          <cell r="M4171">
            <v>-1612</v>
          </cell>
          <cell r="N4171">
            <v>98388</v>
          </cell>
        </row>
        <row r="4172">
          <cell r="A4172">
            <v>30061</v>
          </cell>
          <cell r="B4172">
            <v>4166</v>
          </cell>
          <cell r="C4172" t="str">
            <v>IASWD2411000289</v>
          </cell>
          <cell r="D4172">
            <v>45611</v>
          </cell>
          <cell r="E4172">
            <v>46322</v>
          </cell>
          <cell r="F4172" t="str">
            <v>30061</v>
          </cell>
          <cell r="G4172" t="str">
            <v>晶豪科一</v>
          </cell>
          <cell r="H4172">
            <v>500000</v>
          </cell>
          <cell r="I4172">
            <v>3.75</v>
          </cell>
          <cell r="J4172">
            <v>46322</v>
          </cell>
          <cell r="K4172">
            <v>100</v>
          </cell>
          <cell r="L4172">
            <v>46302</v>
          </cell>
          <cell r="M4172">
            <v>-9298</v>
          </cell>
          <cell r="N4172">
            <v>490702</v>
          </cell>
        </row>
        <row r="4173">
          <cell r="A4173">
            <v>26417</v>
          </cell>
          <cell r="B4173">
            <v>4167</v>
          </cell>
          <cell r="C4173" t="str">
            <v>IASWD2411000290</v>
          </cell>
          <cell r="D4173">
            <v>45611</v>
          </cell>
          <cell r="E4173">
            <v>46594</v>
          </cell>
          <cell r="F4173" t="str">
            <v>26417</v>
          </cell>
          <cell r="G4173" t="str">
            <v>正德七</v>
          </cell>
          <cell r="H4173">
            <v>1200000</v>
          </cell>
          <cell r="I4173">
            <v>4</v>
          </cell>
          <cell r="J4173">
            <v>46594</v>
          </cell>
          <cell r="K4173">
            <v>100</v>
          </cell>
          <cell r="L4173">
            <v>46574</v>
          </cell>
          <cell r="M4173">
            <v>-23803</v>
          </cell>
          <cell r="N4173">
            <v>1176197</v>
          </cell>
        </row>
        <row r="4174">
          <cell r="A4174">
            <v>67531</v>
          </cell>
          <cell r="B4174">
            <v>4168</v>
          </cell>
          <cell r="C4174" t="str">
            <v>IASWD2411000292</v>
          </cell>
          <cell r="D4174">
            <v>45611</v>
          </cell>
          <cell r="E4174">
            <v>46563</v>
          </cell>
          <cell r="F4174" t="str">
            <v>67531</v>
          </cell>
          <cell r="G4174" t="str">
            <v>龍德造船一</v>
          </cell>
          <cell r="H4174">
            <v>1000000</v>
          </cell>
          <cell r="I4174">
            <v>3.35</v>
          </cell>
          <cell r="J4174">
            <v>46563</v>
          </cell>
          <cell r="K4174">
            <v>100</v>
          </cell>
          <cell r="L4174">
            <v>46545</v>
          </cell>
          <cell r="M4174">
            <v>-16612</v>
          </cell>
          <cell r="N4174">
            <v>983388</v>
          </cell>
        </row>
        <row r="4175">
          <cell r="A4175">
            <v>50097</v>
          </cell>
          <cell r="B4175">
            <v>4169</v>
          </cell>
          <cell r="C4175" t="str">
            <v>IASWD2411000294</v>
          </cell>
          <cell r="D4175">
            <v>45611</v>
          </cell>
          <cell r="E4175">
            <v>46234</v>
          </cell>
          <cell r="F4175" t="str">
            <v>50097</v>
          </cell>
          <cell r="G4175" t="str">
            <v>榮剛七</v>
          </cell>
          <cell r="H4175">
            <v>400000</v>
          </cell>
          <cell r="I4175">
            <v>4.0999999999999996</v>
          </cell>
          <cell r="J4175">
            <v>46234</v>
          </cell>
          <cell r="K4175">
            <v>101.51</v>
          </cell>
          <cell r="L4175">
            <v>46216</v>
          </cell>
          <cell r="M4175">
            <v>-8133</v>
          </cell>
          <cell r="N4175">
            <v>391867</v>
          </cell>
        </row>
        <row r="4176">
          <cell r="A4176">
            <v>22013</v>
          </cell>
          <cell r="B4176">
            <v>4170</v>
          </cell>
          <cell r="C4176" t="str">
            <v>IASWD2411000295</v>
          </cell>
          <cell r="D4176">
            <v>45611</v>
          </cell>
          <cell r="E4176">
            <v>46167</v>
          </cell>
          <cell r="F4176" t="str">
            <v>22013</v>
          </cell>
          <cell r="G4176" t="str">
            <v>裕隆三</v>
          </cell>
          <cell r="H4176">
            <v>500000</v>
          </cell>
          <cell r="I4176">
            <v>3.25</v>
          </cell>
          <cell r="J4176">
            <v>46167</v>
          </cell>
          <cell r="K4176">
            <v>100.75190000000001</v>
          </cell>
          <cell r="L4176">
            <v>46147</v>
          </cell>
          <cell r="M4176">
            <v>-8058</v>
          </cell>
          <cell r="N4176">
            <v>491942</v>
          </cell>
        </row>
        <row r="4177">
          <cell r="A4177">
            <v>67531</v>
          </cell>
          <cell r="B4177">
            <v>4171</v>
          </cell>
          <cell r="C4177" t="str">
            <v>IASWD2411000296</v>
          </cell>
          <cell r="D4177">
            <v>45611</v>
          </cell>
          <cell r="E4177">
            <v>46563</v>
          </cell>
          <cell r="F4177" t="str">
            <v>67531</v>
          </cell>
          <cell r="G4177" t="str">
            <v>龍德造船一</v>
          </cell>
          <cell r="H4177">
            <v>500000</v>
          </cell>
          <cell r="I4177">
            <v>3.35</v>
          </cell>
          <cell r="J4177">
            <v>46563</v>
          </cell>
          <cell r="K4177">
            <v>100</v>
          </cell>
          <cell r="L4177">
            <v>46545</v>
          </cell>
          <cell r="M4177">
            <v>-8306</v>
          </cell>
          <cell r="N4177">
            <v>491694</v>
          </cell>
        </row>
        <row r="4178">
          <cell r="A4178">
            <v>64145</v>
          </cell>
          <cell r="B4178">
            <v>4172</v>
          </cell>
          <cell r="C4178" t="str">
            <v>IASWD2411000299</v>
          </cell>
          <cell r="D4178">
            <v>45611</v>
          </cell>
          <cell r="E4178">
            <v>46250</v>
          </cell>
          <cell r="F4178" t="str">
            <v>64145</v>
          </cell>
          <cell r="G4178" t="str">
            <v>樺漢五</v>
          </cell>
          <cell r="H4178">
            <v>1200000</v>
          </cell>
          <cell r="I4178">
            <v>3</v>
          </cell>
          <cell r="J4178">
            <v>46250</v>
          </cell>
          <cell r="K4178">
            <v>100</v>
          </cell>
          <cell r="L4178">
            <v>46231</v>
          </cell>
          <cell r="M4178">
            <v>-17852</v>
          </cell>
          <cell r="N4178">
            <v>1182148</v>
          </cell>
        </row>
        <row r="4179">
          <cell r="A4179">
            <v>33121</v>
          </cell>
          <cell r="B4179">
            <v>4173</v>
          </cell>
          <cell r="C4179" t="str">
            <v>IASWD2411000302</v>
          </cell>
          <cell r="D4179">
            <v>45611</v>
          </cell>
          <cell r="E4179">
            <v>46563</v>
          </cell>
          <cell r="F4179" t="str">
            <v>33121</v>
          </cell>
          <cell r="G4179" t="str">
            <v>弘憶股一</v>
          </cell>
          <cell r="H4179">
            <v>100000</v>
          </cell>
          <cell r="I4179">
            <v>3.35</v>
          </cell>
          <cell r="J4179">
            <v>46563</v>
          </cell>
          <cell r="K4179">
            <v>100</v>
          </cell>
          <cell r="L4179">
            <v>46545</v>
          </cell>
          <cell r="M4179">
            <v>-1661</v>
          </cell>
          <cell r="N4179">
            <v>98339</v>
          </cell>
        </row>
        <row r="4180">
          <cell r="A4180">
            <v>22013</v>
          </cell>
          <cell r="B4180">
            <v>4174</v>
          </cell>
          <cell r="C4180" t="str">
            <v>IASWD2411000306</v>
          </cell>
          <cell r="D4180">
            <v>45611</v>
          </cell>
          <cell r="E4180">
            <v>46167</v>
          </cell>
          <cell r="F4180" t="str">
            <v>22013</v>
          </cell>
          <cell r="G4180" t="str">
            <v>裕隆三</v>
          </cell>
          <cell r="H4180">
            <v>100000</v>
          </cell>
          <cell r="I4180">
            <v>3.25</v>
          </cell>
          <cell r="J4180">
            <v>46167</v>
          </cell>
          <cell r="K4180">
            <v>100.75190000000001</v>
          </cell>
          <cell r="L4180">
            <v>46147</v>
          </cell>
          <cell r="M4180">
            <v>-1612</v>
          </cell>
          <cell r="N4180">
            <v>98388</v>
          </cell>
        </row>
        <row r="4181">
          <cell r="A4181">
            <v>67531</v>
          </cell>
          <cell r="B4181">
            <v>4175</v>
          </cell>
          <cell r="C4181" t="str">
            <v>IASWD2411000307</v>
          </cell>
          <cell r="D4181">
            <v>45614</v>
          </cell>
          <cell r="E4181">
            <v>46563</v>
          </cell>
          <cell r="F4181" t="str">
            <v>67531</v>
          </cell>
          <cell r="G4181" t="str">
            <v>龍德造船一</v>
          </cell>
          <cell r="H4181">
            <v>100000</v>
          </cell>
          <cell r="I4181">
            <v>3.35</v>
          </cell>
          <cell r="J4181">
            <v>46563</v>
          </cell>
          <cell r="K4181">
            <v>100</v>
          </cell>
          <cell r="L4181">
            <v>46545</v>
          </cell>
          <cell r="M4181">
            <v>-1634</v>
          </cell>
          <cell r="N4181">
            <v>98366</v>
          </cell>
        </row>
        <row r="4182">
          <cell r="A4182">
            <v>82992</v>
          </cell>
          <cell r="B4182">
            <v>4176</v>
          </cell>
          <cell r="C4182" t="str">
            <v>IASWD2411000308</v>
          </cell>
          <cell r="D4182">
            <v>45614</v>
          </cell>
          <cell r="E4182">
            <v>46410</v>
          </cell>
          <cell r="F4182" t="str">
            <v>82992</v>
          </cell>
          <cell r="G4182" t="str">
            <v>群聯二</v>
          </cell>
          <cell r="H4182">
            <v>600000</v>
          </cell>
          <cell r="I4182">
            <v>2.6</v>
          </cell>
          <cell r="J4182">
            <v>46410</v>
          </cell>
          <cell r="K4182">
            <v>100</v>
          </cell>
          <cell r="L4182">
            <v>46392</v>
          </cell>
          <cell r="M4182">
            <v>-7608</v>
          </cell>
          <cell r="N4182">
            <v>592392</v>
          </cell>
        </row>
        <row r="4183">
          <cell r="A4183">
            <v>45721</v>
          </cell>
          <cell r="B4183">
            <v>4177</v>
          </cell>
          <cell r="C4183" t="str">
            <v>IASWD2411000310</v>
          </cell>
          <cell r="D4183">
            <v>45614</v>
          </cell>
          <cell r="E4183">
            <v>46219</v>
          </cell>
          <cell r="F4183" t="str">
            <v>45721</v>
          </cell>
          <cell r="G4183" t="str">
            <v>駐龍一</v>
          </cell>
          <cell r="H4183">
            <v>1700000</v>
          </cell>
          <cell r="I4183">
            <v>3.5</v>
          </cell>
          <cell r="J4183">
            <v>46219</v>
          </cell>
          <cell r="K4183">
            <v>100</v>
          </cell>
          <cell r="L4183">
            <v>46199</v>
          </cell>
          <cell r="M4183">
            <v>-29016</v>
          </cell>
          <cell r="N4183">
            <v>1670984</v>
          </cell>
        </row>
        <row r="4184">
          <cell r="A4184">
            <v>82992</v>
          </cell>
          <cell r="B4184">
            <v>4178</v>
          </cell>
          <cell r="C4184" t="str">
            <v>IASWD2411000311</v>
          </cell>
          <cell r="D4184">
            <v>45614</v>
          </cell>
          <cell r="E4184">
            <v>46410</v>
          </cell>
          <cell r="F4184" t="str">
            <v>82992</v>
          </cell>
          <cell r="G4184" t="str">
            <v>群聯二</v>
          </cell>
          <cell r="H4184">
            <v>500000</v>
          </cell>
          <cell r="I4184">
            <v>2.6</v>
          </cell>
          <cell r="J4184">
            <v>46410</v>
          </cell>
          <cell r="K4184">
            <v>100</v>
          </cell>
          <cell r="L4184">
            <v>46392</v>
          </cell>
          <cell r="M4184">
            <v>-6340</v>
          </cell>
          <cell r="N4184">
            <v>493660</v>
          </cell>
        </row>
        <row r="4185">
          <cell r="A4185">
            <v>67531</v>
          </cell>
          <cell r="B4185">
            <v>4179</v>
          </cell>
          <cell r="C4185" t="str">
            <v>IASWD2411000312</v>
          </cell>
          <cell r="D4185">
            <v>45614</v>
          </cell>
          <cell r="E4185">
            <v>46563</v>
          </cell>
          <cell r="F4185" t="str">
            <v>67531</v>
          </cell>
          <cell r="G4185" t="str">
            <v>龍德造船一</v>
          </cell>
          <cell r="H4185">
            <v>3000000</v>
          </cell>
          <cell r="I4185">
            <v>3.35</v>
          </cell>
          <cell r="J4185">
            <v>46563</v>
          </cell>
          <cell r="K4185">
            <v>100</v>
          </cell>
          <cell r="L4185">
            <v>46545</v>
          </cell>
          <cell r="M4185">
            <v>-49011</v>
          </cell>
          <cell r="N4185">
            <v>2950989</v>
          </cell>
        </row>
        <row r="4186">
          <cell r="A4186">
            <v>35832</v>
          </cell>
          <cell r="B4186">
            <v>4180</v>
          </cell>
          <cell r="C4186" t="str">
            <v>IASWD2411000313</v>
          </cell>
          <cell r="D4186">
            <v>45614</v>
          </cell>
          <cell r="E4186">
            <v>46192</v>
          </cell>
          <cell r="F4186" t="str">
            <v>35832</v>
          </cell>
          <cell r="G4186" t="str">
            <v>辛耘二</v>
          </cell>
          <cell r="H4186">
            <v>100000</v>
          </cell>
          <cell r="I4186">
            <v>3</v>
          </cell>
          <cell r="J4186">
            <v>46192</v>
          </cell>
          <cell r="K4186">
            <v>100</v>
          </cell>
          <cell r="L4186">
            <v>46174</v>
          </cell>
          <cell r="M4186">
            <v>-1463</v>
          </cell>
          <cell r="N4186">
            <v>98537</v>
          </cell>
        </row>
        <row r="4187">
          <cell r="A4187">
            <v>67531</v>
          </cell>
          <cell r="B4187">
            <v>4181</v>
          </cell>
          <cell r="C4187" t="str">
            <v>IASWD2411000316</v>
          </cell>
          <cell r="D4187">
            <v>45614</v>
          </cell>
          <cell r="E4187">
            <v>46563</v>
          </cell>
          <cell r="F4187" t="str">
            <v>67531</v>
          </cell>
          <cell r="G4187" t="str">
            <v>龍德造船一</v>
          </cell>
          <cell r="H4187">
            <v>500000</v>
          </cell>
          <cell r="I4187">
            <v>3.35</v>
          </cell>
          <cell r="J4187">
            <v>46563</v>
          </cell>
          <cell r="K4187">
            <v>100</v>
          </cell>
          <cell r="L4187">
            <v>46545</v>
          </cell>
          <cell r="M4187">
            <v>-8168</v>
          </cell>
          <cell r="N4187">
            <v>491832</v>
          </cell>
        </row>
        <row r="4188">
          <cell r="A4188">
            <v>50097</v>
          </cell>
          <cell r="B4188">
            <v>4182</v>
          </cell>
          <cell r="C4188" t="str">
            <v>IASWD2411000317</v>
          </cell>
          <cell r="D4188">
            <v>45614</v>
          </cell>
          <cell r="E4188">
            <v>46234</v>
          </cell>
          <cell r="F4188" t="str">
            <v>50097</v>
          </cell>
          <cell r="G4188" t="str">
            <v>榮剛七</v>
          </cell>
          <cell r="H4188">
            <v>200000</v>
          </cell>
          <cell r="I4188">
            <v>4.0999999999999996</v>
          </cell>
          <cell r="J4188">
            <v>46234</v>
          </cell>
          <cell r="K4188">
            <v>101.51</v>
          </cell>
          <cell r="L4188">
            <v>46216</v>
          </cell>
          <cell r="M4188">
            <v>-3999</v>
          </cell>
          <cell r="N4188">
            <v>196001</v>
          </cell>
        </row>
        <row r="4189">
          <cell r="A4189">
            <v>61843</v>
          </cell>
          <cell r="B4189">
            <v>4183</v>
          </cell>
          <cell r="C4189" t="str">
            <v>IASWD2411000318</v>
          </cell>
          <cell r="D4189">
            <v>45614</v>
          </cell>
          <cell r="E4189">
            <v>46452</v>
          </cell>
          <cell r="F4189" t="str">
            <v>61843</v>
          </cell>
          <cell r="G4189" t="str">
            <v>大豐電三</v>
          </cell>
          <cell r="H4189">
            <v>200000</v>
          </cell>
          <cell r="I4189">
            <v>3.75</v>
          </cell>
          <cell r="J4189">
            <v>46452</v>
          </cell>
          <cell r="K4189">
            <v>101.50749999999999</v>
          </cell>
          <cell r="L4189">
            <v>46434</v>
          </cell>
          <cell r="M4189">
            <v>-3658</v>
          </cell>
          <cell r="N4189">
            <v>196342</v>
          </cell>
        </row>
        <row r="4190">
          <cell r="A4190">
            <v>61843</v>
          </cell>
          <cell r="B4190">
            <v>4184</v>
          </cell>
          <cell r="C4190" t="str">
            <v>IASWD2411000319</v>
          </cell>
          <cell r="D4190">
            <v>45614</v>
          </cell>
          <cell r="E4190">
            <v>46452</v>
          </cell>
          <cell r="F4190" t="str">
            <v>61843</v>
          </cell>
          <cell r="G4190" t="str">
            <v>大豐電三</v>
          </cell>
          <cell r="H4190">
            <v>100000</v>
          </cell>
          <cell r="I4190">
            <v>3.75</v>
          </cell>
          <cell r="J4190">
            <v>46452</v>
          </cell>
          <cell r="K4190">
            <v>101.50749999999999</v>
          </cell>
          <cell r="L4190">
            <v>46434</v>
          </cell>
          <cell r="M4190">
            <v>-1829</v>
          </cell>
          <cell r="N4190">
            <v>98171</v>
          </cell>
        </row>
        <row r="4191">
          <cell r="A4191">
            <v>50097</v>
          </cell>
          <cell r="B4191">
            <v>4185</v>
          </cell>
          <cell r="C4191" t="str">
            <v>IASWD2411000320</v>
          </cell>
          <cell r="D4191">
            <v>45614</v>
          </cell>
          <cell r="E4191">
            <v>46234</v>
          </cell>
          <cell r="F4191" t="str">
            <v>50097</v>
          </cell>
          <cell r="G4191" t="str">
            <v>榮剛七</v>
          </cell>
          <cell r="H4191">
            <v>200000</v>
          </cell>
          <cell r="I4191">
            <v>4.0999999999999996</v>
          </cell>
          <cell r="J4191">
            <v>46234</v>
          </cell>
          <cell r="K4191">
            <v>101.51</v>
          </cell>
          <cell r="L4191">
            <v>46216</v>
          </cell>
          <cell r="M4191">
            <v>-3999</v>
          </cell>
          <cell r="N4191">
            <v>196001</v>
          </cell>
        </row>
        <row r="4192">
          <cell r="A4192">
            <v>82992</v>
          </cell>
          <cell r="B4192">
            <v>4186</v>
          </cell>
          <cell r="C4192" t="str">
            <v>IASWD2411000323</v>
          </cell>
          <cell r="D4192">
            <v>45614</v>
          </cell>
          <cell r="E4192">
            <v>46410</v>
          </cell>
          <cell r="F4192" t="str">
            <v>82992</v>
          </cell>
          <cell r="G4192" t="str">
            <v>群聯二</v>
          </cell>
          <cell r="H4192">
            <v>1000000</v>
          </cell>
          <cell r="I4192">
            <v>2.6</v>
          </cell>
          <cell r="J4192">
            <v>46410</v>
          </cell>
          <cell r="K4192">
            <v>100</v>
          </cell>
          <cell r="L4192">
            <v>46392</v>
          </cell>
          <cell r="M4192">
            <v>-12679</v>
          </cell>
          <cell r="N4192">
            <v>987321</v>
          </cell>
        </row>
        <row r="4193">
          <cell r="A4193">
            <v>35832</v>
          </cell>
          <cell r="B4193">
            <v>4187</v>
          </cell>
          <cell r="C4193" t="str">
            <v>IASWD2411000324</v>
          </cell>
          <cell r="D4193">
            <v>45614</v>
          </cell>
          <cell r="E4193">
            <v>46192</v>
          </cell>
          <cell r="F4193" t="str">
            <v>35832</v>
          </cell>
          <cell r="G4193" t="str">
            <v>辛耘二</v>
          </cell>
          <cell r="H4193">
            <v>100000</v>
          </cell>
          <cell r="I4193">
            <v>3</v>
          </cell>
          <cell r="J4193">
            <v>46192</v>
          </cell>
          <cell r="K4193">
            <v>100</v>
          </cell>
          <cell r="L4193">
            <v>46174</v>
          </cell>
          <cell r="M4193">
            <v>-1463</v>
          </cell>
          <cell r="N4193">
            <v>98537</v>
          </cell>
        </row>
        <row r="4194">
          <cell r="A4194">
            <v>22283</v>
          </cell>
          <cell r="B4194">
            <v>4188</v>
          </cell>
          <cell r="C4194" t="str">
            <v>IASWD2411000325</v>
          </cell>
          <cell r="D4194">
            <v>45614</v>
          </cell>
          <cell r="E4194">
            <v>46628</v>
          </cell>
          <cell r="F4194" t="str">
            <v>22283</v>
          </cell>
          <cell r="G4194" t="str">
            <v>劍麟三</v>
          </cell>
          <cell r="H4194">
            <v>500000</v>
          </cell>
          <cell r="I4194">
            <v>3</v>
          </cell>
          <cell r="J4194">
            <v>46628</v>
          </cell>
          <cell r="K4194">
            <v>100</v>
          </cell>
          <cell r="L4194">
            <v>46609</v>
          </cell>
          <cell r="M4194">
            <v>-7315</v>
          </cell>
          <cell r="N4194">
            <v>492685</v>
          </cell>
        </row>
        <row r="4195">
          <cell r="A4195">
            <v>31413</v>
          </cell>
          <cell r="B4195">
            <v>4189</v>
          </cell>
          <cell r="C4195" t="str">
            <v>IASWD2411000326</v>
          </cell>
          <cell r="D4195">
            <v>45614</v>
          </cell>
          <cell r="E4195">
            <v>46162</v>
          </cell>
          <cell r="F4195" t="str">
            <v>31413</v>
          </cell>
          <cell r="G4195" t="str">
            <v>晶宏三</v>
          </cell>
          <cell r="H4195">
            <v>100000</v>
          </cell>
          <cell r="I4195">
            <v>4</v>
          </cell>
          <cell r="J4195">
            <v>46162</v>
          </cell>
          <cell r="K4195">
            <v>100</v>
          </cell>
          <cell r="L4195">
            <v>46142</v>
          </cell>
          <cell r="M4195">
            <v>-1951</v>
          </cell>
          <cell r="N4195">
            <v>98049</v>
          </cell>
        </row>
        <row r="4196">
          <cell r="A4196">
            <v>34163</v>
          </cell>
          <cell r="B4196">
            <v>4190</v>
          </cell>
          <cell r="C4196" t="str">
            <v>IASWD2411000327</v>
          </cell>
          <cell r="D4196">
            <v>45614</v>
          </cell>
          <cell r="E4196">
            <v>46047</v>
          </cell>
          <cell r="F4196" t="str">
            <v>34163</v>
          </cell>
          <cell r="G4196" t="str">
            <v>融程電三</v>
          </cell>
          <cell r="H4196">
            <v>200000</v>
          </cell>
          <cell r="I4196">
            <v>3</v>
          </cell>
          <cell r="J4196">
            <v>46047</v>
          </cell>
          <cell r="K4196">
            <v>100.5</v>
          </cell>
          <cell r="L4196">
            <v>46028</v>
          </cell>
          <cell r="M4196">
            <v>-2926</v>
          </cell>
          <cell r="N4196">
            <v>197074</v>
          </cell>
        </row>
        <row r="4197">
          <cell r="A4197">
            <v>35831</v>
          </cell>
          <cell r="B4197">
            <v>4191</v>
          </cell>
          <cell r="C4197" t="str">
            <v>IASWD2411000328</v>
          </cell>
          <cell r="D4197">
            <v>45614</v>
          </cell>
          <cell r="E4197">
            <v>46180</v>
          </cell>
          <cell r="F4197" t="str">
            <v>35831</v>
          </cell>
          <cell r="G4197" t="str">
            <v>辛耘一</v>
          </cell>
          <cell r="H4197">
            <v>300000</v>
          </cell>
          <cell r="I4197">
            <v>3</v>
          </cell>
          <cell r="J4197">
            <v>46180</v>
          </cell>
          <cell r="K4197">
            <v>100</v>
          </cell>
          <cell r="L4197">
            <v>46161</v>
          </cell>
          <cell r="M4197">
            <v>-4389</v>
          </cell>
          <cell r="N4197">
            <v>295611</v>
          </cell>
        </row>
        <row r="4198">
          <cell r="A4198">
            <v>35832</v>
          </cell>
          <cell r="B4198">
            <v>4192</v>
          </cell>
          <cell r="C4198" t="str">
            <v>IASWD2411000329</v>
          </cell>
          <cell r="D4198">
            <v>45614</v>
          </cell>
          <cell r="E4198">
            <v>46192</v>
          </cell>
          <cell r="F4198" t="str">
            <v>35832</v>
          </cell>
          <cell r="G4198" t="str">
            <v>辛耘二</v>
          </cell>
          <cell r="H4198">
            <v>100000</v>
          </cell>
          <cell r="I4198">
            <v>3</v>
          </cell>
          <cell r="J4198">
            <v>46192</v>
          </cell>
          <cell r="K4198">
            <v>100</v>
          </cell>
          <cell r="L4198">
            <v>46174</v>
          </cell>
          <cell r="M4198">
            <v>-1463</v>
          </cell>
          <cell r="N4198">
            <v>98537</v>
          </cell>
        </row>
        <row r="4199">
          <cell r="A4199">
            <v>64145</v>
          </cell>
          <cell r="B4199">
            <v>4193</v>
          </cell>
          <cell r="C4199" t="str">
            <v>IASWD2411000330</v>
          </cell>
          <cell r="D4199">
            <v>45614</v>
          </cell>
          <cell r="E4199">
            <v>46250</v>
          </cell>
          <cell r="F4199" t="str">
            <v>64145</v>
          </cell>
          <cell r="G4199" t="str">
            <v>樺漢五</v>
          </cell>
          <cell r="H4199">
            <v>100000</v>
          </cell>
          <cell r="I4199">
            <v>3</v>
          </cell>
          <cell r="J4199">
            <v>46250</v>
          </cell>
          <cell r="K4199">
            <v>100</v>
          </cell>
          <cell r="L4199">
            <v>46231</v>
          </cell>
          <cell r="M4199">
            <v>-1463</v>
          </cell>
          <cell r="N4199">
            <v>98537</v>
          </cell>
        </row>
        <row r="4200">
          <cell r="A4200">
            <v>35266</v>
          </cell>
          <cell r="B4200">
            <v>4194</v>
          </cell>
          <cell r="C4200" t="str">
            <v>IASWD2411000331</v>
          </cell>
          <cell r="D4200">
            <v>45614</v>
          </cell>
          <cell r="E4200">
            <v>46416</v>
          </cell>
          <cell r="F4200" t="str">
            <v>35266</v>
          </cell>
          <cell r="G4200" t="str">
            <v>凡甲六</v>
          </cell>
          <cell r="H4200">
            <v>300000</v>
          </cell>
          <cell r="I4200">
            <v>3.25</v>
          </cell>
          <cell r="J4200">
            <v>46416</v>
          </cell>
          <cell r="K4200">
            <v>100</v>
          </cell>
          <cell r="L4200">
            <v>46398</v>
          </cell>
          <cell r="M4200">
            <v>-4755</v>
          </cell>
          <cell r="N4200">
            <v>295245</v>
          </cell>
        </row>
        <row r="4201">
          <cell r="A4201">
            <v>61973</v>
          </cell>
          <cell r="B4201">
            <v>4195</v>
          </cell>
          <cell r="C4201" t="str">
            <v>IASWD2411000332</v>
          </cell>
          <cell r="D4201">
            <v>45614</v>
          </cell>
          <cell r="E4201">
            <v>46675</v>
          </cell>
          <cell r="F4201" t="str">
            <v>61973</v>
          </cell>
          <cell r="G4201" t="str">
            <v>佳必琪三</v>
          </cell>
          <cell r="H4201">
            <v>100000</v>
          </cell>
          <cell r="I4201">
            <v>3</v>
          </cell>
          <cell r="J4201">
            <v>46675</v>
          </cell>
          <cell r="K4201">
            <v>100</v>
          </cell>
          <cell r="L4201">
            <v>46657</v>
          </cell>
          <cell r="M4201">
            <v>-1463</v>
          </cell>
          <cell r="N4201">
            <v>98537</v>
          </cell>
        </row>
        <row r="4202">
          <cell r="A4202">
            <v>64145</v>
          </cell>
          <cell r="B4202">
            <v>4196</v>
          </cell>
          <cell r="C4202" t="str">
            <v>IASWD2411000333</v>
          </cell>
          <cell r="D4202">
            <v>45615</v>
          </cell>
          <cell r="E4202">
            <v>46250</v>
          </cell>
          <cell r="F4202" t="str">
            <v>64145</v>
          </cell>
          <cell r="G4202" t="str">
            <v>樺漢五</v>
          </cell>
          <cell r="H4202">
            <v>100000</v>
          </cell>
          <cell r="I4202">
            <v>3</v>
          </cell>
          <cell r="J4202">
            <v>46250</v>
          </cell>
          <cell r="K4202">
            <v>100</v>
          </cell>
          <cell r="L4202">
            <v>46231</v>
          </cell>
          <cell r="M4202">
            <v>-1455</v>
          </cell>
          <cell r="N4202">
            <v>98545</v>
          </cell>
        </row>
        <row r="4203">
          <cell r="A4203">
            <v>50097</v>
          </cell>
          <cell r="B4203">
            <v>4197</v>
          </cell>
          <cell r="C4203" t="str">
            <v>IASWD2411000335</v>
          </cell>
          <cell r="D4203">
            <v>45615</v>
          </cell>
          <cell r="E4203">
            <v>46234</v>
          </cell>
          <cell r="F4203" t="str">
            <v>50097</v>
          </cell>
          <cell r="G4203" t="str">
            <v>榮剛七</v>
          </cell>
          <cell r="H4203">
            <v>300000</v>
          </cell>
          <cell r="I4203">
            <v>4.0999999999999996</v>
          </cell>
          <cell r="J4203">
            <v>46234</v>
          </cell>
          <cell r="K4203">
            <v>101.51</v>
          </cell>
          <cell r="L4203">
            <v>46216</v>
          </cell>
          <cell r="M4203">
            <v>-5965</v>
          </cell>
          <cell r="N4203">
            <v>294035</v>
          </cell>
        </row>
        <row r="4204">
          <cell r="A4204">
            <v>64145</v>
          </cell>
          <cell r="B4204">
            <v>4198</v>
          </cell>
          <cell r="C4204" t="str">
            <v>IASWD2411000338</v>
          </cell>
          <cell r="D4204">
            <v>45615</v>
          </cell>
          <cell r="E4204">
            <v>46250</v>
          </cell>
          <cell r="F4204" t="str">
            <v>64145</v>
          </cell>
          <cell r="G4204" t="str">
            <v>樺漢五</v>
          </cell>
          <cell r="H4204">
            <v>100000</v>
          </cell>
          <cell r="I4204">
            <v>3</v>
          </cell>
          <cell r="J4204">
            <v>46250</v>
          </cell>
          <cell r="K4204">
            <v>100</v>
          </cell>
          <cell r="L4204">
            <v>46231</v>
          </cell>
          <cell r="M4204">
            <v>-1455</v>
          </cell>
          <cell r="N4204">
            <v>98545</v>
          </cell>
        </row>
        <row r="4205">
          <cell r="A4205">
            <v>61875</v>
          </cell>
          <cell r="B4205">
            <v>4199</v>
          </cell>
          <cell r="C4205" t="str">
            <v>IASWD2411000339</v>
          </cell>
          <cell r="D4205">
            <v>45615</v>
          </cell>
          <cell r="E4205">
            <v>46578</v>
          </cell>
          <cell r="F4205" t="str">
            <v>61875</v>
          </cell>
          <cell r="G4205" t="str">
            <v>萬潤五</v>
          </cell>
          <cell r="H4205">
            <v>100000</v>
          </cell>
          <cell r="I4205">
            <v>3</v>
          </cell>
          <cell r="J4205">
            <v>46578</v>
          </cell>
          <cell r="K4205">
            <v>100</v>
          </cell>
          <cell r="L4205">
            <v>46560</v>
          </cell>
          <cell r="M4205">
            <v>-1455</v>
          </cell>
          <cell r="N4205">
            <v>98545</v>
          </cell>
        </row>
        <row r="4206">
          <cell r="A4206">
            <v>27323</v>
          </cell>
          <cell r="B4206">
            <v>4200</v>
          </cell>
          <cell r="C4206" t="str">
            <v>IASWD2411000340</v>
          </cell>
          <cell r="D4206">
            <v>45615</v>
          </cell>
          <cell r="E4206">
            <v>46048</v>
          </cell>
          <cell r="F4206" t="str">
            <v>27323</v>
          </cell>
          <cell r="G4206" t="str">
            <v>六角三</v>
          </cell>
          <cell r="H4206">
            <v>100000</v>
          </cell>
          <cell r="I4206">
            <v>3</v>
          </cell>
          <cell r="J4206">
            <v>46048</v>
          </cell>
          <cell r="K4206">
            <v>101</v>
          </cell>
          <cell r="L4206">
            <v>46028</v>
          </cell>
          <cell r="M4206">
            <v>-1455</v>
          </cell>
          <cell r="N4206">
            <v>98545</v>
          </cell>
        </row>
        <row r="4207">
          <cell r="A4207">
            <v>65096</v>
          </cell>
          <cell r="B4207">
            <v>4201</v>
          </cell>
          <cell r="C4207" t="str">
            <v>IASWD2411000341</v>
          </cell>
          <cell r="D4207">
            <v>45615</v>
          </cell>
          <cell r="E4207">
            <v>46206</v>
          </cell>
          <cell r="F4207" t="str">
            <v>65096</v>
          </cell>
          <cell r="G4207" t="str">
            <v>聚和六</v>
          </cell>
          <cell r="H4207">
            <v>100000</v>
          </cell>
          <cell r="I4207">
            <v>3</v>
          </cell>
          <cell r="J4207">
            <v>46206</v>
          </cell>
          <cell r="K4207">
            <v>100</v>
          </cell>
          <cell r="L4207">
            <v>46188</v>
          </cell>
          <cell r="M4207">
            <v>-1455</v>
          </cell>
          <cell r="N4207">
            <v>98545</v>
          </cell>
        </row>
        <row r="4208">
          <cell r="A4208">
            <v>67531</v>
          </cell>
          <cell r="B4208">
            <v>4202</v>
          </cell>
          <cell r="C4208" t="str">
            <v>IASWD2411000343</v>
          </cell>
          <cell r="D4208">
            <v>45615</v>
          </cell>
          <cell r="E4208">
            <v>46563</v>
          </cell>
          <cell r="F4208" t="str">
            <v>67531</v>
          </cell>
          <cell r="G4208" t="str">
            <v>龍德造船一</v>
          </cell>
          <cell r="H4208">
            <v>5000000</v>
          </cell>
          <cell r="I4208">
            <v>3.35</v>
          </cell>
          <cell r="J4208">
            <v>46563</v>
          </cell>
          <cell r="K4208">
            <v>100</v>
          </cell>
          <cell r="L4208">
            <v>46545</v>
          </cell>
          <cell r="M4208">
            <v>-81226</v>
          </cell>
          <cell r="N4208">
            <v>4918774</v>
          </cell>
        </row>
        <row r="4209">
          <cell r="A4209">
            <v>61843</v>
          </cell>
          <cell r="B4209">
            <v>4203</v>
          </cell>
          <cell r="C4209" t="str">
            <v>IASWD2411000345</v>
          </cell>
          <cell r="D4209">
            <v>45615</v>
          </cell>
          <cell r="E4209">
            <v>46452</v>
          </cell>
          <cell r="F4209" t="str">
            <v>61843</v>
          </cell>
          <cell r="G4209" t="str">
            <v>大豐電三</v>
          </cell>
          <cell r="H4209">
            <v>100000</v>
          </cell>
          <cell r="I4209">
            <v>3.75</v>
          </cell>
          <cell r="J4209">
            <v>46452</v>
          </cell>
          <cell r="K4209">
            <v>101.50749999999999</v>
          </cell>
          <cell r="L4209">
            <v>46434</v>
          </cell>
          <cell r="M4209">
            <v>-1818</v>
          </cell>
          <cell r="N4209">
            <v>98182</v>
          </cell>
        </row>
        <row r="4210">
          <cell r="A4210">
            <v>68631</v>
          </cell>
          <cell r="B4210">
            <v>4204</v>
          </cell>
          <cell r="C4210" t="str">
            <v>IASWD2411000346</v>
          </cell>
          <cell r="D4210">
            <v>45615</v>
          </cell>
          <cell r="E4210">
            <v>46675</v>
          </cell>
          <cell r="F4210" t="str">
            <v>68631</v>
          </cell>
          <cell r="G4210" t="str">
            <v>永道一KY</v>
          </cell>
          <cell r="H4210">
            <v>300000</v>
          </cell>
          <cell r="I4210">
            <v>4</v>
          </cell>
          <cell r="J4210">
            <v>46675</v>
          </cell>
          <cell r="K4210">
            <v>100</v>
          </cell>
          <cell r="L4210">
            <v>46657</v>
          </cell>
          <cell r="M4210">
            <v>-5819</v>
          </cell>
          <cell r="N4210">
            <v>294181</v>
          </cell>
        </row>
        <row r="4211">
          <cell r="A4211">
            <v>35266</v>
          </cell>
          <cell r="B4211">
            <v>4205</v>
          </cell>
          <cell r="C4211" t="str">
            <v>IASWD2411000347</v>
          </cell>
          <cell r="D4211">
            <v>45615</v>
          </cell>
          <cell r="E4211">
            <v>46416</v>
          </cell>
          <cell r="F4211" t="str">
            <v>35266</v>
          </cell>
          <cell r="G4211" t="str">
            <v>凡甲六</v>
          </cell>
          <cell r="H4211">
            <v>100000</v>
          </cell>
          <cell r="I4211">
            <v>3.25</v>
          </cell>
          <cell r="J4211">
            <v>46416</v>
          </cell>
          <cell r="K4211">
            <v>100</v>
          </cell>
          <cell r="L4211">
            <v>46398</v>
          </cell>
          <cell r="M4211">
            <v>-1576</v>
          </cell>
          <cell r="N4211">
            <v>98424</v>
          </cell>
        </row>
        <row r="4212">
          <cell r="A4212">
            <v>61965</v>
          </cell>
          <cell r="B4212">
            <v>4206</v>
          </cell>
          <cell r="C4212" t="str">
            <v>IASWD2411000348</v>
          </cell>
          <cell r="D4212">
            <v>45615</v>
          </cell>
          <cell r="E4212">
            <v>46200</v>
          </cell>
          <cell r="F4212" t="str">
            <v>61965</v>
          </cell>
          <cell r="G4212" t="str">
            <v>帆宣五</v>
          </cell>
          <cell r="H4212">
            <v>100000</v>
          </cell>
          <cell r="I4212">
            <v>3</v>
          </cell>
          <cell r="J4212">
            <v>46200</v>
          </cell>
          <cell r="K4212">
            <v>100</v>
          </cell>
          <cell r="L4212">
            <v>46182</v>
          </cell>
          <cell r="M4212">
            <v>-1455</v>
          </cell>
          <cell r="N4212">
            <v>98545</v>
          </cell>
        </row>
        <row r="4213">
          <cell r="A4213">
            <v>61973</v>
          </cell>
          <cell r="B4213">
            <v>4207</v>
          </cell>
          <cell r="C4213" t="str">
            <v>IASWD2411000350</v>
          </cell>
          <cell r="D4213">
            <v>45615</v>
          </cell>
          <cell r="E4213">
            <v>46675</v>
          </cell>
          <cell r="F4213" t="str">
            <v>61973</v>
          </cell>
          <cell r="G4213" t="str">
            <v>佳必琪三</v>
          </cell>
          <cell r="H4213">
            <v>400000</v>
          </cell>
          <cell r="I4213">
            <v>3</v>
          </cell>
          <cell r="J4213">
            <v>46675</v>
          </cell>
          <cell r="K4213">
            <v>100</v>
          </cell>
          <cell r="L4213">
            <v>46657</v>
          </cell>
          <cell r="M4213">
            <v>-5819</v>
          </cell>
          <cell r="N4213">
            <v>394181</v>
          </cell>
        </row>
        <row r="4214">
          <cell r="A4214">
            <v>50097</v>
          </cell>
          <cell r="B4214">
            <v>4208</v>
          </cell>
          <cell r="C4214" t="str">
            <v>IASWD2411000351</v>
          </cell>
          <cell r="D4214">
            <v>45615</v>
          </cell>
          <cell r="E4214">
            <v>46234</v>
          </cell>
          <cell r="F4214" t="str">
            <v>50097</v>
          </cell>
          <cell r="G4214" t="str">
            <v>榮剛七</v>
          </cell>
          <cell r="H4214">
            <v>300000</v>
          </cell>
          <cell r="I4214">
            <v>4.0999999999999996</v>
          </cell>
          <cell r="J4214">
            <v>46234</v>
          </cell>
          <cell r="K4214">
            <v>101.51</v>
          </cell>
          <cell r="L4214">
            <v>46216</v>
          </cell>
          <cell r="M4214">
            <v>-5965</v>
          </cell>
          <cell r="N4214">
            <v>294035</v>
          </cell>
        </row>
        <row r="4215">
          <cell r="A4215">
            <v>22283</v>
          </cell>
          <cell r="B4215">
            <v>4209</v>
          </cell>
          <cell r="C4215" t="str">
            <v>IASWD2411000354</v>
          </cell>
          <cell r="D4215">
            <v>45615</v>
          </cell>
          <cell r="E4215">
            <v>46628</v>
          </cell>
          <cell r="F4215" t="str">
            <v>22283</v>
          </cell>
          <cell r="G4215" t="str">
            <v>劍麟三</v>
          </cell>
          <cell r="H4215">
            <v>100000</v>
          </cell>
          <cell r="I4215">
            <v>3</v>
          </cell>
          <cell r="J4215">
            <v>46628</v>
          </cell>
          <cell r="K4215">
            <v>100</v>
          </cell>
          <cell r="L4215">
            <v>46609</v>
          </cell>
          <cell r="M4215">
            <v>-1455</v>
          </cell>
          <cell r="N4215">
            <v>98545</v>
          </cell>
        </row>
        <row r="4216">
          <cell r="A4216">
            <v>45721</v>
          </cell>
          <cell r="B4216">
            <v>4210</v>
          </cell>
          <cell r="C4216" t="str">
            <v>IASWD2411000355</v>
          </cell>
          <cell r="D4216">
            <v>45615</v>
          </cell>
          <cell r="E4216">
            <v>46219</v>
          </cell>
          <cell r="F4216" t="str">
            <v>45721</v>
          </cell>
          <cell r="G4216" t="str">
            <v>駐龍一</v>
          </cell>
          <cell r="H4216">
            <v>300000</v>
          </cell>
          <cell r="I4216">
            <v>3.5</v>
          </cell>
          <cell r="J4216">
            <v>46219</v>
          </cell>
          <cell r="K4216">
            <v>100</v>
          </cell>
          <cell r="L4216">
            <v>46199</v>
          </cell>
          <cell r="M4216">
            <v>-5092</v>
          </cell>
          <cell r="N4216">
            <v>294908</v>
          </cell>
        </row>
        <row r="4217">
          <cell r="A4217">
            <v>22013</v>
          </cell>
          <cell r="B4217">
            <v>4211</v>
          </cell>
          <cell r="C4217" t="str">
            <v>IASWD2411000356</v>
          </cell>
          <cell r="D4217">
            <v>45616</v>
          </cell>
          <cell r="E4217">
            <v>46167</v>
          </cell>
          <cell r="F4217" t="str">
            <v>22013</v>
          </cell>
          <cell r="G4217" t="str">
            <v>裕隆三</v>
          </cell>
          <cell r="H4217">
            <v>300000</v>
          </cell>
          <cell r="I4217">
            <v>3.25</v>
          </cell>
          <cell r="J4217">
            <v>46167</v>
          </cell>
          <cell r="K4217">
            <v>100.75190000000001</v>
          </cell>
          <cell r="L4217">
            <v>46147</v>
          </cell>
          <cell r="M4217">
            <v>-4701</v>
          </cell>
          <cell r="N4217">
            <v>295299</v>
          </cell>
        </row>
        <row r="4218">
          <cell r="A4218">
            <v>67531</v>
          </cell>
          <cell r="B4218">
            <v>4212</v>
          </cell>
          <cell r="C4218" t="str">
            <v>IASWD2411000357</v>
          </cell>
          <cell r="D4218">
            <v>45616</v>
          </cell>
          <cell r="E4218">
            <v>46563</v>
          </cell>
          <cell r="F4218" t="str">
            <v>67531</v>
          </cell>
          <cell r="G4218" t="str">
            <v>龍德造船一</v>
          </cell>
          <cell r="H4218">
            <v>400000</v>
          </cell>
          <cell r="I4218">
            <v>3.35</v>
          </cell>
          <cell r="J4218">
            <v>46563</v>
          </cell>
          <cell r="K4218">
            <v>100</v>
          </cell>
          <cell r="L4218">
            <v>46545</v>
          </cell>
          <cell r="M4218">
            <v>-6461</v>
          </cell>
          <cell r="N4218">
            <v>393539</v>
          </cell>
        </row>
        <row r="4219">
          <cell r="A4219">
            <v>82992</v>
          </cell>
          <cell r="B4219">
            <v>4213</v>
          </cell>
          <cell r="C4219" t="str">
            <v>IASWD2411000358</v>
          </cell>
          <cell r="D4219">
            <v>45616</v>
          </cell>
          <cell r="E4219">
            <v>46410</v>
          </cell>
          <cell r="F4219" t="str">
            <v>82992</v>
          </cell>
          <cell r="G4219" t="str">
            <v>群聯二</v>
          </cell>
          <cell r="H4219">
            <v>100000</v>
          </cell>
          <cell r="I4219">
            <v>2.6</v>
          </cell>
          <cell r="J4219">
            <v>46410</v>
          </cell>
          <cell r="K4219">
            <v>100</v>
          </cell>
          <cell r="L4219">
            <v>46392</v>
          </cell>
          <cell r="M4219">
            <v>-1254</v>
          </cell>
          <cell r="N4219">
            <v>98746</v>
          </cell>
        </row>
        <row r="4220">
          <cell r="A4220">
            <v>15364</v>
          </cell>
          <cell r="B4220">
            <v>4214</v>
          </cell>
          <cell r="C4220" t="str">
            <v>IASWD2411000359</v>
          </cell>
          <cell r="D4220">
            <v>45616</v>
          </cell>
          <cell r="E4220">
            <v>46246</v>
          </cell>
          <cell r="F4220" t="str">
            <v>15364</v>
          </cell>
          <cell r="G4220" t="str">
            <v>和大四</v>
          </cell>
          <cell r="H4220">
            <v>100000</v>
          </cell>
          <cell r="I4220">
            <v>4</v>
          </cell>
          <cell r="J4220">
            <v>46246</v>
          </cell>
          <cell r="K4220">
            <v>100</v>
          </cell>
          <cell r="L4220">
            <v>46226</v>
          </cell>
          <cell r="M4220">
            <v>-1929</v>
          </cell>
          <cell r="N4220">
            <v>98071</v>
          </cell>
        </row>
        <row r="4221">
          <cell r="A4221">
            <v>45721</v>
          </cell>
          <cell r="B4221">
            <v>4215</v>
          </cell>
          <cell r="C4221" t="str">
            <v>IASWD2411000360</v>
          </cell>
          <cell r="D4221">
            <v>45616</v>
          </cell>
          <cell r="E4221">
            <v>46219</v>
          </cell>
          <cell r="F4221" t="str">
            <v>45721</v>
          </cell>
          <cell r="G4221" t="str">
            <v>駐龍一</v>
          </cell>
          <cell r="H4221">
            <v>1000000</v>
          </cell>
          <cell r="I4221">
            <v>3.5</v>
          </cell>
          <cell r="J4221">
            <v>46219</v>
          </cell>
          <cell r="K4221">
            <v>100</v>
          </cell>
          <cell r="L4221">
            <v>46199</v>
          </cell>
          <cell r="M4221">
            <v>-16877</v>
          </cell>
          <cell r="N4221">
            <v>983123</v>
          </cell>
        </row>
        <row r="4222">
          <cell r="A4222">
            <v>61875</v>
          </cell>
          <cell r="B4222">
            <v>4216</v>
          </cell>
          <cell r="C4222" t="str">
            <v>IASWD2411000361</v>
          </cell>
          <cell r="D4222">
            <v>45616</v>
          </cell>
          <cell r="E4222">
            <v>46578</v>
          </cell>
          <cell r="F4222" t="str">
            <v>61875</v>
          </cell>
          <cell r="G4222" t="str">
            <v>萬潤五</v>
          </cell>
          <cell r="H4222">
            <v>100000</v>
          </cell>
          <cell r="I4222">
            <v>3</v>
          </cell>
          <cell r="J4222">
            <v>46578</v>
          </cell>
          <cell r="K4222">
            <v>100</v>
          </cell>
          <cell r="L4222">
            <v>46560</v>
          </cell>
          <cell r="M4222">
            <v>-1447</v>
          </cell>
          <cell r="N4222">
            <v>98553</v>
          </cell>
        </row>
        <row r="4223">
          <cell r="A4223">
            <v>61973</v>
          </cell>
          <cell r="B4223">
            <v>4217</v>
          </cell>
          <cell r="C4223" t="str">
            <v>IASWD2411000362</v>
          </cell>
          <cell r="D4223">
            <v>45616</v>
          </cell>
          <cell r="E4223">
            <v>46675</v>
          </cell>
          <cell r="F4223" t="str">
            <v>61973</v>
          </cell>
          <cell r="G4223" t="str">
            <v>佳必琪三</v>
          </cell>
          <cell r="H4223">
            <v>500000</v>
          </cell>
          <cell r="I4223">
            <v>3</v>
          </cell>
          <cell r="J4223">
            <v>46675</v>
          </cell>
          <cell r="K4223">
            <v>100</v>
          </cell>
          <cell r="L4223">
            <v>46657</v>
          </cell>
          <cell r="M4223">
            <v>-7233</v>
          </cell>
          <cell r="N4223">
            <v>492767</v>
          </cell>
        </row>
        <row r="4224">
          <cell r="A4224">
            <v>35832</v>
          </cell>
          <cell r="B4224">
            <v>4218</v>
          </cell>
          <cell r="C4224" t="str">
            <v>IASWD2411000364</v>
          </cell>
          <cell r="D4224">
            <v>45616</v>
          </cell>
          <cell r="E4224">
            <v>46192</v>
          </cell>
          <cell r="F4224" t="str">
            <v>35832</v>
          </cell>
          <cell r="G4224" t="str">
            <v>辛耘二</v>
          </cell>
          <cell r="H4224">
            <v>100000</v>
          </cell>
          <cell r="I4224">
            <v>3</v>
          </cell>
          <cell r="J4224">
            <v>46192</v>
          </cell>
          <cell r="K4224">
            <v>100</v>
          </cell>
          <cell r="L4224">
            <v>46174</v>
          </cell>
          <cell r="M4224">
            <v>-1447</v>
          </cell>
          <cell r="N4224">
            <v>98553</v>
          </cell>
        </row>
        <row r="4225">
          <cell r="A4225">
            <v>36804</v>
          </cell>
          <cell r="B4225">
            <v>4219</v>
          </cell>
          <cell r="C4225" t="str">
            <v>IASWD2411000365</v>
          </cell>
          <cell r="D4225">
            <v>45616</v>
          </cell>
          <cell r="E4225">
            <v>45948</v>
          </cell>
          <cell r="F4225" t="str">
            <v>36804</v>
          </cell>
          <cell r="G4225" t="str">
            <v>家登四</v>
          </cell>
          <cell r="H4225">
            <v>100000</v>
          </cell>
          <cell r="I4225">
            <v>3.2</v>
          </cell>
          <cell r="J4225">
            <v>45948</v>
          </cell>
          <cell r="K4225">
            <v>100</v>
          </cell>
          <cell r="L4225">
            <v>45926</v>
          </cell>
          <cell r="M4225">
            <v>-1543</v>
          </cell>
          <cell r="N4225">
            <v>98457</v>
          </cell>
        </row>
        <row r="4226">
          <cell r="A4226">
            <v>22013</v>
          </cell>
          <cell r="B4226">
            <v>4220</v>
          </cell>
          <cell r="C4226" t="str">
            <v>IASWD2411000366</v>
          </cell>
          <cell r="D4226">
            <v>45616</v>
          </cell>
          <cell r="E4226">
            <v>46167</v>
          </cell>
          <cell r="F4226" t="str">
            <v>22013</v>
          </cell>
          <cell r="G4226" t="str">
            <v>裕隆三</v>
          </cell>
          <cell r="H4226">
            <v>200000</v>
          </cell>
          <cell r="I4226">
            <v>3.25</v>
          </cell>
          <cell r="J4226">
            <v>46167</v>
          </cell>
          <cell r="K4226">
            <v>100.75190000000001</v>
          </cell>
          <cell r="L4226">
            <v>46147</v>
          </cell>
          <cell r="M4226">
            <v>-3134</v>
          </cell>
          <cell r="N4226">
            <v>196866</v>
          </cell>
        </row>
        <row r="4227">
          <cell r="A4227">
            <v>82992</v>
          </cell>
          <cell r="B4227">
            <v>4221</v>
          </cell>
          <cell r="C4227" t="str">
            <v>IASWD2411000367</v>
          </cell>
          <cell r="D4227">
            <v>45616</v>
          </cell>
          <cell r="E4227">
            <v>46410</v>
          </cell>
          <cell r="F4227" t="str">
            <v>82992</v>
          </cell>
          <cell r="G4227" t="str">
            <v>群聯二</v>
          </cell>
          <cell r="H4227">
            <v>1500000</v>
          </cell>
          <cell r="I4227">
            <v>2.6</v>
          </cell>
          <cell r="J4227">
            <v>46410</v>
          </cell>
          <cell r="K4227">
            <v>100</v>
          </cell>
          <cell r="L4227">
            <v>46392</v>
          </cell>
          <cell r="M4227">
            <v>-18805</v>
          </cell>
          <cell r="N4227">
            <v>1481195</v>
          </cell>
        </row>
        <row r="4228">
          <cell r="A4228">
            <v>68631</v>
          </cell>
          <cell r="B4228">
            <v>4222</v>
          </cell>
          <cell r="C4228" t="str">
            <v>IASWD2411000370</v>
          </cell>
          <cell r="D4228">
            <v>45616</v>
          </cell>
          <cell r="E4228">
            <v>46675</v>
          </cell>
          <cell r="F4228" t="str">
            <v>68631</v>
          </cell>
          <cell r="G4228" t="str">
            <v>永道一KY</v>
          </cell>
          <cell r="H4228">
            <v>100000</v>
          </cell>
          <cell r="I4228">
            <v>4</v>
          </cell>
          <cell r="J4228">
            <v>46675</v>
          </cell>
          <cell r="K4228">
            <v>100</v>
          </cell>
          <cell r="L4228">
            <v>46657</v>
          </cell>
          <cell r="M4228">
            <v>-1929</v>
          </cell>
          <cell r="N4228">
            <v>98071</v>
          </cell>
        </row>
        <row r="4229">
          <cell r="A4229">
            <v>68631</v>
          </cell>
          <cell r="B4229">
            <v>4223</v>
          </cell>
          <cell r="C4229" t="str">
            <v>IASWD2411000372</v>
          </cell>
          <cell r="D4229">
            <v>45616</v>
          </cell>
          <cell r="E4229">
            <v>46675</v>
          </cell>
          <cell r="F4229" t="str">
            <v>68631</v>
          </cell>
          <cell r="G4229" t="str">
            <v>永道一KY</v>
          </cell>
          <cell r="H4229">
            <v>100000</v>
          </cell>
          <cell r="I4229">
            <v>4</v>
          </cell>
          <cell r="J4229">
            <v>46675</v>
          </cell>
          <cell r="K4229">
            <v>100</v>
          </cell>
          <cell r="L4229">
            <v>46657</v>
          </cell>
          <cell r="M4229">
            <v>-1929</v>
          </cell>
          <cell r="N4229">
            <v>98071</v>
          </cell>
        </row>
        <row r="4230">
          <cell r="A4230">
            <v>82992</v>
          </cell>
          <cell r="B4230">
            <v>4224</v>
          </cell>
          <cell r="C4230" t="str">
            <v>IASWD2411000374</v>
          </cell>
          <cell r="D4230">
            <v>45616</v>
          </cell>
          <cell r="E4230">
            <v>46410</v>
          </cell>
          <cell r="F4230" t="str">
            <v>82992</v>
          </cell>
          <cell r="G4230" t="str">
            <v>群聯二</v>
          </cell>
          <cell r="H4230">
            <v>100000</v>
          </cell>
          <cell r="I4230">
            <v>2.6</v>
          </cell>
          <cell r="J4230">
            <v>46410</v>
          </cell>
          <cell r="K4230">
            <v>100</v>
          </cell>
          <cell r="L4230">
            <v>46392</v>
          </cell>
          <cell r="M4230">
            <v>-1254</v>
          </cell>
          <cell r="N4230">
            <v>98746</v>
          </cell>
        </row>
        <row r="4231">
          <cell r="A4231">
            <v>30061</v>
          </cell>
          <cell r="B4231">
            <v>4225</v>
          </cell>
          <cell r="C4231" t="str">
            <v>IASWD2411000376</v>
          </cell>
          <cell r="D4231">
            <v>45616</v>
          </cell>
          <cell r="E4231">
            <v>46322</v>
          </cell>
          <cell r="F4231" t="str">
            <v>30061</v>
          </cell>
          <cell r="G4231" t="str">
            <v>晶豪科一</v>
          </cell>
          <cell r="H4231">
            <v>200000</v>
          </cell>
          <cell r="I4231">
            <v>3.75</v>
          </cell>
          <cell r="J4231">
            <v>46322</v>
          </cell>
          <cell r="K4231">
            <v>100</v>
          </cell>
          <cell r="L4231">
            <v>46302</v>
          </cell>
          <cell r="M4231">
            <v>-3616</v>
          </cell>
          <cell r="N4231">
            <v>196384</v>
          </cell>
        </row>
        <row r="4232">
          <cell r="A4232">
            <v>53064</v>
          </cell>
          <cell r="B4232">
            <v>4226</v>
          </cell>
          <cell r="C4232" t="str">
            <v>IASWD2411000377</v>
          </cell>
          <cell r="D4232">
            <v>45616</v>
          </cell>
          <cell r="E4232">
            <v>46334</v>
          </cell>
          <cell r="F4232" t="str">
            <v>53064</v>
          </cell>
          <cell r="G4232" t="str">
            <v>桂盟四</v>
          </cell>
          <cell r="H4232">
            <v>100000</v>
          </cell>
          <cell r="I4232">
            <v>2.2999999999999998</v>
          </cell>
          <cell r="J4232">
            <v>46334</v>
          </cell>
          <cell r="K4232">
            <v>100</v>
          </cell>
          <cell r="L4232">
            <v>46315</v>
          </cell>
          <cell r="M4232">
            <v>-1109</v>
          </cell>
          <cell r="N4232">
            <v>98891</v>
          </cell>
        </row>
        <row r="4233">
          <cell r="A4233">
            <v>82992</v>
          </cell>
          <cell r="B4233">
            <v>4227</v>
          </cell>
          <cell r="C4233" t="str">
            <v>IASWD2411000380</v>
          </cell>
          <cell r="D4233">
            <v>45617</v>
          </cell>
          <cell r="E4233">
            <v>46410</v>
          </cell>
          <cell r="F4233" t="str">
            <v>82992</v>
          </cell>
          <cell r="G4233" t="str">
            <v>群聯二</v>
          </cell>
          <cell r="H4233">
            <v>300000</v>
          </cell>
          <cell r="I4233">
            <v>2.6</v>
          </cell>
          <cell r="J4233">
            <v>46410</v>
          </cell>
          <cell r="K4233">
            <v>100</v>
          </cell>
          <cell r="L4233">
            <v>46392</v>
          </cell>
          <cell r="M4233">
            <v>-3740</v>
          </cell>
          <cell r="N4233">
            <v>296260</v>
          </cell>
        </row>
        <row r="4234">
          <cell r="A4234">
            <v>34163</v>
          </cell>
          <cell r="B4234">
            <v>4228</v>
          </cell>
          <cell r="C4234" t="str">
            <v>IASWD2411000382</v>
          </cell>
          <cell r="D4234">
            <v>45617</v>
          </cell>
          <cell r="E4234">
            <v>46047</v>
          </cell>
          <cell r="F4234" t="str">
            <v>34163</v>
          </cell>
          <cell r="G4234" t="str">
            <v>融程電三</v>
          </cell>
          <cell r="H4234">
            <v>200000</v>
          </cell>
          <cell r="I4234">
            <v>3</v>
          </cell>
          <cell r="J4234">
            <v>46047</v>
          </cell>
          <cell r="K4234">
            <v>100.5</v>
          </cell>
          <cell r="L4234">
            <v>46028</v>
          </cell>
          <cell r="M4234">
            <v>-2877</v>
          </cell>
          <cell r="N4234">
            <v>197123</v>
          </cell>
        </row>
        <row r="4235">
          <cell r="A4235">
            <v>22013</v>
          </cell>
          <cell r="B4235">
            <v>4229</v>
          </cell>
          <cell r="C4235" t="str">
            <v>IASWD2411000383</v>
          </cell>
          <cell r="D4235">
            <v>45617</v>
          </cell>
          <cell r="E4235">
            <v>46167</v>
          </cell>
          <cell r="F4235" t="str">
            <v>22013</v>
          </cell>
          <cell r="G4235" t="str">
            <v>裕隆三</v>
          </cell>
          <cell r="H4235">
            <v>600000</v>
          </cell>
          <cell r="I4235">
            <v>3.25</v>
          </cell>
          <cell r="J4235">
            <v>46167</v>
          </cell>
          <cell r="K4235">
            <v>100.75190000000001</v>
          </cell>
          <cell r="L4235">
            <v>46147</v>
          </cell>
          <cell r="M4235">
            <v>-9349</v>
          </cell>
          <cell r="N4235">
            <v>590651</v>
          </cell>
        </row>
        <row r="4236">
          <cell r="A4236">
            <v>68631</v>
          </cell>
          <cell r="B4236">
            <v>4230</v>
          </cell>
          <cell r="C4236" t="str">
            <v>IASWD2411000384</v>
          </cell>
          <cell r="D4236">
            <v>45617</v>
          </cell>
          <cell r="E4236">
            <v>46675</v>
          </cell>
          <cell r="F4236" t="str">
            <v>68631</v>
          </cell>
          <cell r="G4236" t="str">
            <v>永道一KY</v>
          </cell>
          <cell r="H4236">
            <v>400000</v>
          </cell>
          <cell r="I4236">
            <v>4</v>
          </cell>
          <cell r="J4236">
            <v>46675</v>
          </cell>
          <cell r="K4236">
            <v>100</v>
          </cell>
          <cell r="L4236">
            <v>46657</v>
          </cell>
          <cell r="M4236">
            <v>-7671</v>
          </cell>
          <cell r="N4236">
            <v>392329</v>
          </cell>
        </row>
        <row r="4237">
          <cell r="A4237">
            <v>45721</v>
          </cell>
          <cell r="B4237">
            <v>4231</v>
          </cell>
          <cell r="C4237" t="str">
            <v>IASWD2411000385</v>
          </cell>
          <cell r="D4237">
            <v>45617</v>
          </cell>
          <cell r="E4237">
            <v>46219</v>
          </cell>
          <cell r="F4237" t="str">
            <v>45721</v>
          </cell>
          <cell r="G4237" t="str">
            <v>駐龍一</v>
          </cell>
          <cell r="H4237">
            <v>500000</v>
          </cell>
          <cell r="I4237">
            <v>3.5</v>
          </cell>
          <cell r="J4237">
            <v>46219</v>
          </cell>
          <cell r="K4237">
            <v>100</v>
          </cell>
          <cell r="L4237">
            <v>46199</v>
          </cell>
          <cell r="M4237">
            <v>-8390</v>
          </cell>
          <cell r="N4237">
            <v>491610</v>
          </cell>
        </row>
        <row r="4238">
          <cell r="A4238">
            <v>22013</v>
          </cell>
          <cell r="B4238">
            <v>4232</v>
          </cell>
          <cell r="C4238" t="str">
            <v>IASWD2411000386</v>
          </cell>
          <cell r="D4238">
            <v>45617</v>
          </cell>
          <cell r="E4238">
            <v>46167</v>
          </cell>
          <cell r="F4238" t="str">
            <v>22013</v>
          </cell>
          <cell r="G4238" t="str">
            <v>裕隆三</v>
          </cell>
          <cell r="H4238">
            <v>100000</v>
          </cell>
          <cell r="I4238">
            <v>3.25</v>
          </cell>
          <cell r="J4238">
            <v>46167</v>
          </cell>
          <cell r="K4238">
            <v>100.75190000000001</v>
          </cell>
          <cell r="L4238">
            <v>46147</v>
          </cell>
          <cell r="M4238">
            <v>-1558</v>
          </cell>
          <cell r="N4238">
            <v>98442</v>
          </cell>
        </row>
        <row r="4239">
          <cell r="A4239">
            <v>34843</v>
          </cell>
          <cell r="B4239">
            <v>4233</v>
          </cell>
          <cell r="C4239" t="str">
            <v>IASWD2411000387</v>
          </cell>
          <cell r="D4239">
            <v>45617</v>
          </cell>
          <cell r="E4239">
            <v>46136</v>
          </cell>
          <cell r="F4239" t="str">
            <v>34843</v>
          </cell>
          <cell r="G4239" t="str">
            <v>崧騰三</v>
          </cell>
          <cell r="H4239">
            <v>100000</v>
          </cell>
          <cell r="I4239">
            <v>3.5</v>
          </cell>
          <cell r="J4239">
            <v>46136</v>
          </cell>
          <cell r="K4239">
            <v>100.75</v>
          </cell>
          <cell r="L4239">
            <v>46118</v>
          </cell>
          <cell r="M4239">
            <v>-1678</v>
          </cell>
          <cell r="N4239">
            <v>98322</v>
          </cell>
        </row>
        <row r="4240">
          <cell r="A4240">
            <v>36804</v>
          </cell>
          <cell r="B4240">
            <v>4234</v>
          </cell>
          <cell r="C4240" t="str">
            <v>IASWD2411000388</v>
          </cell>
          <cell r="D4240">
            <v>45617</v>
          </cell>
          <cell r="E4240">
            <v>45948</v>
          </cell>
          <cell r="F4240" t="str">
            <v>36804</v>
          </cell>
          <cell r="G4240" t="str">
            <v>家登四</v>
          </cell>
          <cell r="H4240">
            <v>100000</v>
          </cell>
          <cell r="I4240">
            <v>3.2</v>
          </cell>
          <cell r="J4240">
            <v>45948</v>
          </cell>
          <cell r="K4240">
            <v>100</v>
          </cell>
          <cell r="L4240">
            <v>45926</v>
          </cell>
          <cell r="M4240">
            <v>-1534</v>
          </cell>
          <cell r="N4240">
            <v>98466</v>
          </cell>
        </row>
        <row r="4241">
          <cell r="A4241">
            <v>82992</v>
          </cell>
          <cell r="B4241">
            <v>4235</v>
          </cell>
          <cell r="C4241" t="str">
            <v>IASWD2411000389</v>
          </cell>
          <cell r="D4241">
            <v>45617</v>
          </cell>
          <cell r="E4241">
            <v>46410</v>
          </cell>
          <cell r="F4241" t="str">
            <v>82992</v>
          </cell>
          <cell r="G4241" t="str">
            <v>群聯二</v>
          </cell>
          <cell r="H4241">
            <v>100000</v>
          </cell>
          <cell r="I4241">
            <v>2.6</v>
          </cell>
          <cell r="J4241">
            <v>46410</v>
          </cell>
          <cell r="K4241">
            <v>100</v>
          </cell>
          <cell r="L4241">
            <v>46392</v>
          </cell>
          <cell r="M4241">
            <v>-1247</v>
          </cell>
          <cell r="N4241">
            <v>98753</v>
          </cell>
        </row>
        <row r="4242">
          <cell r="A4242">
            <v>61965</v>
          </cell>
          <cell r="B4242">
            <v>4236</v>
          </cell>
          <cell r="C4242" t="str">
            <v>IASWD2411000390</v>
          </cell>
          <cell r="D4242">
            <v>45617</v>
          </cell>
          <cell r="E4242">
            <v>46200</v>
          </cell>
          <cell r="F4242" t="str">
            <v>61965</v>
          </cell>
          <cell r="G4242" t="str">
            <v>帆宣五</v>
          </cell>
          <cell r="H4242">
            <v>1500000</v>
          </cell>
          <cell r="I4242">
            <v>3</v>
          </cell>
          <cell r="J4242">
            <v>46200</v>
          </cell>
          <cell r="K4242">
            <v>100</v>
          </cell>
          <cell r="L4242">
            <v>46182</v>
          </cell>
          <cell r="M4242">
            <v>-21575</v>
          </cell>
          <cell r="N4242">
            <v>1478425</v>
          </cell>
        </row>
        <row r="4243">
          <cell r="A4243">
            <v>82992</v>
          </cell>
          <cell r="B4243">
            <v>4237</v>
          </cell>
          <cell r="C4243" t="str">
            <v>IASWD2411000391</v>
          </cell>
          <cell r="D4243">
            <v>45617</v>
          </cell>
          <cell r="E4243">
            <v>46410</v>
          </cell>
          <cell r="F4243" t="str">
            <v>82992</v>
          </cell>
          <cell r="G4243" t="str">
            <v>群聯二</v>
          </cell>
          <cell r="H4243">
            <v>300000</v>
          </cell>
          <cell r="I4243">
            <v>2.6</v>
          </cell>
          <cell r="J4243">
            <v>46410</v>
          </cell>
          <cell r="K4243">
            <v>100</v>
          </cell>
          <cell r="L4243">
            <v>46392</v>
          </cell>
          <cell r="M4243">
            <v>-3740</v>
          </cell>
          <cell r="N4243">
            <v>296260</v>
          </cell>
        </row>
        <row r="4244">
          <cell r="A4244">
            <v>15364</v>
          </cell>
          <cell r="B4244">
            <v>4238</v>
          </cell>
          <cell r="C4244" t="str">
            <v>IASWD2411000392</v>
          </cell>
          <cell r="D4244">
            <v>45617</v>
          </cell>
          <cell r="E4244">
            <v>46246</v>
          </cell>
          <cell r="F4244" t="str">
            <v>15364</v>
          </cell>
          <cell r="G4244" t="str">
            <v>和大四</v>
          </cell>
          <cell r="H4244">
            <v>100000</v>
          </cell>
          <cell r="I4244">
            <v>4</v>
          </cell>
          <cell r="J4244">
            <v>46246</v>
          </cell>
          <cell r="K4244">
            <v>100</v>
          </cell>
          <cell r="L4244">
            <v>46226</v>
          </cell>
          <cell r="M4244">
            <v>-1918</v>
          </cell>
          <cell r="N4244">
            <v>98082</v>
          </cell>
        </row>
        <row r="4245">
          <cell r="A4245">
            <v>22013</v>
          </cell>
          <cell r="B4245">
            <v>4239</v>
          </cell>
          <cell r="C4245" t="str">
            <v>IASWD2411000393</v>
          </cell>
          <cell r="D4245">
            <v>45617</v>
          </cell>
          <cell r="E4245">
            <v>46167</v>
          </cell>
          <cell r="F4245" t="str">
            <v>22013</v>
          </cell>
          <cell r="G4245" t="str">
            <v>裕隆三</v>
          </cell>
          <cell r="H4245">
            <v>2300000</v>
          </cell>
          <cell r="I4245">
            <v>3.25</v>
          </cell>
          <cell r="J4245">
            <v>46167</v>
          </cell>
          <cell r="K4245">
            <v>100.75190000000001</v>
          </cell>
          <cell r="L4245">
            <v>46147</v>
          </cell>
          <cell r="M4245">
            <v>-35839</v>
          </cell>
          <cell r="N4245">
            <v>2264161</v>
          </cell>
        </row>
        <row r="4246">
          <cell r="A4246">
            <v>27323</v>
          </cell>
          <cell r="B4246">
            <v>4240</v>
          </cell>
          <cell r="C4246" t="str">
            <v>IASWD2411000394</v>
          </cell>
          <cell r="D4246">
            <v>45617</v>
          </cell>
          <cell r="E4246">
            <v>46048</v>
          </cell>
          <cell r="F4246" t="str">
            <v>27323</v>
          </cell>
          <cell r="G4246" t="str">
            <v>六角三</v>
          </cell>
          <cell r="H4246">
            <v>100000</v>
          </cell>
          <cell r="I4246">
            <v>3</v>
          </cell>
          <cell r="J4246">
            <v>46048</v>
          </cell>
          <cell r="K4246">
            <v>101</v>
          </cell>
          <cell r="L4246">
            <v>46028</v>
          </cell>
          <cell r="M4246">
            <v>-1438</v>
          </cell>
          <cell r="N4246">
            <v>98562</v>
          </cell>
        </row>
        <row r="4247">
          <cell r="A4247">
            <v>22013</v>
          </cell>
          <cell r="B4247">
            <v>4241</v>
          </cell>
          <cell r="C4247" t="str">
            <v>IASWD2411000395</v>
          </cell>
          <cell r="D4247">
            <v>45617</v>
          </cell>
          <cell r="E4247">
            <v>46167</v>
          </cell>
          <cell r="F4247" t="str">
            <v>22013</v>
          </cell>
          <cell r="G4247" t="str">
            <v>裕隆三</v>
          </cell>
          <cell r="H4247">
            <v>1000000</v>
          </cell>
          <cell r="I4247">
            <v>3.25</v>
          </cell>
          <cell r="J4247">
            <v>46167</v>
          </cell>
          <cell r="K4247">
            <v>100.75190000000001</v>
          </cell>
          <cell r="L4247">
            <v>46147</v>
          </cell>
          <cell r="M4247">
            <v>-15582</v>
          </cell>
          <cell r="N4247">
            <v>984418</v>
          </cell>
        </row>
        <row r="4248">
          <cell r="A4248">
            <v>68631</v>
          </cell>
          <cell r="B4248">
            <v>4242</v>
          </cell>
          <cell r="C4248" t="str">
            <v>IASWD2411000396</v>
          </cell>
          <cell r="D4248">
            <v>45617</v>
          </cell>
          <cell r="E4248">
            <v>46675</v>
          </cell>
          <cell r="F4248" t="str">
            <v>68631</v>
          </cell>
          <cell r="G4248" t="str">
            <v>永道一KY</v>
          </cell>
          <cell r="H4248">
            <v>500000</v>
          </cell>
          <cell r="I4248">
            <v>4</v>
          </cell>
          <cell r="J4248">
            <v>46675</v>
          </cell>
          <cell r="K4248">
            <v>100</v>
          </cell>
          <cell r="L4248">
            <v>46657</v>
          </cell>
          <cell r="M4248">
            <v>-9589</v>
          </cell>
          <cell r="N4248">
            <v>490411</v>
          </cell>
        </row>
        <row r="4249">
          <cell r="A4249">
            <v>61973</v>
          </cell>
          <cell r="B4249">
            <v>4243</v>
          </cell>
          <cell r="C4249" t="str">
            <v>IASWD2411000397</v>
          </cell>
          <cell r="D4249">
            <v>45617</v>
          </cell>
          <cell r="E4249">
            <v>46675</v>
          </cell>
          <cell r="F4249" t="str">
            <v>61973</v>
          </cell>
          <cell r="G4249" t="str">
            <v>佳必琪三</v>
          </cell>
          <cell r="H4249">
            <v>300000</v>
          </cell>
          <cell r="I4249">
            <v>3</v>
          </cell>
          <cell r="J4249">
            <v>46675</v>
          </cell>
          <cell r="K4249">
            <v>100</v>
          </cell>
          <cell r="L4249">
            <v>46657</v>
          </cell>
          <cell r="M4249">
            <v>-4315</v>
          </cell>
          <cell r="N4249">
            <v>295685</v>
          </cell>
        </row>
        <row r="4250">
          <cell r="A4250">
            <v>61965</v>
          </cell>
          <cell r="B4250">
            <v>4244</v>
          </cell>
          <cell r="C4250" t="str">
            <v>IASWD2411000398</v>
          </cell>
          <cell r="D4250">
            <v>45617</v>
          </cell>
          <cell r="E4250">
            <v>46200</v>
          </cell>
          <cell r="F4250" t="str">
            <v>61965</v>
          </cell>
          <cell r="G4250" t="str">
            <v>帆宣五</v>
          </cell>
          <cell r="H4250">
            <v>100000</v>
          </cell>
          <cell r="I4250">
            <v>3</v>
          </cell>
          <cell r="J4250">
            <v>46200</v>
          </cell>
          <cell r="K4250">
            <v>100</v>
          </cell>
          <cell r="L4250">
            <v>46182</v>
          </cell>
          <cell r="M4250">
            <v>-1438</v>
          </cell>
          <cell r="N4250">
            <v>98562</v>
          </cell>
        </row>
        <row r="4251">
          <cell r="A4251">
            <v>45721</v>
          </cell>
          <cell r="B4251">
            <v>4245</v>
          </cell>
          <cell r="C4251" t="str">
            <v>IASWD2411000399</v>
          </cell>
          <cell r="D4251">
            <v>45617</v>
          </cell>
          <cell r="E4251">
            <v>46219</v>
          </cell>
          <cell r="F4251" t="str">
            <v>45721</v>
          </cell>
          <cell r="G4251" t="str">
            <v>駐龍一</v>
          </cell>
          <cell r="H4251">
            <v>100000</v>
          </cell>
          <cell r="I4251">
            <v>3.5</v>
          </cell>
          <cell r="J4251">
            <v>46219</v>
          </cell>
          <cell r="K4251">
            <v>100</v>
          </cell>
          <cell r="L4251">
            <v>46199</v>
          </cell>
          <cell r="M4251">
            <v>-1678</v>
          </cell>
          <cell r="N4251">
            <v>98322</v>
          </cell>
        </row>
        <row r="4252">
          <cell r="A4252">
            <v>68631</v>
          </cell>
          <cell r="B4252">
            <v>4246</v>
          </cell>
          <cell r="C4252" t="str">
            <v>IASWD2411000401</v>
          </cell>
          <cell r="D4252">
            <v>45618</v>
          </cell>
          <cell r="E4252">
            <v>46675</v>
          </cell>
          <cell r="F4252" t="str">
            <v>68631</v>
          </cell>
          <cell r="G4252" t="str">
            <v>永道一KY</v>
          </cell>
          <cell r="H4252">
            <v>500000</v>
          </cell>
          <cell r="I4252">
            <v>4</v>
          </cell>
          <cell r="J4252">
            <v>46675</v>
          </cell>
          <cell r="K4252">
            <v>100</v>
          </cell>
          <cell r="L4252">
            <v>46657</v>
          </cell>
          <cell r="M4252">
            <v>-9534</v>
          </cell>
          <cell r="N4252">
            <v>490466</v>
          </cell>
        </row>
        <row r="4253">
          <cell r="A4253">
            <v>61875</v>
          </cell>
          <cell r="B4253">
            <v>4247</v>
          </cell>
          <cell r="C4253" t="str">
            <v>IASWD2411000402</v>
          </cell>
          <cell r="D4253">
            <v>45618</v>
          </cell>
          <cell r="E4253">
            <v>46578</v>
          </cell>
          <cell r="F4253" t="str">
            <v>61875</v>
          </cell>
          <cell r="G4253" t="str">
            <v>萬潤五</v>
          </cell>
          <cell r="H4253">
            <v>100000</v>
          </cell>
          <cell r="I4253">
            <v>3</v>
          </cell>
          <cell r="J4253">
            <v>46578</v>
          </cell>
          <cell r="K4253">
            <v>100</v>
          </cell>
          <cell r="L4253">
            <v>46560</v>
          </cell>
          <cell r="M4253">
            <v>-1430</v>
          </cell>
          <cell r="N4253">
            <v>98570</v>
          </cell>
        </row>
        <row r="4254">
          <cell r="A4254">
            <v>27323</v>
          </cell>
          <cell r="B4254">
            <v>4248</v>
          </cell>
          <cell r="C4254" t="str">
            <v>IASWD2411000403</v>
          </cell>
          <cell r="D4254">
            <v>45618</v>
          </cell>
          <cell r="E4254">
            <v>46048</v>
          </cell>
          <cell r="F4254" t="str">
            <v>27323</v>
          </cell>
          <cell r="G4254" t="str">
            <v>六角三</v>
          </cell>
          <cell r="H4254">
            <v>100000</v>
          </cell>
          <cell r="I4254">
            <v>3</v>
          </cell>
          <cell r="J4254">
            <v>46048</v>
          </cell>
          <cell r="K4254">
            <v>101</v>
          </cell>
          <cell r="L4254">
            <v>46028</v>
          </cell>
          <cell r="M4254">
            <v>-1430</v>
          </cell>
          <cell r="N4254">
            <v>98570</v>
          </cell>
        </row>
        <row r="4255">
          <cell r="A4255">
            <v>61965</v>
          </cell>
          <cell r="B4255">
            <v>4249</v>
          </cell>
          <cell r="C4255" t="str">
            <v>IASWD2411000404</v>
          </cell>
          <cell r="D4255">
            <v>45618</v>
          </cell>
          <cell r="E4255">
            <v>46200</v>
          </cell>
          <cell r="F4255" t="str">
            <v>61965</v>
          </cell>
          <cell r="G4255" t="str">
            <v>帆宣五</v>
          </cell>
          <cell r="H4255">
            <v>500000</v>
          </cell>
          <cell r="I4255">
            <v>3</v>
          </cell>
          <cell r="J4255">
            <v>46200</v>
          </cell>
          <cell r="K4255">
            <v>100</v>
          </cell>
          <cell r="L4255">
            <v>46182</v>
          </cell>
          <cell r="M4255">
            <v>-7151</v>
          </cell>
          <cell r="N4255">
            <v>492849</v>
          </cell>
        </row>
        <row r="4256">
          <cell r="A4256">
            <v>36894</v>
          </cell>
          <cell r="B4256">
            <v>4250</v>
          </cell>
          <cell r="C4256" t="str">
            <v>IASWD2411000405</v>
          </cell>
          <cell r="D4256">
            <v>45618</v>
          </cell>
          <cell r="E4256">
            <v>46086</v>
          </cell>
          <cell r="F4256" t="str">
            <v>36894</v>
          </cell>
          <cell r="G4256" t="str">
            <v>湧德四</v>
          </cell>
          <cell r="H4256">
            <v>100000</v>
          </cell>
          <cell r="I4256">
            <v>3.25</v>
          </cell>
          <cell r="J4256">
            <v>46086</v>
          </cell>
          <cell r="K4256">
            <v>100</v>
          </cell>
          <cell r="L4256">
            <v>46066</v>
          </cell>
          <cell r="M4256">
            <v>-1549</v>
          </cell>
          <cell r="N4256">
            <v>98451</v>
          </cell>
        </row>
        <row r="4257">
          <cell r="A4257">
            <v>22013</v>
          </cell>
          <cell r="B4257">
            <v>4251</v>
          </cell>
          <cell r="C4257" t="str">
            <v>IASWD2411000406</v>
          </cell>
          <cell r="D4257">
            <v>45618</v>
          </cell>
          <cell r="E4257">
            <v>46167</v>
          </cell>
          <cell r="F4257" t="str">
            <v>22013</v>
          </cell>
          <cell r="G4257" t="str">
            <v>裕隆三</v>
          </cell>
          <cell r="H4257">
            <v>400000</v>
          </cell>
          <cell r="I4257">
            <v>3.25</v>
          </cell>
          <cell r="J4257">
            <v>46167</v>
          </cell>
          <cell r="K4257">
            <v>100.75190000000001</v>
          </cell>
          <cell r="L4257">
            <v>46147</v>
          </cell>
          <cell r="M4257">
            <v>-6197</v>
          </cell>
          <cell r="N4257">
            <v>393803</v>
          </cell>
        </row>
        <row r="4258">
          <cell r="A4258">
            <v>33121</v>
          </cell>
          <cell r="B4258">
            <v>4252</v>
          </cell>
          <cell r="C4258" t="str">
            <v>IASWD2411000408</v>
          </cell>
          <cell r="D4258">
            <v>45618</v>
          </cell>
          <cell r="E4258">
            <v>46563</v>
          </cell>
          <cell r="F4258" t="str">
            <v>33121</v>
          </cell>
          <cell r="G4258" t="str">
            <v>弘憶股一</v>
          </cell>
          <cell r="H4258">
            <v>100000</v>
          </cell>
          <cell r="I4258">
            <v>3.35</v>
          </cell>
          <cell r="J4258">
            <v>46563</v>
          </cell>
          <cell r="K4258">
            <v>100</v>
          </cell>
          <cell r="L4258">
            <v>46545</v>
          </cell>
          <cell r="M4258">
            <v>-1597</v>
          </cell>
          <cell r="N4258">
            <v>98403</v>
          </cell>
        </row>
        <row r="4259">
          <cell r="A4259">
            <v>64145</v>
          </cell>
          <cell r="B4259">
            <v>4253</v>
          </cell>
          <cell r="C4259" t="str">
            <v>IASWD2411000409</v>
          </cell>
          <cell r="D4259">
            <v>45618</v>
          </cell>
          <cell r="E4259">
            <v>46250</v>
          </cell>
          <cell r="F4259" t="str">
            <v>64145</v>
          </cell>
          <cell r="G4259" t="str">
            <v>樺漢五</v>
          </cell>
          <cell r="H4259">
            <v>200000</v>
          </cell>
          <cell r="I4259">
            <v>3</v>
          </cell>
          <cell r="J4259">
            <v>46250</v>
          </cell>
          <cell r="K4259">
            <v>100</v>
          </cell>
          <cell r="L4259">
            <v>46231</v>
          </cell>
          <cell r="M4259">
            <v>-2860</v>
          </cell>
          <cell r="N4259">
            <v>197140</v>
          </cell>
        </row>
        <row r="4260">
          <cell r="A4260">
            <v>34163</v>
          </cell>
          <cell r="B4260">
            <v>4254</v>
          </cell>
          <cell r="C4260" t="str">
            <v>IASWD2411000411</v>
          </cell>
          <cell r="D4260">
            <v>45618</v>
          </cell>
          <cell r="E4260">
            <v>46047</v>
          </cell>
          <cell r="F4260" t="str">
            <v>34163</v>
          </cell>
          <cell r="G4260" t="str">
            <v>融程電三</v>
          </cell>
          <cell r="H4260">
            <v>400000</v>
          </cell>
          <cell r="I4260">
            <v>3</v>
          </cell>
          <cell r="J4260">
            <v>46047</v>
          </cell>
          <cell r="K4260">
            <v>100.5</v>
          </cell>
          <cell r="L4260">
            <v>46028</v>
          </cell>
          <cell r="M4260">
            <v>-5721</v>
          </cell>
          <cell r="N4260">
            <v>394279</v>
          </cell>
        </row>
        <row r="4261">
          <cell r="A4261">
            <v>68631</v>
          </cell>
          <cell r="B4261">
            <v>4255</v>
          </cell>
          <cell r="C4261" t="str">
            <v>IASWD2411000412</v>
          </cell>
          <cell r="D4261">
            <v>45618</v>
          </cell>
          <cell r="E4261">
            <v>46675</v>
          </cell>
          <cell r="F4261" t="str">
            <v>68631</v>
          </cell>
          <cell r="G4261" t="str">
            <v>永道一KY</v>
          </cell>
          <cell r="H4261">
            <v>200000</v>
          </cell>
          <cell r="I4261">
            <v>4</v>
          </cell>
          <cell r="J4261">
            <v>46675</v>
          </cell>
          <cell r="K4261">
            <v>100</v>
          </cell>
          <cell r="L4261">
            <v>46657</v>
          </cell>
          <cell r="M4261">
            <v>-3814</v>
          </cell>
          <cell r="N4261">
            <v>196186</v>
          </cell>
        </row>
        <row r="4262">
          <cell r="A4262">
            <v>22013</v>
          </cell>
          <cell r="B4262">
            <v>4256</v>
          </cell>
          <cell r="C4262" t="str">
            <v>IASWD2411000413</v>
          </cell>
          <cell r="D4262">
            <v>45618</v>
          </cell>
          <cell r="E4262">
            <v>46167</v>
          </cell>
          <cell r="F4262" t="str">
            <v>22013</v>
          </cell>
          <cell r="G4262" t="str">
            <v>裕隆三</v>
          </cell>
          <cell r="H4262">
            <v>1900000</v>
          </cell>
          <cell r="I4262">
            <v>3.25</v>
          </cell>
          <cell r="J4262">
            <v>46167</v>
          </cell>
          <cell r="K4262">
            <v>100.75190000000001</v>
          </cell>
          <cell r="L4262">
            <v>46147</v>
          </cell>
          <cell r="M4262">
            <v>-29437</v>
          </cell>
          <cell r="N4262">
            <v>1870563</v>
          </cell>
        </row>
        <row r="4263">
          <cell r="A4263">
            <v>35832</v>
          </cell>
          <cell r="B4263">
            <v>4257</v>
          </cell>
          <cell r="C4263" t="str">
            <v>IASWD2411000414</v>
          </cell>
          <cell r="D4263">
            <v>45618</v>
          </cell>
          <cell r="E4263">
            <v>46192</v>
          </cell>
          <cell r="F4263" t="str">
            <v>35832</v>
          </cell>
          <cell r="G4263" t="str">
            <v>辛耘二</v>
          </cell>
          <cell r="H4263">
            <v>100000</v>
          </cell>
          <cell r="I4263">
            <v>3</v>
          </cell>
          <cell r="J4263">
            <v>46192</v>
          </cell>
          <cell r="K4263">
            <v>100</v>
          </cell>
          <cell r="L4263">
            <v>46174</v>
          </cell>
          <cell r="M4263">
            <v>-1430</v>
          </cell>
          <cell r="N4263">
            <v>98570</v>
          </cell>
        </row>
        <row r="4264">
          <cell r="A4264">
            <v>61973</v>
          </cell>
          <cell r="B4264">
            <v>4258</v>
          </cell>
          <cell r="C4264" t="str">
            <v>IASWD2411000416</v>
          </cell>
          <cell r="D4264">
            <v>45618</v>
          </cell>
          <cell r="E4264">
            <v>46675</v>
          </cell>
          <cell r="F4264" t="str">
            <v>61973</v>
          </cell>
          <cell r="G4264" t="str">
            <v>佳必琪三</v>
          </cell>
          <cell r="H4264">
            <v>200000</v>
          </cell>
          <cell r="I4264">
            <v>3</v>
          </cell>
          <cell r="J4264">
            <v>46675</v>
          </cell>
          <cell r="K4264">
            <v>100</v>
          </cell>
          <cell r="L4264">
            <v>46657</v>
          </cell>
          <cell r="M4264">
            <v>-2860</v>
          </cell>
          <cell r="N4264">
            <v>197140</v>
          </cell>
        </row>
        <row r="4265">
          <cell r="A4265">
            <v>82992</v>
          </cell>
          <cell r="B4265">
            <v>4259</v>
          </cell>
          <cell r="C4265" t="str">
            <v>IASWD2411000418</v>
          </cell>
          <cell r="D4265">
            <v>45618</v>
          </cell>
          <cell r="E4265">
            <v>46410</v>
          </cell>
          <cell r="F4265" t="str">
            <v>82992</v>
          </cell>
          <cell r="G4265" t="str">
            <v>群聯二</v>
          </cell>
          <cell r="H4265">
            <v>400000</v>
          </cell>
          <cell r="I4265">
            <v>2.6</v>
          </cell>
          <cell r="J4265">
            <v>46410</v>
          </cell>
          <cell r="K4265">
            <v>100</v>
          </cell>
          <cell r="L4265">
            <v>46392</v>
          </cell>
          <cell r="M4265">
            <v>-4958</v>
          </cell>
          <cell r="N4265">
            <v>395042</v>
          </cell>
        </row>
        <row r="4266">
          <cell r="A4266">
            <v>35832</v>
          </cell>
          <cell r="B4266">
            <v>4260</v>
          </cell>
          <cell r="C4266" t="str">
            <v>IASWD2411000419</v>
          </cell>
          <cell r="D4266">
            <v>45618</v>
          </cell>
          <cell r="E4266">
            <v>46192</v>
          </cell>
          <cell r="F4266" t="str">
            <v>35832</v>
          </cell>
          <cell r="G4266" t="str">
            <v>辛耘二</v>
          </cell>
          <cell r="H4266">
            <v>100000</v>
          </cell>
          <cell r="I4266">
            <v>3</v>
          </cell>
          <cell r="J4266">
            <v>46192</v>
          </cell>
          <cell r="K4266">
            <v>100</v>
          </cell>
          <cell r="L4266">
            <v>46174</v>
          </cell>
          <cell r="M4266">
            <v>-1430</v>
          </cell>
          <cell r="N4266">
            <v>98570</v>
          </cell>
        </row>
        <row r="4267">
          <cell r="A4267">
            <v>35832</v>
          </cell>
          <cell r="B4267">
            <v>4261</v>
          </cell>
          <cell r="C4267" t="str">
            <v>IASWD2411000421</v>
          </cell>
          <cell r="D4267">
            <v>45618</v>
          </cell>
          <cell r="E4267">
            <v>46192</v>
          </cell>
          <cell r="F4267" t="str">
            <v>35832</v>
          </cell>
          <cell r="G4267" t="str">
            <v>辛耘二</v>
          </cell>
          <cell r="H4267">
            <v>100000</v>
          </cell>
          <cell r="I4267">
            <v>3</v>
          </cell>
          <cell r="J4267">
            <v>46192</v>
          </cell>
          <cell r="K4267">
            <v>100</v>
          </cell>
          <cell r="L4267">
            <v>46174</v>
          </cell>
          <cell r="M4267">
            <v>-1430</v>
          </cell>
          <cell r="N4267">
            <v>98570</v>
          </cell>
        </row>
        <row r="4268">
          <cell r="A4268">
            <v>50097</v>
          </cell>
          <cell r="B4268">
            <v>4262</v>
          </cell>
          <cell r="C4268" t="str">
            <v>IASWD2411000422</v>
          </cell>
          <cell r="D4268">
            <v>45618</v>
          </cell>
          <cell r="E4268">
            <v>46234</v>
          </cell>
          <cell r="F4268" t="str">
            <v>50097</v>
          </cell>
          <cell r="G4268" t="str">
            <v>榮剛七</v>
          </cell>
          <cell r="H4268">
            <v>100000</v>
          </cell>
          <cell r="I4268">
            <v>4.0999999999999996</v>
          </cell>
          <cell r="J4268">
            <v>46234</v>
          </cell>
          <cell r="K4268">
            <v>101.51</v>
          </cell>
          <cell r="L4268">
            <v>46216</v>
          </cell>
          <cell r="M4268">
            <v>-1955</v>
          </cell>
          <cell r="N4268">
            <v>98045</v>
          </cell>
        </row>
        <row r="4269">
          <cell r="A4269">
            <v>61875</v>
          </cell>
          <cell r="B4269">
            <v>4263</v>
          </cell>
          <cell r="C4269" t="str">
            <v>IASWD2411000423</v>
          </cell>
          <cell r="D4269">
            <v>45621</v>
          </cell>
          <cell r="E4269">
            <v>46578</v>
          </cell>
          <cell r="F4269" t="str">
            <v>61875</v>
          </cell>
          <cell r="G4269" t="str">
            <v>萬潤五</v>
          </cell>
          <cell r="H4269">
            <v>200000</v>
          </cell>
          <cell r="I4269">
            <v>3</v>
          </cell>
          <cell r="J4269">
            <v>46578</v>
          </cell>
          <cell r="K4269">
            <v>100</v>
          </cell>
          <cell r="L4269">
            <v>46560</v>
          </cell>
          <cell r="M4269">
            <v>-2811</v>
          </cell>
          <cell r="N4269">
            <v>197189</v>
          </cell>
        </row>
        <row r="4270">
          <cell r="A4270">
            <v>64145</v>
          </cell>
          <cell r="B4270">
            <v>4264</v>
          </cell>
          <cell r="C4270" t="str">
            <v>IASWD2411000424</v>
          </cell>
          <cell r="D4270">
            <v>45621</v>
          </cell>
          <cell r="E4270">
            <v>46250</v>
          </cell>
          <cell r="F4270" t="str">
            <v>64145</v>
          </cell>
          <cell r="G4270" t="str">
            <v>樺漢五</v>
          </cell>
          <cell r="H4270">
            <v>100000</v>
          </cell>
          <cell r="I4270">
            <v>3</v>
          </cell>
          <cell r="J4270">
            <v>46250</v>
          </cell>
          <cell r="K4270">
            <v>100</v>
          </cell>
          <cell r="L4270">
            <v>46231</v>
          </cell>
          <cell r="M4270">
            <v>-1405</v>
          </cell>
          <cell r="N4270">
            <v>98595</v>
          </cell>
        </row>
        <row r="4271">
          <cell r="A4271">
            <v>61965</v>
          </cell>
          <cell r="B4271">
            <v>4265</v>
          </cell>
          <cell r="C4271" t="str">
            <v>IASWD2411000425</v>
          </cell>
          <cell r="D4271">
            <v>45621</v>
          </cell>
          <cell r="E4271">
            <v>46200</v>
          </cell>
          <cell r="F4271" t="str">
            <v>61965</v>
          </cell>
          <cell r="G4271" t="str">
            <v>帆宣五</v>
          </cell>
          <cell r="H4271">
            <v>200000</v>
          </cell>
          <cell r="I4271">
            <v>3</v>
          </cell>
          <cell r="J4271">
            <v>46200</v>
          </cell>
          <cell r="K4271">
            <v>100</v>
          </cell>
          <cell r="L4271">
            <v>46182</v>
          </cell>
          <cell r="M4271">
            <v>-2811</v>
          </cell>
          <cell r="N4271">
            <v>197189</v>
          </cell>
        </row>
        <row r="4272">
          <cell r="A4272">
            <v>35832</v>
          </cell>
          <cell r="B4272">
            <v>4266</v>
          </cell>
          <cell r="C4272" t="str">
            <v>IASWD2411000426</v>
          </cell>
          <cell r="D4272">
            <v>45621</v>
          </cell>
          <cell r="E4272">
            <v>46192</v>
          </cell>
          <cell r="F4272" t="str">
            <v>35832</v>
          </cell>
          <cell r="G4272" t="str">
            <v>辛耘二</v>
          </cell>
          <cell r="H4272">
            <v>100000</v>
          </cell>
          <cell r="I4272">
            <v>3</v>
          </cell>
          <cell r="J4272">
            <v>46192</v>
          </cell>
          <cell r="K4272">
            <v>100</v>
          </cell>
          <cell r="L4272">
            <v>46174</v>
          </cell>
          <cell r="M4272">
            <v>-1405</v>
          </cell>
          <cell r="N4272">
            <v>98595</v>
          </cell>
        </row>
        <row r="4273">
          <cell r="A4273">
            <v>34163</v>
          </cell>
          <cell r="B4273">
            <v>4267</v>
          </cell>
          <cell r="C4273" t="str">
            <v>IASWD2411000427</v>
          </cell>
          <cell r="D4273">
            <v>45621</v>
          </cell>
          <cell r="E4273">
            <v>46047</v>
          </cell>
          <cell r="F4273" t="str">
            <v>34163</v>
          </cell>
          <cell r="G4273" t="str">
            <v>融程電三</v>
          </cell>
          <cell r="H4273">
            <v>100000</v>
          </cell>
          <cell r="I4273">
            <v>3</v>
          </cell>
          <cell r="J4273">
            <v>46047</v>
          </cell>
          <cell r="K4273">
            <v>100.5</v>
          </cell>
          <cell r="L4273">
            <v>46028</v>
          </cell>
          <cell r="M4273">
            <v>-1405</v>
          </cell>
          <cell r="N4273">
            <v>98595</v>
          </cell>
        </row>
        <row r="4274">
          <cell r="A4274">
            <v>24361</v>
          </cell>
          <cell r="B4274">
            <v>4268</v>
          </cell>
          <cell r="C4274" t="str">
            <v>IASWD2411000428</v>
          </cell>
          <cell r="D4274">
            <v>45621</v>
          </cell>
          <cell r="E4274">
            <v>45911</v>
          </cell>
          <cell r="F4274" t="str">
            <v>24361</v>
          </cell>
          <cell r="G4274" t="str">
            <v>偉詮電一</v>
          </cell>
          <cell r="H4274">
            <v>1200000</v>
          </cell>
          <cell r="I4274">
            <v>3.75</v>
          </cell>
          <cell r="J4274">
            <v>45911</v>
          </cell>
          <cell r="K4274">
            <v>100.50060000000001</v>
          </cell>
          <cell r="L4274">
            <v>45891</v>
          </cell>
          <cell r="M4274">
            <v>-21082</v>
          </cell>
          <cell r="N4274">
            <v>1178918</v>
          </cell>
        </row>
        <row r="4275">
          <cell r="A4275">
            <v>34834</v>
          </cell>
          <cell r="B4275">
            <v>4269</v>
          </cell>
          <cell r="C4275" t="str">
            <v>IASWD2411000429</v>
          </cell>
          <cell r="D4275">
            <v>45621</v>
          </cell>
          <cell r="E4275">
            <v>46529</v>
          </cell>
          <cell r="F4275" t="str">
            <v>34834</v>
          </cell>
          <cell r="G4275" t="str">
            <v>力致四</v>
          </cell>
          <cell r="H4275">
            <v>200000</v>
          </cell>
          <cell r="I4275">
            <v>3.75</v>
          </cell>
          <cell r="J4275">
            <v>46529</v>
          </cell>
          <cell r="K4275">
            <v>100</v>
          </cell>
          <cell r="L4275">
            <v>46511</v>
          </cell>
          <cell r="M4275">
            <v>-3514</v>
          </cell>
          <cell r="N4275">
            <v>196486</v>
          </cell>
        </row>
        <row r="4276">
          <cell r="A4276">
            <v>68631</v>
          </cell>
          <cell r="B4276">
            <v>4270</v>
          </cell>
          <cell r="C4276" t="str">
            <v>IASWD2411000430</v>
          </cell>
          <cell r="D4276">
            <v>45621</v>
          </cell>
          <cell r="E4276">
            <v>46675</v>
          </cell>
          <cell r="F4276" t="str">
            <v>68631</v>
          </cell>
          <cell r="G4276" t="str">
            <v>永道一KY</v>
          </cell>
          <cell r="H4276">
            <v>100000</v>
          </cell>
          <cell r="I4276">
            <v>4</v>
          </cell>
          <cell r="J4276">
            <v>46675</v>
          </cell>
          <cell r="K4276">
            <v>100</v>
          </cell>
          <cell r="L4276">
            <v>46657</v>
          </cell>
          <cell r="M4276">
            <v>-1874</v>
          </cell>
          <cell r="N4276">
            <v>98126</v>
          </cell>
        </row>
        <row r="4277">
          <cell r="A4277">
            <v>50097</v>
          </cell>
          <cell r="B4277">
            <v>4271</v>
          </cell>
          <cell r="C4277" t="str">
            <v>IASWD2411000431</v>
          </cell>
          <cell r="D4277">
            <v>45621</v>
          </cell>
          <cell r="E4277">
            <v>46234</v>
          </cell>
          <cell r="F4277" t="str">
            <v>50097</v>
          </cell>
          <cell r="G4277" t="str">
            <v>榮剛七</v>
          </cell>
          <cell r="H4277">
            <v>100000</v>
          </cell>
          <cell r="I4277">
            <v>4.0999999999999996</v>
          </cell>
          <cell r="J4277">
            <v>46234</v>
          </cell>
          <cell r="K4277">
            <v>101.51</v>
          </cell>
          <cell r="L4277">
            <v>46216</v>
          </cell>
          <cell r="M4277">
            <v>-1921</v>
          </cell>
          <cell r="N4277">
            <v>98079</v>
          </cell>
        </row>
        <row r="4278">
          <cell r="A4278">
            <v>68631</v>
          </cell>
          <cell r="B4278">
            <v>4272</v>
          </cell>
          <cell r="C4278" t="str">
            <v>IASWD2411000432</v>
          </cell>
          <cell r="D4278">
            <v>45621</v>
          </cell>
          <cell r="E4278">
            <v>46675</v>
          </cell>
          <cell r="F4278" t="str">
            <v>68631</v>
          </cell>
          <cell r="G4278" t="str">
            <v>永道一KY</v>
          </cell>
          <cell r="H4278">
            <v>100000</v>
          </cell>
          <cell r="I4278">
            <v>4</v>
          </cell>
          <cell r="J4278">
            <v>46675</v>
          </cell>
          <cell r="K4278">
            <v>100</v>
          </cell>
          <cell r="L4278">
            <v>46657</v>
          </cell>
          <cell r="M4278">
            <v>-1874</v>
          </cell>
          <cell r="N4278">
            <v>98126</v>
          </cell>
        </row>
        <row r="4279">
          <cell r="A4279">
            <v>64145</v>
          </cell>
          <cell r="B4279">
            <v>4273</v>
          </cell>
          <cell r="C4279" t="str">
            <v>IASWD2411000433</v>
          </cell>
          <cell r="D4279">
            <v>45621</v>
          </cell>
          <cell r="E4279">
            <v>46250</v>
          </cell>
          <cell r="F4279" t="str">
            <v>64145</v>
          </cell>
          <cell r="G4279" t="str">
            <v>樺漢五</v>
          </cell>
          <cell r="H4279">
            <v>500000</v>
          </cell>
          <cell r="I4279">
            <v>3</v>
          </cell>
          <cell r="J4279">
            <v>46250</v>
          </cell>
          <cell r="K4279">
            <v>100</v>
          </cell>
          <cell r="L4279">
            <v>46231</v>
          </cell>
          <cell r="M4279">
            <v>-7027</v>
          </cell>
          <cell r="N4279">
            <v>492973</v>
          </cell>
        </row>
        <row r="4280">
          <cell r="A4280">
            <v>61973</v>
          </cell>
          <cell r="B4280">
            <v>4274</v>
          </cell>
          <cell r="C4280" t="str">
            <v>IASWD2411000434</v>
          </cell>
          <cell r="D4280">
            <v>45621</v>
          </cell>
          <cell r="E4280">
            <v>46675</v>
          </cell>
          <cell r="F4280" t="str">
            <v>61973</v>
          </cell>
          <cell r="G4280" t="str">
            <v>佳必琪三</v>
          </cell>
          <cell r="H4280">
            <v>100000</v>
          </cell>
          <cell r="I4280">
            <v>3</v>
          </cell>
          <cell r="J4280">
            <v>46675</v>
          </cell>
          <cell r="K4280">
            <v>100</v>
          </cell>
          <cell r="L4280">
            <v>46657</v>
          </cell>
          <cell r="M4280">
            <v>-1405</v>
          </cell>
          <cell r="N4280">
            <v>98595</v>
          </cell>
        </row>
        <row r="4281">
          <cell r="A4281">
            <v>34163</v>
          </cell>
          <cell r="B4281">
            <v>4275</v>
          </cell>
          <cell r="C4281" t="str">
            <v>IASWD2411000435</v>
          </cell>
          <cell r="D4281">
            <v>45621</v>
          </cell>
          <cell r="E4281">
            <v>46047</v>
          </cell>
          <cell r="F4281" t="str">
            <v>34163</v>
          </cell>
          <cell r="G4281" t="str">
            <v>融程電三</v>
          </cell>
          <cell r="H4281">
            <v>100000</v>
          </cell>
          <cell r="I4281">
            <v>3</v>
          </cell>
          <cell r="J4281">
            <v>46047</v>
          </cell>
          <cell r="K4281">
            <v>100.5</v>
          </cell>
          <cell r="L4281">
            <v>46028</v>
          </cell>
          <cell r="M4281">
            <v>-1405</v>
          </cell>
          <cell r="N4281">
            <v>98595</v>
          </cell>
        </row>
        <row r="4282">
          <cell r="A4282">
            <v>68631</v>
          </cell>
          <cell r="B4282">
            <v>4276</v>
          </cell>
          <cell r="C4282" t="str">
            <v>IASWD2411000436</v>
          </cell>
          <cell r="D4282">
            <v>45621</v>
          </cell>
          <cell r="E4282">
            <v>46675</v>
          </cell>
          <cell r="F4282" t="str">
            <v>68631</v>
          </cell>
          <cell r="G4282" t="str">
            <v>永道一KY</v>
          </cell>
          <cell r="H4282">
            <v>300000</v>
          </cell>
          <cell r="I4282">
            <v>4</v>
          </cell>
          <cell r="J4282">
            <v>46675</v>
          </cell>
          <cell r="K4282">
            <v>100</v>
          </cell>
          <cell r="L4282">
            <v>46657</v>
          </cell>
          <cell r="M4282">
            <v>-5622</v>
          </cell>
          <cell r="N4282">
            <v>294378</v>
          </cell>
        </row>
        <row r="4283">
          <cell r="A4283">
            <v>68631</v>
          </cell>
          <cell r="B4283">
            <v>4277</v>
          </cell>
          <cell r="C4283" t="str">
            <v>IASWD2411000437</v>
          </cell>
          <cell r="D4283">
            <v>45621</v>
          </cell>
          <cell r="E4283">
            <v>46675</v>
          </cell>
          <cell r="F4283" t="str">
            <v>68631</v>
          </cell>
          <cell r="G4283" t="str">
            <v>永道一KY</v>
          </cell>
          <cell r="H4283">
            <v>100000</v>
          </cell>
          <cell r="I4283">
            <v>4</v>
          </cell>
          <cell r="J4283">
            <v>46675</v>
          </cell>
          <cell r="K4283">
            <v>100</v>
          </cell>
          <cell r="L4283">
            <v>46657</v>
          </cell>
          <cell r="M4283">
            <v>-1874</v>
          </cell>
          <cell r="N4283">
            <v>98126</v>
          </cell>
        </row>
        <row r="4284">
          <cell r="A4284">
            <v>61973</v>
          </cell>
          <cell r="B4284">
            <v>4278</v>
          </cell>
          <cell r="C4284" t="str">
            <v>IASWD2411000439</v>
          </cell>
          <cell r="D4284">
            <v>45621</v>
          </cell>
          <cell r="E4284">
            <v>46675</v>
          </cell>
          <cell r="F4284" t="str">
            <v>61973</v>
          </cell>
          <cell r="G4284" t="str">
            <v>佳必琪三</v>
          </cell>
          <cell r="H4284">
            <v>100000</v>
          </cell>
          <cell r="I4284">
            <v>3</v>
          </cell>
          <cell r="J4284">
            <v>46675</v>
          </cell>
          <cell r="K4284">
            <v>100</v>
          </cell>
          <cell r="L4284">
            <v>46657</v>
          </cell>
          <cell r="M4284">
            <v>-1405</v>
          </cell>
          <cell r="N4284">
            <v>98595</v>
          </cell>
        </row>
        <row r="4285">
          <cell r="A4285">
            <v>50097</v>
          </cell>
          <cell r="B4285">
            <v>4279</v>
          </cell>
          <cell r="C4285" t="str">
            <v>IASWD2411000441</v>
          </cell>
          <cell r="D4285">
            <v>45621</v>
          </cell>
          <cell r="E4285">
            <v>46234</v>
          </cell>
          <cell r="F4285" t="str">
            <v>50097</v>
          </cell>
          <cell r="G4285" t="str">
            <v>榮剛七</v>
          </cell>
          <cell r="H4285">
            <v>100000</v>
          </cell>
          <cell r="I4285">
            <v>4.0999999999999996</v>
          </cell>
          <cell r="J4285">
            <v>46234</v>
          </cell>
          <cell r="K4285">
            <v>101.51</v>
          </cell>
          <cell r="L4285">
            <v>46216</v>
          </cell>
          <cell r="M4285">
            <v>-1921</v>
          </cell>
          <cell r="N4285">
            <v>98079</v>
          </cell>
        </row>
        <row r="4286">
          <cell r="A4286">
            <v>64145</v>
          </cell>
          <cell r="B4286">
            <v>4280</v>
          </cell>
          <cell r="C4286" t="str">
            <v>IASWD2411000442</v>
          </cell>
          <cell r="D4286">
            <v>45621</v>
          </cell>
          <cell r="E4286">
            <v>46250</v>
          </cell>
          <cell r="F4286" t="str">
            <v>64145</v>
          </cell>
          <cell r="G4286" t="str">
            <v>樺漢五</v>
          </cell>
          <cell r="H4286">
            <v>100000</v>
          </cell>
          <cell r="I4286">
            <v>3</v>
          </cell>
          <cell r="J4286">
            <v>46250</v>
          </cell>
          <cell r="K4286">
            <v>100</v>
          </cell>
          <cell r="L4286">
            <v>46231</v>
          </cell>
          <cell r="M4286">
            <v>-1405</v>
          </cell>
          <cell r="N4286">
            <v>98595</v>
          </cell>
        </row>
        <row r="4287">
          <cell r="A4287">
            <v>35832</v>
          </cell>
          <cell r="B4287">
            <v>4281</v>
          </cell>
          <cell r="C4287" t="str">
            <v>IASWD2411000443</v>
          </cell>
          <cell r="D4287">
            <v>45621</v>
          </cell>
          <cell r="E4287">
            <v>46192</v>
          </cell>
          <cell r="F4287" t="str">
            <v>35832</v>
          </cell>
          <cell r="G4287" t="str">
            <v>辛耘二</v>
          </cell>
          <cell r="H4287">
            <v>300000</v>
          </cell>
          <cell r="I4287">
            <v>3</v>
          </cell>
          <cell r="J4287">
            <v>46192</v>
          </cell>
          <cell r="K4287">
            <v>100</v>
          </cell>
          <cell r="L4287">
            <v>46174</v>
          </cell>
          <cell r="M4287">
            <v>-4216</v>
          </cell>
          <cell r="N4287">
            <v>295784</v>
          </cell>
        </row>
        <row r="4288">
          <cell r="A4288">
            <v>82992</v>
          </cell>
          <cell r="B4288">
            <v>4282</v>
          </cell>
          <cell r="C4288" t="str">
            <v>IASWD2411000444</v>
          </cell>
          <cell r="D4288">
            <v>45622</v>
          </cell>
          <cell r="E4288">
            <v>46410</v>
          </cell>
          <cell r="F4288" t="str">
            <v>82992</v>
          </cell>
          <cell r="G4288" t="str">
            <v>群聯二</v>
          </cell>
          <cell r="H4288">
            <v>100000</v>
          </cell>
          <cell r="I4288">
            <v>2.6</v>
          </cell>
          <cell r="J4288">
            <v>46410</v>
          </cell>
          <cell r="K4288">
            <v>100</v>
          </cell>
          <cell r="L4288">
            <v>46392</v>
          </cell>
          <cell r="M4288">
            <v>-1211</v>
          </cell>
          <cell r="N4288">
            <v>98789</v>
          </cell>
        </row>
        <row r="4289">
          <cell r="A4289">
            <v>61843</v>
          </cell>
          <cell r="B4289">
            <v>4283</v>
          </cell>
          <cell r="C4289" t="str">
            <v>IASWD2411000445</v>
          </cell>
          <cell r="D4289">
            <v>45622</v>
          </cell>
          <cell r="E4289">
            <v>46452</v>
          </cell>
          <cell r="F4289" t="str">
            <v>61843</v>
          </cell>
          <cell r="G4289" t="str">
            <v>大豐電三</v>
          </cell>
          <cell r="H4289">
            <v>100000</v>
          </cell>
          <cell r="I4289">
            <v>3.75</v>
          </cell>
          <cell r="J4289">
            <v>46452</v>
          </cell>
          <cell r="K4289">
            <v>101.50749999999999</v>
          </cell>
          <cell r="L4289">
            <v>46434</v>
          </cell>
          <cell r="M4289">
            <v>-1747</v>
          </cell>
          <cell r="N4289">
            <v>98253</v>
          </cell>
        </row>
        <row r="4290">
          <cell r="A4290">
            <v>61965</v>
          </cell>
          <cell r="B4290">
            <v>4284</v>
          </cell>
          <cell r="C4290" t="str">
            <v>IASWD2411000446</v>
          </cell>
          <cell r="D4290">
            <v>45622</v>
          </cell>
          <cell r="E4290">
            <v>46200</v>
          </cell>
          <cell r="F4290" t="str">
            <v>61965</v>
          </cell>
          <cell r="G4290" t="str">
            <v>帆宣五</v>
          </cell>
          <cell r="H4290">
            <v>500000</v>
          </cell>
          <cell r="I4290">
            <v>3</v>
          </cell>
          <cell r="J4290">
            <v>46200</v>
          </cell>
          <cell r="K4290">
            <v>100</v>
          </cell>
          <cell r="L4290">
            <v>46182</v>
          </cell>
          <cell r="M4290">
            <v>-6986</v>
          </cell>
          <cell r="N4290">
            <v>493014</v>
          </cell>
        </row>
        <row r="4291">
          <cell r="A4291">
            <v>33244</v>
          </cell>
          <cell r="B4291">
            <v>4285</v>
          </cell>
          <cell r="C4291" t="str">
            <v>IASWD2411000447</v>
          </cell>
          <cell r="D4291">
            <v>45622</v>
          </cell>
          <cell r="E4291">
            <v>45973</v>
          </cell>
          <cell r="F4291" t="str">
            <v>33244</v>
          </cell>
          <cell r="G4291" t="str">
            <v>雙鴻四</v>
          </cell>
          <cell r="H4291">
            <v>200000</v>
          </cell>
          <cell r="I4291">
            <v>2.4</v>
          </cell>
          <cell r="J4291">
            <v>45973</v>
          </cell>
          <cell r="K4291">
            <v>100</v>
          </cell>
          <cell r="L4291">
            <v>45953</v>
          </cell>
          <cell r="M4291">
            <v>-2236</v>
          </cell>
          <cell r="N4291">
            <v>197764</v>
          </cell>
        </row>
        <row r="4292">
          <cell r="A4292">
            <v>50097</v>
          </cell>
          <cell r="B4292">
            <v>4286</v>
          </cell>
          <cell r="C4292" t="str">
            <v>IASWD2411000448</v>
          </cell>
          <cell r="D4292">
            <v>45622</v>
          </cell>
          <cell r="E4292">
            <v>46234</v>
          </cell>
          <cell r="F4292" t="str">
            <v>50097</v>
          </cell>
          <cell r="G4292" t="str">
            <v>榮剛七</v>
          </cell>
          <cell r="H4292">
            <v>200000</v>
          </cell>
          <cell r="I4292">
            <v>4.0999999999999996</v>
          </cell>
          <cell r="J4292">
            <v>46234</v>
          </cell>
          <cell r="K4292">
            <v>101.51</v>
          </cell>
          <cell r="L4292">
            <v>46216</v>
          </cell>
          <cell r="M4292">
            <v>-3819</v>
          </cell>
          <cell r="N4292">
            <v>196181</v>
          </cell>
        </row>
        <row r="4293">
          <cell r="A4293">
            <v>34163</v>
          </cell>
          <cell r="B4293">
            <v>4287</v>
          </cell>
          <cell r="C4293" t="str">
            <v>IASWD2411000449</v>
          </cell>
          <cell r="D4293">
            <v>45622</v>
          </cell>
          <cell r="E4293">
            <v>46047</v>
          </cell>
          <cell r="F4293" t="str">
            <v>34163</v>
          </cell>
          <cell r="G4293" t="str">
            <v>融程電三</v>
          </cell>
          <cell r="H4293">
            <v>1000000</v>
          </cell>
          <cell r="I4293">
            <v>3</v>
          </cell>
          <cell r="J4293">
            <v>46047</v>
          </cell>
          <cell r="K4293">
            <v>100.5</v>
          </cell>
          <cell r="L4293">
            <v>46028</v>
          </cell>
          <cell r="M4293">
            <v>-13973</v>
          </cell>
          <cell r="N4293">
            <v>986027</v>
          </cell>
        </row>
        <row r="4294">
          <cell r="A4294">
            <v>64145</v>
          </cell>
          <cell r="B4294">
            <v>4288</v>
          </cell>
          <cell r="C4294" t="str">
            <v>IASWD2411000450</v>
          </cell>
          <cell r="D4294">
            <v>45622</v>
          </cell>
          <cell r="E4294">
            <v>46250</v>
          </cell>
          <cell r="F4294" t="str">
            <v>64145</v>
          </cell>
          <cell r="G4294" t="str">
            <v>樺漢五</v>
          </cell>
          <cell r="H4294">
            <v>200000</v>
          </cell>
          <cell r="I4294">
            <v>3</v>
          </cell>
          <cell r="J4294">
            <v>46250</v>
          </cell>
          <cell r="K4294">
            <v>100</v>
          </cell>
          <cell r="L4294">
            <v>46231</v>
          </cell>
          <cell r="M4294">
            <v>-2795</v>
          </cell>
          <cell r="N4294">
            <v>197205</v>
          </cell>
        </row>
        <row r="4295">
          <cell r="A4295">
            <v>34843</v>
          </cell>
          <cell r="B4295">
            <v>4289</v>
          </cell>
          <cell r="C4295" t="str">
            <v>IASWD2411000451</v>
          </cell>
          <cell r="D4295">
            <v>45622</v>
          </cell>
          <cell r="E4295">
            <v>46136</v>
          </cell>
          <cell r="F4295" t="str">
            <v>34843</v>
          </cell>
          <cell r="G4295" t="str">
            <v>崧騰三</v>
          </cell>
          <cell r="H4295">
            <v>100000</v>
          </cell>
          <cell r="I4295">
            <v>3.5</v>
          </cell>
          <cell r="J4295">
            <v>46136</v>
          </cell>
          <cell r="K4295">
            <v>100.75</v>
          </cell>
          <cell r="L4295">
            <v>46118</v>
          </cell>
          <cell r="M4295">
            <v>-1630</v>
          </cell>
          <cell r="N4295">
            <v>98370</v>
          </cell>
        </row>
        <row r="4296">
          <cell r="A4296">
            <v>15364</v>
          </cell>
          <cell r="B4296">
            <v>4290</v>
          </cell>
          <cell r="C4296" t="str">
            <v>IASWD2411000452</v>
          </cell>
          <cell r="D4296">
            <v>45623</v>
          </cell>
          <cell r="E4296">
            <v>46246</v>
          </cell>
          <cell r="F4296" t="str">
            <v>15364</v>
          </cell>
          <cell r="G4296" t="str">
            <v>和大四</v>
          </cell>
          <cell r="H4296">
            <v>100000</v>
          </cell>
          <cell r="I4296">
            <v>4</v>
          </cell>
          <cell r="J4296">
            <v>46246</v>
          </cell>
          <cell r="K4296">
            <v>100</v>
          </cell>
          <cell r="L4296">
            <v>46226</v>
          </cell>
          <cell r="M4296">
            <v>-1852</v>
          </cell>
          <cell r="N4296">
            <v>98148</v>
          </cell>
        </row>
        <row r="4297">
          <cell r="A4297">
            <v>34843</v>
          </cell>
          <cell r="B4297">
            <v>4291</v>
          </cell>
          <cell r="C4297" t="str">
            <v>IASWD2411000453</v>
          </cell>
          <cell r="D4297">
            <v>45623</v>
          </cell>
          <cell r="E4297">
            <v>46136</v>
          </cell>
          <cell r="F4297" t="str">
            <v>34843</v>
          </cell>
          <cell r="G4297" t="str">
            <v>崧騰三</v>
          </cell>
          <cell r="H4297">
            <v>100000</v>
          </cell>
          <cell r="I4297">
            <v>3.5</v>
          </cell>
          <cell r="J4297">
            <v>46136</v>
          </cell>
          <cell r="K4297">
            <v>100.75</v>
          </cell>
          <cell r="L4297">
            <v>46118</v>
          </cell>
          <cell r="M4297">
            <v>-1621</v>
          </cell>
          <cell r="N4297">
            <v>98379</v>
          </cell>
        </row>
        <row r="4298">
          <cell r="A4298">
            <v>15364</v>
          </cell>
          <cell r="B4298">
            <v>4292</v>
          </cell>
          <cell r="C4298" t="str">
            <v>IASWD2411000455</v>
          </cell>
          <cell r="D4298">
            <v>45623</v>
          </cell>
          <cell r="E4298">
            <v>46246</v>
          </cell>
          <cell r="F4298" t="str">
            <v>15364</v>
          </cell>
          <cell r="G4298" t="str">
            <v>和大四</v>
          </cell>
          <cell r="H4298">
            <v>200000</v>
          </cell>
          <cell r="I4298">
            <v>4</v>
          </cell>
          <cell r="J4298">
            <v>46246</v>
          </cell>
          <cell r="K4298">
            <v>100</v>
          </cell>
          <cell r="L4298">
            <v>46226</v>
          </cell>
          <cell r="M4298">
            <v>-3704</v>
          </cell>
          <cell r="N4298">
            <v>196296</v>
          </cell>
        </row>
        <row r="4299">
          <cell r="A4299">
            <v>61875</v>
          </cell>
          <cell r="B4299">
            <v>4293</v>
          </cell>
          <cell r="C4299" t="str">
            <v>IASWD2411000456</v>
          </cell>
          <cell r="D4299">
            <v>45623</v>
          </cell>
          <cell r="E4299">
            <v>46578</v>
          </cell>
          <cell r="F4299" t="str">
            <v>61875</v>
          </cell>
          <cell r="G4299" t="str">
            <v>萬潤五</v>
          </cell>
          <cell r="H4299">
            <v>100000</v>
          </cell>
          <cell r="I4299">
            <v>3</v>
          </cell>
          <cell r="J4299">
            <v>46578</v>
          </cell>
          <cell r="K4299">
            <v>100</v>
          </cell>
          <cell r="L4299">
            <v>46560</v>
          </cell>
          <cell r="M4299">
            <v>-1389</v>
          </cell>
          <cell r="N4299">
            <v>98611</v>
          </cell>
        </row>
        <row r="4300">
          <cell r="A4300">
            <v>61875</v>
          </cell>
          <cell r="B4300">
            <v>4294</v>
          </cell>
          <cell r="C4300" t="str">
            <v>IASWD2411000457</v>
          </cell>
          <cell r="D4300">
            <v>45623</v>
          </cell>
          <cell r="E4300">
            <v>46578</v>
          </cell>
          <cell r="F4300" t="str">
            <v>61875</v>
          </cell>
          <cell r="G4300" t="str">
            <v>萬潤五</v>
          </cell>
          <cell r="H4300">
            <v>100000</v>
          </cell>
          <cell r="I4300">
            <v>3</v>
          </cell>
          <cell r="J4300">
            <v>46578</v>
          </cell>
          <cell r="K4300">
            <v>100</v>
          </cell>
          <cell r="L4300">
            <v>46560</v>
          </cell>
          <cell r="M4300">
            <v>-1389</v>
          </cell>
          <cell r="N4300">
            <v>98611</v>
          </cell>
        </row>
        <row r="4301">
          <cell r="A4301">
            <v>15364</v>
          </cell>
          <cell r="B4301">
            <v>4295</v>
          </cell>
          <cell r="C4301" t="str">
            <v>IASWD2411000458</v>
          </cell>
          <cell r="D4301">
            <v>45623</v>
          </cell>
          <cell r="E4301">
            <v>46246</v>
          </cell>
          <cell r="F4301" t="str">
            <v>15364</v>
          </cell>
          <cell r="G4301" t="str">
            <v>和大四</v>
          </cell>
          <cell r="H4301">
            <v>300000</v>
          </cell>
          <cell r="I4301">
            <v>4</v>
          </cell>
          <cell r="J4301">
            <v>46246</v>
          </cell>
          <cell r="K4301">
            <v>100</v>
          </cell>
          <cell r="L4301">
            <v>46226</v>
          </cell>
          <cell r="M4301">
            <v>-5556</v>
          </cell>
          <cell r="N4301">
            <v>294444</v>
          </cell>
        </row>
        <row r="4302">
          <cell r="A4302">
            <v>15364</v>
          </cell>
          <cell r="B4302">
            <v>4296</v>
          </cell>
          <cell r="C4302" t="str">
            <v>IASWD2411000459</v>
          </cell>
          <cell r="D4302">
            <v>45623</v>
          </cell>
          <cell r="E4302">
            <v>46246</v>
          </cell>
          <cell r="F4302" t="str">
            <v>15364</v>
          </cell>
          <cell r="G4302" t="str">
            <v>和大四</v>
          </cell>
          <cell r="H4302">
            <v>100000</v>
          </cell>
          <cell r="I4302">
            <v>4</v>
          </cell>
          <cell r="J4302">
            <v>46246</v>
          </cell>
          <cell r="K4302">
            <v>100</v>
          </cell>
          <cell r="L4302">
            <v>46226</v>
          </cell>
          <cell r="M4302">
            <v>-1852</v>
          </cell>
          <cell r="N4302">
            <v>98148</v>
          </cell>
        </row>
        <row r="4303">
          <cell r="A4303">
            <v>15364</v>
          </cell>
          <cell r="B4303">
            <v>4297</v>
          </cell>
          <cell r="C4303" t="str">
            <v>IASWD2411000460</v>
          </cell>
          <cell r="D4303">
            <v>45623</v>
          </cell>
          <cell r="E4303">
            <v>46246</v>
          </cell>
          <cell r="F4303" t="str">
            <v>15364</v>
          </cell>
          <cell r="G4303" t="str">
            <v>和大四</v>
          </cell>
          <cell r="H4303">
            <v>300000</v>
          </cell>
          <cell r="I4303">
            <v>4</v>
          </cell>
          <cell r="J4303">
            <v>46246</v>
          </cell>
          <cell r="K4303">
            <v>100</v>
          </cell>
          <cell r="L4303">
            <v>46226</v>
          </cell>
          <cell r="M4303">
            <v>-5556</v>
          </cell>
          <cell r="N4303">
            <v>294444</v>
          </cell>
        </row>
        <row r="4304">
          <cell r="A4304">
            <v>80914</v>
          </cell>
          <cell r="B4304">
            <v>4298</v>
          </cell>
          <cell r="C4304" t="str">
            <v>IASWD2411000461</v>
          </cell>
          <cell r="D4304">
            <v>45623</v>
          </cell>
          <cell r="E4304">
            <v>46249</v>
          </cell>
          <cell r="F4304" t="str">
            <v>80914</v>
          </cell>
          <cell r="G4304" t="str">
            <v>翔名四</v>
          </cell>
          <cell r="H4304">
            <v>100000</v>
          </cell>
          <cell r="I4304">
            <v>3</v>
          </cell>
          <cell r="J4304">
            <v>46249</v>
          </cell>
          <cell r="K4304">
            <v>100.25</v>
          </cell>
          <cell r="L4304">
            <v>46231</v>
          </cell>
          <cell r="M4304">
            <v>-1389</v>
          </cell>
          <cell r="N4304">
            <v>98611</v>
          </cell>
        </row>
        <row r="4305">
          <cell r="A4305">
            <v>61965</v>
          </cell>
          <cell r="B4305">
            <v>4299</v>
          </cell>
          <cell r="C4305" t="str">
            <v>IASWD2411000462</v>
          </cell>
          <cell r="D4305">
            <v>45623</v>
          </cell>
          <cell r="E4305">
            <v>46200</v>
          </cell>
          <cell r="F4305" t="str">
            <v>61965</v>
          </cell>
          <cell r="G4305" t="str">
            <v>帆宣五</v>
          </cell>
          <cell r="H4305">
            <v>500000</v>
          </cell>
          <cell r="I4305">
            <v>3</v>
          </cell>
          <cell r="J4305">
            <v>46200</v>
          </cell>
          <cell r="K4305">
            <v>100</v>
          </cell>
          <cell r="L4305">
            <v>46182</v>
          </cell>
          <cell r="M4305">
            <v>-6945</v>
          </cell>
          <cell r="N4305">
            <v>493055</v>
          </cell>
        </row>
        <row r="4306">
          <cell r="A4306">
            <v>24361</v>
          </cell>
          <cell r="B4306">
            <v>4300</v>
          </cell>
          <cell r="C4306" t="str">
            <v>IASWD2411000463</v>
          </cell>
          <cell r="D4306">
            <v>45623</v>
          </cell>
          <cell r="E4306">
            <v>45911</v>
          </cell>
          <cell r="F4306" t="str">
            <v>24361</v>
          </cell>
          <cell r="G4306" t="str">
            <v>偉詮電一</v>
          </cell>
          <cell r="H4306">
            <v>2000000</v>
          </cell>
          <cell r="I4306">
            <v>3.75</v>
          </cell>
          <cell r="J4306">
            <v>45911</v>
          </cell>
          <cell r="K4306">
            <v>100.50060000000001</v>
          </cell>
          <cell r="L4306">
            <v>45891</v>
          </cell>
          <cell r="M4306">
            <v>-34726</v>
          </cell>
          <cell r="N4306">
            <v>1965274</v>
          </cell>
        </row>
        <row r="4307">
          <cell r="A4307">
            <v>33244</v>
          </cell>
          <cell r="B4307">
            <v>4301</v>
          </cell>
          <cell r="C4307" t="str">
            <v>IASWD2411000464</v>
          </cell>
          <cell r="D4307">
            <v>45623</v>
          </cell>
          <cell r="E4307">
            <v>45973</v>
          </cell>
          <cell r="F4307" t="str">
            <v>33244</v>
          </cell>
          <cell r="G4307" t="str">
            <v>雙鴻四</v>
          </cell>
          <cell r="H4307">
            <v>200000</v>
          </cell>
          <cell r="I4307">
            <v>2.4</v>
          </cell>
          <cell r="J4307">
            <v>45973</v>
          </cell>
          <cell r="K4307">
            <v>100</v>
          </cell>
          <cell r="L4307">
            <v>45953</v>
          </cell>
          <cell r="M4307">
            <v>-2222</v>
          </cell>
          <cell r="N4307">
            <v>197778</v>
          </cell>
        </row>
        <row r="4308">
          <cell r="A4308">
            <v>15364</v>
          </cell>
          <cell r="B4308">
            <v>4302</v>
          </cell>
          <cell r="C4308" t="str">
            <v>IASWD2411000525</v>
          </cell>
          <cell r="D4308">
            <v>45624</v>
          </cell>
          <cell r="E4308">
            <v>46246</v>
          </cell>
          <cell r="F4308" t="str">
            <v>15364</v>
          </cell>
          <cell r="G4308" t="str">
            <v>和大四</v>
          </cell>
          <cell r="H4308">
            <v>100000</v>
          </cell>
          <cell r="I4308">
            <v>4</v>
          </cell>
          <cell r="J4308">
            <v>46246</v>
          </cell>
          <cell r="K4308">
            <v>100</v>
          </cell>
          <cell r="L4308">
            <v>46226</v>
          </cell>
          <cell r="M4308">
            <v>-1841</v>
          </cell>
          <cell r="N4308">
            <v>98159</v>
          </cell>
        </row>
        <row r="4309">
          <cell r="A4309">
            <v>50097</v>
          </cell>
          <cell r="B4309">
            <v>4303</v>
          </cell>
          <cell r="C4309" t="str">
            <v>IASWD2411000527</v>
          </cell>
          <cell r="D4309">
            <v>45624</v>
          </cell>
          <cell r="E4309">
            <v>46234</v>
          </cell>
          <cell r="F4309" t="str">
            <v>50097</v>
          </cell>
          <cell r="G4309" t="str">
            <v>榮剛七</v>
          </cell>
          <cell r="H4309">
            <v>200000</v>
          </cell>
          <cell r="I4309">
            <v>4.0999999999999996</v>
          </cell>
          <cell r="J4309">
            <v>46234</v>
          </cell>
          <cell r="K4309">
            <v>101.51</v>
          </cell>
          <cell r="L4309">
            <v>46216</v>
          </cell>
          <cell r="M4309">
            <v>-3774</v>
          </cell>
          <cell r="N4309">
            <v>196226</v>
          </cell>
        </row>
        <row r="4310">
          <cell r="A4310">
            <v>82992</v>
          </cell>
          <cell r="B4310">
            <v>4304</v>
          </cell>
          <cell r="C4310" t="str">
            <v>IASWD2411000528</v>
          </cell>
          <cell r="D4310">
            <v>45624</v>
          </cell>
          <cell r="E4310">
            <v>46410</v>
          </cell>
          <cell r="F4310" t="str">
            <v>82992</v>
          </cell>
          <cell r="G4310" t="str">
            <v>群聯二</v>
          </cell>
          <cell r="H4310">
            <v>100000</v>
          </cell>
          <cell r="I4310">
            <v>2.6</v>
          </cell>
          <cell r="J4310">
            <v>46410</v>
          </cell>
          <cell r="K4310">
            <v>100</v>
          </cell>
          <cell r="L4310">
            <v>46392</v>
          </cell>
          <cell r="M4310">
            <v>-1197</v>
          </cell>
          <cell r="N4310">
            <v>98803</v>
          </cell>
        </row>
        <row r="4311">
          <cell r="A4311">
            <v>35832</v>
          </cell>
          <cell r="B4311">
            <v>4305</v>
          </cell>
          <cell r="C4311" t="str">
            <v>IASWD2411000530</v>
          </cell>
          <cell r="D4311">
            <v>45624</v>
          </cell>
          <cell r="E4311">
            <v>46192</v>
          </cell>
          <cell r="F4311" t="str">
            <v>35832</v>
          </cell>
          <cell r="G4311" t="str">
            <v>辛耘二</v>
          </cell>
          <cell r="H4311">
            <v>200000</v>
          </cell>
          <cell r="I4311">
            <v>3</v>
          </cell>
          <cell r="J4311">
            <v>46192</v>
          </cell>
          <cell r="K4311">
            <v>100</v>
          </cell>
          <cell r="L4311">
            <v>46174</v>
          </cell>
          <cell r="M4311">
            <v>-2762</v>
          </cell>
          <cell r="N4311">
            <v>197238</v>
          </cell>
        </row>
        <row r="4312">
          <cell r="A4312">
            <v>34843</v>
          </cell>
          <cell r="B4312">
            <v>4306</v>
          </cell>
          <cell r="C4312" t="str">
            <v>IASWD2411000531</v>
          </cell>
          <cell r="D4312">
            <v>45624</v>
          </cell>
          <cell r="E4312">
            <v>46136</v>
          </cell>
          <cell r="F4312" t="str">
            <v>34843</v>
          </cell>
          <cell r="G4312" t="str">
            <v>崧騰三</v>
          </cell>
          <cell r="H4312">
            <v>100000</v>
          </cell>
          <cell r="I4312">
            <v>3.5</v>
          </cell>
          <cell r="J4312">
            <v>46136</v>
          </cell>
          <cell r="K4312">
            <v>100.75</v>
          </cell>
          <cell r="L4312">
            <v>46118</v>
          </cell>
          <cell r="M4312">
            <v>-1611</v>
          </cell>
          <cell r="N4312">
            <v>98389</v>
          </cell>
        </row>
        <row r="4313">
          <cell r="A4313">
            <v>35871</v>
          </cell>
          <cell r="B4313">
            <v>4307</v>
          </cell>
          <cell r="C4313" t="str">
            <v>IASWD2411000532</v>
          </cell>
          <cell r="D4313">
            <v>45624</v>
          </cell>
          <cell r="E4313">
            <v>46193</v>
          </cell>
          <cell r="F4313" t="str">
            <v>35871</v>
          </cell>
          <cell r="G4313" t="str">
            <v>閎康一</v>
          </cell>
          <cell r="H4313">
            <v>300000</v>
          </cell>
          <cell r="I4313">
            <v>2.6</v>
          </cell>
          <cell r="J4313">
            <v>46193</v>
          </cell>
          <cell r="K4313">
            <v>100</v>
          </cell>
          <cell r="L4313">
            <v>46175</v>
          </cell>
          <cell r="M4313">
            <v>-3590</v>
          </cell>
          <cell r="N4313">
            <v>296410</v>
          </cell>
        </row>
        <row r="4314">
          <cell r="A4314">
            <v>35832</v>
          </cell>
          <cell r="B4314">
            <v>4308</v>
          </cell>
          <cell r="C4314" t="str">
            <v>IASWD2411000533</v>
          </cell>
          <cell r="D4314">
            <v>45624</v>
          </cell>
          <cell r="E4314">
            <v>46192</v>
          </cell>
          <cell r="F4314" t="str">
            <v>35832</v>
          </cell>
          <cell r="G4314" t="str">
            <v>辛耘二</v>
          </cell>
          <cell r="H4314">
            <v>100000</v>
          </cell>
          <cell r="I4314">
            <v>3</v>
          </cell>
          <cell r="J4314">
            <v>46192</v>
          </cell>
          <cell r="K4314">
            <v>100</v>
          </cell>
          <cell r="L4314">
            <v>46174</v>
          </cell>
          <cell r="M4314">
            <v>-1381</v>
          </cell>
          <cell r="N4314">
            <v>98619</v>
          </cell>
        </row>
        <row r="4315">
          <cell r="A4315">
            <v>35832</v>
          </cell>
          <cell r="B4315">
            <v>4309</v>
          </cell>
          <cell r="C4315" t="str">
            <v>IASWD2411000536</v>
          </cell>
          <cell r="D4315">
            <v>45624</v>
          </cell>
          <cell r="E4315">
            <v>46192</v>
          </cell>
          <cell r="F4315" t="str">
            <v>35832</v>
          </cell>
          <cell r="G4315" t="str">
            <v>辛耘二</v>
          </cell>
          <cell r="H4315">
            <v>100000</v>
          </cell>
          <cell r="I4315">
            <v>3</v>
          </cell>
          <cell r="J4315">
            <v>46192</v>
          </cell>
          <cell r="K4315">
            <v>100</v>
          </cell>
          <cell r="L4315">
            <v>46174</v>
          </cell>
          <cell r="M4315">
            <v>-1381</v>
          </cell>
          <cell r="N4315">
            <v>98619</v>
          </cell>
        </row>
        <row r="4316">
          <cell r="A4316">
            <v>15364</v>
          </cell>
          <cell r="B4316">
            <v>4310</v>
          </cell>
          <cell r="C4316" t="str">
            <v>IASWD2411000537</v>
          </cell>
          <cell r="D4316">
            <v>45624</v>
          </cell>
          <cell r="E4316">
            <v>46246</v>
          </cell>
          <cell r="F4316" t="str">
            <v>15364</v>
          </cell>
          <cell r="G4316" t="str">
            <v>和大四</v>
          </cell>
          <cell r="H4316">
            <v>100000</v>
          </cell>
          <cell r="I4316">
            <v>4</v>
          </cell>
          <cell r="J4316">
            <v>46246</v>
          </cell>
          <cell r="K4316">
            <v>100</v>
          </cell>
          <cell r="L4316">
            <v>46226</v>
          </cell>
          <cell r="M4316">
            <v>-1841</v>
          </cell>
          <cell r="N4316">
            <v>98159</v>
          </cell>
        </row>
        <row r="4317">
          <cell r="A4317">
            <v>30882</v>
          </cell>
          <cell r="B4317">
            <v>4311</v>
          </cell>
          <cell r="C4317" t="str">
            <v>IASWD2411000538</v>
          </cell>
          <cell r="D4317">
            <v>45624</v>
          </cell>
          <cell r="E4317">
            <v>46262</v>
          </cell>
          <cell r="F4317" t="str">
            <v>30882</v>
          </cell>
          <cell r="G4317" t="str">
            <v>艾訊二</v>
          </cell>
          <cell r="H4317">
            <v>900000</v>
          </cell>
          <cell r="I4317">
            <v>3.25</v>
          </cell>
          <cell r="J4317">
            <v>46262</v>
          </cell>
          <cell r="K4317">
            <v>100</v>
          </cell>
          <cell r="L4317">
            <v>46244</v>
          </cell>
          <cell r="M4317">
            <v>-13463</v>
          </cell>
          <cell r="N4317">
            <v>886537</v>
          </cell>
        </row>
        <row r="4318">
          <cell r="A4318">
            <v>15364</v>
          </cell>
          <cell r="B4318">
            <v>4312</v>
          </cell>
          <cell r="C4318" t="str">
            <v>IASWD2411000539</v>
          </cell>
          <cell r="D4318">
            <v>45624</v>
          </cell>
          <cell r="E4318">
            <v>46246</v>
          </cell>
          <cell r="F4318" t="str">
            <v>15364</v>
          </cell>
          <cell r="G4318" t="str">
            <v>和大四</v>
          </cell>
          <cell r="H4318">
            <v>100000</v>
          </cell>
          <cell r="I4318">
            <v>4</v>
          </cell>
          <cell r="J4318">
            <v>46246</v>
          </cell>
          <cell r="K4318">
            <v>100</v>
          </cell>
          <cell r="L4318">
            <v>46226</v>
          </cell>
          <cell r="M4318">
            <v>-1841</v>
          </cell>
          <cell r="N4318">
            <v>98159</v>
          </cell>
        </row>
        <row r="4319">
          <cell r="A4319">
            <v>50097</v>
          </cell>
          <cell r="B4319">
            <v>4313</v>
          </cell>
          <cell r="C4319" t="str">
            <v>IASWD2411000540</v>
          </cell>
          <cell r="D4319">
            <v>45624</v>
          </cell>
          <cell r="E4319">
            <v>46234</v>
          </cell>
          <cell r="F4319" t="str">
            <v>50097</v>
          </cell>
          <cell r="G4319" t="str">
            <v>榮剛七</v>
          </cell>
          <cell r="H4319">
            <v>100000</v>
          </cell>
          <cell r="I4319">
            <v>4.0999999999999996</v>
          </cell>
          <cell r="J4319">
            <v>46234</v>
          </cell>
          <cell r="K4319">
            <v>101.51</v>
          </cell>
          <cell r="L4319">
            <v>46216</v>
          </cell>
          <cell r="M4319">
            <v>-1887</v>
          </cell>
          <cell r="N4319">
            <v>98113</v>
          </cell>
        </row>
        <row r="4320">
          <cell r="A4320">
            <v>68631</v>
          </cell>
          <cell r="B4320">
            <v>4314</v>
          </cell>
          <cell r="C4320" t="str">
            <v>IASWD2411000541</v>
          </cell>
          <cell r="D4320">
            <v>45624</v>
          </cell>
          <cell r="E4320">
            <v>46675</v>
          </cell>
          <cell r="F4320" t="str">
            <v>68631</v>
          </cell>
          <cell r="G4320" t="str">
            <v>永道一KY</v>
          </cell>
          <cell r="H4320">
            <v>200000</v>
          </cell>
          <cell r="I4320">
            <v>4</v>
          </cell>
          <cell r="J4320">
            <v>46675</v>
          </cell>
          <cell r="K4320">
            <v>100</v>
          </cell>
          <cell r="L4320">
            <v>46657</v>
          </cell>
          <cell r="M4320">
            <v>-3682</v>
          </cell>
          <cell r="N4320">
            <v>196318</v>
          </cell>
        </row>
        <row r="4321">
          <cell r="A4321">
            <v>15364</v>
          </cell>
          <cell r="B4321">
            <v>4315</v>
          </cell>
          <cell r="C4321" t="str">
            <v>IASWD2411000542</v>
          </cell>
          <cell r="D4321">
            <v>45624</v>
          </cell>
          <cell r="E4321">
            <v>46246</v>
          </cell>
          <cell r="F4321" t="str">
            <v>15364</v>
          </cell>
          <cell r="G4321" t="str">
            <v>和大四</v>
          </cell>
          <cell r="H4321">
            <v>200000</v>
          </cell>
          <cell r="I4321">
            <v>4</v>
          </cell>
          <cell r="J4321">
            <v>46246</v>
          </cell>
          <cell r="K4321">
            <v>100</v>
          </cell>
          <cell r="L4321">
            <v>46226</v>
          </cell>
          <cell r="M4321">
            <v>-3682</v>
          </cell>
          <cell r="N4321">
            <v>196318</v>
          </cell>
        </row>
        <row r="4322">
          <cell r="A4322">
            <v>27323</v>
          </cell>
          <cell r="B4322">
            <v>4316</v>
          </cell>
          <cell r="C4322" t="str">
            <v>IASWD2411000543</v>
          </cell>
          <cell r="D4322">
            <v>45624</v>
          </cell>
          <cell r="E4322">
            <v>46048</v>
          </cell>
          <cell r="F4322" t="str">
            <v>27323</v>
          </cell>
          <cell r="G4322" t="str">
            <v>六角三</v>
          </cell>
          <cell r="H4322">
            <v>100000</v>
          </cell>
          <cell r="I4322">
            <v>3</v>
          </cell>
          <cell r="J4322">
            <v>46048</v>
          </cell>
          <cell r="K4322">
            <v>101</v>
          </cell>
          <cell r="L4322">
            <v>46028</v>
          </cell>
          <cell r="M4322">
            <v>-1381</v>
          </cell>
          <cell r="N4322">
            <v>98619</v>
          </cell>
        </row>
        <row r="4323">
          <cell r="A4323">
            <v>15364</v>
          </cell>
          <cell r="B4323">
            <v>4317</v>
          </cell>
          <cell r="C4323" t="str">
            <v>IASWD2411000545</v>
          </cell>
          <cell r="D4323">
            <v>45625</v>
          </cell>
          <cell r="E4323">
            <v>46246</v>
          </cell>
          <cell r="F4323" t="str">
            <v>15364</v>
          </cell>
          <cell r="G4323" t="str">
            <v>和大四</v>
          </cell>
          <cell r="H4323">
            <v>100000</v>
          </cell>
          <cell r="I4323">
            <v>4</v>
          </cell>
          <cell r="J4323">
            <v>46246</v>
          </cell>
          <cell r="K4323">
            <v>100</v>
          </cell>
          <cell r="L4323">
            <v>46226</v>
          </cell>
          <cell r="M4323">
            <v>-1830</v>
          </cell>
          <cell r="N4323">
            <v>98170</v>
          </cell>
        </row>
        <row r="4324">
          <cell r="A4324">
            <v>50097</v>
          </cell>
          <cell r="B4324">
            <v>4318</v>
          </cell>
          <cell r="C4324" t="str">
            <v>IASWD2411000546</v>
          </cell>
          <cell r="D4324">
            <v>45625</v>
          </cell>
          <cell r="E4324">
            <v>46234</v>
          </cell>
          <cell r="F4324" t="str">
            <v>50097</v>
          </cell>
          <cell r="G4324" t="str">
            <v>榮剛七</v>
          </cell>
          <cell r="H4324">
            <v>100000</v>
          </cell>
          <cell r="I4324">
            <v>4.0999999999999996</v>
          </cell>
          <cell r="J4324">
            <v>46234</v>
          </cell>
          <cell r="K4324">
            <v>101.51</v>
          </cell>
          <cell r="L4324">
            <v>46216</v>
          </cell>
          <cell r="M4324">
            <v>-1876</v>
          </cell>
          <cell r="N4324">
            <v>98124</v>
          </cell>
        </row>
        <row r="4325">
          <cell r="A4325">
            <v>82992</v>
          </cell>
          <cell r="B4325">
            <v>4319</v>
          </cell>
          <cell r="C4325" t="str">
            <v>IASWD2411000547</v>
          </cell>
          <cell r="D4325">
            <v>45625</v>
          </cell>
          <cell r="E4325">
            <v>46410</v>
          </cell>
          <cell r="F4325" t="str">
            <v>82992</v>
          </cell>
          <cell r="G4325" t="str">
            <v>群聯二</v>
          </cell>
          <cell r="H4325">
            <v>3200000</v>
          </cell>
          <cell r="I4325">
            <v>2.6</v>
          </cell>
          <cell r="J4325">
            <v>46410</v>
          </cell>
          <cell r="K4325">
            <v>100</v>
          </cell>
          <cell r="L4325">
            <v>46392</v>
          </cell>
          <cell r="M4325">
            <v>-38067</v>
          </cell>
          <cell r="N4325">
            <v>3161933</v>
          </cell>
        </row>
        <row r="4326">
          <cell r="A4326">
            <v>22013</v>
          </cell>
          <cell r="B4326">
            <v>4320</v>
          </cell>
          <cell r="C4326" t="str">
            <v>IASWD2411000548</v>
          </cell>
          <cell r="D4326">
            <v>45625</v>
          </cell>
          <cell r="E4326">
            <v>46167</v>
          </cell>
          <cell r="F4326" t="str">
            <v>22013</v>
          </cell>
          <cell r="G4326" t="str">
            <v>裕隆三</v>
          </cell>
          <cell r="H4326">
            <v>100000</v>
          </cell>
          <cell r="I4326">
            <v>3.25</v>
          </cell>
          <cell r="J4326">
            <v>46167</v>
          </cell>
          <cell r="K4326">
            <v>100.75190000000001</v>
          </cell>
          <cell r="L4326">
            <v>46147</v>
          </cell>
          <cell r="M4326">
            <v>-1487</v>
          </cell>
          <cell r="N4326">
            <v>98513</v>
          </cell>
        </row>
        <row r="4327">
          <cell r="A4327">
            <v>22013</v>
          </cell>
          <cell r="B4327">
            <v>4321</v>
          </cell>
          <cell r="C4327" t="str">
            <v>IASWD2411000549</v>
          </cell>
          <cell r="D4327">
            <v>45625</v>
          </cell>
          <cell r="E4327">
            <v>46167</v>
          </cell>
          <cell r="F4327" t="str">
            <v>22013</v>
          </cell>
          <cell r="G4327" t="str">
            <v>裕隆三</v>
          </cell>
          <cell r="H4327">
            <v>100000</v>
          </cell>
          <cell r="I4327">
            <v>3.25</v>
          </cell>
          <cell r="J4327">
            <v>46167</v>
          </cell>
          <cell r="K4327">
            <v>100.75190000000001</v>
          </cell>
          <cell r="L4327">
            <v>46147</v>
          </cell>
          <cell r="M4327">
            <v>-1487</v>
          </cell>
          <cell r="N4327">
            <v>98513</v>
          </cell>
        </row>
        <row r="4328">
          <cell r="A4328">
            <v>15364</v>
          </cell>
          <cell r="B4328">
            <v>4322</v>
          </cell>
          <cell r="C4328" t="str">
            <v>IASWD2411000550</v>
          </cell>
          <cell r="D4328">
            <v>45625</v>
          </cell>
          <cell r="E4328">
            <v>46246</v>
          </cell>
          <cell r="F4328" t="str">
            <v>15364</v>
          </cell>
          <cell r="G4328" t="str">
            <v>和大四</v>
          </cell>
          <cell r="H4328">
            <v>100000</v>
          </cell>
          <cell r="I4328">
            <v>4</v>
          </cell>
          <cell r="J4328">
            <v>46246</v>
          </cell>
          <cell r="K4328">
            <v>100</v>
          </cell>
          <cell r="L4328">
            <v>46226</v>
          </cell>
          <cell r="M4328">
            <v>-1830</v>
          </cell>
          <cell r="N4328">
            <v>98170</v>
          </cell>
        </row>
        <row r="4329">
          <cell r="A4329">
            <v>84673</v>
          </cell>
          <cell r="B4329">
            <v>4323</v>
          </cell>
          <cell r="C4329" t="str">
            <v>IASWD2411000551</v>
          </cell>
          <cell r="D4329">
            <v>45625</v>
          </cell>
          <cell r="E4329">
            <v>46538</v>
          </cell>
          <cell r="F4329" t="str">
            <v>84673</v>
          </cell>
          <cell r="G4329" t="str">
            <v>波力三KY</v>
          </cell>
          <cell r="H4329">
            <v>200000</v>
          </cell>
          <cell r="I4329">
            <v>4.2</v>
          </cell>
          <cell r="J4329">
            <v>46538</v>
          </cell>
          <cell r="K4329">
            <v>100</v>
          </cell>
          <cell r="L4329">
            <v>46518</v>
          </cell>
          <cell r="M4329">
            <v>-3843</v>
          </cell>
          <cell r="N4329">
            <v>196157</v>
          </cell>
        </row>
        <row r="4330">
          <cell r="A4330">
            <v>15364</v>
          </cell>
          <cell r="B4330">
            <v>4324</v>
          </cell>
          <cell r="C4330" t="str">
            <v>IASWD2411000552</v>
          </cell>
          <cell r="D4330">
            <v>45625</v>
          </cell>
          <cell r="E4330">
            <v>46246</v>
          </cell>
          <cell r="F4330" t="str">
            <v>15364</v>
          </cell>
          <cell r="G4330" t="str">
            <v>和大四</v>
          </cell>
          <cell r="H4330">
            <v>100000</v>
          </cell>
          <cell r="I4330">
            <v>4</v>
          </cell>
          <cell r="J4330">
            <v>46246</v>
          </cell>
          <cell r="K4330">
            <v>100</v>
          </cell>
          <cell r="L4330">
            <v>46226</v>
          </cell>
          <cell r="M4330">
            <v>-1830</v>
          </cell>
          <cell r="N4330">
            <v>98170</v>
          </cell>
        </row>
        <row r="4331">
          <cell r="A4331">
            <v>15364</v>
          </cell>
          <cell r="B4331">
            <v>4325</v>
          </cell>
          <cell r="C4331" t="str">
            <v>IASWD2411000553</v>
          </cell>
          <cell r="D4331">
            <v>45625</v>
          </cell>
          <cell r="E4331">
            <v>46246</v>
          </cell>
          <cell r="F4331" t="str">
            <v>15364</v>
          </cell>
          <cell r="G4331" t="str">
            <v>和大四</v>
          </cell>
          <cell r="H4331">
            <v>100000</v>
          </cell>
          <cell r="I4331">
            <v>4</v>
          </cell>
          <cell r="J4331">
            <v>46246</v>
          </cell>
          <cell r="K4331">
            <v>100</v>
          </cell>
          <cell r="L4331">
            <v>46226</v>
          </cell>
          <cell r="M4331">
            <v>-1830</v>
          </cell>
          <cell r="N4331">
            <v>98170</v>
          </cell>
        </row>
        <row r="4332">
          <cell r="A4332">
            <v>61973</v>
          </cell>
          <cell r="B4332">
            <v>4326</v>
          </cell>
          <cell r="C4332" t="str">
            <v>IASWD2411000554</v>
          </cell>
          <cell r="D4332">
            <v>45625</v>
          </cell>
          <cell r="E4332">
            <v>46675</v>
          </cell>
          <cell r="F4332" t="str">
            <v>61973</v>
          </cell>
          <cell r="G4332" t="str">
            <v>佳必琪三</v>
          </cell>
          <cell r="H4332">
            <v>300000</v>
          </cell>
          <cell r="I4332">
            <v>3</v>
          </cell>
          <cell r="J4332">
            <v>46675</v>
          </cell>
          <cell r="K4332">
            <v>100</v>
          </cell>
          <cell r="L4332">
            <v>46657</v>
          </cell>
          <cell r="M4332">
            <v>-4118</v>
          </cell>
          <cell r="N4332">
            <v>295882</v>
          </cell>
        </row>
        <row r="4333">
          <cell r="A4333">
            <v>30882</v>
          </cell>
          <cell r="B4333">
            <v>4327</v>
          </cell>
          <cell r="C4333" t="str">
            <v>IASWD2411000555</v>
          </cell>
          <cell r="D4333">
            <v>45625</v>
          </cell>
          <cell r="E4333">
            <v>46262</v>
          </cell>
          <cell r="F4333" t="str">
            <v>30882</v>
          </cell>
          <cell r="G4333" t="str">
            <v>艾訊二</v>
          </cell>
          <cell r="H4333">
            <v>500000</v>
          </cell>
          <cell r="I4333">
            <v>3.25</v>
          </cell>
          <cell r="J4333">
            <v>46262</v>
          </cell>
          <cell r="K4333">
            <v>100</v>
          </cell>
          <cell r="L4333">
            <v>46244</v>
          </cell>
          <cell r="M4333">
            <v>-7435</v>
          </cell>
          <cell r="N4333">
            <v>492565</v>
          </cell>
        </row>
        <row r="4334">
          <cell r="A4334">
            <v>35832</v>
          </cell>
          <cell r="B4334">
            <v>4328</v>
          </cell>
          <cell r="C4334" t="str">
            <v>IASWD2411000557</v>
          </cell>
          <cell r="D4334">
            <v>45625</v>
          </cell>
          <cell r="E4334">
            <v>46192</v>
          </cell>
          <cell r="F4334" t="str">
            <v>35832</v>
          </cell>
          <cell r="G4334" t="str">
            <v>辛耘二</v>
          </cell>
          <cell r="H4334">
            <v>100000</v>
          </cell>
          <cell r="I4334">
            <v>3</v>
          </cell>
          <cell r="J4334">
            <v>46192</v>
          </cell>
          <cell r="K4334">
            <v>100</v>
          </cell>
          <cell r="L4334">
            <v>46174</v>
          </cell>
          <cell r="M4334">
            <v>-1373</v>
          </cell>
          <cell r="N4334">
            <v>98627</v>
          </cell>
        </row>
        <row r="4335">
          <cell r="A4335">
            <v>27323</v>
          </cell>
          <cell r="B4335">
            <v>4329</v>
          </cell>
          <cell r="C4335" t="str">
            <v>IASWD2411000558</v>
          </cell>
          <cell r="D4335">
            <v>45625</v>
          </cell>
          <cell r="E4335">
            <v>46048</v>
          </cell>
          <cell r="F4335" t="str">
            <v>27323</v>
          </cell>
          <cell r="G4335" t="str">
            <v>六角三</v>
          </cell>
          <cell r="H4335">
            <v>100000</v>
          </cell>
          <cell r="I4335">
            <v>3</v>
          </cell>
          <cell r="J4335">
            <v>46048</v>
          </cell>
          <cell r="K4335">
            <v>101</v>
          </cell>
          <cell r="L4335">
            <v>46028</v>
          </cell>
          <cell r="M4335">
            <v>-1373</v>
          </cell>
          <cell r="N4335">
            <v>98627</v>
          </cell>
        </row>
        <row r="4336">
          <cell r="A4336">
            <v>50097</v>
          </cell>
          <cell r="B4336">
            <v>4330</v>
          </cell>
          <cell r="C4336" t="str">
            <v>IASWD2411000559</v>
          </cell>
          <cell r="D4336">
            <v>45625</v>
          </cell>
          <cell r="E4336">
            <v>46234</v>
          </cell>
          <cell r="F4336" t="str">
            <v>50097</v>
          </cell>
          <cell r="G4336" t="str">
            <v>榮剛七</v>
          </cell>
          <cell r="H4336">
            <v>100000</v>
          </cell>
          <cell r="I4336">
            <v>4.0999999999999996</v>
          </cell>
          <cell r="J4336">
            <v>46234</v>
          </cell>
          <cell r="K4336">
            <v>101.51</v>
          </cell>
          <cell r="L4336">
            <v>46216</v>
          </cell>
          <cell r="M4336">
            <v>-1876</v>
          </cell>
          <cell r="N4336">
            <v>98124</v>
          </cell>
        </row>
        <row r="4337">
          <cell r="A4337">
            <v>68631</v>
          </cell>
          <cell r="B4337">
            <v>4331</v>
          </cell>
          <cell r="C4337" t="str">
            <v>IASWD2411000560</v>
          </cell>
          <cell r="D4337">
            <v>45625</v>
          </cell>
          <cell r="E4337">
            <v>46675</v>
          </cell>
          <cell r="F4337" t="str">
            <v>68631</v>
          </cell>
          <cell r="G4337" t="str">
            <v>永道一KY</v>
          </cell>
          <cell r="H4337">
            <v>100000</v>
          </cell>
          <cell r="I4337">
            <v>4</v>
          </cell>
          <cell r="J4337">
            <v>46675</v>
          </cell>
          <cell r="K4337">
            <v>100</v>
          </cell>
          <cell r="L4337">
            <v>46657</v>
          </cell>
          <cell r="M4337">
            <v>-1830</v>
          </cell>
          <cell r="N4337">
            <v>98170</v>
          </cell>
        </row>
        <row r="4338">
          <cell r="A4338">
            <v>27323</v>
          </cell>
          <cell r="B4338">
            <v>4332</v>
          </cell>
          <cell r="C4338" t="str">
            <v>IASWD2412000001</v>
          </cell>
          <cell r="D4338">
            <v>45628</v>
          </cell>
          <cell r="E4338">
            <v>46048</v>
          </cell>
          <cell r="F4338" t="str">
            <v>27323</v>
          </cell>
          <cell r="G4338" t="str">
            <v>六角三</v>
          </cell>
          <cell r="H4338">
            <v>100000</v>
          </cell>
          <cell r="I4338">
            <v>3</v>
          </cell>
          <cell r="J4338">
            <v>46048</v>
          </cell>
          <cell r="K4338">
            <v>101</v>
          </cell>
          <cell r="L4338">
            <v>46028</v>
          </cell>
          <cell r="M4338">
            <v>-1348</v>
          </cell>
          <cell r="N4338">
            <v>98652</v>
          </cell>
        </row>
        <row r="4339">
          <cell r="A4339">
            <v>61394</v>
          </cell>
          <cell r="B4339">
            <v>4333</v>
          </cell>
          <cell r="C4339" t="str">
            <v>IASWD2412000002</v>
          </cell>
          <cell r="D4339">
            <v>45628</v>
          </cell>
          <cell r="E4339">
            <v>46047</v>
          </cell>
          <cell r="F4339" t="str">
            <v>61394</v>
          </cell>
          <cell r="G4339" t="str">
            <v>亞翔四</v>
          </cell>
          <cell r="H4339">
            <v>300000</v>
          </cell>
          <cell r="I4339">
            <v>3</v>
          </cell>
          <cell r="J4339">
            <v>46047</v>
          </cell>
          <cell r="K4339">
            <v>101.0025</v>
          </cell>
          <cell r="L4339">
            <v>46028</v>
          </cell>
          <cell r="M4339">
            <v>-4044</v>
          </cell>
          <cell r="N4339">
            <v>295956</v>
          </cell>
        </row>
        <row r="4340">
          <cell r="A4340">
            <v>56086</v>
          </cell>
          <cell r="B4340">
            <v>4334</v>
          </cell>
          <cell r="C4340" t="str">
            <v>IASWD2412000003</v>
          </cell>
          <cell r="D4340">
            <v>45628</v>
          </cell>
          <cell r="E4340">
            <v>46194</v>
          </cell>
          <cell r="F4340" t="str">
            <v>56086</v>
          </cell>
          <cell r="G4340" t="str">
            <v>四維航六</v>
          </cell>
          <cell r="H4340">
            <v>100000</v>
          </cell>
          <cell r="I4340">
            <v>2.35</v>
          </cell>
          <cell r="J4340">
            <v>46194</v>
          </cell>
          <cell r="K4340">
            <v>100</v>
          </cell>
          <cell r="L4340">
            <v>46175</v>
          </cell>
          <cell r="M4340">
            <v>-1056</v>
          </cell>
          <cell r="N4340">
            <v>98944</v>
          </cell>
        </row>
        <row r="4341">
          <cell r="A4341">
            <v>34163</v>
          </cell>
          <cell r="B4341">
            <v>4335</v>
          </cell>
          <cell r="C4341" t="str">
            <v>IASWD2412000005</v>
          </cell>
          <cell r="D4341">
            <v>45628</v>
          </cell>
          <cell r="E4341">
            <v>46047</v>
          </cell>
          <cell r="F4341" t="str">
            <v>34163</v>
          </cell>
          <cell r="G4341" t="str">
            <v>融程電三</v>
          </cell>
          <cell r="H4341">
            <v>300000</v>
          </cell>
          <cell r="I4341">
            <v>3</v>
          </cell>
          <cell r="J4341">
            <v>46047</v>
          </cell>
          <cell r="K4341">
            <v>100.5</v>
          </cell>
          <cell r="L4341">
            <v>46028</v>
          </cell>
          <cell r="M4341">
            <v>-4044</v>
          </cell>
          <cell r="N4341">
            <v>295956</v>
          </cell>
        </row>
        <row r="4342">
          <cell r="A4342">
            <v>35871</v>
          </cell>
          <cell r="B4342">
            <v>4336</v>
          </cell>
          <cell r="C4342" t="str">
            <v>IASWD2412000006</v>
          </cell>
          <cell r="D4342">
            <v>45628</v>
          </cell>
          <cell r="E4342">
            <v>46193</v>
          </cell>
          <cell r="F4342" t="str">
            <v>35871</v>
          </cell>
          <cell r="G4342" t="str">
            <v>閎康一</v>
          </cell>
          <cell r="H4342">
            <v>200000</v>
          </cell>
          <cell r="I4342">
            <v>2.6</v>
          </cell>
          <cell r="J4342">
            <v>46193</v>
          </cell>
          <cell r="K4342">
            <v>100</v>
          </cell>
          <cell r="L4342">
            <v>46175</v>
          </cell>
          <cell r="M4342">
            <v>-2336</v>
          </cell>
          <cell r="N4342">
            <v>197664</v>
          </cell>
        </row>
        <row r="4343">
          <cell r="A4343">
            <v>35831</v>
          </cell>
          <cell r="B4343">
            <v>4337</v>
          </cell>
          <cell r="C4343" t="str">
            <v>IASWD2412000009</v>
          </cell>
          <cell r="D4343">
            <v>45628</v>
          </cell>
          <cell r="E4343">
            <v>46180</v>
          </cell>
          <cell r="F4343" t="str">
            <v>35831</v>
          </cell>
          <cell r="G4343" t="str">
            <v>辛耘一</v>
          </cell>
          <cell r="H4343">
            <v>100000</v>
          </cell>
          <cell r="I4343">
            <v>3</v>
          </cell>
          <cell r="J4343">
            <v>46180</v>
          </cell>
          <cell r="K4343">
            <v>100</v>
          </cell>
          <cell r="L4343">
            <v>46161</v>
          </cell>
          <cell r="M4343">
            <v>-1348</v>
          </cell>
          <cell r="N4343">
            <v>98652</v>
          </cell>
        </row>
        <row r="4344">
          <cell r="A4344">
            <v>56086</v>
          </cell>
          <cell r="B4344">
            <v>4338</v>
          </cell>
          <cell r="C4344" t="str">
            <v>IASWD2412000010</v>
          </cell>
          <cell r="D4344">
            <v>45628</v>
          </cell>
          <cell r="E4344">
            <v>46194</v>
          </cell>
          <cell r="F4344" t="str">
            <v>56086</v>
          </cell>
          <cell r="G4344" t="str">
            <v>四維航六</v>
          </cell>
          <cell r="H4344">
            <v>1200000</v>
          </cell>
          <cell r="I4344">
            <v>2.35</v>
          </cell>
          <cell r="J4344">
            <v>46194</v>
          </cell>
          <cell r="K4344">
            <v>100</v>
          </cell>
          <cell r="L4344">
            <v>46175</v>
          </cell>
          <cell r="M4344">
            <v>-12671</v>
          </cell>
          <cell r="N4344">
            <v>1187329</v>
          </cell>
        </row>
        <row r="4345">
          <cell r="A4345">
            <v>50097</v>
          </cell>
          <cell r="B4345">
            <v>4339</v>
          </cell>
          <cell r="C4345" t="str">
            <v>IASWD2412000011</v>
          </cell>
          <cell r="D4345">
            <v>45628</v>
          </cell>
          <cell r="E4345">
            <v>46234</v>
          </cell>
          <cell r="F4345" t="str">
            <v>50097</v>
          </cell>
          <cell r="G4345" t="str">
            <v>榮剛七</v>
          </cell>
          <cell r="H4345">
            <v>100000</v>
          </cell>
          <cell r="I4345">
            <v>4.0999999999999996</v>
          </cell>
          <cell r="J4345">
            <v>46234</v>
          </cell>
          <cell r="K4345">
            <v>101.51</v>
          </cell>
          <cell r="L4345">
            <v>46216</v>
          </cell>
          <cell r="M4345">
            <v>-1842</v>
          </cell>
          <cell r="N4345">
            <v>98158</v>
          </cell>
        </row>
        <row r="4346">
          <cell r="A4346">
            <v>35831</v>
          </cell>
          <cell r="B4346">
            <v>4340</v>
          </cell>
          <cell r="C4346" t="str">
            <v>IASWD2412000012</v>
          </cell>
          <cell r="D4346">
            <v>45628</v>
          </cell>
          <cell r="E4346">
            <v>46180</v>
          </cell>
          <cell r="F4346" t="str">
            <v>35831</v>
          </cell>
          <cell r="G4346" t="str">
            <v>辛耘一</v>
          </cell>
          <cell r="H4346">
            <v>200000</v>
          </cell>
          <cell r="I4346">
            <v>3</v>
          </cell>
          <cell r="J4346">
            <v>46180</v>
          </cell>
          <cell r="K4346">
            <v>100</v>
          </cell>
          <cell r="L4346">
            <v>46161</v>
          </cell>
          <cell r="M4346">
            <v>-2696</v>
          </cell>
          <cell r="N4346">
            <v>197304</v>
          </cell>
        </row>
        <row r="4347">
          <cell r="A4347">
            <v>68631</v>
          </cell>
          <cell r="B4347">
            <v>4341</v>
          </cell>
          <cell r="C4347" t="str">
            <v>IASWD2412000013</v>
          </cell>
          <cell r="D4347">
            <v>45628</v>
          </cell>
          <cell r="E4347">
            <v>46675</v>
          </cell>
          <cell r="F4347" t="str">
            <v>68631</v>
          </cell>
          <cell r="G4347" t="str">
            <v>永道一KY</v>
          </cell>
          <cell r="H4347">
            <v>800000</v>
          </cell>
          <cell r="I4347">
            <v>4</v>
          </cell>
          <cell r="J4347">
            <v>46675</v>
          </cell>
          <cell r="K4347">
            <v>100</v>
          </cell>
          <cell r="L4347">
            <v>46657</v>
          </cell>
          <cell r="M4347">
            <v>-14378</v>
          </cell>
          <cell r="N4347">
            <v>785622</v>
          </cell>
        </row>
        <row r="4348">
          <cell r="A4348">
            <v>82992</v>
          </cell>
          <cell r="B4348">
            <v>4342</v>
          </cell>
          <cell r="C4348" t="str">
            <v>IASWD2412000014</v>
          </cell>
          <cell r="D4348">
            <v>45628</v>
          </cell>
          <cell r="E4348">
            <v>46410</v>
          </cell>
          <cell r="F4348" t="str">
            <v>82992</v>
          </cell>
          <cell r="G4348" t="str">
            <v>群聯二</v>
          </cell>
          <cell r="H4348">
            <v>200000</v>
          </cell>
          <cell r="I4348">
            <v>2.6</v>
          </cell>
          <cell r="J4348">
            <v>46410</v>
          </cell>
          <cell r="K4348">
            <v>100</v>
          </cell>
          <cell r="L4348">
            <v>46392</v>
          </cell>
          <cell r="M4348">
            <v>-2336</v>
          </cell>
          <cell r="N4348">
            <v>197664</v>
          </cell>
        </row>
        <row r="4349">
          <cell r="A4349">
            <v>68631</v>
          </cell>
          <cell r="B4349">
            <v>4343</v>
          </cell>
          <cell r="C4349" t="str">
            <v>IASWD2412000015</v>
          </cell>
          <cell r="D4349">
            <v>45628</v>
          </cell>
          <cell r="E4349">
            <v>46675</v>
          </cell>
          <cell r="F4349" t="str">
            <v>68631</v>
          </cell>
          <cell r="G4349" t="str">
            <v>永道一KY</v>
          </cell>
          <cell r="H4349">
            <v>100000</v>
          </cell>
          <cell r="I4349">
            <v>4</v>
          </cell>
          <cell r="J4349">
            <v>46675</v>
          </cell>
          <cell r="K4349">
            <v>100</v>
          </cell>
          <cell r="L4349">
            <v>46657</v>
          </cell>
          <cell r="M4349">
            <v>-1797</v>
          </cell>
          <cell r="N4349">
            <v>98203</v>
          </cell>
        </row>
        <row r="4350">
          <cell r="A4350">
            <v>61973</v>
          </cell>
          <cell r="B4350">
            <v>4344</v>
          </cell>
          <cell r="C4350" t="str">
            <v>IASWD2412000017</v>
          </cell>
          <cell r="D4350">
            <v>45629</v>
          </cell>
          <cell r="E4350">
            <v>46675</v>
          </cell>
          <cell r="F4350" t="str">
            <v>61973</v>
          </cell>
          <cell r="G4350" t="str">
            <v>佳必琪三</v>
          </cell>
          <cell r="H4350">
            <v>500000</v>
          </cell>
          <cell r="I4350">
            <v>3</v>
          </cell>
          <cell r="J4350">
            <v>46675</v>
          </cell>
          <cell r="K4350">
            <v>100</v>
          </cell>
          <cell r="L4350">
            <v>46657</v>
          </cell>
          <cell r="M4350">
            <v>-6699</v>
          </cell>
          <cell r="N4350">
            <v>493301</v>
          </cell>
        </row>
        <row r="4351">
          <cell r="A4351">
            <v>33121</v>
          </cell>
          <cell r="B4351">
            <v>4345</v>
          </cell>
          <cell r="C4351" t="str">
            <v>IASWD2412000018</v>
          </cell>
          <cell r="D4351">
            <v>45629</v>
          </cell>
          <cell r="E4351">
            <v>46563</v>
          </cell>
          <cell r="F4351" t="str">
            <v>33121</v>
          </cell>
          <cell r="G4351" t="str">
            <v>弘憶股一</v>
          </cell>
          <cell r="H4351">
            <v>100000</v>
          </cell>
          <cell r="I4351">
            <v>3.35</v>
          </cell>
          <cell r="J4351">
            <v>46563</v>
          </cell>
          <cell r="K4351">
            <v>100</v>
          </cell>
          <cell r="L4351">
            <v>46545</v>
          </cell>
          <cell r="M4351">
            <v>-1496</v>
          </cell>
          <cell r="N4351">
            <v>98504</v>
          </cell>
        </row>
        <row r="4352">
          <cell r="A4352">
            <v>61973</v>
          </cell>
          <cell r="B4352">
            <v>4346</v>
          </cell>
          <cell r="C4352" t="str">
            <v>IASWD2412000019</v>
          </cell>
          <cell r="D4352">
            <v>45629</v>
          </cell>
          <cell r="E4352">
            <v>46675</v>
          </cell>
          <cell r="F4352" t="str">
            <v>61973</v>
          </cell>
          <cell r="G4352" t="str">
            <v>佳必琪三</v>
          </cell>
          <cell r="H4352">
            <v>100000</v>
          </cell>
          <cell r="I4352">
            <v>3</v>
          </cell>
          <cell r="J4352">
            <v>46675</v>
          </cell>
          <cell r="K4352">
            <v>100</v>
          </cell>
          <cell r="L4352">
            <v>46657</v>
          </cell>
          <cell r="M4352">
            <v>-1340</v>
          </cell>
          <cell r="N4352">
            <v>98660</v>
          </cell>
        </row>
        <row r="4353">
          <cell r="A4353">
            <v>50097</v>
          </cell>
          <cell r="B4353">
            <v>4347</v>
          </cell>
          <cell r="C4353" t="str">
            <v>IASWD2412000020</v>
          </cell>
          <cell r="D4353">
            <v>45629</v>
          </cell>
          <cell r="E4353">
            <v>46234</v>
          </cell>
          <cell r="F4353" t="str">
            <v>50097</v>
          </cell>
          <cell r="G4353" t="str">
            <v>榮剛七</v>
          </cell>
          <cell r="H4353">
            <v>100000</v>
          </cell>
          <cell r="I4353">
            <v>4.0999999999999996</v>
          </cell>
          <cell r="J4353">
            <v>46234</v>
          </cell>
          <cell r="K4353">
            <v>101.51</v>
          </cell>
          <cell r="L4353">
            <v>46216</v>
          </cell>
          <cell r="M4353">
            <v>-1831</v>
          </cell>
          <cell r="N4353">
            <v>98169</v>
          </cell>
        </row>
        <row r="4354">
          <cell r="A4354">
            <v>53064</v>
          </cell>
          <cell r="B4354">
            <v>4348</v>
          </cell>
          <cell r="C4354" t="str">
            <v>IASWD2412000022</v>
          </cell>
          <cell r="D4354">
            <v>45629</v>
          </cell>
          <cell r="E4354">
            <v>46334</v>
          </cell>
          <cell r="F4354" t="str">
            <v>53064</v>
          </cell>
          <cell r="G4354" t="str">
            <v>桂盟四</v>
          </cell>
          <cell r="H4354">
            <v>500000</v>
          </cell>
          <cell r="I4354">
            <v>2.2999999999999998</v>
          </cell>
          <cell r="J4354">
            <v>46334</v>
          </cell>
          <cell r="K4354">
            <v>100</v>
          </cell>
          <cell r="L4354">
            <v>46315</v>
          </cell>
          <cell r="M4354">
            <v>-5136</v>
          </cell>
          <cell r="N4354">
            <v>494864</v>
          </cell>
        </row>
        <row r="4355">
          <cell r="A4355">
            <v>36804</v>
          </cell>
          <cell r="B4355">
            <v>4349</v>
          </cell>
          <cell r="C4355" t="str">
            <v>IASWD2412000023</v>
          </cell>
          <cell r="D4355">
            <v>45629</v>
          </cell>
          <cell r="E4355">
            <v>45948</v>
          </cell>
          <cell r="F4355" t="str">
            <v>36804</v>
          </cell>
          <cell r="G4355" t="str">
            <v>家登四</v>
          </cell>
          <cell r="H4355">
            <v>100000</v>
          </cell>
          <cell r="I4355">
            <v>3.2</v>
          </cell>
          <cell r="J4355">
            <v>45948</v>
          </cell>
          <cell r="K4355">
            <v>100</v>
          </cell>
          <cell r="L4355">
            <v>45926</v>
          </cell>
          <cell r="M4355">
            <v>-1429</v>
          </cell>
          <cell r="N4355">
            <v>98571</v>
          </cell>
        </row>
        <row r="4356">
          <cell r="A4356">
            <v>35832</v>
          </cell>
          <cell r="B4356">
            <v>4350</v>
          </cell>
          <cell r="C4356" t="str">
            <v>IASWD2412000024</v>
          </cell>
          <cell r="D4356">
            <v>45629</v>
          </cell>
          <cell r="E4356">
            <v>46192</v>
          </cell>
          <cell r="F4356" t="str">
            <v>35832</v>
          </cell>
          <cell r="G4356" t="str">
            <v>辛耘二</v>
          </cell>
          <cell r="H4356">
            <v>200000</v>
          </cell>
          <cell r="I4356">
            <v>3</v>
          </cell>
          <cell r="J4356">
            <v>46192</v>
          </cell>
          <cell r="K4356">
            <v>100</v>
          </cell>
          <cell r="L4356">
            <v>46174</v>
          </cell>
          <cell r="M4356">
            <v>-2679</v>
          </cell>
          <cell r="N4356">
            <v>197321</v>
          </cell>
        </row>
        <row r="4357">
          <cell r="A4357">
            <v>30882</v>
          </cell>
          <cell r="B4357">
            <v>4351</v>
          </cell>
          <cell r="C4357" t="str">
            <v>IASWD2412000025</v>
          </cell>
          <cell r="D4357">
            <v>45629</v>
          </cell>
          <cell r="E4357">
            <v>46262</v>
          </cell>
          <cell r="F4357" t="str">
            <v>30882</v>
          </cell>
          <cell r="G4357" t="str">
            <v>艾訊二</v>
          </cell>
          <cell r="H4357">
            <v>100000</v>
          </cell>
          <cell r="I4357">
            <v>3.25</v>
          </cell>
          <cell r="J4357">
            <v>46262</v>
          </cell>
          <cell r="K4357">
            <v>100</v>
          </cell>
          <cell r="L4357">
            <v>46244</v>
          </cell>
          <cell r="M4357">
            <v>-1451</v>
          </cell>
          <cell r="N4357">
            <v>98549</v>
          </cell>
        </row>
        <row r="4358">
          <cell r="A4358">
            <v>61965</v>
          </cell>
          <cell r="B4358">
            <v>4352</v>
          </cell>
          <cell r="C4358" t="str">
            <v>IASWD2412000026</v>
          </cell>
          <cell r="D4358">
            <v>45629</v>
          </cell>
          <cell r="E4358">
            <v>46200</v>
          </cell>
          <cell r="F4358" t="str">
            <v>61965</v>
          </cell>
          <cell r="G4358" t="str">
            <v>帆宣五</v>
          </cell>
          <cell r="H4358">
            <v>200000</v>
          </cell>
          <cell r="I4358">
            <v>3</v>
          </cell>
          <cell r="J4358">
            <v>46200</v>
          </cell>
          <cell r="K4358">
            <v>100</v>
          </cell>
          <cell r="L4358">
            <v>46182</v>
          </cell>
          <cell r="M4358">
            <v>-2679</v>
          </cell>
          <cell r="N4358">
            <v>197321</v>
          </cell>
        </row>
        <row r="4359">
          <cell r="A4359">
            <v>64145</v>
          </cell>
          <cell r="B4359">
            <v>4353</v>
          </cell>
          <cell r="C4359" t="str">
            <v>IASWD2412000028</v>
          </cell>
          <cell r="D4359">
            <v>45629</v>
          </cell>
          <cell r="E4359">
            <v>46250</v>
          </cell>
          <cell r="F4359" t="str">
            <v>64145</v>
          </cell>
          <cell r="G4359" t="str">
            <v>樺漢五</v>
          </cell>
          <cell r="H4359">
            <v>100000</v>
          </cell>
          <cell r="I4359">
            <v>3</v>
          </cell>
          <cell r="J4359">
            <v>46250</v>
          </cell>
          <cell r="K4359">
            <v>100</v>
          </cell>
          <cell r="L4359">
            <v>46231</v>
          </cell>
          <cell r="M4359">
            <v>-1340</v>
          </cell>
          <cell r="N4359">
            <v>98660</v>
          </cell>
        </row>
        <row r="4360">
          <cell r="A4360">
            <v>80914</v>
          </cell>
          <cell r="B4360">
            <v>4354</v>
          </cell>
          <cell r="C4360" t="str">
            <v>IASWD2412000030</v>
          </cell>
          <cell r="D4360">
            <v>45629</v>
          </cell>
          <cell r="E4360">
            <v>46249</v>
          </cell>
          <cell r="F4360" t="str">
            <v>80914</v>
          </cell>
          <cell r="G4360" t="str">
            <v>翔名四</v>
          </cell>
          <cell r="H4360">
            <v>100000</v>
          </cell>
          <cell r="I4360">
            <v>3</v>
          </cell>
          <cell r="J4360">
            <v>46249</v>
          </cell>
          <cell r="K4360">
            <v>100.25</v>
          </cell>
          <cell r="L4360">
            <v>46231</v>
          </cell>
          <cell r="M4360">
            <v>-1340</v>
          </cell>
          <cell r="N4360">
            <v>98660</v>
          </cell>
        </row>
        <row r="4361">
          <cell r="A4361">
            <v>53064</v>
          </cell>
          <cell r="B4361">
            <v>4355</v>
          </cell>
          <cell r="C4361" t="str">
            <v>IASWD2412000031</v>
          </cell>
          <cell r="D4361">
            <v>45629</v>
          </cell>
          <cell r="E4361">
            <v>46334</v>
          </cell>
          <cell r="F4361" t="str">
            <v>53064</v>
          </cell>
          <cell r="G4361" t="str">
            <v>桂盟四</v>
          </cell>
          <cell r="H4361">
            <v>100000</v>
          </cell>
          <cell r="I4361">
            <v>2.2999999999999998</v>
          </cell>
          <cell r="J4361">
            <v>46334</v>
          </cell>
          <cell r="K4361">
            <v>100</v>
          </cell>
          <cell r="L4361">
            <v>46315</v>
          </cell>
          <cell r="M4361">
            <v>-1027</v>
          </cell>
          <cell r="N4361">
            <v>98973</v>
          </cell>
        </row>
        <row r="4362">
          <cell r="A4362">
            <v>34163</v>
          </cell>
          <cell r="B4362">
            <v>4356</v>
          </cell>
          <cell r="C4362" t="str">
            <v>IASWD2412000032</v>
          </cell>
          <cell r="D4362">
            <v>45629</v>
          </cell>
          <cell r="E4362">
            <v>46047</v>
          </cell>
          <cell r="F4362" t="str">
            <v>34163</v>
          </cell>
          <cell r="G4362" t="str">
            <v>融程電三</v>
          </cell>
          <cell r="H4362">
            <v>700000</v>
          </cell>
          <cell r="I4362">
            <v>3</v>
          </cell>
          <cell r="J4362">
            <v>46047</v>
          </cell>
          <cell r="K4362">
            <v>100.5</v>
          </cell>
          <cell r="L4362">
            <v>46028</v>
          </cell>
          <cell r="M4362">
            <v>-9378</v>
          </cell>
          <cell r="N4362">
            <v>690622</v>
          </cell>
        </row>
        <row r="4363">
          <cell r="A4363">
            <v>22283</v>
          </cell>
          <cell r="B4363">
            <v>4357</v>
          </cell>
          <cell r="C4363" t="str">
            <v>IASWD2412000033</v>
          </cell>
          <cell r="D4363">
            <v>45629</v>
          </cell>
          <cell r="E4363">
            <v>46628</v>
          </cell>
          <cell r="F4363" t="str">
            <v>22283</v>
          </cell>
          <cell r="G4363" t="str">
            <v>劍麟三</v>
          </cell>
          <cell r="H4363">
            <v>100000</v>
          </cell>
          <cell r="I4363">
            <v>3</v>
          </cell>
          <cell r="J4363">
            <v>46628</v>
          </cell>
          <cell r="K4363">
            <v>100</v>
          </cell>
          <cell r="L4363">
            <v>46609</v>
          </cell>
          <cell r="M4363">
            <v>-1340</v>
          </cell>
          <cell r="N4363">
            <v>98660</v>
          </cell>
        </row>
        <row r="4364">
          <cell r="A4364">
            <v>64145</v>
          </cell>
          <cell r="B4364">
            <v>4358</v>
          </cell>
          <cell r="C4364" t="str">
            <v>IASWD2412000035</v>
          </cell>
          <cell r="D4364">
            <v>45630</v>
          </cell>
          <cell r="E4364">
            <v>46250</v>
          </cell>
          <cell r="F4364" t="str">
            <v>64145</v>
          </cell>
          <cell r="G4364" t="str">
            <v>樺漢五</v>
          </cell>
          <cell r="H4364">
            <v>200000</v>
          </cell>
          <cell r="I4364">
            <v>3</v>
          </cell>
          <cell r="J4364">
            <v>46250</v>
          </cell>
          <cell r="K4364">
            <v>100</v>
          </cell>
          <cell r="L4364">
            <v>46231</v>
          </cell>
          <cell r="M4364">
            <v>-2663</v>
          </cell>
          <cell r="N4364">
            <v>197337</v>
          </cell>
        </row>
        <row r="4365">
          <cell r="A4365">
            <v>68301</v>
          </cell>
          <cell r="B4365">
            <v>4359</v>
          </cell>
          <cell r="C4365" t="str">
            <v>IASWD2412000036</v>
          </cell>
          <cell r="D4365">
            <v>45630</v>
          </cell>
          <cell r="E4365">
            <v>46249</v>
          </cell>
          <cell r="F4365" t="str">
            <v>68301</v>
          </cell>
          <cell r="G4365" t="str">
            <v>汎銓一</v>
          </cell>
          <cell r="H4365">
            <v>1500000</v>
          </cell>
          <cell r="I4365">
            <v>3</v>
          </cell>
          <cell r="J4365">
            <v>46249</v>
          </cell>
          <cell r="K4365">
            <v>100</v>
          </cell>
          <cell r="L4365">
            <v>46231</v>
          </cell>
          <cell r="M4365">
            <v>-19973</v>
          </cell>
          <cell r="N4365">
            <v>1480027</v>
          </cell>
        </row>
        <row r="4366">
          <cell r="A4366">
            <v>61973</v>
          </cell>
          <cell r="B4366">
            <v>4360</v>
          </cell>
          <cell r="C4366" t="str">
            <v>IASWD2412000037</v>
          </cell>
          <cell r="D4366">
            <v>45630</v>
          </cell>
          <cell r="E4366">
            <v>46675</v>
          </cell>
          <cell r="F4366" t="str">
            <v>61973</v>
          </cell>
          <cell r="G4366" t="str">
            <v>佳必琪三</v>
          </cell>
          <cell r="H4366">
            <v>400000</v>
          </cell>
          <cell r="I4366">
            <v>3</v>
          </cell>
          <cell r="J4366">
            <v>46675</v>
          </cell>
          <cell r="K4366">
            <v>100</v>
          </cell>
          <cell r="L4366">
            <v>46657</v>
          </cell>
          <cell r="M4366">
            <v>-5326</v>
          </cell>
          <cell r="N4366">
            <v>394674</v>
          </cell>
        </row>
        <row r="4367">
          <cell r="A4367">
            <v>15364</v>
          </cell>
          <cell r="B4367">
            <v>4361</v>
          </cell>
          <cell r="C4367" t="str">
            <v>IASWD2412000038</v>
          </cell>
          <cell r="D4367">
            <v>45630</v>
          </cell>
          <cell r="E4367">
            <v>46246</v>
          </cell>
          <cell r="F4367" t="str">
            <v>15364</v>
          </cell>
          <cell r="G4367" t="str">
            <v>和大四</v>
          </cell>
          <cell r="H4367">
            <v>2700000</v>
          </cell>
          <cell r="I4367">
            <v>4</v>
          </cell>
          <cell r="J4367">
            <v>46246</v>
          </cell>
          <cell r="K4367">
            <v>100</v>
          </cell>
          <cell r="L4367">
            <v>46226</v>
          </cell>
          <cell r="M4367">
            <v>-47934</v>
          </cell>
          <cell r="N4367">
            <v>2652066</v>
          </cell>
        </row>
        <row r="4368">
          <cell r="A4368">
            <v>22013</v>
          </cell>
          <cell r="B4368">
            <v>4362</v>
          </cell>
          <cell r="C4368" t="str">
            <v>IASWD2412000039</v>
          </cell>
          <cell r="D4368">
            <v>45630</v>
          </cell>
          <cell r="E4368">
            <v>46167</v>
          </cell>
          <cell r="F4368" t="str">
            <v>22013</v>
          </cell>
          <cell r="G4368" t="str">
            <v>裕隆三</v>
          </cell>
          <cell r="H4368">
            <v>200000</v>
          </cell>
          <cell r="I4368">
            <v>3.25</v>
          </cell>
          <cell r="J4368">
            <v>46167</v>
          </cell>
          <cell r="K4368">
            <v>100.75190000000001</v>
          </cell>
          <cell r="L4368">
            <v>46147</v>
          </cell>
          <cell r="M4368">
            <v>-2885</v>
          </cell>
          <cell r="N4368">
            <v>197115</v>
          </cell>
        </row>
        <row r="4369">
          <cell r="A4369">
            <v>15364</v>
          </cell>
          <cell r="B4369">
            <v>4363</v>
          </cell>
          <cell r="C4369" t="str">
            <v>IASWD2412000040</v>
          </cell>
          <cell r="D4369">
            <v>45630</v>
          </cell>
          <cell r="E4369">
            <v>46246</v>
          </cell>
          <cell r="F4369" t="str">
            <v>15364</v>
          </cell>
          <cell r="G4369" t="str">
            <v>和大四</v>
          </cell>
          <cell r="H4369">
            <v>200000</v>
          </cell>
          <cell r="I4369">
            <v>4</v>
          </cell>
          <cell r="J4369">
            <v>46246</v>
          </cell>
          <cell r="K4369">
            <v>100</v>
          </cell>
          <cell r="L4369">
            <v>46226</v>
          </cell>
          <cell r="M4369">
            <v>-3551</v>
          </cell>
          <cell r="N4369">
            <v>196449</v>
          </cell>
        </row>
        <row r="4370">
          <cell r="A4370">
            <v>61973</v>
          </cell>
          <cell r="B4370">
            <v>4364</v>
          </cell>
          <cell r="C4370" t="str">
            <v>IASWD2412000041</v>
          </cell>
          <cell r="D4370">
            <v>45630</v>
          </cell>
          <cell r="E4370">
            <v>46675</v>
          </cell>
          <cell r="F4370" t="str">
            <v>61973</v>
          </cell>
          <cell r="G4370" t="str">
            <v>佳必琪三</v>
          </cell>
          <cell r="H4370">
            <v>100000</v>
          </cell>
          <cell r="I4370">
            <v>3</v>
          </cell>
          <cell r="J4370">
            <v>46675</v>
          </cell>
          <cell r="K4370">
            <v>100</v>
          </cell>
          <cell r="L4370">
            <v>46657</v>
          </cell>
          <cell r="M4370">
            <v>-1332</v>
          </cell>
          <cell r="N4370">
            <v>98668</v>
          </cell>
        </row>
        <row r="4371">
          <cell r="A4371">
            <v>68301</v>
          </cell>
          <cell r="B4371">
            <v>4365</v>
          </cell>
          <cell r="C4371" t="str">
            <v>IASWD2412000042</v>
          </cell>
          <cell r="D4371">
            <v>45630</v>
          </cell>
          <cell r="E4371">
            <v>46249</v>
          </cell>
          <cell r="F4371" t="str">
            <v>68301</v>
          </cell>
          <cell r="G4371" t="str">
            <v>汎銓一</v>
          </cell>
          <cell r="H4371">
            <v>100000</v>
          </cell>
          <cell r="I4371">
            <v>3</v>
          </cell>
          <cell r="J4371">
            <v>46249</v>
          </cell>
          <cell r="K4371">
            <v>100</v>
          </cell>
          <cell r="L4371">
            <v>46231</v>
          </cell>
          <cell r="M4371">
            <v>-1332</v>
          </cell>
          <cell r="N4371">
            <v>98668</v>
          </cell>
        </row>
        <row r="4372">
          <cell r="A4372">
            <v>33121</v>
          </cell>
          <cell r="B4372">
            <v>4366</v>
          </cell>
          <cell r="C4372" t="str">
            <v>IASWD2412000044</v>
          </cell>
          <cell r="D4372">
            <v>45631</v>
          </cell>
          <cell r="E4372">
            <v>46563</v>
          </cell>
          <cell r="F4372" t="str">
            <v>33121</v>
          </cell>
          <cell r="G4372" t="str">
            <v>弘憶股一</v>
          </cell>
          <cell r="H4372">
            <v>100000</v>
          </cell>
          <cell r="I4372">
            <v>3.35</v>
          </cell>
          <cell r="J4372">
            <v>46563</v>
          </cell>
          <cell r="K4372">
            <v>100</v>
          </cell>
          <cell r="L4372">
            <v>46545</v>
          </cell>
          <cell r="M4372">
            <v>-1478</v>
          </cell>
          <cell r="N4372">
            <v>98522</v>
          </cell>
        </row>
        <row r="4373">
          <cell r="A4373">
            <v>27323</v>
          </cell>
          <cell r="B4373">
            <v>4367</v>
          </cell>
          <cell r="C4373" t="str">
            <v>IASWD2412000046</v>
          </cell>
          <cell r="D4373">
            <v>45631</v>
          </cell>
          <cell r="E4373">
            <v>46048</v>
          </cell>
          <cell r="F4373" t="str">
            <v>27323</v>
          </cell>
          <cell r="G4373" t="str">
            <v>六角三</v>
          </cell>
          <cell r="H4373">
            <v>100000</v>
          </cell>
          <cell r="I4373">
            <v>3</v>
          </cell>
          <cell r="J4373">
            <v>46048</v>
          </cell>
          <cell r="K4373">
            <v>101</v>
          </cell>
          <cell r="L4373">
            <v>46028</v>
          </cell>
          <cell r="M4373">
            <v>-1323</v>
          </cell>
          <cell r="N4373">
            <v>98677</v>
          </cell>
        </row>
        <row r="4374">
          <cell r="A4374">
            <v>31413</v>
          </cell>
          <cell r="B4374">
            <v>4368</v>
          </cell>
          <cell r="C4374" t="str">
            <v>IASWD2412000048</v>
          </cell>
          <cell r="D4374">
            <v>45631</v>
          </cell>
          <cell r="E4374">
            <v>46162</v>
          </cell>
          <cell r="F4374" t="str">
            <v>31413</v>
          </cell>
          <cell r="G4374" t="str">
            <v>晶宏三</v>
          </cell>
          <cell r="H4374">
            <v>100000</v>
          </cell>
          <cell r="I4374">
            <v>4</v>
          </cell>
          <cell r="J4374">
            <v>46162</v>
          </cell>
          <cell r="K4374">
            <v>100</v>
          </cell>
          <cell r="L4374">
            <v>46142</v>
          </cell>
          <cell r="M4374">
            <v>-1764</v>
          </cell>
          <cell r="N4374">
            <v>98236</v>
          </cell>
        </row>
        <row r="4375">
          <cell r="A4375">
            <v>34834</v>
          </cell>
          <cell r="B4375">
            <v>4369</v>
          </cell>
          <cell r="C4375" t="str">
            <v>IASWD2412000049</v>
          </cell>
          <cell r="D4375">
            <v>45631</v>
          </cell>
          <cell r="E4375">
            <v>46529</v>
          </cell>
          <cell r="F4375" t="str">
            <v>34834</v>
          </cell>
          <cell r="G4375" t="str">
            <v>力致四</v>
          </cell>
          <cell r="H4375">
            <v>100000</v>
          </cell>
          <cell r="I4375">
            <v>3.75</v>
          </cell>
          <cell r="J4375">
            <v>46529</v>
          </cell>
          <cell r="K4375">
            <v>100</v>
          </cell>
          <cell r="L4375">
            <v>46511</v>
          </cell>
          <cell r="M4375">
            <v>-1654</v>
          </cell>
          <cell r="N4375">
            <v>98346</v>
          </cell>
        </row>
        <row r="4376">
          <cell r="A4376">
            <v>15364</v>
          </cell>
          <cell r="B4376">
            <v>4370</v>
          </cell>
          <cell r="C4376" t="str">
            <v>IASWD2412000050</v>
          </cell>
          <cell r="D4376">
            <v>45631</v>
          </cell>
          <cell r="E4376">
            <v>46246</v>
          </cell>
          <cell r="F4376" t="str">
            <v>15364</v>
          </cell>
          <cell r="G4376" t="str">
            <v>和大四</v>
          </cell>
          <cell r="H4376">
            <v>300000</v>
          </cell>
          <cell r="I4376">
            <v>4</v>
          </cell>
          <cell r="J4376">
            <v>46246</v>
          </cell>
          <cell r="K4376">
            <v>100</v>
          </cell>
          <cell r="L4376">
            <v>46226</v>
          </cell>
          <cell r="M4376">
            <v>-5293</v>
          </cell>
          <cell r="N4376">
            <v>294707</v>
          </cell>
        </row>
        <row r="4377">
          <cell r="A4377">
            <v>68631</v>
          </cell>
          <cell r="B4377">
            <v>4371</v>
          </cell>
          <cell r="C4377" t="str">
            <v>IASWD2412000052</v>
          </cell>
          <cell r="D4377">
            <v>45631</v>
          </cell>
          <cell r="E4377">
            <v>46675</v>
          </cell>
          <cell r="F4377" t="str">
            <v>68631</v>
          </cell>
          <cell r="G4377" t="str">
            <v>永道一KY</v>
          </cell>
          <cell r="H4377">
            <v>100000</v>
          </cell>
          <cell r="I4377">
            <v>4</v>
          </cell>
          <cell r="J4377">
            <v>46675</v>
          </cell>
          <cell r="K4377">
            <v>100</v>
          </cell>
          <cell r="L4377">
            <v>46657</v>
          </cell>
          <cell r="M4377">
            <v>-1764</v>
          </cell>
          <cell r="N4377">
            <v>98236</v>
          </cell>
        </row>
        <row r="4378">
          <cell r="A4378">
            <v>35832</v>
          </cell>
          <cell r="B4378">
            <v>4372</v>
          </cell>
          <cell r="C4378" t="str">
            <v>IASWD2412000053</v>
          </cell>
          <cell r="D4378">
            <v>45631</v>
          </cell>
          <cell r="E4378">
            <v>46192</v>
          </cell>
          <cell r="F4378" t="str">
            <v>35832</v>
          </cell>
          <cell r="G4378" t="str">
            <v>辛耘二</v>
          </cell>
          <cell r="H4378">
            <v>500000</v>
          </cell>
          <cell r="I4378">
            <v>3</v>
          </cell>
          <cell r="J4378">
            <v>46192</v>
          </cell>
          <cell r="K4378">
            <v>100</v>
          </cell>
          <cell r="L4378">
            <v>46174</v>
          </cell>
          <cell r="M4378">
            <v>-6616</v>
          </cell>
          <cell r="N4378">
            <v>493384</v>
          </cell>
        </row>
        <row r="4379">
          <cell r="A4379">
            <v>68631</v>
          </cell>
          <cell r="B4379">
            <v>4373</v>
          </cell>
          <cell r="C4379" t="str">
            <v>IASWD2412000054</v>
          </cell>
          <cell r="D4379">
            <v>45631</v>
          </cell>
          <cell r="E4379">
            <v>46675</v>
          </cell>
          <cell r="F4379" t="str">
            <v>68631</v>
          </cell>
          <cell r="G4379" t="str">
            <v>永道一KY</v>
          </cell>
          <cell r="H4379">
            <v>700000</v>
          </cell>
          <cell r="I4379">
            <v>4</v>
          </cell>
          <cell r="J4379">
            <v>46675</v>
          </cell>
          <cell r="K4379">
            <v>100</v>
          </cell>
          <cell r="L4379">
            <v>46657</v>
          </cell>
          <cell r="M4379">
            <v>-12351</v>
          </cell>
          <cell r="N4379">
            <v>687649</v>
          </cell>
        </row>
        <row r="4380">
          <cell r="A4380">
            <v>35832</v>
          </cell>
          <cell r="B4380">
            <v>4374</v>
          </cell>
          <cell r="C4380" t="str">
            <v>IASWD2412000055</v>
          </cell>
          <cell r="D4380">
            <v>45631</v>
          </cell>
          <cell r="E4380">
            <v>46192</v>
          </cell>
          <cell r="F4380" t="str">
            <v>35832</v>
          </cell>
          <cell r="G4380" t="str">
            <v>辛耘二</v>
          </cell>
          <cell r="H4380">
            <v>100000</v>
          </cell>
          <cell r="I4380">
            <v>3</v>
          </cell>
          <cell r="J4380">
            <v>46192</v>
          </cell>
          <cell r="K4380">
            <v>100</v>
          </cell>
          <cell r="L4380">
            <v>46174</v>
          </cell>
          <cell r="M4380">
            <v>-1323</v>
          </cell>
          <cell r="N4380">
            <v>98677</v>
          </cell>
        </row>
        <row r="4381">
          <cell r="A4381">
            <v>30882</v>
          </cell>
          <cell r="B4381">
            <v>4375</v>
          </cell>
          <cell r="C4381" t="str">
            <v>IASWD2412000057</v>
          </cell>
          <cell r="D4381">
            <v>45631</v>
          </cell>
          <cell r="E4381">
            <v>46262</v>
          </cell>
          <cell r="F4381" t="str">
            <v>30882</v>
          </cell>
          <cell r="G4381" t="str">
            <v>艾訊二</v>
          </cell>
          <cell r="H4381">
            <v>100000</v>
          </cell>
          <cell r="I4381">
            <v>3.25</v>
          </cell>
          <cell r="J4381">
            <v>46262</v>
          </cell>
          <cell r="K4381">
            <v>100</v>
          </cell>
          <cell r="L4381">
            <v>46244</v>
          </cell>
          <cell r="M4381">
            <v>-1434</v>
          </cell>
          <cell r="N4381">
            <v>98566</v>
          </cell>
        </row>
        <row r="4382">
          <cell r="A4382">
            <v>61843</v>
          </cell>
          <cell r="B4382">
            <v>4376</v>
          </cell>
          <cell r="C4382" t="str">
            <v>IASWD2412000059</v>
          </cell>
          <cell r="D4382">
            <v>45631</v>
          </cell>
          <cell r="E4382">
            <v>46452</v>
          </cell>
          <cell r="F4382" t="str">
            <v>61843</v>
          </cell>
          <cell r="G4382" t="str">
            <v>大豐電三</v>
          </cell>
          <cell r="H4382">
            <v>100000</v>
          </cell>
          <cell r="I4382">
            <v>3.75</v>
          </cell>
          <cell r="J4382">
            <v>46452</v>
          </cell>
          <cell r="K4382">
            <v>101.50749999999999</v>
          </cell>
          <cell r="L4382">
            <v>46434</v>
          </cell>
          <cell r="M4382">
            <v>-1654</v>
          </cell>
          <cell r="N4382">
            <v>98346</v>
          </cell>
        </row>
        <row r="4383">
          <cell r="A4383">
            <v>68631</v>
          </cell>
          <cell r="B4383">
            <v>4377</v>
          </cell>
          <cell r="C4383" t="str">
            <v>IASWD2412000060</v>
          </cell>
          <cell r="D4383">
            <v>45631</v>
          </cell>
          <cell r="E4383">
            <v>46675</v>
          </cell>
          <cell r="F4383" t="str">
            <v>68631</v>
          </cell>
          <cell r="G4383" t="str">
            <v>永道一KY</v>
          </cell>
          <cell r="H4383">
            <v>100000</v>
          </cell>
          <cell r="I4383">
            <v>4</v>
          </cell>
          <cell r="J4383">
            <v>46675</v>
          </cell>
          <cell r="K4383">
            <v>100</v>
          </cell>
          <cell r="L4383">
            <v>46657</v>
          </cell>
          <cell r="M4383">
            <v>-1764</v>
          </cell>
          <cell r="N4383">
            <v>98236</v>
          </cell>
        </row>
        <row r="4384">
          <cell r="A4384">
            <v>24361</v>
          </cell>
          <cell r="B4384">
            <v>4378</v>
          </cell>
          <cell r="C4384" t="str">
            <v>IASWD2412000061</v>
          </cell>
          <cell r="D4384">
            <v>45631</v>
          </cell>
          <cell r="E4384">
            <v>45911</v>
          </cell>
          <cell r="F4384" t="str">
            <v>24361</v>
          </cell>
          <cell r="G4384" t="str">
            <v>偉詮電一</v>
          </cell>
          <cell r="H4384">
            <v>100000</v>
          </cell>
          <cell r="I4384">
            <v>3.75</v>
          </cell>
          <cell r="J4384">
            <v>45911</v>
          </cell>
          <cell r="K4384">
            <v>100.50060000000001</v>
          </cell>
          <cell r="L4384">
            <v>45891</v>
          </cell>
          <cell r="M4384">
            <v>-1654</v>
          </cell>
          <cell r="N4384">
            <v>98346</v>
          </cell>
        </row>
        <row r="4385">
          <cell r="A4385">
            <v>24361</v>
          </cell>
          <cell r="B4385">
            <v>4379</v>
          </cell>
          <cell r="C4385" t="str">
            <v>IASWD2412000062</v>
          </cell>
          <cell r="D4385">
            <v>45631</v>
          </cell>
          <cell r="E4385">
            <v>45911</v>
          </cell>
          <cell r="F4385" t="str">
            <v>24361</v>
          </cell>
          <cell r="G4385" t="str">
            <v>偉詮電一</v>
          </cell>
          <cell r="H4385">
            <v>500000</v>
          </cell>
          <cell r="I4385">
            <v>3.75</v>
          </cell>
          <cell r="J4385">
            <v>45911</v>
          </cell>
          <cell r="K4385">
            <v>100.50060000000001</v>
          </cell>
          <cell r="L4385">
            <v>45891</v>
          </cell>
          <cell r="M4385">
            <v>-8271</v>
          </cell>
          <cell r="N4385">
            <v>491729</v>
          </cell>
        </row>
        <row r="4386">
          <cell r="A4386">
            <v>50097</v>
          </cell>
          <cell r="B4386">
            <v>4380</v>
          </cell>
          <cell r="C4386" t="str">
            <v>IASWD2412000064</v>
          </cell>
          <cell r="D4386">
            <v>45631</v>
          </cell>
          <cell r="E4386">
            <v>46234</v>
          </cell>
          <cell r="F4386" t="str">
            <v>50097</v>
          </cell>
          <cell r="G4386" t="str">
            <v>榮剛七</v>
          </cell>
          <cell r="H4386">
            <v>200000</v>
          </cell>
          <cell r="I4386">
            <v>4.0999999999999996</v>
          </cell>
          <cell r="J4386">
            <v>46234</v>
          </cell>
          <cell r="K4386">
            <v>101.51</v>
          </cell>
          <cell r="L4386">
            <v>46216</v>
          </cell>
          <cell r="M4386">
            <v>-3617</v>
          </cell>
          <cell r="N4386">
            <v>196383</v>
          </cell>
        </row>
        <row r="4387">
          <cell r="A4387">
            <v>15364</v>
          </cell>
          <cell r="B4387">
            <v>4381</v>
          </cell>
          <cell r="C4387" t="str">
            <v>IASWD2412000065</v>
          </cell>
          <cell r="D4387">
            <v>45632</v>
          </cell>
          <cell r="E4387">
            <v>46246</v>
          </cell>
          <cell r="F4387" t="str">
            <v>15364</v>
          </cell>
          <cell r="G4387" t="str">
            <v>和大四</v>
          </cell>
          <cell r="H4387">
            <v>100000</v>
          </cell>
          <cell r="I4387">
            <v>4</v>
          </cell>
          <cell r="J4387">
            <v>46246</v>
          </cell>
          <cell r="K4387">
            <v>100</v>
          </cell>
          <cell r="L4387">
            <v>46226</v>
          </cell>
          <cell r="M4387">
            <v>-1753</v>
          </cell>
          <cell r="N4387">
            <v>98247</v>
          </cell>
        </row>
        <row r="4388">
          <cell r="A4388">
            <v>15364</v>
          </cell>
          <cell r="B4388">
            <v>4382</v>
          </cell>
          <cell r="C4388" t="str">
            <v>IASWD2412000066</v>
          </cell>
          <cell r="D4388">
            <v>45632</v>
          </cell>
          <cell r="E4388">
            <v>46246</v>
          </cell>
          <cell r="F4388" t="str">
            <v>15364</v>
          </cell>
          <cell r="G4388" t="str">
            <v>和大四</v>
          </cell>
          <cell r="H4388">
            <v>100000</v>
          </cell>
          <cell r="I4388">
            <v>4</v>
          </cell>
          <cell r="J4388">
            <v>46246</v>
          </cell>
          <cell r="K4388">
            <v>100</v>
          </cell>
          <cell r="L4388">
            <v>46226</v>
          </cell>
          <cell r="M4388">
            <v>-1753</v>
          </cell>
          <cell r="N4388">
            <v>98247</v>
          </cell>
        </row>
        <row r="4389">
          <cell r="A4389">
            <v>64145</v>
          </cell>
          <cell r="B4389">
            <v>4383</v>
          </cell>
          <cell r="C4389" t="str">
            <v>IASWD2412000067</v>
          </cell>
          <cell r="D4389">
            <v>45632</v>
          </cell>
          <cell r="E4389">
            <v>46250</v>
          </cell>
          <cell r="F4389" t="str">
            <v>64145</v>
          </cell>
          <cell r="G4389" t="str">
            <v>樺漢五</v>
          </cell>
          <cell r="H4389">
            <v>100000</v>
          </cell>
          <cell r="I4389">
            <v>3</v>
          </cell>
          <cell r="J4389">
            <v>46250</v>
          </cell>
          <cell r="K4389">
            <v>100</v>
          </cell>
          <cell r="L4389">
            <v>46231</v>
          </cell>
          <cell r="M4389">
            <v>-1315</v>
          </cell>
          <cell r="N4389">
            <v>98685</v>
          </cell>
        </row>
        <row r="4390">
          <cell r="A4390">
            <v>34163</v>
          </cell>
          <cell r="B4390">
            <v>4384</v>
          </cell>
          <cell r="C4390" t="str">
            <v>IASWD2412000068</v>
          </cell>
          <cell r="D4390">
            <v>45632</v>
          </cell>
          <cell r="E4390">
            <v>46047</v>
          </cell>
          <cell r="F4390" t="str">
            <v>34163</v>
          </cell>
          <cell r="G4390" t="str">
            <v>融程電三</v>
          </cell>
          <cell r="H4390">
            <v>6400000</v>
          </cell>
          <cell r="I4390">
            <v>3</v>
          </cell>
          <cell r="J4390">
            <v>46047</v>
          </cell>
          <cell r="K4390">
            <v>100.5</v>
          </cell>
          <cell r="L4390">
            <v>46028</v>
          </cell>
          <cell r="M4390">
            <v>-84164</v>
          </cell>
          <cell r="N4390">
            <v>6315836</v>
          </cell>
        </row>
        <row r="4391">
          <cell r="A4391">
            <v>27323</v>
          </cell>
          <cell r="B4391">
            <v>4385</v>
          </cell>
          <cell r="C4391" t="str">
            <v>IASWD2412000069</v>
          </cell>
          <cell r="D4391">
            <v>45632</v>
          </cell>
          <cell r="E4391">
            <v>46048</v>
          </cell>
          <cell r="F4391" t="str">
            <v>27323</v>
          </cell>
          <cell r="G4391" t="str">
            <v>六角三</v>
          </cell>
          <cell r="H4391">
            <v>100000</v>
          </cell>
          <cell r="I4391">
            <v>3</v>
          </cell>
          <cell r="J4391">
            <v>46048</v>
          </cell>
          <cell r="K4391">
            <v>101</v>
          </cell>
          <cell r="L4391">
            <v>46028</v>
          </cell>
          <cell r="M4391">
            <v>-1315</v>
          </cell>
          <cell r="N4391">
            <v>98685</v>
          </cell>
        </row>
        <row r="4392">
          <cell r="A4392">
            <v>64145</v>
          </cell>
          <cell r="B4392">
            <v>4386</v>
          </cell>
          <cell r="C4392" t="str">
            <v>IASWD2412000070</v>
          </cell>
          <cell r="D4392">
            <v>45632</v>
          </cell>
          <cell r="E4392">
            <v>46250</v>
          </cell>
          <cell r="F4392" t="str">
            <v>64145</v>
          </cell>
          <cell r="G4392" t="str">
            <v>樺漢五</v>
          </cell>
          <cell r="H4392">
            <v>200000</v>
          </cell>
          <cell r="I4392">
            <v>3</v>
          </cell>
          <cell r="J4392">
            <v>46250</v>
          </cell>
          <cell r="K4392">
            <v>100</v>
          </cell>
          <cell r="L4392">
            <v>46231</v>
          </cell>
          <cell r="M4392">
            <v>-2630</v>
          </cell>
          <cell r="N4392">
            <v>197370</v>
          </cell>
        </row>
        <row r="4393">
          <cell r="A4393">
            <v>34163</v>
          </cell>
          <cell r="B4393">
            <v>4387</v>
          </cell>
          <cell r="C4393" t="str">
            <v>IASWD2412000071</v>
          </cell>
          <cell r="D4393">
            <v>45632</v>
          </cell>
          <cell r="E4393">
            <v>46047</v>
          </cell>
          <cell r="F4393" t="str">
            <v>34163</v>
          </cell>
          <cell r="G4393" t="str">
            <v>融程電三</v>
          </cell>
          <cell r="H4393">
            <v>100000</v>
          </cell>
          <cell r="I4393">
            <v>3</v>
          </cell>
          <cell r="J4393">
            <v>46047</v>
          </cell>
          <cell r="K4393">
            <v>100.5</v>
          </cell>
          <cell r="L4393">
            <v>46028</v>
          </cell>
          <cell r="M4393">
            <v>-1315</v>
          </cell>
          <cell r="N4393">
            <v>98685</v>
          </cell>
        </row>
        <row r="4394">
          <cell r="A4394">
            <v>64145</v>
          </cell>
          <cell r="B4394">
            <v>4388</v>
          </cell>
          <cell r="C4394" t="str">
            <v>IASWD2412000072</v>
          </cell>
          <cell r="D4394">
            <v>45632</v>
          </cell>
          <cell r="E4394">
            <v>46250</v>
          </cell>
          <cell r="F4394" t="str">
            <v>64145</v>
          </cell>
          <cell r="G4394" t="str">
            <v>樺漢五</v>
          </cell>
          <cell r="H4394">
            <v>100000</v>
          </cell>
          <cell r="I4394">
            <v>3</v>
          </cell>
          <cell r="J4394">
            <v>46250</v>
          </cell>
          <cell r="K4394">
            <v>100</v>
          </cell>
          <cell r="L4394">
            <v>46231</v>
          </cell>
          <cell r="M4394">
            <v>-1315</v>
          </cell>
          <cell r="N4394">
            <v>98685</v>
          </cell>
        </row>
        <row r="4395">
          <cell r="A4395">
            <v>30882</v>
          </cell>
          <cell r="B4395">
            <v>4389</v>
          </cell>
          <cell r="C4395" t="str">
            <v>IASWD2412000073</v>
          </cell>
          <cell r="D4395">
            <v>45632</v>
          </cell>
          <cell r="E4395">
            <v>46262</v>
          </cell>
          <cell r="F4395" t="str">
            <v>30882</v>
          </cell>
          <cell r="G4395" t="str">
            <v>艾訊二</v>
          </cell>
          <cell r="H4395">
            <v>100000</v>
          </cell>
          <cell r="I4395">
            <v>3.25</v>
          </cell>
          <cell r="J4395">
            <v>46262</v>
          </cell>
          <cell r="K4395">
            <v>100</v>
          </cell>
          <cell r="L4395">
            <v>46244</v>
          </cell>
          <cell r="M4395">
            <v>-1425</v>
          </cell>
          <cell r="N4395">
            <v>98575</v>
          </cell>
        </row>
        <row r="4396">
          <cell r="A4396">
            <v>22283</v>
          </cell>
          <cell r="B4396">
            <v>4390</v>
          </cell>
          <cell r="C4396" t="str">
            <v>IASWD2412000074</v>
          </cell>
          <cell r="D4396">
            <v>45632</v>
          </cell>
          <cell r="E4396">
            <v>46628</v>
          </cell>
          <cell r="F4396" t="str">
            <v>22283</v>
          </cell>
          <cell r="G4396" t="str">
            <v>劍麟三</v>
          </cell>
          <cell r="H4396">
            <v>100000</v>
          </cell>
          <cell r="I4396">
            <v>3</v>
          </cell>
          <cell r="J4396">
            <v>46628</v>
          </cell>
          <cell r="K4396">
            <v>100</v>
          </cell>
          <cell r="L4396">
            <v>46609</v>
          </cell>
          <cell r="M4396">
            <v>-1315</v>
          </cell>
          <cell r="N4396">
            <v>98685</v>
          </cell>
        </row>
        <row r="4397">
          <cell r="A4397">
            <v>64145</v>
          </cell>
          <cell r="B4397">
            <v>4391</v>
          </cell>
          <cell r="C4397" t="str">
            <v>IASWD2412000075</v>
          </cell>
          <cell r="D4397">
            <v>45632</v>
          </cell>
          <cell r="E4397">
            <v>46250</v>
          </cell>
          <cell r="F4397" t="str">
            <v>64145</v>
          </cell>
          <cell r="G4397" t="str">
            <v>樺漢五</v>
          </cell>
          <cell r="H4397">
            <v>100000</v>
          </cell>
          <cell r="I4397">
            <v>3</v>
          </cell>
          <cell r="J4397">
            <v>46250</v>
          </cell>
          <cell r="K4397">
            <v>100</v>
          </cell>
          <cell r="L4397">
            <v>46231</v>
          </cell>
          <cell r="M4397">
            <v>-1315</v>
          </cell>
          <cell r="N4397">
            <v>98685</v>
          </cell>
        </row>
        <row r="4398">
          <cell r="A4398">
            <v>64145</v>
          </cell>
          <cell r="B4398">
            <v>4392</v>
          </cell>
          <cell r="C4398" t="str">
            <v>IASWD2412000076</v>
          </cell>
          <cell r="D4398">
            <v>45632</v>
          </cell>
          <cell r="E4398">
            <v>46250</v>
          </cell>
          <cell r="F4398" t="str">
            <v>64145</v>
          </cell>
          <cell r="G4398" t="str">
            <v>樺漢五</v>
          </cell>
          <cell r="H4398">
            <v>100000</v>
          </cell>
          <cell r="I4398">
            <v>3</v>
          </cell>
          <cell r="J4398">
            <v>46250</v>
          </cell>
          <cell r="K4398">
            <v>100</v>
          </cell>
          <cell r="L4398">
            <v>46231</v>
          </cell>
          <cell r="M4398">
            <v>-1315</v>
          </cell>
          <cell r="N4398">
            <v>98685</v>
          </cell>
        </row>
        <row r="4399">
          <cell r="A4399">
            <v>33244</v>
          </cell>
          <cell r="B4399">
            <v>4393</v>
          </cell>
          <cell r="C4399" t="str">
            <v>IASWD2412000077</v>
          </cell>
          <cell r="D4399">
            <v>45632</v>
          </cell>
          <cell r="E4399">
            <v>45973</v>
          </cell>
          <cell r="F4399" t="str">
            <v>33244</v>
          </cell>
          <cell r="G4399" t="str">
            <v>雙鴻四</v>
          </cell>
          <cell r="H4399">
            <v>200000</v>
          </cell>
          <cell r="I4399">
            <v>2.4</v>
          </cell>
          <cell r="J4399">
            <v>45973</v>
          </cell>
          <cell r="K4399">
            <v>100</v>
          </cell>
          <cell r="L4399">
            <v>45953</v>
          </cell>
          <cell r="M4399">
            <v>-2104</v>
          </cell>
          <cell r="N4399">
            <v>197896</v>
          </cell>
        </row>
        <row r="4400">
          <cell r="A4400">
            <v>15364</v>
          </cell>
          <cell r="B4400">
            <v>4394</v>
          </cell>
          <cell r="C4400" t="str">
            <v>IASWD2412000078</v>
          </cell>
          <cell r="D4400">
            <v>45632</v>
          </cell>
          <cell r="E4400">
            <v>46246</v>
          </cell>
          <cell r="F4400" t="str">
            <v>15364</v>
          </cell>
          <cell r="G4400" t="str">
            <v>和大四</v>
          </cell>
          <cell r="H4400">
            <v>1500000</v>
          </cell>
          <cell r="I4400">
            <v>4</v>
          </cell>
          <cell r="J4400">
            <v>46246</v>
          </cell>
          <cell r="K4400">
            <v>100</v>
          </cell>
          <cell r="L4400">
            <v>46226</v>
          </cell>
          <cell r="M4400">
            <v>-26301</v>
          </cell>
          <cell r="N4400">
            <v>1473699</v>
          </cell>
        </row>
        <row r="4401">
          <cell r="A4401">
            <v>61843</v>
          </cell>
          <cell r="B4401">
            <v>4395</v>
          </cell>
          <cell r="C4401" t="str">
            <v>IASWD2412000079</v>
          </cell>
          <cell r="D4401">
            <v>45632</v>
          </cell>
          <cell r="E4401">
            <v>46452</v>
          </cell>
          <cell r="F4401" t="str">
            <v>61843</v>
          </cell>
          <cell r="G4401" t="str">
            <v>大豐電三</v>
          </cell>
          <cell r="H4401">
            <v>500000</v>
          </cell>
          <cell r="I4401">
            <v>3.75</v>
          </cell>
          <cell r="J4401">
            <v>46452</v>
          </cell>
          <cell r="K4401">
            <v>101.50749999999999</v>
          </cell>
          <cell r="L4401">
            <v>46434</v>
          </cell>
          <cell r="M4401">
            <v>-8219</v>
          </cell>
          <cell r="N4401">
            <v>491781</v>
          </cell>
        </row>
        <row r="4402">
          <cell r="A4402">
            <v>64145</v>
          </cell>
          <cell r="B4402">
            <v>4396</v>
          </cell>
          <cell r="C4402" t="str">
            <v>IASWD2412000080</v>
          </cell>
          <cell r="D4402">
            <v>45632</v>
          </cell>
          <cell r="E4402">
            <v>46250</v>
          </cell>
          <cell r="F4402" t="str">
            <v>64145</v>
          </cell>
          <cell r="G4402" t="str">
            <v>樺漢五</v>
          </cell>
          <cell r="H4402">
            <v>500000</v>
          </cell>
          <cell r="I4402">
            <v>3</v>
          </cell>
          <cell r="J4402">
            <v>46250</v>
          </cell>
          <cell r="K4402">
            <v>100</v>
          </cell>
          <cell r="L4402">
            <v>46231</v>
          </cell>
          <cell r="M4402">
            <v>-6575</v>
          </cell>
          <cell r="N4402">
            <v>493425</v>
          </cell>
        </row>
        <row r="4403">
          <cell r="A4403">
            <v>30882</v>
          </cell>
          <cell r="B4403">
            <v>4397</v>
          </cell>
          <cell r="C4403" t="str">
            <v>IASWD2412000081</v>
          </cell>
          <cell r="D4403">
            <v>45632</v>
          </cell>
          <cell r="E4403">
            <v>46262</v>
          </cell>
          <cell r="F4403" t="str">
            <v>30882</v>
          </cell>
          <cell r="G4403" t="str">
            <v>艾訊二</v>
          </cell>
          <cell r="H4403">
            <v>200000</v>
          </cell>
          <cell r="I4403">
            <v>3.25</v>
          </cell>
          <cell r="J4403">
            <v>46262</v>
          </cell>
          <cell r="K4403">
            <v>100</v>
          </cell>
          <cell r="L4403">
            <v>46244</v>
          </cell>
          <cell r="M4403">
            <v>-2849</v>
          </cell>
          <cell r="N4403">
            <v>197151</v>
          </cell>
        </row>
        <row r="4404">
          <cell r="A4404">
            <v>34834</v>
          </cell>
          <cell r="B4404">
            <v>4398</v>
          </cell>
          <cell r="C4404" t="str">
            <v>IASWD2412000082</v>
          </cell>
          <cell r="D4404">
            <v>45632</v>
          </cell>
          <cell r="E4404">
            <v>46529</v>
          </cell>
          <cell r="F4404" t="str">
            <v>34834</v>
          </cell>
          <cell r="G4404" t="str">
            <v>力致四</v>
          </cell>
          <cell r="H4404">
            <v>100000</v>
          </cell>
          <cell r="I4404">
            <v>3.75</v>
          </cell>
          <cell r="J4404">
            <v>46529</v>
          </cell>
          <cell r="K4404">
            <v>100</v>
          </cell>
          <cell r="L4404">
            <v>46511</v>
          </cell>
          <cell r="M4404">
            <v>-1644</v>
          </cell>
          <cell r="N4404">
            <v>98356</v>
          </cell>
        </row>
        <row r="4405">
          <cell r="A4405">
            <v>50097</v>
          </cell>
          <cell r="B4405">
            <v>4399</v>
          </cell>
          <cell r="C4405" t="str">
            <v>IASWD2412000083</v>
          </cell>
          <cell r="D4405">
            <v>45635</v>
          </cell>
          <cell r="E4405">
            <v>46234</v>
          </cell>
          <cell r="F4405" t="str">
            <v>50097</v>
          </cell>
          <cell r="G4405" t="str">
            <v>榮剛七</v>
          </cell>
          <cell r="H4405">
            <v>500000</v>
          </cell>
          <cell r="I4405">
            <v>4.0999999999999996</v>
          </cell>
          <cell r="J4405">
            <v>46234</v>
          </cell>
          <cell r="K4405">
            <v>101.51</v>
          </cell>
          <cell r="L4405">
            <v>46216</v>
          </cell>
          <cell r="M4405">
            <v>-8818</v>
          </cell>
          <cell r="N4405">
            <v>491182</v>
          </cell>
        </row>
        <row r="4406">
          <cell r="A4406">
            <v>64145</v>
          </cell>
          <cell r="B4406">
            <v>4400</v>
          </cell>
          <cell r="C4406" t="str">
            <v>IASWD2412000084</v>
          </cell>
          <cell r="D4406">
            <v>45635</v>
          </cell>
          <cell r="E4406">
            <v>46250</v>
          </cell>
          <cell r="F4406" t="str">
            <v>64145</v>
          </cell>
          <cell r="G4406" t="str">
            <v>樺漢五</v>
          </cell>
          <cell r="H4406">
            <v>100000</v>
          </cell>
          <cell r="I4406">
            <v>3</v>
          </cell>
          <cell r="J4406">
            <v>46250</v>
          </cell>
          <cell r="K4406">
            <v>100</v>
          </cell>
          <cell r="L4406">
            <v>46231</v>
          </cell>
          <cell r="M4406">
            <v>-1290</v>
          </cell>
          <cell r="N4406">
            <v>98710</v>
          </cell>
        </row>
        <row r="4407">
          <cell r="A4407">
            <v>64145</v>
          </cell>
          <cell r="B4407">
            <v>4401</v>
          </cell>
          <cell r="C4407" t="str">
            <v>IASWD2412000085</v>
          </cell>
          <cell r="D4407">
            <v>45635</v>
          </cell>
          <cell r="E4407">
            <v>46250</v>
          </cell>
          <cell r="F4407" t="str">
            <v>64145</v>
          </cell>
          <cell r="G4407" t="str">
            <v>樺漢五</v>
          </cell>
          <cell r="H4407">
            <v>100000</v>
          </cell>
          <cell r="I4407">
            <v>3</v>
          </cell>
          <cell r="J4407">
            <v>46250</v>
          </cell>
          <cell r="K4407">
            <v>100</v>
          </cell>
          <cell r="L4407">
            <v>46231</v>
          </cell>
          <cell r="M4407">
            <v>-1290</v>
          </cell>
          <cell r="N4407">
            <v>98710</v>
          </cell>
        </row>
        <row r="4408">
          <cell r="A4408">
            <v>34163</v>
          </cell>
          <cell r="B4408">
            <v>4402</v>
          </cell>
          <cell r="C4408" t="str">
            <v>IASWD2412000086</v>
          </cell>
          <cell r="D4408">
            <v>45635</v>
          </cell>
          <cell r="E4408">
            <v>46047</v>
          </cell>
          <cell r="F4408" t="str">
            <v>34163</v>
          </cell>
          <cell r="G4408" t="str">
            <v>融程電三</v>
          </cell>
          <cell r="H4408">
            <v>100000</v>
          </cell>
          <cell r="I4408">
            <v>3</v>
          </cell>
          <cell r="J4408">
            <v>46047</v>
          </cell>
          <cell r="K4408">
            <v>100.5</v>
          </cell>
          <cell r="L4408">
            <v>46028</v>
          </cell>
          <cell r="M4408">
            <v>-1290</v>
          </cell>
          <cell r="N4408">
            <v>98710</v>
          </cell>
        </row>
        <row r="4409">
          <cell r="A4409">
            <v>45663</v>
          </cell>
          <cell r="B4409">
            <v>4403</v>
          </cell>
          <cell r="C4409" t="str">
            <v>IASWD2412000088</v>
          </cell>
          <cell r="D4409">
            <v>45635</v>
          </cell>
          <cell r="E4409">
            <v>46353</v>
          </cell>
          <cell r="F4409" t="str">
            <v>45663</v>
          </cell>
          <cell r="G4409" t="str">
            <v>時碩工業三</v>
          </cell>
          <cell r="H4409">
            <v>500000</v>
          </cell>
          <cell r="I4409">
            <v>3.25</v>
          </cell>
          <cell r="J4409">
            <v>46353</v>
          </cell>
          <cell r="K4409">
            <v>100</v>
          </cell>
          <cell r="L4409">
            <v>46335</v>
          </cell>
          <cell r="M4409">
            <v>-6990</v>
          </cell>
          <cell r="N4409">
            <v>493010</v>
          </cell>
        </row>
        <row r="4410">
          <cell r="A4410">
            <v>35266</v>
          </cell>
          <cell r="B4410">
            <v>4404</v>
          </cell>
          <cell r="C4410" t="str">
            <v>IASWD2412000089</v>
          </cell>
          <cell r="D4410">
            <v>45635</v>
          </cell>
          <cell r="E4410">
            <v>46416</v>
          </cell>
          <cell r="F4410" t="str">
            <v>35266</v>
          </cell>
          <cell r="G4410" t="str">
            <v>凡甲六</v>
          </cell>
          <cell r="H4410">
            <v>100000</v>
          </cell>
          <cell r="I4410">
            <v>3.25</v>
          </cell>
          <cell r="J4410">
            <v>46416</v>
          </cell>
          <cell r="K4410">
            <v>100</v>
          </cell>
          <cell r="L4410">
            <v>46398</v>
          </cell>
          <cell r="M4410">
            <v>-1398</v>
          </cell>
          <cell r="N4410">
            <v>98602</v>
          </cell>
        </row>
        <row r="4411">
          <cell r="A4411">
            <v>68301</v>
          </cell>
          <cell r="B4411">
            <v>4405</v>
          </cell>
          <cell r="C4411" t="str">
            <v>IASWD2412000090</v>
          </cell>
          <cell r="D4411">
            <v>45635</v>
          </cell>
          <cell r="E4411">
            <v>46249</v>
          </cell>
          <cell r="F4411" t="str">
            <v>68301</v>
          </cell>
          <cell r="G4411" t="str">
            <v>汎銓一</v>
          </cell>
          <cell r="H4411">
            <v>100000</v>
          </cell>
          <cell r="I4411">
            <v>3</v>
          </cell>
          <cell r="J4411">
            <v>46249</v>
          </cell>
          <cell r="K4411">
            <v>100</v>
          </cell>
          <cell r="L4411">
            <v>46231</v>
          </cell>
          <cell r="M4411">
            <v>-1290</v>
          </cell>
          <cell r="N4411">
            <v>98710</v>
          </cell>
        </row>
        <row r="4412">
          <cell r="A4412">
            <v>24361</v>
          </cell>
          <cell r="B4412">
            <v>4406</v>
          </cell>
          <cell r="C4412" t="str">
            <v>IASWD2412000091</v>
          </cell>
          <cell r="D4412">
            <v>45635</v>
          </cell>
          <cell r="E4412">
            <v>45911</v>
          </cell>
          <cell r="F4412" t="str">
            <v>24361</v>
          </cell>
          <cell r="G4412" t="str">
            <v>偉詮電一</v>
          </cell>
          <cell r="H4412">
            <v>400000</v>
          </cell>
          <cell r="I4412">
            <v>3.75</v>
          </cell>
          <cell r="J4412">
            <v>45911</v>
          </cell>
          <cell r="K4412">
            <v>100.50060000000001</v>
          </cell>
          <cell r="L4412">
            <v>45891</v>
          </cell>
          <cell r="M4412">
            <v>-6452</v>
          </cell>
          <cell r="N4412">
            <v>393548</v>
          </cell>
        </row>
        <row r="4413">
          <cell r="A4413">
            <v>61973</v>
          </cell>
          <cell r="B4413">
            <v>4407</v>
          </cell>
          <cell r="C4413" t="str">
            <v>IASWD2412000092</v>
          </cell>
          <cell r="D4413">
            <v>45635</v>
          </cell>
          <cell r="E4413">
            <v>46675</v>
          </cell>
          <cell r="F4413" t="str">
            <v>61973</v>
          </cell>
          <cell r="G4413" t="str">
            <v>佳必琪三</v>
          </cell>
          <cell r="H4413">
            <v>100000</v>
          </cell>
          <cell r="I4413">
            <v>3</v>
          </cell>
          <cell r="J4413">
            <v>46675</v>
          </cell>
          <cell r="K4413">
            <v>100</v>
          </cell>
          <cell r="L4413">
            <v>46657</v>
          </cell>
          <cell r="M4413">
            <v>-1290</v>
          </cell>
          <cell r="N4413">
            <v>98710</v>
          </cell>
        </row>
        <row r="4414">
          <cell r="A4414">
            <v>33244</v>
          </cell>
          <cell r="B4414">
            <v>4408</v>
          </cell>
          <cell r="C4414" t="str">
            <v>IASWD2412000093</v>
          </cell>
          <cell r="D4414">
            <v>45635</v>
          </cell>
          <cell r="E4414">
            <v>45973</v>
          </cell>
          <cell r="F4414" t="str">
            <v>33244</v>
          </cell>
          <cell r="G4414" t="str">
            <v>雙鴻四</v>
          </cell>
          <cell r="H4414">
            <v>100000</v>
          </cell>
          <cell r="I4414">
            <v>2.4</v>
          </cell>
          <cell r="J4414">
            <v>45973</v>
          </cell>
          <cell r="K4414">
            <v>100</v>
          </cell>
          <cell r="L4414">
            <v>45953</v>
          </cell>
          <cell r="M4414">
            <v>-1032</v>
          </cell>
          <cell r="N4414">
            <v>98968</v>
          </cell>
        </row>
        <row r="4415">
          <cell r="A4415">
            <v>15364</v>
          </cell>
          <cell r="B4415">
            <v>4409</v>
          </cell>
          <cell r="C4415" t="str">
            <v>IASWD2412000094</v>
          </cell>
          <cell r="D4415">
            <v>45635</v>
          </cell>
          <cell r="E4415">
            <v>46246</v>
          </cell>
          <cell r="F4415" t="str">
            <v>15364</v>
          </cell>
          <cell r="G4415" t="str">
            <v>和大四</v>
          </cell>
          <cell r="H4415">
            <v>1100000</v>
          </cell>
          <cell r="I4415">
            <v>4</v>
          </cell>
          <cell r="J4415">
            <v>46246</v>
          </cell>
          <cell r="K4415">
            <v>100</v>
          </cell>
          <cell r="L4415">
            <v>46226</v>
          </cell>
          <cell r="M4415">
            <v>-18926</v>
          </cell>
          <cell r="N4415">
            <v>1081074</v>
          </cell>
        </row>
        <row r="4416">
          <cell r="A4416">
            <v>34163</v>
          </cell>
          <cell r="B4416">
            <v>4410</v>
          </cell>
          <cell r="C4416" t="str">
            <v>IASWD2412000095</v>
          </cell>
          <cell r="D4416">
            <v>45635</v>
          </cell>
          <cell r="E4416">
            <v>46047</v>
          </cell>
          <cell r="F4416" t="str">
            <v>34163</v>
          </cell>
          <cell r="G4416" t="str">
            <v>融程電三</v>
          </cell>
          <cell r="H4416">
            <v>200000</v>
          </cell>
          <cell r="I4416">
            <v>3</v>
          </cell>
          <cell r="J4416">
            <v>46047</v>
          </cell>
          <cell r="K4416">
            <v>100.5</v>
          </cell>
          <cell r="L4416">
            <v>46028</v>
          </cell>
          <cell r="M4416">
            <v>-2581</v>
          </cell>
          <cell r="N4416">
            <v>197419</v>
          </cell>
        </row>
        <row r="4417">
          <cell r="A4417">
            <v>30882</v>
          </cell>
          <cell r="B4417">
            <v>4411</v>
          </cell>
          <cell r="C4417" t="str">
            <v>IASWD2412000098</v>
          </cell>
          <cell r="D4417">
            <v>45635</v>
          </cell>
          <cell r="E4417">
            <v>46262</v>
          </cell>
          <cell r="F4417" t="str">
            <v>30882</v>
          </cell>
          <cell r="G4417" t="str">
            <v>艾訊二</v>
          </cell>
          <cell r="H4417">
            <v>100000</v>
          </cell>
          <cell r="I4417">
            <v>3.25</v>
          </cell>
          <cell r="J4417">
            <v>46262</v>
          </cell>
          <cell r="K4417">
            <v>100</v>
          </cell>
          <cell r="L4417">
            <v>46244</v>
          </cell>
          <cell r="M4417">
            <v>-1398</v>
          </cell>
          <cell r="N4417">
            <v>98602</v>
          </cell>
        </row>
        <row r="4418">
          <cell r="A4418">
            <v>22013</v>
          </cell>
          <cell r="B4418">
            <v>4412</v>
          </cell>
          <cell r="C4418" t="str">
            <v>IASWD2412000099</v>
          </cell>
          <cell r="D4418">
            <v>45635</v>
          </cell>
          <cell r="E4418">
            <v>46167</v>
          </cell>
          <cell r="F4418" t="str">
            <v>22013</v>
          </cell>
          <cell r="G4418" t="str">
            <v>裕隆三</v>
          </cell>
          <cell r="H4418">
            <v>400000</v>
          </cell>
          <cell r="I4418">
            <v>3.25</v>
          </cell>
          <cell r="J4418">
            <v>46167</v>
          </cell>
          <cell r="K4418">
            <v>100.75190000000001</v>
          </cell>
          <cell r="L4418">
            <v>46147</v>
          </cell>
          <cell r="M4418">
            <v>-5592</v>
          </cell>
          <cell r="N4418">
            <v>394408</v>
          </cell>
        </row>
        <row r="4419">
          <cell r="A4419">
            <v>24361</v>
          </cell>
          <cell r="B4419">
            <v>4413</v>
          </cell>
          <cell r="C4419" t="str">
            <v>IASWD2412000100</v>
          </cell>
          <cell r="D4419">
            <v>45635</v>
          </cell>
          <cell r="E4419">
            <v>45911</v>
          </cell>
          <cell r="F4419" t="str">
            <v>24361</v>
          </cell>
          <cell r="G4419" t="str">
            <v>偉詮電一</v>
          </cell>
          <cell r="H4419">
            <v>100000</v>
          </cell>
          <cell r="I4419">
            <v>3.75</v>
          </cell>
          <cell r="J4419">
            <v>45911</v>
          </cell>
          <cell r="K4419">
            <v>100.50060000000001</v>
          </cell>
          <cell r="L4419">
            <v>45891</v>
          </cell>
          <cell r="M4419">
            <v>-1613</v>
          </cell>
          <cell r="N4419">
            <v>98387</v>
          </cell>
        </row>
        <row r="4420">
          <cell r="A4420">
            <v>68631</v>
          </cell>
          <cell r="B4420">
            <v>4414</v>
          </cell>
          <cell r="C4420" t="str">
            <v>IASWD2412000101</v>
          </cell>
          <cell r="D4420">
            <v>45636</v>
          </cell>
          <cell r="E4420">
            <v>46675</v>
          </cell>
          <cell r="F4420" t="str">
            <v>68631</v>
          </cell>
          <cell r="G4420" t="str">
            <v>永道一KY</v>
          </cell>
          <cell r="H4420">
            <v>600000</v>
          </cell>
          <cell r="I4420">
            <v>4</v>
          </cell>
          <cell r="J4420">
            <v>46675</v>
          </cell>
          <cell r="K4420">
            <v>100</v>
          </cell>
          <cell r="L4420">
            <v>46657</v>
          </cell>
          <cell r="M4420">
            <v>-10258</v>
          </cell>
          <cell r="N4420">
            <v>589742</v>
          </cell>
        </row>
        <row r="4421">
          <cell r="A4421">
            <v>27323</v>
          </cell>
          <cell r="B4421">
            <v>4415</v>
          </cell>
          <cell r="C4421" t="str">
            <v>IASWD2412000102</v>
          </cell>
          <cell r="D4421">
            <v>45636</v>
          </cell>
          <cell r="E4421">
            <v>46048</v>
          </cell>
          <cell r="F4421" t="str">
            <v>27323</v>
          </cell>
          <cell r="G4421" t="str">
            <v>六角三</v>
          </cell>
          <cell r="H4421">
            <v>100000</v>
          </cell>
          <cell r="I4421">
            <v>3</v>
          </cell>
          <cell r="J4421">
            <v>46048</v>
          </cell>
          <cell r="K4421">
            <v>101</v>
          </cell>
          <cell r="L4421">
            <v>46028</v>
          </cell>
          <cell r="M4421">
            <v>-1282</v>
          </cell>
          <cell r="N4421">
            <v>98718</v>
          </cell>
        </row>
        <row r="4422">
          <cell r="A4422">
            <v>24361</v>
          </cell>
          <cell r="B4422">
            <v>4416</v>
          </cell>
          <cell r="C4422" t="str">
            <v>IASWD2412000104</v>
          </cell>
          <cell r="D4422">
            <v>45636</v>
          </cell>
          <cell r="E4422">
            <v>45911</v>
          </cell>
          <cell r="F4422" t="str">
            <v>24361</v>
          </cell>
          <cell r="G4422" t="str">
            <v>偉詮電一</v>
          </cell>
          <cell r="H4422">
            <v>300000</v>
          </cell>
          <cell r="I4422">
            <v>3.75</v>
          </cell>
          <cell r="J4422">
            <v>45911</v>
          </cell>
          <cell r="K4422">
            <v>100.50060000000001</v>
          </cell>
          <cell r="L4422">
            <v>45891</v>
          </cell>
          <cell r="M4422">
            <v>-4808</v>
          </cell>
          <cell r="N4422">
            <v>295192</v>
          </cell>
        </row>
        <row r="4423">
          <cell r="A4423">
            <v>33244</v>
          </cell>
          <cell r="B4423">
            <v>4417</v>
          </cell>
          <cell r="C4423" t="str">
            <v>IASWD2412000105</v>
          </cell>
          <cell r="D4423">
            <v>45636</v>
          </cell>
          <cell r="E4423">
            <v>45973</v>
          </cell>
          <cell r="F4423" t="str">
            <v>33244</v>
          </cell>
          <cell r="G4423" t="str">
            <v>雙鴻四</v>
          </cell>
          <cell r="H4423">
            <v>200000</v>
          </cell>
          <cell r="I4423">
            <v>2.4</v>
          </cell>
          <cell r="J4423">
            <v>45973</v>
          </cell>
          <cell r="K4423">
            <v>100</v>
          </cell>
          <cell r="L4423">
            <v>45953</v>
          </cell>
          <cell r="M4423">
            <v>-2052</v>
          </cell>
          <cell r="N4423">
            <v>197948</v>
          </cell>
        </row>
        <row r="4424">
          <cell r="A4424">
            <v>68631</v>
          </cell>
          <cell r="B4424">
            <v>4418</v>
          </cell>
          <cell r="C4424" t="str">
            <v>IASWD2412000108</v>
          </cell>
          <cell r="D4424">
            <v>45636</v>
          </cell>
          <cell r="E4424">
            <v>46675</v>
          </cell>
          <cell r="F4424" t="str">
            <v>68631</v>
          </cell>
          <cell r="G4424" t="str">
            <v>永道一KY</v>
          </cell>
          <cell r="H4424">
            <v>100000</v>
          </cell>
          <cell r="I4424">
            <v>4</v>
          </cell>
          <cell r="J4424">
            <v>46675</v>
          </cell>
          <cell r="K4424">
            <v>100</v>
          </cell>
          <cell r="L4424">
            <v>46657</v>
          </cell>
          <cell r="M4424">
            <v>-1710</v>
          </cell>
          <cell r="N4424">
            <v>98290</v>
          </cell>
        </row>
        <row r="4425">
          <cell r="A4425">
            <v>22013</v>
          </cell>
          <cell r="B4425">
            <v>4419</v>
          </cell>
          <cell r="C4425" t="str">
            <v>IASWD2412000109</v>
          </cell>
          <cell r="D4425">
            <v>45636</v>
          </cell>
          <cell r="E4425">
            <v>46167</v>
          </cell>
          <cell r="F4425" t="str">
            <v>22013</v>
          </cell>
          <cell r="G4425" t="str">
            <v>裕隆三</v>
          </cell>
          <cell r="H4425">
            <v>100000</v>
          </cell>
          <cell r="I4425">
            <v>3.25</v>
          </cell>
          <cell r="J4425">
            <v>46167</v>
          </cell>
          <cell r="K4425">
            <v>100.75190000000001</v>
          </cell>
          <cell r="L4425">
            <v>46147</v>
          </cell>
          <cell r="M4425">
            <v>-1389</v>
          </cell>
          <cell r="N4425">
            <v>98611</v>
          </cell>
        </row>
        <row r="4426">
          <cell r="A4426">
            <v>15364</v>
          </cell>
          <cell r="B4426">
            <v>4420</v>
          </cell>
          <cell r="C4426" t="str">
            <v>IASWD2412000110</v>
          </cell>
          <cell r="D4426">
            <v>45636</v>
          </cell>
          <cell r="E4426">
            <v>46246</v>
          </cell>
          <cell r="F4426" t="str">
            <v>15364</v>
          </cell>
          <cell r="G4426" t="str">
            <v>和大四</v>
          </cell>
          <cell r="H4426">
            <v>100000</v>
          </cell>
          <cell r="I4426">
            <v>4</v>
          </cell>
          <cell r="J4426">
            <v>46246</v>
          </cell>
          <cell r="K4426">
            <v>100</v>
          </cell>
          <cell r="L4426">
            <v>46226</v>
          </cell>
          <cell r="M4426">
            <v>-1710</v>
          </cell>
          <cell r="N4426">
            <v>98290</v>
          </cell>
        </row>
        <row r="4427">
          <cell r="A4427">
            <v>84781</v>
          </cell>
          <cell r="B4427">
            <v>4421</v>
          </cell>
          <cell r="C4427" t="str">
            <v>IASWD2412000111</v>
          </cell>
          <cell r="D4427">
            <v>45636</v>
          </cell>
          <cell r="E4427">
            <v>46583</v>
          </cell>
          <cell r="F4427" t="str">
            <v>84781</v>
          </cell>
          <cell r="G4427" t="str">
            <v>東哥遊艇一</v>
          </cell>
          <cell r="H4427">
            <v>600000</v>
          </cell>
          <cell r="I4427">
            <v>3.25</v>
          </cell>
          <cell r="J4427">
            <v>46583</v>
          </cell>
          <cell r="K4427">
            <v>100</v>
          </cell>
          <cell r="L4427">
            <v>46563</v>
          </cell>
          <cell r="M4427">
            <v>-8334</v>
          </cell>
          <cell r="N4427">
            <v>591666</v>
          </cell>
        </row>
        <row r="4428">
          <cell r="A4428">
            <v>22013</v>
          </cell>
          <cell r="B4428">
            <v>4422</v>
          </cell>
          <cell r="C4428" t="str">
            <v>IASWD2412000112</v>
          </cell>
          <cell r="D4428">
            <v>45636</v>
          </cell>
          <cell r="E4428">
            <v>46167</v>
          </cell>
          <cell r="F4428" t="str">
            <v>22013</v>
          </cell>
          <cell r="G4428" t="str">
            <v>裕隆三</v>
          </cell>
          <cell r="H4428">
            <v>100000</v>
          </cell>
          <cell r="I4428">
            <v>3.25</v>
          </cell>
          <cell r="J4428">
            <v>46167</v>
          </cell>
          <cell r="K4428">
            <v>100.75190000000001</v>
          </cell>
          <cell r="L4428">
            <v>46147</v>
          </cell>
          <cell r="M4428">
            <v>-1389</v>
          </cell>
          <cell r="N4428">
            <v>98611</v>
          </cell>
        </row>
        <row r="4429">
          <cell r="A4429">
            <v>68631</v>
          </cell>
          <cell r="B4429">
            <v>4423</v>
          </cell>
          <cell r="C4429" t="str">
            <v>IASWD2412000113</v>
          </cell>
          <cell r="D4429">
            <v>45636</v>
          </cell>
          <cell r="E4429">
            <v>46675</v>
          </cell>
          <cell r="F4429" t="str">
            <v>68631</v>
          </cell>
          <cell r="G4429" t="str">
            <v>永道一KY</v>
          </cell>
          <cell r="H4429">
            <v>100000</v>
          </cell>
          <cell r="I4429">
            <v>4</v>
          </cell>
          <cell r="J4429">
            <v>46675</v>
          </cell>
          <cell r="K4429">
            <v>100</v>
          </cell>
          <cell r="L4429">
            <v>46657</v>
          </cell>
          <cell r="M4429">
            <v>-1710</v>
          </cell>
          <cell r="N4429">
            <v>98290</v>
          </cell>
        </row>
        <row r="4430">
          <cell r="A4430">
            <v>34163</v>
          </cell>
          <cell r="B4430">
            <v>4424</v>
          </cell>
          <cell r="C4430" t="str">
            <v>IASWD2412000115</v>
          </cell>
          <cell r="D4430">
            <v>45636</v>
          </cell>
          <cell r="E4430">
            <v>46047</v>
          </cell>
          <cell r="F4430" t="str">
            <v>34163</v>
          </cell>
          <cell r="G4430" t="str">
            <v>融程電三</v>
          </cell>
          <cell r="H4430">
            <v>400000</v>
          </cell>
          <cell r="I4430">
            <v>3</v>
          </cell>
          <cell r="J4430">
            <v>46047</v>
          </cell>
          <cell r="K4430">
            <v>100.5</v>
          </cell>
          <cell r="L4430">
            <v>46028</v>
          </cell>
          <cell r="M4430">
            <v>-5129</v>
          </cell>
          <cell r="N4430">
            <v>394871</v>
          </cell>
        </row>
        <row r="4431">
          <cell r="A4431">
            <v>84781</v>
          </cell>
          <cell r="B4431">
            <v>4425</v>
          </cell>
          <cell r="C4431" t="str">
            <v>IASWD2412000116</v>
          </cell>
          <cell r="D4431">
            <v>45636</v>
          </cell>
          <cell r="E4431">
            <v>46583</v>
          </cell>
          <cell r="F4431" t="str">
            <v>84781</v>
          </cell>
          <cell r="G4431" t="str">
            <v>東哥遊艇一</v>
          </cell>
          <cell r="H4431">
            <v>500000</v>
          </cell>
          <cell r="I4431">
            <v>3.25</v>
          </cell>
          <cell r="J4431">
            <v>46583</v>
          </cell>
          <cell r="K4431">
            <v>100</v>
          </cell>
          <cell r="L4431">
            <v>46563</v>
          </cell>
          <cell r="M4431">
            <v>-6945</v>
          </cell>
          <cell r="N4431">
            <v>493055</v>
          </cell>
        </row>
        <row r="4432">
          <cell r="A4432">
            <v>84781</v>
          </cell>
          <cell r="B4432">
            <v>4426</v>
          </cell>
          <cell r="C4432" t="str">
            <v>IASWD2412000117</v>
          </cell>
          <cell r="D4432">
            <v>45636</v>
          </cell>
          <cell r="E4432">
            <v>46583</v>
          </cell>
          <cell r="F4432" t="str">
            <v>84781</v>
          </cell>
          <cell r="G4432" t="str">
            <v>東哥遊艇一</v>
          </cell>
          <cell r="H4432">
            <v>100000</v>
          </cell>
          <cell r="I4432">
            <v>3.25</v>
          </cell>
          <cell r="J4432">
            <v>46583</v>
          </cell>
          <cell r="K4432">
            <v>100</v>
          </cell>
          <cell r="L4432">
            <v>46563</v>
          </cell>
          <cell r="M4432">
            <v>-1389</v>
          </cell>
          <cell r="N4432">
            <v>98611</v>
          </cell>
        </row>
        <row r="4433">
          <cell r="A4433">
            <v>68631</v>
          </cell>
          <cell r="B4433">
            <v>4427</v>
          </cell>
          <cell r="C4433" t="str">
            <v>IASWD2412000118</v>
          </cell>
          <cell r="D4433">
            <v>45636</v>
          </cell>
          <cell r="E4433">
            <v>46675</v>
          </cell>
          <cell r="F4433" t="str">
            <v>68631</v>
          </cell>
          <cell r="G4433" t="str">
            <v>永道一KY</v>
          </cell>
          <cell r="H4433">
            <v>100000</v>
          </cell>
          <cell r="I4433">
            <v>4</v>
          </cell>
          <cell r="J4433">
            <v>46675</v>
          </cell>
          <cell r="K4433">
            <v>100</v>
          </cell>
          <cell r="L4433">
            <v>46657</v>
          </cell>
          <cell r="M4433">
            <v>-1710</v>
          </cell>
          <cell r="N4433">
            <v>98290</v>
          </cell>
        </row>
        <row r="4434">
          <cell r="A4434">
            <v>68631</v>
          </cell>
          <cell r="B4434">
            <v>4428</v>
          </cell>
          <cell r="C4434" t="str">
            <v>IASWD2412000119</v>
          </cell>
          <cell r="D4434">
            <v>45636</v>
          </cell>
          <cell r="E4434">
            <v>46675</v>
          </cell>
          <cell r="F4434" t="str">
            <v>68631</v>
          </cell>
          <cell r="G4434" t="str">
            <v>永道一KY</v>
          </cell>
          <cell r="H4434">
            <v>100000</v>
          </cell>
          <cell r="I4434">
            <v>4</v>
          </cell>
          <cell r="J4434">
            <v>46675</v>
          </cell>
          <cell r="K4434">
            <v>100</v>
          </cell>
          <cell r="L4434">
            <v>46657</v>
          </cell>
          <cell r="M4434">
            <v>-1710</v>
          </cell>
          <cell r="N4434">
            <v>98290</v>
          </cell>
        </row>
        <row r="4435">
          <cell r="A4435">
            <v>35266</v>
          </cell>
          <cell r="B4435">
            <v>4429</v>
          </cell>
          <cell r="C4435" t="str">
            <v>IASWD2412000120</v>
          </cell>
          <cell r="D4435">
            <v>45636</v>
          </cell>
          <cell r="E4435">
            <v>46416</v>
          </cell>
          <cell r="F4435" t="str">
            <v>35266</v>
          </cell>
          <cell r="G4435" t="str">
            <v>凡甲六</v>
          </cell>
          <cell r="H4435">
            <v>300000</v>
          </cell>
          <cell r="I4435">
            <v>3.25</v>
          </cell>
          <cell r="J4435">
            <v>46416</v>
          </cell>
          <cell r="K4435">
            <v>100</v>
          </cell>
          <cell r="L4435">
            <v>46398</v>
          </cell>
          <cell r="M4435">
            <v>-4167</v>
          </cell>
          <cell r="N4435">
            <v>295833</v>
          </cell>
        </row>
        <row r="4436">
          <cell r="A4436">
            <v>22013</v>
          </cell>
          <cell r="B4436">
            <v>4430</v>
          </cell>
          <cell r="C4436" t="str">
            <v>IASWD2412000121</v>
          </cell>
          <cell r="D4436">
            <v>45636</v>
          </cell>
          <cell r="E4436">
            <v>46167</v>
          </cell>
          <cell r="F4436" t="str">
            <v>22013</v>
          </cell>
          <cell r="G4436" t="str">
            <v>裕隆三</v>
          </cell>
          <cell r="H4436">
            <v>300000</v>
          </cell>
          <cell r="I4436">
            <v>3.25</v>
          </cell>
          <cell r="J4436">
            <v>46167</v>
          </cell>
          <cell r="K4436">
            <v>100.75190000000001</v>
          </cell>
          <cell r="L4436">
            <v>46147</v>
          </cell>
          <cell r="M4436">
            <v>-4167</v>
          </cell>
          <cell r="N4436">
            <v>295833</v>
          </cell>
        </row>
        <row r="4437">
          <cell r="A4437">
            <v>22013</v>
          </cell>
          <cell r="B4437">
            <v>4431</v>
          </cell>
          <cell r="C4437" t="str">
            <v>IASWD2412000122</v>
          </cell>
          <cell r="D4437">
            <v>45636</v>
          </cell>
          <cell r="E4437">
            <v>46167</v>
          </cell>
          <cell r="F4437" t="str">
            <v>22013</v>
          </cell>
          <cell r="G4437" t="str">
            <v>裕隆三</v>
          </cell>
          <cell r="H4437">
            <v>100000</v>
          </cell>
          <cell r="I4437">
            <v>3.25</v>
          </cell>
          <cell r="J4437">
            <v>46167</v>
          </cell>
          <cell r="K4437">
            <v>100.75190000000001</v>
          </cell>
          <cell r="L4437">
            <v>46147</v>
          </cell>
          <cell r="M4437">
            <v>-1389</v>
          </cell>
          <cell r="N4437">
            <v>98611</v>
          </cell>
        </row>
        <row r="4438">
          <cell r="A4438">
            <v>24361</v>
          </cell>
          <cell r="B4438">
            <v>4432</v>
          </cell>
          <cell r="C4438" t="str">
            <v>IASWD2412000123</v>
          </cell>
          <cell r="D4438">
            <v>45636</v>
          </cell>
          <cell r="E4438">
            <v>45911</v>
          </cell>
          <cell r="F4438" t="str">
            <v>24361</v>
          </cell>
          <cell r="G4438" t="str">
            <v>偉詮電一</v>
          </cell>
          <cell r="H4438">
            <v>100000</v>
          </cell>
          <cell r="I4438">
            <v>3.75</v>
          </cell>
          <cell r="J4438">
            <v>45911</v>
          </cell>
          <cell r="K4438">
            <v>100.50060000000001</v>
          </cell>
          <cell r="L4438">
            <v>45891</v>
          </cell>
          <cell r="M4438">
            <v>-1603</v>
          </cell>
          <cell r="N4438">
            <v>98397</v>
          </cell>
        </row>
        <row r="4439">
          <cell r="A4439">
            <v>22013</v>
          </cell>
          <cell r="B4439">
            <v>4433</v>
          </cell>
          <cell r="C4439" t="str">
            <v>IASWD2412000124</v>
          </cell>
          <cell r="D4439">
            <v>45637</v>
          </cell>
          <cell r="E4439">
            <v>46167</v>
          </cell>
          <cell r="F4439" t="str">
            <v>22013</v>
          </cell>
          <cell r="G4439" t="str">
            <v>裕隆三</v>
          </cell>
          <cell r="H4439">
            <v>100000</v>
          </cell>
          <cell r="I4439">
            <v>3.25</v>
          </cell>
          <cell r="J4439">
            <v>46167</v>
          </cell>
          <cell r="K4439">
            <v>100.75190000000001</v>
          </cell>
          <cell r="L4439">
            <v>46147</v>
          </cell>
          <cell r="M4439">
            <v>-1380</v>
          </cell>
          <cell r="N4439">
            <v>98620</v>
          </cell>
        </row>
        <row r="4440">
          <cell r="A4440">
            <v>33244</v>
          </cell>
          <cell r="B4440">
            <v>4434</v>
          </cell>
          <cell r="C4440" t="str">
            <v>IASWD2412000125</v>
          </cell>
          <cell r="D4440">
            <v>45637</v>
          </cell>
          <cell r="E4440">
            <v>45973</v>
          </cell>
          <cell r="F4440" t="str">
            <v>33244</v>
          </cell>
          <cell r="G4440" t="str">
            <v>雙鴻四</v>
          </cell>
          <cell r="H4440">
            <v>200000</v>
          </cell>
          <cell r="I4440">
            <v>2.4</v>
          </cell>
          <cell r="J4440">
            <v>45973</v>
          </cell>
          <cell r="K4440">
            <v>100</v>
          </cell>
          <cell r="L4440">
            <v>45953</v>
          </cell>
          <cell r="M4440">
            <v>-2038</v>
          </cell>
          <cell r="N4440">
            <v>197962</v>
          </cell>
        </row>
        <row r="4441">
          <cell r="A4441">
            <v>84781</v>
          </cell>
          <cell r="B4441">
            <v>4435</v>
          </cell>
          <cell r="C4441" t="str">
            <v>IASWD2412000126</v>
          </cell>
          <cell r="D4441">
            <v>45637</v>
          </cell>
          <cell r="E4441">
            <v>46583</v>
          </cell>
          <cell r="F4441" t="str">
            <v>84781</v>
          </cell>
          <cell r="G4441" t="str">
            <v>東哥遊艇一</v>
          </cell>
          <cell r="H4441">
            <v>100000</v>
          </cell>
          <cell r="I4441">
            <v>3.25</v>
          </cell>
          <cell r="J4441">
            <v>46583</v>
          </cell>
          <cell r="K4441">
            <v>100</v>
          </cell>
          <cell r="L4441">
            <v>46563</v>
          </cell>
          <cell r="M4441">
            <v>-1380</v>
          </cell>
          <cell r="N4441">
            <v>98620</v>
          </cell>
        </row>
        <row r="4442">
          <cell r="A4442">
            <v>22013</v>
          </cell>
          <cell r="B4442">
            <v>4436</v>
          </cell>
          <cell r="C4442" t="str">
            <v>IASWD2412000127</v>
          </cell>
          <cell r="D4442">
            <v>45637</v>
          </cell>
          <cell r="E4442">
            <v>46167</v>
          </cell>
          <cell r="F4442" t="str">
            <v>22013</v>
          </cell>
          <cell r="G4442" t="str">
            <v>裕隆三</v>
          </cell>
          <cell r="H4442">
            <v>700000</v>
          </cell>
          <cell r="I4442">
            <v>3.25</v>
          </cell>
          <cell r="J4442">
            <v>46167</v>
          </cell>
          <cell r="K4442">
            <v>100.75190000000001</v>
          </cell>
          <cell r="L4442">
            <v>46147</v>
          </cell>
          <cell r="M4442">
            <v>-9661</v>
          </cell>
          <cell r="N4442">
            <v>690339</v>
          </cell>
        </row>
        <row r="4443">
          <cell r="A4443">
            <v>22013</v>
          </cell>
          <cell r="B4443">
            <v>4437</v>
          </cell>
          <cell r="C4443" t="str">
            <v>IASWD2412000128</v>
          </cell>
          <cell r="D4443">
            <v>45637</v>
          </cell>
          <cell r="E4443">
            <v>46167</v>
          </cell>
          <cell r="F4443" t="str">
            <v>22013</v>
          </cell>
          <cell r="G4443" t="str">
            <v>裕隆三</v>
          </cell>
          <cell r="H4443">
            <v>400000</v>
          </cell>
          <cell r="I4443">
            <v>3.25</v>
          </cell>
          <cell r="J4443">
            <v>46167</v>
          </cell>
          <cell r="K4443">
            <v>100.75190000000001</v>
          </cell>
          <cell r="L4443">
            <v>46147</v>
          </cell>
          <cell r="M4443">
            <v>-5521</v>
          </cell>
          <cell r="N4443">
            <v>394479</v>
          </cell>
        </row>
        <row r="4444">
          <cell r="A4444">
            <v>35266</v>
          </cell>
          <cell r="B4444">
            <v>4438</v>
          </cell>
          <cell r="C4444" t="str">
            <v>IASWD2412000130</v>
          </cell>
          <cell r="D4444">
            <v>45637</v>
          </cell>
          <cell r="E4444">
            <v>46416</v>
          </cell>
          <cell r="F4444" t="str">
            <v>35266</v>
          </cell>
          <cell r="G4444" t="str">
            <v>凡甲六</v>
          </cell>
          <cell r="H4444">
            <v>100000</v>
          </cell>
          <cell r="I4444">
            <v>3.25</v>
          </cell>
          <cell r="J4444">
            <v>46416</v>
          </cell>
          <cell r="K4444">
            <v>100</v>
          </cell>
          <cell r="L4444">
            <v>46398</v>
          </cell>
          <cell r="M4444">
            <v>-1380</v>
          </cell>
          <cell r="N4444">
            <v>98620</v>
          </cell>
        </row>
        <row r="4445">
          <cell r="A4445">
            <v>22013</v>
          </cell>
          <cell r="B4445">
            <v>4439</v>
          </cell>
          <cell r="C4445" t="str">
            <v>IASWD2412000131</v>
          </cell>
          <cell r="D4445">
            <v>45637</v>
          </cell>
          <cell r="E4445">
            <v>46167</v>
          </cell>
          <cell r="F4445" t="str">
            <v>22013</v>
          </cell>
          <cell r="G4445" t="str">
            <v>裕隆三</v>
          </cell>
          <cell r="H4445">
            <v>100000</v>
          </cell>
          <cell r="I4445">
            <v>3.25</v>
          </cell>
          <cell r="J4445">
            <v>46167</v>
          </cell>
          <cell r="K4445">
            <v>100.75190000000001</v>
          </cell>
          <cell r="L4445">
            <v>46147</v>
          </cell>
          <cell r="M4445">
            <v>-1380</v>
          </cell>
          <cell r="N4445">
            <v>98620</v>
          </cell>
        </row>
        <row r="4446">
          <cell r="A4446">
            <v>84781</v>
          </cell>
          <cell r="B4446">
            <v>4440</v>
          </cell>
          <cell r="C4446" t="str">
            <v>IASWD2412000133</v>
          </cell>
          <cell r="D4446">
            <v>45637</v>
          </cell>
          <cell r="E4446">
            <v>46583</v>
          </cell>
          <cell r="F4446" t="str">
            <v>84781</v>
          </cell>
          <cell r="G4446" t="str">
            <v>東哥遊艇一</v>
          </cell>
          <cell r="H4446">
            <v>1300000</v>
          </cell>
          <cell r="I4446">
            <v>3.25</v>
          </cell>
          <cell r="J4446">
            <v>46583</v>
          </cell>
          <cell r="K4446">
            <v>100</v>
          </cell>
          <cell r="L4446">
            <v>46563</v>
          </cell>
          <cell r="M4446">
            <v>-17942</v>
          </cell>
          <cell r="N4446">
            <v>1282058</v>
          </cell>
        </row>
        <row r="4447">
          <cell r="A4447">
            <v>22013</v>
          </cell>
          <cell r="B4447">
            <v>4441</v>
          </cell>
          <cell r="C4447" t="str">
            <v>IASWD2412000134</v>
          </cell>
          <cell r="D4447">
            <v>45637</v>
          </cell>
          <cell r="E4447">
            <v>46167</v>
          </cell>
          <cell r="F4447" t="str">
            <v>22013</v>
          </cell>
          <cell r="G4447" t="str">
            <v>裕隆三</v>
          </cell>
          <cell r="H4447">
            <v>500000</v>
          </cell>
          <cell r="I4447">
            <v>3.25</v>
          </cell>
          <cell r="J4447">
            <v>46167</v>
          </cell>
          <cell r="K4447">
            <v>100.75190000000001</v>
          </cell>
          <cell r="L4447">
            <v>46147</v>
          </cell>
          <cell r="M4447">
            <v>-6901</v>
          </cell>
          <cell r="N4447">
            <v>493099</v>
          </cell>
        </row>
        <row r="4448">
          <cell r="A4448">
            <v>34793</v>
          </cell>
          <cell r="B4448">
            <v>4442</v>
          </cell>
          <cell r="C4448" t="str">
            <v>IASWD2412000136</v>
          </cell>
          <cell r="D4448">
            <v>45637</v>
          </cell>
          <cell r="E4448">
            <v>46409</v>
          </cell>
          <cell r="F4448" t="str">
            <v>34793</v>
          </cell>
          <cell r="G4448" t="str">
            <v>安勤三</v>
          </cell>
          <cell r="H4448">
            <v>100000</v>
          </cell>
          <cell r="I4448">
            <v>3</v>
          </cell>
          <cell r="J4448">
            <v>46409</v>
          </cell>
          <cell r="K4448">
            <v>100</v>
          </cell>
          <cell r="L4448">
            <v>46391</v>
          </cell>
          <cell r="M4448">
            <v>-1274</v>
          </cell>
          <cell r="N4448">
            <v>98726</v>
          </cell>
        </row>
        <row r="4449">
          <cell r="A4449">
            <v>22013</v>
          </cell>
          <cell r="B4449">
            <v>4443</v>
          </cell>
          <cell r="C4449" t="str">
            <v>IASWD2412000137</v>
          </cell>
          <cell r="D4449">
            <v>45637</v>
          </cell>
          <cell r="E4449">
            <v>46167</v>
          </cell>
          <cell r="F4449" t="str">
            <v>22013</v>
          </cell>
          <cell r="G4449" t="str">
            <v>裕隆三</v>
          </cell>
          <cell r="H4449">
            <v>100000</v>
          </cell>
          <cell r="I4449">
            <v>3.25</v>
          </cell>
          <cell r="J4449">
            <v>46167</v>
          </cell>
          <cell r="K4449">
            <v>100.75190000000001</v>
          </cell>
          <cell r="L4449">
            <v>46147</v>
          </cell>
          <cell r="M4449">
            <v>-1380</v>
          </cell>
          <cell r="N4449">
            <v>98620</v>
          </cell>
        </row>
        <row r="4450">
          <cell r="A4450">
            <v>84673</v>
          </cell>
          <cell r="B4450">
            <v>4444</v>
          </cell>
          <cell r="C4450" t="str">
            <v>IASWD2412000140</v>
          </cell>
          <cell r="D4450">
            <v>45637</v>
          </cell>
          <cell r="E4450">
            <v>46538</v>
          </cell>
          <cell r="F4450" t="str">
            <v>84673</v>
          </cell>
          <cell r="G4450" t="str">
            <v>波力三KY</v>
          </cell>
          <cell r="H4450">
            <v>200000</v>
          </cell>
          <cell r="I4450">
            <v>4.2</v>
          </cell>
          <cell r="J4450">
            <v>46538</v>
          </cell>
          <cell r="K4450">
            <v>100</v>
          </cell>
          <cell r="L4450">
            <v>46518</v>
          </cell>
          <cell r="M4450">
            <v>-3567</v>
          </cell>
          <cell r="N4450">
            <v>196433</v>
          </cell>
        </row>
        <row r="4451">
          <cell r="A4451">
            <v>68301</v>
          </cell>
          <cell r="B4451">
            <v>4445</v>
          </cell>
          <cell r="C4451" t="str">
            <v>IASWD2412000142</v>
          </cell>
          <cell r="D4451">
            <v>45637</v>
          </cell>
          <cell r="E4451">
            <v>46249</v>
          </cell>
          <cell r="F4451" t="str">
            <v>68301</v>
          </cell>
          <cell r="G4451" t="str">
            <v>汎銓一</v>
          </cell>
          <cell r="H4451">
            <v>100000</v>
          </cell>
          <cell r="I4451">
            <v>3</v>
          </cell>
          <cell r="J4451">
            <v>46249</v>
          </cell>
          <cell r="K4451">
            <v>100</v>
          </cell>
          <cell r="L4451">
            <v>46231</v>
          </cell>
          <cell r="M4451">
            <v>-1274</v>
          </cell>
          <cell r="N4451">
            <v>98726</v>
          </cell>
        </row>
        <row r="4452">
          <cell r="A4452">
            <v>30882</v>
          </cell>
          <cell r="B4452">
            <v>4446</v>
          </cell>
          <cell r="C4452" t="str">
            <v>IASWD2412000144</v>
          </cell>
          <cell r="D4452">
            <v>45637</v>
          </cell>
          <cell r="E4452">
            <v>46262</v>
          </cell>
          <cell r="F4452" t="str">
            <v>30882</v>
          </cell>
          <cell r="G4452" t="str">
            <v>艾訊二</v>
          </cell>
          <cell r="H4452">
            <v>400000</v>
          </cell>
          <cell r="I4452">
            <v>3.25</v>
          </cell>
          <cell r="J4452">
            <v>46262</v>
          </cell>
          <cell r="K4452">
            <v>100</v>
          </cell>
          <cell r="L4452">
            <v>46244</v>
          </cell>
          <cell r="M4452">
            <v>-5521</v>
          </cell>
          <cell r="N4452">
            <v>394479</v>
          </cell>
        </row>
        <row r="4453">
          <cell r="A4453">
            <v>84781</v>
          </cell>
          <cell r="B4453">
            <v>4447</v>
          </cell>
          <cell r="C4453" t="str">
            <v>IASWD2412000147</v>
          </cell>
          <cell r="D4453">
            <v>45637</v>
          </cell>
          <cell r="E4453">
            <v>46583</v>
          </cell>
          <cell r="F4453" t="str">
            <v>84781</v>
          </cell>
          <cell r="G4453" t="str">
            <v>東哥遊艇一</v>
          </cell>
          <cell r="H4453">
            <v>500000</v>
          </cell>
          <cell r="I4453">
            <v>3.25</v>
          </cell>
          <cell r="J4453">
            <v>46583</v>
          </cell>
          <cell r="K4453">
            <v>100</v>
          </cell>
          <cell r="L4453">
            <v>46563</v>
          </cell>
          <cell r="M4453">
            <v>-6901</v>
          </cell>
          <cell r="N4453">
            <v>493099</v>
          </cell>
        </row>
        <row r="4454">
          <cell r="A4454">
            <v>34163</v>
          </cell>
          <cell r="B4454">
            <v>4448</v>
          </cell>
          <cell r="C4454" t="str">
            <v>IASWD2412000148</v>
          </cell>
          <cell r="D4454">
            <v>45638</v>
          </cell>
          <cell r="E4454">
            <v>46047</v>
          </cell>
          <cell r="F4454" t="str">
            <v>34163</v>
          </cell>
          <cell r="G4454" t="str">
            <v>融程電三</v>
          </cell>
          <cell r="H4454">
            <v>1000000</v>
          </cell>
          <cell r="I4454">
            <v>3</v>
          </cell>
          <cell r="J4454">
            <v>46047</v>
          </cell>
          <cell r="K4454">
            <v>100.5</v>
          </cell>
          <cell r="L4454">
            <v>46028</v>
          </cell>
          <cell r="M4454">
            <v>-12658</v>
          </cell>
          <cell r="N4454">
            <v>987342</v>
          </cell>
        </row>
        <row r="4455">
          <cell r="A4455">
            <v>84781</v>
          </cell>
          <cell r="B4455">
            <v>4449</v>
          </cell>
          <cell r="C4455" t="str">
            <v>IASWD2412000149</v>
          </cell>
          <cell r="D4455">
            <v>45638</v>
          </cell>
          <cell r="E4455">
            <v>46583</v>
          </cell>
          <cell r="F4455" t="str">
            <v>84781</v>
          </cell>
          <cell r="G4455" t="str">
            <v>東哥遊艇一</v>
          </cell>
          <cell r="H4455">
            <v>100000</v>
          </cell>
          <cell r="I4455">
            <v>3.25</v>
          </cell>
          <cell r="J4455">
            <v>46583</v>
          </cell>
          <cell r="K4455">
            <v>100</v>
          </cell>
          <cell r="L4455">
            <v>46563</v>
          </cell>
          <cell r="M4455">
            <v>-1371</v>
          </cell>
          <cell r="N4455">
            <v>98629</v>
          </cell>
        </row>
        <row r="4456">
          <cell r="A4456">
            <v>68301</v>
          </cell>
          <cell r="B4456">
            <v>4450</v>
          </cell>
          <cell r="C4456" t="str">
            <v>IASWD2412000151</v>
          </cell>
          <cell r="D4456">
            <v>45638</v>
          </cell>
          <cell r="E4456">
            <v>46249</v>
          </cell>
          <cell r="F4456" t="str">
            <v>68301</v>
          </cell>
          <cell r="G4456" t="str">
            <v>汎銓一</v>
          </cell>
          <cell r="H4456">
            <v>100000</v>
          </cell>
          <cell r="I4456">
            <v>3</v>
          </cell>
          <cell r="J4456">
            <v>46249</v>
          </cell>
          <cell r="K4456">
            <v>100</v>
          </cell>
          <cell r="L4456">
            <v>46231</v>
          </cell>
          <cell r="M4456">
            <v>-1266</v>
          </cell>
          <cell r="N4456">
            <v>98734</v>
          </cell>
        </row>
        <row r="4457">
          <cell r="A4457">
            <v>15364</v>
          </cell>
          <cell r="B4457">
            <v>4451</v>
          </cell>
          <cell r="C4457" t="str">
            <v>IASWD2412000152</v>
          </cell>
          <cell r="D4457">
            <v>45638</v>
          </cell>
          <cell r="E4457">
            <v>46246</v>
          </cell>
          <cell r="F4457" t="str">
            <v>15364</v>
          </cell>
          <cell r="G4457" t="str">
            <v>和大四</v>
          </cell>
          <cell r="H4457">
            <v>100000</v>
          </cell>
          <cell r="I4457">
            <v>4</v>
          </cell>
          <cell r="J4457">
            <v>46246</v>
          </cell>
          <cell r="K4457">
            <v>100</v>
          </cell>
          <cell r="L4457">
            <v>46226</v>
          </cell>
          <cell r="M4457">
            <v>-1688</v>
          </cell>
          <cell r="N4457">
            <v>98312</v>
          </cell>
        </row>
        <row r="4458">
          <cell r="A4458">
            <v>15364</v>
          </cell>
          <cell r="B4458">
            <v>4452</v>
          </cell>
          <cell r="C4458" t="str">
            <v>IASWD2412000153</v>
          </cell>
          <cell r="D4458">
            <v>45638</v>
          </cell>
          <cell r="E4458">
            <v>46246</v>
          </cell>
          <cell r="F4458" t="str">
            <v>15364</v>
          </cell>
          <cell r="G4458" t="str">
            <v>和大四</v>
          </cell>
          <cell r="H4458">
            <v>100000</v>
          </cell>
          <cell r="I4458">
            <v>4</v>
          </cell>
          <cell r="J4458">
            <v>46246</v>
          </cell>
          <cell r="K4458">
            <v>100</v>
          </cell>
          <cell r="L4458">
            <v>46226</v>
          </cell>
          <cell r="M4458">
            <v>-1688</v>
          </cell>
          <cell r="N4458">
            <v>98312</v>
          </cell>
        </row>
        <row r="4459">
          <cell r="A4459">
            <v>61843</v>
          </cell>
          <cell r="B4459">
            <v>4453</v>
          </cell>
          <cell r="C4459" t="str">
            <v>IASWD2412000155</v>
          </cell>
          <cell r="D4459">
            <v>45638</v>
          </cell>
          <cell r="E4459">
            <v>46452</v>
          </cell>
          <cell r="F4459" t="str">
            <v>61843</v>
          </cell>
          <cell r="G4459" t="str">
            <v>大豐電三</v>
          </cell>
          <cell r="H4459">
            <v>100000</v>
          </cell>
          <cell r="I4459">
            <v>3.75</v>
          </cell>
          <cell r="J4459">
            <v>46452</v>
          </cell>
          <cell r="K4459">
            <v>101.50749999999999</v>
          </cell>
          <cell r="L4459">
            <v>46434</v>
          </cell>
          <cell r="M4459">
            <v>-1582</v>
          </cell>
          <cell r="N4459">
            <v>98418</v>
          </cell>
        </row>
        <row r="4460">
          <cell r="A4460">
            <v>35832</v>
          </cell>
          <cell r="B4460">
            <v>4454</v>
          </cell>
          <cell r="C4460" t="str">
            <v>IASWD2412000156</v>
          </cell>
          <cell r="D4460">
            <v>45638</v>
          </cell>
          <cell r="E4460">
            <v>46192</v>
          </cell>
          <cell r="F4460" t="str">
            <v>35832</v>
          </cell>
          <cell r="G4460" t="str">
            <v>辛耘二</v>
          </cell>
          <cell r="H4460">
            <v>300000</v>
          </cell>
          <cell r="I4460">
            <v>3</v>
          </cell>
          <cell r="J4460">
            <v>46192</v>
          </cell>
          <cell r="K4460">
            <v>100</v>
          </cell>
          <cell r="L4460">
            <v>46174</v>
          </cell>
          <cell r="M4460">
            <v>-3797</v>
          </cell>
          <cell r="N4460">
            <v>296203</v>
          </cell>
        </row>
        <row r="4461">
          <cell r="A4461">
            <v>22013</v>
          </cell>
          <cell r="B4461">
            <v>4455</v>
          </cell>
          <cell r="C4461" t="str">
            <v>IASWD2412000157</v>
          </cell>
          <cell r="D4461">
            <v>45638</v>
          </cell>
          <cell r="E4461">
            <v>46167</v>
          </cell>
          <cell r="F4461" t="str">
            <v>22013</v>
          </cell>
          <cell r="G4461" t="str">
            <v>裕隆三</v>
          </cell>
          <cell r="H4461">
            <v>200000</v>
          </cell>
          <cell r="I4461">
            <v>3.25</v>
          </cell>
          <cell r="J4461">
            <v>46167</v>
          </cell>
          <cell r="K4461">
            <v>100.75190000000001</v>
          </cell>
          <cell r="L4461">
            <v>46147</v>
          </cell>
          <cell r="M4461">
            <v>-2742</v>
          </cell>
          <cell r="N4461">
            <v>197258</v>
          </cell>
        </row>
        <row r="4462">
          <cell r="A4462">
            <v>22013</v>
          </cell>
          <cell r="B4462">
            <v>4456</v>
          </cell>
          <cell r="C4462" t="str">
            <v>IASWD2412000159</v>
          </cell>
          <cell r="D4462">
            <v>45638</v>
          </cell>
          <cell r="E4462">
            <v>46167</v>
          </cell>
          <cell r="F4462" t="str">
            <v>22013</v>
          </cell>
          <cell r="G4462" t="str">
            <v>裕隆三</v>
          </cell>
          <cell r="H4462">
            <v>100000</v>
          </cell>
          <cell r="I4462">
            <v>3.25</v>
          </cell>
          <cell r="J4462">
            <v>46167</v>
          </cell>
          <cell r="K4462">
            <v>100.75190000000001</v>
          </cell>
          <cell r="L4462">
            <v>46147</v>
          </cell>
          <cell r="M4462">
            <v>-1371</v>
          </cell>
          <cell r="N4462">
            <v>98629</v>
          </cell>
        </row>
        <row r="4463">
          <cell r="A4463">
            <v>84781</v>
          </cell>
          <cell r="B4463">
            <v>4457</v>
          </cell>
          <cell r="C4463" t="str">
            <v>IASWD2412000161</v>
          </cell>
          <cell r="D4463">
            <v>45638</v>
          </cell>
          <cell r="E4463">
            <v>46583</v>
          </cell>
          <cell r="F4463" t="str">
            <v>84781</v>
          </cell>
          <cell r="G4463" t="str">
            <v>東哥遊艇一</v>
          </cell>
          <cell r="H4463">
            <v>500000</v>
          </cell>
          <cell r="I4463">
            <v>3.25</v>
          </cell>
          <cell r="J4463">
            <v>46583</v>
          </cell>
          <cell r="K4463">
            <v>100</v>
          </cell>
          <cell r="L4463">
            <v>46563</v>
          </cell>
          <cell r="M4463">
            <v>-6856</v>
          </cell>
          <cell r="N4463">
            <v>493144</v>
          </cell>
        </row>
        <row r="4464">
          <cell r="A4464">
            <v>36804</v>
          </cell>
          <cell r="B4464">
            <v>4458</v>
          </cell>
          <cell r="C4464" t="str">
            <v>IASWD2412000162</v>
          </cell>
          <cell r="D4464">
            <v>45638</v>
          </cell>
          <cell r="E4464">
            <v>45948</v>
          </cell>
          <cell r="F4464" t="str">
            <v>36804</v>
          </cell>
          <cell r="G4464" t="str">
            <v>家登四</v>
          </cell>
          <cell r="H4464">
            <v>100000</v>
          </cell>
          <cell r="I4464">
            <v>3.2</v>
          </cell>
          <cell r="J4464">
            <v>45948</v>
          </cell>
          <cell r="K4464">
            <v>100</v>
          </cell>
          <cell r="L4464">
            <v>45926</v>
          </cell>
          <cell r="M4464">
            <v>-1350</v>
          </cell>
          <cell r="N4464">
            <v>98650</v>
          </cell>
        </row>
        <row r="4465">
          <cell r="A4465">
            <v>64145</v>
          </cell>
          <cell r="B4465">
            <v>4459</v>
          </cell>
          <cell r="C4465" t="str">
            <v>IASWD2412000163</v>
          </cell>
          <cell r="D4465">
            <v>45638</v>
          </cell>
          <cell r="E4465">
            <v>46250</v>
          </cell>
          <cell r="F4465" t="str">
            <v>64145</v>
          </cell>
          <cell r="G4465" t="str">
            <v>樺漢五</v>
          </cell>
          <cell r="H4465">
            <v>200000</v>
          </cell>
          <cell r="I4465">
            <v>3</v>
          </cell>
          <cell r="J4465">
            <v>46250</v>
          </cell>
          <cell r="K4465">
            <v>100</v>
          </cell>
          <cell r="L4465">
            <v>46231</v>
          </cell>
          <cell r="M4465">
            <v>-2532</v>
          </cell>
          <cell r="N4465">
            <v>197468</v>
          </cell>
        </row>
        <row r="4466">
          <cell r="A4466">
            <v>84781</v>
          </cell>
          <cell r="B4466">
            <v>4460</v>
          </cell>
          <cell r="C4466" t="str">
            <v>IASWD2412000164</v>
          </cell>
          <cell r="D4466">
            <v>45638</v>
          </cell>
          <cell r="E4466">
            <v>46583</v>
          </cell>
          <cell r="F4466" t="str">
            <v>84781</v>
          </cell>
          <cell r="G4466" t="str">
            <v>東哥遊艇一</v>
          </cell>
          <cell r="H4466">
            <v>500000</v>
          </cell>
          <cell r="I4466">
            <v>3.25</v>
          </cell>
          <cell r="J4466">
            <v>46583</v>
          </cell>
          <cell r="K4466">
            <v>100</v>
          </cell>
          <cell r="L4466">
            <v>46563</v>
          </cell>
          <cell r="M4466">
            <v>-6856</v>
          </cell>
          <cell r="N4466">
            <v>493144</v>
          </cell>
        </row>
        <row r="4467">
          <cell r="A4467">
            <v>50097</v>
          </cell>
          <cell r="B4467">
            <v>4461</v>
          </cell>
          <cell r="C4467" t="str">
            <v>IASWD2412000165</v>
          </cell>
          <cell r="D4467">
            <v>45639</v>
          </cell>
          <cell r="E4467">
            <v>46234</v>
          </cell>
          <cell r="F4467" t="str">
            <v>50097</v>
          </cell>
          <cell r="G4467" t="str">
            <v>榮剛七</v>
          </cell>
          <cell r="H4467">
            <v>200000</v>
          </cell>
          <cell r="I4467">
            <v>4.0999999999999996</v>
          </cell>
          <cell r="J4467">
            <v>46234</v>
          </cell>
          <cell r="K4467">
            <v>101.51</v>
          </cell>
          <cell r="L4467">
            <v>46216</v>
          </cell>
          <cell r="M4467">
            <v>-3437</v>
          </cell>
          <cell r="N4467">
            <v>196563</v>
          </cell>
        </row>
        <row r="4468">
          <cell r="A4468">
            <v>35831</v>
          </cell>
          <cell r="B4468">
            <v>4462</v>
          </cell>
          <cell r="C4468" t="str">
            <v>IASWD2412000166</v>
          </cell>
          <cell r="D4468">
            <v>45639</v>
          </cell>
          <cell r="E4468">
            <v>46180</v>
          </cell>
          <cell r="F4468" t="str">
            <v>35831</v>
          </cell>
          <cell r="G4468" t="str">
            <v>辛耘一</v>
          </cell>
          <cell r="H4468">
            <v>100000</v>
          </cell>
          <cell r="I4468">
            <v>3</v>
          </cell>
          <cell r="J4468">
            <v>46180</v>
          </cell>
          <cell r="K4468">
            <v>100</v>
          </cell>
          <cell r="L4468">
            <v>46161</v>
          </cell>
          <cell r="M4468">
            <v>-1258</v>
          </cell>
          <cell r="N4468">
            <v>98742</v>
          </cell>
        </row>
        <row r="4469">
          <cell r="A4469">
            <v>84781</v>
          </cell>
          <cell r="B4469">
            <v>4463</v>
          </cell>
          <cell r="C4469" t="str">
            <v>IASWD2412000167</v>
          </cell>
          <cell r="D4469">
            <v>45639</v>
          </cell>
          <cell r="E4469">
            <v>46583</v>
          </cell>
          <cell r="F4469" t="str">
            <v>84781</v>
          </cell>
          <cell r="G4469" t="str">
            <v>東哥遊艇一</v>
          </cell>
          <cell r="H4469">
            <v>400000</v>
          </cell>
          <cell r="I4469">
            <v>3.25</v>
          </cell>
          <cell r="J4469">
            <v>46583</v>
          </cell>
          <cell r="K4469">
            <v>100</v>
          </cell>
          <cell r="L4469">
            <v>46563</v>
          </cell>
          <cell r="M4469">
            <v>-5449</v>
          </cell>
          <cell r="N4469">
            <v>394551</v>
          </cell>
        </row>
        <row r="4470">
          <cell r="A4470">
            <v>35831</v>
          </cell>
          <cell r="B4470">
            <v>4464</v>
          </cell>
          <cell r="C4470" t="str">
            <v>IASWD2412000168</v>
          </cell>
          <cell r="D4470">
            <v>45639</v>
          </cell>
          <cell r="E4470">
            <v>46180</v>
          </cell>
          <cell r="F4470" t="str">
            <v>35831</v>
          </cell>
          <cell r="G4470" t="str">
            <v>辛耘一</v>
          </cell>
          <cell r="H4470">
            <v>100000</v>
          </cell>
          <cell r="I4470">
            <v>3</v>
          </cell>
          <cell r="J4470">
            <v>46180</v>
          </cell>
          <cell r="K4470">
            <v>100</v>
          </cell>
          <cell r="L4470">
            <v>46161</v>
          </cell>
          <cell r="M4470">
            <v>-1258</v>
          </cell>
          <cell r="N4470">
            <v>98742</v>
          </cell>
        </row>
        <row r="4471">
          <cell r="A4471">
            <v>23682</v>
          </cell>
          <cell r="B4471">
            <v>4465</v>
          </cell>
          <cell r="C4471" t="str">
            <v>IASWD2412000169</v>
          </cell>
          <cell r="D4471">
            <v>45639</v>
          </cell>
          <cell r="E4471">
            <v>46361</v>
          </cell>
          <cell r="F4471" t="str">
            <v>23682</v>
          </cell>
          <cell r="G4471" t="str">
            <v>金像電二</v>
          </cell>
          <cell r="H4471">
            <v>300000</v>
          </cell>
          <cell r="I4471">
            <v>2.6</v>
          </cell>
          <cell r="J4471">
            <v>46361</v>
          </cell>
          <cell r="K4471">
            <v>100</v>
          </cell>
          <cell r="L4471">
            <v>46343</v>
          </cell>
          <cell r="M4471">
            <v>-3270</v>
          </cell>
          <cell r="N4471">
            <v>296730</v>
          </cell>
        </row>
        <row r="4472">
          <cell r="A4472">
            <v>64145</v>
          </cell>
          <cell r="B4472">
            <v>4466</v>
          </cell>
          <cell r="C4472" t="str">
            <v>IASWD2412000170</v>
          </cell>
          <cell r="D4472">
            <v>45639</v>
          </cell>
          <cell r="E4472">
            <v>46250</v>
          </cell>
          <cell r="F4472" t="str">
            <v>64145</v>
          </cell>
          <cell r="G4472" t="str">
            <v>樺漢五</v>
          </cell>
          <cell r="H4472">
            <v>400000</v>
          </cell>
          <cell r="I4472">
            <v>3</v>
          </cell>
          <cell r="J4472">
            <v>46250</v>
          </cell>
          <cell r="K4472">
            <v>100</v>
          </cell>
          <cell r="L4472">
            <v>46231</v>
          </cell>
          <cell r="M4472">
            <v>-5030</v>
          </cell>
          <cell r="N4472">
            <v>394970</v>
          </cell>
        </row>
        <row r="4473">
          <cell r="A4473">
            <v>35871</v>
          </cell>
          <cell r="B4473">
            <v>4467</v>
          </cell>
          <cell r="C4473" t="str">
            <v>IASWD2412000171</v>
          </cell>
          <cell r="D4473">
            <v>45639</v>
          </cell>
          <cell r="E4473">
            <v>46193</v>
          </cell>
          <cell r="F4473" t="str">
            <v>35871</v>
          </cell>
          <cell r="G4473" t="str">
            <v>閎康一</v>
          </cell>
          <cell r="H4473">
            <v>200000</v>
          </cell>
          <cell r="I4473">
            <v>2.6</v>
          </cell>
          <cell r="J4473">
            <v>46193</v>
          </cell>
          <cell r="K4473">
            <v>100</v>
          </cell>
          <cell r="L4473">
            <v>46175</v>
          </cell>
          <cell r="M4473">
            <v>-2180</v>
          </cell>
          <cell r="N4473">
            <v>197820</v>
          </cell>
        </row>
        <row r="4474">
          <cell r="A4474">
            <v>80914</v>
          </cell>
          <cell r="B4474">
            <v>4468</v>
          </cell>
          <cell r="C4474" t="str">
            <v>IASWD2412000172</v>
          </cell>
          <cell r="D4474">
            <v>45639</v>
          </cell>
          <cell r="E4474">
            <v>46249</v>
          </cell>
          <cell r="F4474" t="str">
            <v>80914</v>
          </cell>
          <cell r="G4474" t="str">
            <v>翔名四</v>
          </cell>
          <cell r="H4474">
            <v>100000</v>
          </cell>
          <cell r="I4474">
            <v>3</v>
          </cell>
          <cell r="J4474">
            <v>46249</v>
          </cell>
          <cell r="K4474">
            <v>100.25</v>
          </cell>
          <cell r="L4474">
            <v>46231</v>
          </cell>
          <cell r="M4474">
            <v>-1258</v>
          </cell>
          <cell r="N4474">
            <v>98742</v>
          </cell>
        </row>
        <row r="4475">
          <cell r="A4475">
            <v>68301</v>
          </cell>
          <cell r="B4475">
            <v>4469</v>
          </cell>
          <cell r="C4475" t="str">
            <v>IASWD2412000173</v>
          </cell>
          <cell r="D4475">
            <v>45639</v>
          </cell>
          <cell r="E4475">
            <v>46249</v>
          </cell>
          <cell r="F4475" t="str">
            <v>68301</v>
          </cell>
          <cell r="G4475" t="str">
            <v>汎銓一</v>
          </cell>
          <cell r="H4475">
            <v>200000</v>
          </cell>
          <cell r="I4475">
            <v>3</v>
          </cell>
          <cell r="J4475">
            <v>46249</v>
          </cell>
          <cell r="K4475">
            <v>100</v>
          </cell>
          <cell r="L4475">
            <v>46231</v>
          </cell>
          <cell r="M4475">
            <v>-2515</v>
          </cell>
          <cell r="N4475">
            <v>197485</v>
          </cell>
        </row>
        <row r="4476">
          <cell r="A4476">
            <v>50097</v>
          </cell>
          <cell r="B4476">
            <v>4470</v>
          </cell>
          <cell r="C4476" t="str">
            <v>IASWD2412000174</v>
          </cell>
          <cell r="D4476">
            <v>45639</v>
          </cell>
          <cell r="E4476">
            <v>46234</v>
          </cell>
          <cell r="F4476" t="str">
            <v>50097</v>
          </cell>
          <cell r="G4476" t="str">
            <v>榮剛七</v>
          </cell>
          <cell r="H4476">
            <v>600000</v>
          </cell>
          <cell r="I4476">
            <v>4.0999999999999996</v>
          </cell>
          <cell r="J4476">
            <v>46234</v>
          </cell>
          <cell r="K4476">
            <v>101.51</v>
          </cell>
          <cell r="L4476">
            <v>46216</v>
          </cell>
          <cell r="M4476">
            <v>-10312</v>
          </cell>
          <cell r="N4476">
            <v>589688</v>
          </cell>
        </row>
        <row r="4477">
          <cell r="A4477">
            <v>45663</v>
          </cell>
          <cell r="B4477">
            <v>4471</v>
          </cell>
          <cell r="C4477" t="str">
            <v>IASWD2412000175</v>
          </cell>
          <cell r="D4477">
            <v>45639</v>
          </cell>
          <cell r="E4477">
            <v>46353</v>
          </cell>
          <cell r="F4477" t="str">
            <v>45663</v>
          </cell>
          <cell r="G4477" t="str">
            <v>時碩工業三</v>
          </cell>
          <cell r="H4477">
            <v>1000000</v>
          </cell>
          <cell r="I4477">
            <v>3.25</v>
          </cell>
          <cell r="J4477">
            <v>46353</v>
          </cell>
          <cell r="K4477">
            <v>100</v>
          </cell>
          <cell r="L4477">
            <v>46335</v>
          </cell>
          <cell r="M4477">
            <v>-13623</v>
          </cell>
          <cell r="N4477">
            <v>986377</v>
          </cell>
        </row>
        <row r="4478">
          <cell r="A4478">
            <v>22283</v>
          </cell>
          <cell r="B4478">
            <v>4472</v>
          </cell>
          <cell r="C4478" t="str">
            <v>IASWD2412000178</v>
          </cell>
          <cell r="D4478">
            <v>45639</v>
          </cell>
          <cell r="E4478">
            <v>46628</v>
          </cell>
          <cell r="F4478" t="str">
            <v>22283</v>
          </cell>
          <cell r="G4478" t="str">
            <v>劍麟三</v>
          </cell>
          <cell r="H4478">
            <v>100000</v>
          </cell>
          <cell r="I4478">
            <v>3</v>
          </cell>
          <cell r="J4478">
            <v>46628</v>
          </cell>
          <cell r="K4478">
            <v>100</v>
          </cell>
          <cell r="L4478">
            <v>46609</v>
          </cell>
          <cell r="M4478">
            <v>-1258</v>
          </cell>
          <cell r="N4478">
            <v>98742</v>
          </cell>
        </row>
        <row r="4479">
          <cell r="A4479">
            <v>22013</v>
          </cell>
          <cell r="B4479">
            <v>4473</v>
          </cell>
          <cell r="C4479" t="str">
            <v>IASWD2412000179</v>
          </cell>
          <cell r="D4479">
            <v>45639</v>
          </cell>
          <cell r="E4479">
            <v>46167</v>
          </cell>
          <cell r="F4479" t="str">
            <v>22013</v>
          </cell>
          <cell r="G4479" t="str">
            <v>裕隆三</v>
          </cell>
          <cell r="H4479">
            <v>900000</v>
          </cell>
          <cell r="I4479">
            <v>3.25</v>
          </cell>
          <cell r="J4479">
            <v>46167</v>
          </cell>
          <cell r="K4479">
            <v>100.75190000000001</v>
          </cell>
          <cell r="L4479">
            <v>46147</v>
          </cell>
          <cell r="M4479">
            <v>-12261</v>
          </cell>
          <cell r="N4479">
            <v>887739</v>
          </cell>
        </row>
        <row r="4480">
          <cell r="A4480">
            <v>23682</v>
          </cell>
          <cell r="B4480">
            <v>4474</v>
          </cell>
          <cell r="C4480" t="str">
            <v>IASWD2412000181</v>
          </cell>
          <cell r="D4480">
            <v>45639</v>
          </cell>
          <cell r="E4480">
            <v>46361</v>
          </cell>
          <cell r="F4480" t="str">
            <v>23682</v>
          </cell>
          <cell r="G4480" t="str">
            <v>金像電二</v>
          </cell>
          <cell r="H4480">
            <v>200000</v>
          </cell>
          <cell r="I4480">
            <v>2.6</v>
          </cell>
          <cell r="J4480">
            <v>46361</v>
          </cell>
          <cell r="K4480">
            <v>100</v>
          </cell>
          <cell r="L4480">
            <v>46343</v>
          </cell>
          <cell r="M4480">
            <v>-2180</v>
          </cell>
          <cell r="N4480">
            <v>197820</v>
          </cell>
        </row>
        <row r="4481">
          <cell r="A4481">
            <v>37022</v>
          </cell>
          <cell r="B4481">
            <v>4475</v>
          </cell>
          <cell r="C4481" t="str">
            <v>IASWD2412000182</v>
          </cell>
          <cell r="D4481">
            <v>45639</v>
          </cell>
          <cell r="E4481">
            <v>46702</v>
          </cell>
          <cell r="F4481" t="str">
            <v>37022</v>
          </cell>
          <cell r="G4481" t="str">
            <v>大聯大二</v>
          </cell>
          <cell r="H4481">
            <v>200000</v>
          </cell>
          <cell r="I4481">
            <v>2.7</v>
          </cell>
          <cell r="J4481">
            <v>46702</v>
          </cell>
          <cell r="K4481">
            <v>100</v>
          </cell>
          <cell r="L4481">
            <v>46682</v>
          </cell>
          <cell r="M4481">
            <v>-2264</v>
          </cell>
          <cell r="N4481">
            <v>197736</v>
          </cell>
        </row>
        <row r="4482">
          <cell r="A4482">
            <v>68301</v>
          </cell>
          <cell r="B4482">
            <v>4476</v>
          </cell>
          <cell r="C4482" t="str">
            <v>IASWD2412000183</v>
          </cell>
          <cell r="D4482">
            <v>45639</v>
          </cell>
          <cell r="E4482">
            <v>46249</v>
          </cell>
          <cell r="F4482" t="str">
            <v>68301</v>
          </cell>
          <cell r="G4482" t="str">
            <v>汎銓一</v>
          </cell>
          <cell r="H4482">
            <v>100000</v>
          </cell>
          <cell r="I4482">
            <v>3</v>
          </cell>
          <cell r="J4482">
            <v>46249</v>
          </cell>
          <cell r="K4482">
            <v>100</v>
          </cell>
          <cell r="L4482">
            <v>46231</v>
          </cell>
          <cell r="M4482">
            <v>-1258</v>
          </cell>
          <cell r="N4482">
            <v>98742</v>
          </cell>
        </row>
        <row r="4483">
          <cell r="A4483">
            <v>15364</v>
          </cell>
          <cell r="B4483">
            <v>4477</v>
          </cell>
          <cell r="C4483" t="str">
            <v>IASWD2412000184</v>
          </cell>
          <cell r="D4483">
            <v>45639</v>
          </cell>
          <cell r="E4483">
            <v>46246</v>
          </cell>
          <cell r="F4483" t="str">
            <v>15364</v>
          </cell>
          <cell r="G4483" t="str">
            <v>和大四</v>
          </cell>
          <cell r="H4483">
            <v>100000</v>
          </cell>
          <cell r="I4483">
            <v>4</v>
          </cell>
          <cell r="J4483">
            <v>46246</v>
          </cell>
          <cell r="K4483">
            <v>100</v>
          </cell>
          <cell r="L4483">
            <v>46226</v>
          </cell>
          <cell r="M4483">
            <v>-1677</v>
          </cell>
          <cell r="N4483">
            <v>98323</v>
          </cell>
        </row>
        <row r="4484">
          <cell r="A4484">
            <v>23682</v>
          </cell>
          <cell r="B4484">
            <v>4478</v>
          </cell>
          <cell r="C4484" t="str">
            <v>IASWD2412000186</v>
          </cell>
          <cell r="D4484">
            <v>45639</v>
          </cell>
          <cell r="E4484">
            <v>46361</v>
          </cell>
          <cell r="F4484" t="str">
            <v>23682</v>
          </cell>
          <cell r="G4484" t="str">
            <v>金像電二</v>
          </cell>
          <cell r="H4484">
            <v>100000</v>
          </cell>
          <cell r="I4484">
            <v>2.6</v>
          </cell>
          <cell r="J4484">
            <v>46361</v>
          </cell>
          <cell r="K4484">
            <v>100</v>
          </cell>
          <cell r="L4484">
            <v>46343</v>
          </cell>
          <cell r="M4484">
            <v>-1090</v>
          </cell>
          <cell r="N4484">
            <v>98910</v>
          </cell>
        </row>
        <row r="4485">
          <cell r="A4485">
            <v>15364</v>
          </cell>
          <cell r="B4485">
            <v>4479</v>
          </cell>
          <cell r="C4485" t="str">
            <v>IASWD2412000187</v>
          </cell>
          <cell r="D4485">
            <v>45639</v>
          </cell>
          <cell r="E4485">
            <v>46246</v>
          </cell>
          <cell r="F4485" t="str">
            <v>15364</v>
          </cell>
          <cell r="G4485" t="str">
            <v>和大四</v>
          </cell>
          <cell r="H4485">
            <v>100000</v>
          </cell>
          <cell r="I4485">
            <v>4</v>
          </cell>
          <cell r="J4485">
            <v>46246</v>
          </cell>
          <cell r="K4485">
            <v>100</v>
          </cell>
          <cell r="L4485">
            <v>46226</v>
          </cell>
          <cell r="M4485">
            <v>-1677</v>
          </cell>
          <cell r="N4485">
            <v>98323</v>
          </cell>
        </row>
        <row r="4486">
          <cell r="A4486">
            <v>22283</v>
          </cell>
          <cell r="B4486">
            <v>4480</v>
          </cell>
          <cell r="C4486" t="str">
            <v>IASWD2412000188</v>
          </cell>
          <cell r="D4486">
            <v>45639</v>
          </cell>
          <cell r="E4486">
            <v>46628</v>
          </cell>
          <cell r="F4486" t="str">
            <v>22283</v>
          </cell>
          <cell r="G4486" t="str">
            <v>劍麟三</v>
          </cell>
          <cell r="H4486">
            <v>100000</v>
          </cell>
          <cell r="I4486">
            <v>3</v>
          </cell>
          <cell r="J4486">
            <v>46628</v>
          </cell>
          <cell r="K4486">
            <v>100</v>
          </cell>
          <cell r="L4486">
            <v>46609</v>
          </cell>
          <cell r="M4486">
            <v>-1258</v>
          </cell>
          <cell r="N4486">
            <v>98742</v>
          </cell>
        </row>
        <row r="4487">
          <cell r="A4487">
            <v>84781</v>
          </cell>
          <cell r="B4487">
            <v>4481</v>
          </cell>
          <cell r="C4487" t="str">
            <v>IASWD2412000189</v>
          </cell>
          <cell r="D4487">
            <v>45639</v>
          </cell>
          <cell r="E4487">
            <v>46583</v>
          </cell>
          <cell r="F4487" t="str">
            <v>84781</v>
          </cell>
          <cell r="G4487" t="str">
            <v>東哥遊艇一</v>
          </cell>
          <cell r="H4487">
            <v>200000</v>
          </cell>
          <cell r="I4487">
            <v>3.25</v>
          </cell>
          <cell r="J4487">
            <v>46583</v>
          </cell>
          <cell r="K4487">
            <v>100</v>
          </cell>
          <cell r="L4487">
            <v>46563</v>
          </cell>
          <cell r="M4487">
            <v>-2725</v>
          </cell>
          <cell r="N4487">
            <v>197275</v>
          </cell>
        </row>
        <row r="4488">
          <cell r="A4488">
            <v>30882</v>
          </cell>
          <cell r="B4488">
            <v>4482</v>
          </cell>
          <cell r="C4488" t="str">
            <v>IASWD2412000190</v>
          </cell>
          <cell r="D4488">
            <v>45639</v>
          </cell>
          <cell r="E4488">
            <v>46262</v>
          </cell>
          <cell r="F4488" t="str">
            <v>30882</v>
          </cell>
          <cell r="G4488" t="str">
            <v>艾訊二</v>
          </cell>
          <cell r="H4488">
            <v>100000</v>
          </cell>
          <cell r="I4488">
            <v>3.25</v>
          </cell>
          <cell r="J4488">
            <v>46262</v>
          </cell>
          <cell r="K4488">
            <v>100</v>
          </cell>
          <cell r="L4488">
            <v>46244</v>
          </cell>
          <cell r="M4488">
            <v>-1362</v>
          </cell>
          <cell r="N4488">
            <v>98638</v>
          </cell>
        </row>
        <row r="4489">
          <cell r="A4489">
            <v>22013</v>
          </cell>
          <cell r="B4489">
            <v>4483</v>
          </cell>
          <cell r="C4489" t="str">
            <v>IASWD2412000192</v>
          </cell>
          <cell r="D4489">
            <v>45639</v>
          </cell>
          <cell r="E4489">
            <v>46167</v>
          </cell>
          <cell r="F4489" t="str">
            <v>22013</v>
          </cell>
          <cell r="G4489" t="str">
            <v>裕隆三</v>
          </cell>
          <cell r="H4489">
            <v>100000</v>
          </cell>
          <cell r="I4489">
            <v>3.25</v>
          </cell>
          <cell r="J4489">
            <v>46167</v>
          </cell>
          <cell r="K4489">
            <v>100.75190000000001</v>
          </cell>
          <cell r="L4489">
            <v>46147</v>
          </cell>
          <cell r="M4489">
            <v>-1362</v>
          </cell>
          <cell r="N4489">
            <v>98638</v>
          </cell>
        </row>
        <row r="4490">
          <cell r="A4490">
            <v>23682</v>
          </cell>
          <cell r="B4490">
            <v>4484</v>
          </cell>
          <cell r="C4490" t="str">
            <v>IASWD2412000193</v>
          </cell>
          <cell r="D4490">
            <v>45639</v>
          </cell>
          <cell r="E4490">
            <v>46361</v>
          </cell>
          <cell r="F4490" t="str">
            <v>23682</v>
          </cell>
          <cell r="G4490" t="str">
            <v>金像電二</v>
          </cell>
          <cell r="H4490">
            <v>400000</v>
          </cell>
          <cell r="I4490">
            <v>2.6</v>
          </cell>
          <cell r="J4490">
            <v>46361</v>
          </cell>
          <cell r="K4490">
            <v>100</v>
          </cell>
          <cell r="L4490">
            <v>46343</v>
          </cell>
          <cell r="M4490">
            <v>-4359</v>
          </cell>
          <cell r="N4490">
            <v>395641</v>
          </cell>
        </row>
        <row r="4491">
          <cell r="A4491">
            <v>37022</v>
          </cell>
          <cell r="B4491">
            <v>4485</v>
          </cell>
          <cell r="C4491" t="str">
            <v>IASWD2412000194</v>
          </cell>
          <cell r="D4491">
            <v>45642</v>
          </cell>
          <cell r="E4491">
            <v>46702</v>
          </cell>
          <cell r="F4491" t="str">
            <v>37022</v>
          </cell>
          <cell r="G4491" t="str">
            <v>大聯大二</v>
          </cell>
          <cell r="H4491">
            <v>1000000</v>
          </cell>
          <cell r="I4491">
            <v>2.7</v>
          </cell>
          <cell r="J4491">
            <v>46702</v>
          </cell>
          <cell r="K4491">
            <v>100</v>
          </cell>
          <cell r="L4491">
            <v>46682</v>
          </cell>
          <cell r="M4491">
            <v>-11096</v>
          </cell>
          <cell r="N4491">
            <v>988904</v>
          </cell>
        </row>
        <row r="4492">
          <cell r="A4492">
            <v>49681</v>
          </cell>
          <cell r="B4492">
            <v>4486</v>
          </cell>
          <cell r="C4492" t="str">
            <v>IASWD2412000195</v>
          </cell>
          <cell r="D4492">
            <v>45642</v>
          </cell>
          <cell r="E4492">
            <v>45867</v>
          </cell>
          <cell r="F4492" t="str">
            <v>49681</v>
          </cell>
          <cell r="G4492" t="str">
            <v>立積一</v>
          </cell>
          <cell r="H4492">
            <v>100000</v>
          </cell>
          <cell r="I4492">
            <v>3.5</v>
          </cell>
          <cell r="J4492">
            <v>45867</v>
          </cell>
          <cell r="K4492">
            <v>100</v>
          </cell>
          <cell r="L4492">
            <v>45847</v>
          </cell>
          <cell r="M4492">
            <v>-1438</v>
          </cell>
          <cell r="N4492">
            <v>98562</v>
          </cell>
        </row>
        <row r="4493">
          <cell r="A4493">
            <v>35831</v>
          </cell>
          <cell r="B4493">
            <v>4487</v>
          </cell>
          <cell r="C4493" t="str">
            <v>IASWD2412000196</v>
          </cell>
          <cell r="D4493">
            <v>45642</v>
          </cell>
          <cell r="E4493">
            <v>46180</v>
          </cell>
          <cell r="F4493" t="str">
            <v>35831</v>
          </cell>
          <cell r="G4493" t="str">
            <v>辛耘一</v>
          </cell>
          <cell r="H4493">
            <v>100000</v>
          </cell>
          <cell r="I4493">
            <v>3</v>
          </cell>
          <cell r="J4493">
            <v>46180</v>
          </cell>
          <cell r="K4493">
            <v>100</v>
          </cell>
          <cell r="L4493">
            <v>46161</v>
          </cell>
          <cell r="M4493">
            <v>-1233</v>
          </cell>
          <cell r="N4493">
            <v>98767</v>
          </cell>
        </row>
        <row r="4494">
          <cell r="A4494">
            <v>37022</v>
          </cell>
          <cell r="B4494">
            <v>4488</v>
          </cell>
          <cell r="C4494" t="str">
            <v>IASWD2412000197</v>
          </cell>
          <cell r="D4494">
            <v>45642</v>
          </cell>
          <cell r="E4494">
            <v>46702</v>
          </cell>
          <cell r="F4494" t="str">
            <v>37022</v>
          </cell>
          <cell r="G4494" t="str">
            <v>大聯大二</v>
          </cell>
          <cell r="H4494">
            <v>500000</v>
          </cell>
          <cell r="I4494">
            <v>2.7</v>
          </cell>
          <cell r="J4494">
            <v>46702</v>
          </cell>
          <cell r="K4494">
            <v>100</v>
          </cell>
          <cell r="L4494">
            <v>46682</v>
          </cell>
          <cell r="M4494">
            <v>-5548</v>
          </cell>
          <cell r="N4494">
            <v>494452</v>
          </cell>
        </row>
        <row r="4495">
          <cell r="A4495">
            <v>31413</v>
          </cell>
          <cell r="B4495">
            <v>4489</v>
          </cell>
          <cell r="C4495" t="str">
            <v>IASWD2412000199</v>
          </cell>
          <cell r="D4495">
            <v>45642</v>
          </cell>
          <cell r="E4495">
            <v>46162</v>
          </cell>
          <cell r="F4495" t="str">
            <v>31413</v>
          </cell>
          <cell r="G4495" t="str">
            <v>晶宏三</v>
          </cell>
          <cell r="H4495">
            <v>100000</v>
          </cell>
          <cell r="I4495">
            <v>4</v>
          </cell>
          <cell r="J4495">
            <v>46162</v>
          </cell>
          <cell r="K4495">
            <v>100</v>
          </cell>
          <cell r="L4495">
            <v>46142</v>
          </cell>
          <cell r="M4495">
            <v>-1644</v>
          </cell>
          <cell r="N4495">
            <v>98356</v>
          </cell>
        </row>
        <row r="4496">
          <cell r="A4496">
            <v>64145</v>
          </cell>
          <cell r="B4496">
            <v>4490</v>
          </cell>
          <cell r="C4496" t="str">
            <v>IASWD2412000200</v>
          </cell>
          <cell r="D4496">
            <v>45642</v>
          </cell>
          <cell r="E4496">
            <v>46250</v>
          </cell>
          <cell r="F4496" t="str">
            <v>64145</v>
          </cell>
          <cell r="G4496" t="str">
            <v>樺漢五</v>
          </cell>
          <cell r="H4496">
            <v>200000</v>
          </cell>
          <cell r="I4496">
            <v>3</v>
          </cell>
          <cell r="J4496">
            <v>46250</v>
          </cell>
          <cell r="K4496">
            <v>100</v>
          </cell>
          <cell r="L4496">
            <v>46231</v>
          </cell>
          <cell r="M4496">
            <v>-2466</v>
          </cell>
          <cell r="N4496">
            <v>197534</v>
          </cell>
        </row>
        <row r="4497">
          <cell r="A4497">
            <v>64145</v>
          </cell>
          <cell r="B4497">
            <v>4491</v>
          </cell>
          <cell r="C4497" t="str">
            <v>IASWD2412000204</v>
          </cell>
          <cell r="D4497">
            <v>45642</v>
          </cell>
          <cell r="E4497">
            <v>46250</v>
          </cell>
          <cell r="F4497" t="str">
            <v>64145</v>
          </cell>
          <cell r="G4497" t="str">
            <v>樺漢五</v>
          </cell>
          <cell r="H4497">
            <v>100000</v>
          </cell>
          <cell r="I4497">
            <v>3</v>
          </cell>
          <cell r="J4497">
            <v>46250</v>
          </cell>
          <cell r="K4497">
            <v>100</v>
          </cell>
          <cell r="L4497">
            <v>46231</v>
          </cell>
          <cell r="M4497">
            <v>-1233</v>
          </cell>
          <cell r="N4497">
            <v>98767</v>
          </cell>
        </row>
        <row r="4498">
          <cell r="A4498">
            <v>61875</v>
          </cell>
          <cell r="B4498">
            <v>4492</v>
          </cell>
          <cell r="C4498" t="str">
            <v>IASWD2412000205</v>
          </cell>
          <cell r="D4498">
            <v>45642</v>
          </cell>
          <cell r="E4498">
            <v>46578</v>
          </cell>
          <cell r="F4498" t="str">
            <v>61875</v>
          </cell>
          <cell r="G4498" t="str">
            <v>萬潤五</v>
          </cell>
          <cell r="H4498">
            <v>100000</v>
          </cell>
          <cell r="I4498">
            <v>3</v>
          </cell>
          <cell r="J4498">
            <v>46578</v>
          </cell>
          <cell r="K4498">
            <v>100</v>
          </cell>
          <cell r="L4498">
            <v>46560</v>
          </cell>
          <cell r="M4498">
            <v>-1233</v>
          </cell>
          <cell r="N4498">
            <v>98767</v>
          </cell>
        </row>
        <row r="4499">
          <cell r="A4499">
            <v>15364</v>
          </cell>
          <cell r="B4499">
            <v>4493</v>
          </cell>
          <cell r="C4499" t="str">
            <v>IASWD2412000206</v>
          </cell>
          <cell r="D4499">
            <v>45642</v>
          </cell>
          <cell r="E4499">
            <v>46246</v>
          </cell>
          <cell r="F4499" t="str">
            <v>15364</v>
          </cell>
          <cell r="G4499" t="str">
            <v>和大四</v>
          </cell>
          <cell r="H4499">
            <v>200000</v>
          </cell>
          <cell r="I4499">
            <v>4</v>
          </cell>
          <cell r="J4499">
            <v>46246</v>
          </cell>
          <cell r="K4499">
            <v>100</v>
          </cell>
          <cell r="L4499">
            <v>46226</v>
          </cell>
          <cell r="M4499">
            <v>-3288</v>
          </cell>
          <cell r="N4499">
            <v>196712</v>
          </cell>
        </row>
        <row r="4500">
          <cell r="A4500">
            <v>64145</v>
          </cell>
          <cell r="B4500">
            <v>4494</v>
          </cell>
          <cell r="C4500" t="str">
            <v>IASWD2412000207</v>
          </cell>
          <cell r="D4500">
            <v>45642</v>
          </cell>
          <cell r="E4500">
            <v>46250</v>
          </cell>
          <cell r="F4500" t="str">
            <v>64145</v>
          </cell>
          <cell r="G4500" t="str">
            <v>樺漢五</v>
          </cell>
          <cell r="H4500">
            <v>100000</v>
          </cell>
          <cell r="I4500">
            <v>3</v>
          </cell>
          <cell r="J4500">
            <v>46250</v>
          </cell>
          <cell r="K4500">
            <v>100</v>
          </cell>
          <cell r="L4500">
            <v>46231</v>
          </cell>
          <cell r="M4500">
            <v>-1233</v>
          </cell>
          <cell r="N4500">
            <v>98767</v>
          </cell>
        </row>
        <row r="4501">
          <cell r="A4501">
            <v>35831</v>
          </cell>
          <cell r="B4501">
            <v>4495</v>
          </cell>
          <cell r="C4501" t="str">
            <v>IASWD2412000209</v>
          </cell>
          <cell r="D4501">
            <v>45642</v>
          </cell>
          <cell r="E4501">
            <v>46180</v>
          </cell>
          <cell r="F4501" t="str">
            <v>35831</v>
          </cell>
          <cell r="G4501" t="str">
            <v>辛耘一</v>
          </cell>
          <cell r="H4501">
            <v>100000</v>
          </cell>
          <cell r="I4501">
            <v>3</v>
          </cell>
          <cell r="J4501">
            <v>46180</v>
          </cell>
          <cell r="K4501">
            <v>100</v>
          </cell>
          <cell r="L4501">
            <v>46161</v>
          </cell>
          <cell r="M4501">
            <v>-1233</v>
          </cell>
          <cell r="N4501">
            <v>98767</v>
          </cell>
        </row>
        <row r="4502">
          <cell r="A4502">
            <v>37022</v>
          </cell>
          <cell r="B4502">
            <v>4496</v>
          </cell>
          <cell r="C4502" t="str">
            <v>IASWD2412000210</v>
          </cell>
          <cell r="D4502">
            <v>45642</v>
          </cell>
          <cell r="E4502">
            <v>46702</v>
          </cell>
          <cell r="F4502" t="str">
            <v>37022</v>
          </cell>
          <cell r="G4502" t="str">
            <v>大聯大二</v>
          </cell>
          <cell r="H4502">
            <v>300000</v>
          </cell>
          <cell r="I4502">
            <v>2.7</v>
          </cell>
          <cell r="J4502">
            <v>46702</v>
          </cell>
          <cell r="K4502">
            <v>100</v>
          </cell>
          <cell r="L4502">
            <v>46682</v>
          </cell>
          <cell r="M4502">
            <v>-3329</v>
          </cell>
          <cell r="N4502">
            <v>296671</v>
          </cell>
        </row>
        <row r="4503">
          <cell r="A4503">
            <v>35266</v>
          </cell>
          <cell r="B4503">
            <v>4497</v>
          </cell>
          <cell r="C4503" t="str">
            <v>IASWD2412000211</v>
          </cell>
          <cell r="D4503">
            <v>45642</v>
          </cell>
          <cell r="E4503">
            <v>46416</v>
          </cell>
          <cell r="F4503" t="str">
            <v>35266</v>
          </cell>
          <cell r="G4503" t="str">
            <v>凡甲六</v>
          </cell>
          <cell r="H4503">
            <v>200000</v>
          </cell>
          <cell r="I4503">
            <v>3.25</v>
          </cell>
          <cell r="J4503">
            <v>46416</v>
          </cell>
          <cell r="K4503">
            <v>100</v>
          </cell>
          <cell r="L4503">
            <v>46398</v>
          </cell>
          <cell r="M4503">
            <v>-2671</v>
          </cell>
          <cell r="N4503">
            <v>197329</v>
          </cell>
        </row>
        <row r="4504">
          <cell r="A4504">
            <v>23682</v>
          </cell>
          <cell r="B4504">
            <v>4498</v>
          </cell>
          <cell r="C4504" t="str">
            <v>IASWD2412000213</v>
          </cell>
          <cell r="D4504">
            <v>45642</v>
          </cell>
          <cell r="E4504">
            <v>46361</v>
          </cell>
          <cell r="F4504" t="str">
            <v>23682</v>
          </cell>
          <cell r="G4504" t="str">
            <v>金像電二</v>
          </cell>
          <cell r="H4504">
            <v>100000</v>
          </cell>
          <cell r="I4504">
            <v>2.6</v>
          </cell>
          <cell r="J4504">
            <v>46361</v>
          </cell>
          <cell r="K4504">
            <v>100</v>
          </cell>
          <cell r="L4504">
            <v>46343</v>
          </cell>
          <cell r="M4504">
            <v>-1068</v>
          </cell>
          <cell r="N4504">
            <v>98932</v>
          </cell>
        </row>
        <row r="4505">
          <cell r="A4505">
            <v>31413</v>
          </cell>
          <cell r="B4505">
            <v>4499</v>
          </cell>
          <cell r="C4505" t="str">
            <v>IASWD2412000214</v>
          </cell>
          <cell r="D4505">
            <v>45642</v>
          </cell>
          <cell r="E4505">
            <v>46162</v>
          </cell>
          <cell r="F4505" t="str">
            <v>31413</v>
          </cell>
          <cell r="G4505" t="str">
            <v>晶宏三</v>
          </cell>
          <cell r="H4505">
            <v>100000</v>
          </cell>
          <cell r="I4505">
            <v>4</v>
          </cell>
          <cell r="J4505">
            <v>46162</v>
          </cell>
          <cell r="K4505">
            <v>100</v>
          </cell>
          <cell r="L4505">
            <v>46142</v>
          </cell>
          <cell r="M4505">
            <v>-1644</v>
          </cell>
          <cell r="N4505">
            <v>98356</v>
          </cell>
        </row>
        <row r="4506">
          <cell r="A4506">
            <v>27323</v>
          </cell>
          <cell r="B4506">
            <v>4500</v>
          </cell>
          <cell r="C4506" t="str">
            <v>IASWD2412000215</v>
          </cell>
          <cell r="D4506">
            <v>45642</v>
          </cell>
          <cell r="E4506">
            <v>46048</v>
          </cell>
          <cell r="F4506" t="str">
            <v>27323</v>
          </cell>
          <cell r="G4506" t="str">
            <v>六角三</v>
          </cell>
          <cell r="H4506">
            <v>100000</v>
          </cell>
          <cell r="I4506">
            <v>3</v>
          </cell>
          <cell r="J4506">
            <v>46048</v>
          </cell>
          <cell r="K4506">
            <v>101</v>
          </cell>
          <cell r="L4506">
            <v>46028</v>
          </cell>
          <cell r="M4506">
            <v>-1233</v>
          </cell>
          <cell r="N4506">
            <v>98767</v>
          </cell>
        </row>
        <row r="4507">
          <cell r="A4507">
            <v>49793</v>
          </cell>
          <cell r="B4507">
            <v>4501</v>
          </cell>
          <cell r="C4507" t="str">
            <v>IASWD2412000216</v>
          </cell>
          <cell r="D4507">
            <v>45642</v>
          </cell>
          <cell r="E4507">
            <v>46365</v>
          </cell>
          <cell r="F4507" t="str">
            <v>49793</v>
          </cell>
          <cell r="G4507" t="str">
            <v>華星光三</v>
          </cell>
          <cell r="H4507">
            <v>100000</v>
          </cell>
          <cell r="I4507">
            <v>4.5</v>
          </cell>
          <cell r="J4507">
            <v>46365</v>
          </cell>
          <cell r="K4507">
            <v>101.0025</v>
          </cell>
          <cell r="L4507">
            <v>46345</v>
          </cell>
          <cell r="M4507">
            <v>-1849</v>
          </cell>
          <cell r="N4507">
            <v>98151</v>
          </cell>
        </row>
        <row r="4508">
          <cell r="A4508">
            <v>50097</v>
          </cell>
          <cell r="B4508">
            <v>4502</v>
          </cell>
          <cell r="C4508" t="str">
            <v>IASWD2412000217</v>
          </cell>
          <cell r="D4508">
            <v>45642</v>
          </cell>
          <cell r="E4508">
            <v>46234</v>
          </cell>
          <cell r="F4508" t="str">
            <v>50097</v>
          </cell>
          <cell r="G4508" t="str">
            <v>榮剛七</v>
          </cell>
          <cell r="H4508">
            <v>100000</v>
          </cell>
          <cell r="I4508">
            <v>4.0999999999999996</v>
          </cell>
          <cell r="J4508">
            <v>46234</v>
          </cell>
          <cell r="K4508">
            <v>101.51</v>
          </cell>
          <cell r="L4508">
            <v>46216</v>
          </cell>
          <cell r="M4508">
            <v>-1685</v>
          </cell>
          <cell r="N4508">
            <v>98315</v>
          </cell>
        </row>
        <row r="4509">
          <cell r="A4509">
            <v>21043</v>
          </cell>
          <cell r="B4509">
            <v>4503</v>
          </cell>
          <cell r="C4509" t="str">
            <v>IASWD2412000218</v>
          </cell>
          <cell r="D4509">
            <v>45642</v>
          </cell>
          <cell r="E4509">
            <v>46308</v>
          </cell>
          <cell r="F4509" t="str">
            <v>21043</v>
          </cell>
          <cell r="G4509" t="str">
            <v>國際中橡三</v>
          </cell>
          <cell r="H4509">
            <v>100000</v>
          </cell>
          <cell r="I4509">
            <v>2.7</v>
          </cell>
          <cell r="J4509">
            <v>46308</v>
          </cell>
          <cell r="K4509">
            <v>100.9</v>
          </cell>
          <cell r="L4509">
            <v>46288</v>
          </cell>
          <cell r="M4509">
            <v>-1110</v>
          </cell>
          <cell r="N4509">
            <v>98890</v>
          </cell>
        </row>
        <row r="4510">
          <cell r="A4510">
            <v>37022</v>
          </cell>
          <cell r="B4510">
            <v>4504</v>
          </cell>
          <cell r="C4510" t="str">
            <v>IASWD2412000219</v>
          </cell>
          <cell r="D4510">
            <v>45642</v>
          </cell>
          <cell r="E4510">
            <v>46702</v>
          </cell>
          <cell r="F4510" t="str">
            <v>37022</v>
          </cell>
          <cell r="G4510" t="str">
            <v>大聯大二</v>
          </cell>
          <cell r="H4510">
            <v>100000</v>
          </cell>
          <cell r="I4510">
            <v>2.7</v>
          </cell>
          <cell r="J4510">
            <v>46702</v>
          </cell>
          <cell r="K4510">
            <v>100</v>
          </cell>
          <cell r="L4510">
            <v>46682</v>
          </cell>
          <cell r="M4510">
            <v>-1110</v>
          </cell>
          <cell r="N4510">
            <v>98890</v>
          </cell>
        </row>
        <row r="4511">
          <cell r="A4511">
            <v>84781</v>
          </cell>
          <cell r="B4511">
            <v>4505</v>
          </cell>
          <cell r="C4511" t="str">
            <v>IASWD2412000220</v>
          </cell>
          <cell r="D4511">
            <v>45642</v>
          </cell>
          <cell r="E4511">
            <v>46583</v>
          </cell>
          <cell r="F4511" t="str">
            <v>84781</v>
          </cell>
          <cell r="G4511" t="str">
            <v>東哥遊艇一</v>
          </cell>
          <cell r="H4511">
            <v>1000000</v>
          </cell>
          <cell r="I4511">
            <v>3.25</v>
          </cell>
          <cell r="J4511">
            <v>46583</v>
          </cell>
          <cell r="K4511">
            <v>100</v>
          </cell>
          <cell r="L4511">
            <v>46563</v>
          </cell>
          <cell r="M4511">
            <v>-13356</v>
          </cell>
          <cell r="N4511">
            <v>986644</v>
          </cell>
        </row>
        <row r="4512">
          <cell r="A4512">
            <v>49793</v>
          </cell>
          <cell r="B4512">
            <v>4506</v>
          </cell>
          <cell r="C4512" t="str">
            <v>IASWD2412000221</v>
          </cell>
          <cell r="D4512">
            <v>45642</v>
          </cell>
          <cell r="E4512">
            <v>46365</v>
          </cell>
          <cell r="F4512" t="str">
            <v>49793</v>
          </cell>
          <cell r="G4512" t="str">
            <v>華星光三</v>
          </cell>
          <cell r="H4512">
            <v>100000</v>
          </cell>
          <cell r="I4512">
            <v>4.5</v>
          </cell>
          <cell r="J4512">
            <v>46365</v>
          </cell>
          <cell r="K4512">
            <v>101.0025</v>
          </cell>
          <cell r="L4512">
            <v>46345</v>
          </cell>
          <cell r="M4512">
            <v>-1849</v>
          </cell>
          <cell r="N4512">
            <v>98151</v>
          </cell>
        </row>
        <row r="4513">
          <cell r="A4513">
            <v>68301</v>
          </cell>
          <cell r="B4513">
            <v>4507</v>
          </cell>
          <cell r="C4513" t="str">
            <v>IASWD2412000222</v>
          </cell>
          <cell r="D4513">
            <v>45642</v>
          </cell>
          <cell r="E4513">
            <v>46249</v>
          </cell>
          <cell r="F4513" t="str">
            <v>68301</v>
          </cell>
          <cell r="G4513" t="str">
            <v>汎銓一</v>
          </cell>
          <cell r="H4513">
            <v>100000</v>
          </cell>
          <cell r="I4513">
            <v>3</v>
          </cell>
          <cell r="J4513">
            <v>46249</v>
          </cell>
          <cell r="K4513">
            <v>100</v>
          </cell>
          <cell r="L4513">
            <v>46231</v>
          </cell>
          <cell r="M4513">
            <v>-1233</v>
          </cell>
          <cell r="N4513">
            <v>98767</v>
          </cell>
        </row>
        <row r="4514">
          <cell r="A4514">
            <v>45663</v>
          </cell>
          <cell r="B4514">
            <v>4508</v>
          </cell>
          <cell r="C4514" t="str">
            <v>IASWD2412000223</v>
          </cell>
          <cell r="D4514">
            <v>45642</v>
          </cell>
          <cell r="E4514">
            <v>46353</v>
          </cell>
          <cell r="F4514" t="str">
            <v>45663</v>
          </cell>
          <cell r="G4514" t="str">
            <v>時碩工業三</v>
          </cell>
          <cell r="H4514">
            <v>1000000</v>
          </cell>
          <cell r="I4514">
            <v>3.25</v>
          </cell>
          <cell r="J4514">
            <v>46353</v>
          </cell>
          <cell r="K4514">
            <v>100</v>
          </cell>
          <cell r="L4514">
            <v>46335</v>
          </cell>
          <cell r="M4514">
            <v>-13356</v>
          </cell>
          <cell r="N4514">
            <v>986644</v>
          </cell>
        </row>
        <row r="4515">
          <cell r="A4515">
            <v>24361</v>
          </cell>
          <cell r="B4515">
            <v>4509</v>
          </cell>
          <cell r="C4515" t="str">
            <v>IASWD2412000224</v>
          </cell>
          <cell r="D4515">
            <v>45642</v>
          </cell>
          <cell r="E4515">
            <v>45911</v>
          </cell>
          <cell r="F4515" t="str">
            <v>24361</v>
          </cell>
          <cell r="G4515" t="str">
            <v>偉詮電一</v>
          </cell>
          <cell r="H4515">
            <v>100000</v>
          </cell>
          <cell r="I4515">
            <v>3.75</v>
          </cell>
          <cell r="J4515">
            <v>45911</v>
          </cell>
          <cell r="K4515">
            <v>100.50060000000001</v>
          </cell>
          <cell r="L4515">
            <v>45891</v>
          </cell>
          <cell r="M4515">
            <v>-1541</v>
          </cell>
          <cell r="N4515">
            <v>98459</v>
          </cell>
        </row>
        <row r="4516">
          <cell r="A4516">
            <v>15364</v>
          </cell>
          <cell r="B4516">
            <v>4510</v>
          </cell>
          <cell r="C4516" t="str">
            <v>IASWD2412000226</v>
          </cell>
          <cell r="D4516">
            <v>45642</v>
          </cell>
          <cell r="E4516">
            <v>46246</v>
          </cell>
          <cell r="F4516" t="str">
            <v>15364</v>
          </cell>
          <cell r="G4516" t="str">
            <v>和大四</v>
          </cell>
          <cell r="H4516">
            <v>100000</v>
          </cell>
          <cell r="I4516">
            <v>4</v>
          </cell>
          <cell r="J4516">
            <v>46246</v>
          </cell>
          <cell r="K4516">
            <v>100</v>
          </cell>
          <cell r="L4516">
            <v>46226</v>
          </cell>
          <cell r="M4516">
            <v>-1644</v>
          </cell>
          <cell r="N4516">
            <v>98356</v>
          </cell>
        </row>
        <row r="4517">
          <cell r="A4517">
            <v>34163</v>
          </cell>
          <cell r="B4517">
            <v>4511</v>
          </cell>
          <cell r="C4517" t="str">
            <v>IASWD2412000227</v>
          </cell>
          <cell r="D4517">
            <v>45642</v>
          </cell>
          <cell r="E4517">
            <v>46047</v>
          </cell>
          <cell r="F4517" t="str">
            <v>34163</v>
          </cell>
          <cell r="G4517" t="str">
            <v>融程電三</v>
          </cell>
          <cell r="H4517">
            <v>2000000</v>
          </cell>
          <cell r="I4517">
            <v>3</v>
          </cell>
          <cell r="J4517">
            <v>46047</v>
          </cell>
          <cell r="K4517">
            <v>100.5</v>
          </cell>
          <cell r="L4517">
            <v>46028</v>
          </cell>
          <cell r="M4517">
            <v>-24658</v>
          </cell>
          <cell r="N4517">
            <v>1975342</v>
          </cell>
        </row>
        <row r="4518">
          <cell r="A4518">
            <v>11011</v>
          </cell>
          <cell r="B4518">
            <v>4512</v>
          </cell>
          <cell r="C4518" t="str">
            <v>IASWD2412000228</v>
          </cell>
          <cell r="D4518">
            <v>45643</v>
          </cell>
          <cell r="E4518">
            <v>46731</v>
          </cell>
          <cell r="F4518" t="str">
            <v>11011</v>
          </cell>
          <cell r="G4518" t="str">
            <v>台泥一永</v>
          </cell>
          <cell r="H4518">
            <v>800000</v>
          </cell>
          <cell r="I4518">
            <v>2.8</v>
          </cell>
          <cell r="J4518">
            <v>46731</v>
          </cell>
          <cell r="K4518">
            <v>100</v>
          </cell>
          <cell r="L4518">
            <v>46713</v>
          </cell>
          <cell r="M4518">
            <v>-9144</v>
          </cell>
          <cell r="N4518">
            <v>790856</v>
          </cell>
        </row>
        <row r="4519">
          <cell r="A4519">
            <v>34163</v>
          </cell>
          <cell r="B4519">
            <v>4513</v>
          </cell>
          <cell r="C4519" t="str">
            <v>IASWD2412000229</v>
          </cell>
          <cell r="D4519">
            <v>45643</v>
          </cell>
          <cell r="E4519">
            <v>46047</v>
          </cell>
          <cell r="F4519" t="str">
            <v>34163</v>
          </cell>
          <cell r="G4519" t="str">
            <v>融程電三</v>
          </cell>
          <cell r="H4519">
            <v>1000000</v>
          </cell>
          <cell r="I4519">
            <v>3</v>
          </cell>
          <cell r="J4519">
            <v>46047</v>
          </cell>
          <cell r="K4519">
            <v>100.5</v>
          </cell>
          <cell r="L4519">
            <v>46028</v>
          </cell>
          <cell r="M4519">
            <v>-12247</v>
          </cell>
          <cell r="N4519">
            <v>987753</v>
          </cell>
        </row>
        <row r="4520">
          <cell r="A4520">
            <v>30882</v>
          </cell>
          <cell r="B4520">
            <v>4514</v>
          </cell>
          <cell r="C4520" t="str">
            <v>IASWD2412000230</v>
          </cell>
          <cell r="D4520">
            <v>45643</v>
          </cell>
          <cell r="E4520">
            <v>46262</v>
          </cell>
          <cell r="F4520" t="str">
            <v>30882</v>
          </cell>
          <cell r="G4520" t="str">
            <v>艾訊二</v>
          </cell>
          <cell r="H4520">
            <v>300000</v>
          </cell>
          <cell r="I4520">
            <v>3.25</v>
          </cell>
          <cell r="J4520">
            <v>46262</v>
          </cell>
          <cell r="K4520">
            <v>100</v>
          </cell>
          <cell r="L4520">
            <v>46244</v>
          </cell>
          <cell r="M4520">
            <v>-3980</v>
          </cell>
          <cell r="N4520">
            <v>296020</v>
          </cell>
        </row>
        <row r="4521">
          <cell r="A4521">
            <v>11011</v>
          </cell>
          <cell r="B4521">
            <v>4515</v>
          </cell>
          <cell r="C4521" t="str">
            <v>IASWD2412000231</v>
          </cell>
          <cell r="D4521">
            <v>45643</v>
          </cell>
          <cell r="E4521">
            <v>46731</v>
          </cell>
          <cell r="F4521" t="str">
            <v>11011</v>
          </cell>
          <cell r="G4521" t="str">
            <v>台泥一永</v>
          </cell>
          <cell r="H4521">
            <v>1000000</v>
          </cell>
          <cell r="I4521">
            <v>2.8</v>
          </cell>
          <cell r="J4521">
            <v>46731</v>
          </cell>
          <cell r="K4521">
            <v>100</v>
          </cell>
          <cell r="L4521">
            <v>46713</v>
          </cell>
          <cell r="M4521">
            <v>-11430</v>
          </cell>
          <cell r="N4521">
            <v>988570</v>
          </cell>
        </row>
        <row r="4522">
          <cell r="A4522">
            <v>37023</v>
          </cell>
          <cell r="B4522">
            <v>4516</v>
          </cell>
          <cell r="C4522" t="str">
            <v>IASWD2412000232</v>
          </cell>
          <cell r="D4522">
            <v>45643</v>
          </cell>
          <cell r="E4522">
            <v>46712</v>
          </cell>
          <cell r="F4522" t="str">
            <v>37023</v>
          </cell>
          <cell r="G4522" t="str">
            <v>大聯大三</v>
          </cell>
          <cell r="H4522">
            <v>500000</v>
          </cell>
          <cell r="I4522">
            <v>2.7</v>
          </cell>
          <cell r="J4522">
            <v>46712</v>
          </cell>
          <cell r="K4522">
            <v>100</v>
          </cell>
          <cell r="L4522">
            <v>46693</v>
          </cell>
          <cell r="M4522">
            <v>-5511</v>
          </cell>
          <cell r="N4522">
            <v>494489</v>
          </cell>
        </row>
        <row r="4523">
          <cell r="A4523">
            <v>15364</v>
          </cell>
          <cell r="B4523">
            <v>4517</v>
          </cell>
          <cell r="C4523" t="str">
            <v>IASWD2412000233</v>
          </cell>
          <cell r="D4523">
            <v>45643</v>
          </cell>
          <cell r="E4523">
            <v>46246</v>
          </cell>
          <cell r="F4523" t="str">
            <v>15364</v>
          </cell>
          <cell r="G4523" t="str">
            <v>和大四</v>
          </cell>
          <cell r="H4523">
            <v>100000</v>
          </cell>
          <cell r="I4523">
            <v>4</v>
          </cell>
          <cell r="J4523">
            <v>46246</v>
          </cell>
          <cell r="K4523">
            <v>100</v>
          </cell>
          <cell r="L4523">
            <v>46226</v>
          </cell>
          <cell r="M4523">
            <v>-1633</v>
          </cell>
          <cell r="N4523">
            <v>98367</v>
          </cell>
        </row>
        <row r="4524">
          <cell r="A4524">
            <v>64145</v>
          </cell>
          <cell r="B4524">
            <v>4518</v>
          </cell>
          <cell r="C4524" t="str">
            <v>IASWD2412000234</v>
          </cell>
          <cell r="D4524">
            <v>45643</v>
          </cell>
          <cell r="E4524">
            <v>46250</v>
          </cell>
          <cell r="F4524" t="str">
            <v>64145</v>
          </cell>
          <cell r="G4524" t="str">
            <v>樺漢五</v>
          </cell>
          <cell r="H4524">
            <v>1200000</v>
          </cell>
          <cell r="I4524">
            <v>3</v>
          </cell>
          <cell r="J4524">
            <v>46250</v>
          </cell>
          <cell r="K4524">
            <v>100</v>
          </cell>
          <cell r="L4524">
            <v>46231</v>
          </cell>
          <cell r="M4524">
            <v>-14696</v>
          </cell>
          <cell r="N4524">
            <v>1185304</v>
          </cell>
        </row>
        <row r="4525">
          <cell r="A4525">
            <v>84673</v>
          </cell>
          <cell r="B4525">
            <v>4519</v>
          </cell>
          <cell r="C4525" t="str">
            <v>IASWD2412000235</v>
          </cell>
          <cell r="D4525">
            <v>45643</v>
          </cell>
          <cell r="E4525">
            <v>46538</v>
          </cell>
          <cell r="F4525" t="str">
            <v>84673</v>
          </cell>
          <cell r="G4525" t="str">
            <v>波力三KY</v>
          </cell>
          <cell r="H4525">
            <v>200000</v>
          </cell>
          <cell r="I4525">
            <v>4.2</v>
          </cell>
          <cell r="J4525">
            <v>46538</v>
          </cell>
          <cell r="K4525">
            <v>100</v>
          </cell>
          <cell r="L4525">
            <v>46518</v>
          </cell>
          <cell r="M4525">
            <v>-3429</v>
          </cell>
          <cell r="N4525">
            <v>196571</v>
          </cell>
        </row>
        <row r="4526">
          <cell r="A4526">
            <v>37022</v>
          </cell>
          <cell r="B4526">
            <v>4520</v>
          </cell>
          <cell r="C4526" t="str">
            <v>IASWD2412000236</v>
          </cell>
          <cell r="D4526">
            <v>45643</v>
          </cell>
          <cell r="E4526">
            <v>46702</v>
          </cell>
          <cell r="F4526" t="str">
            <v>37022</v>
          </cell>
          <cell r="G4526" t="str">
            <v>大聯大二</v>
          </cell>
          <cell r="H4526">
            <v>4000000</v>
          </cell>
          <cell r="I4526">
            <v>2.7</v>
          </cell>
          <cell r="J4526">
            <v>46702</v>
          </cell>
          <cell r="K4526">
            <v>100</v>
          </cell>
          <cell r="L4526">
            <v>46682</v>
          </cell>
          <cell r="M4526">
            <v>-44088</v>
          </cell>
          <cell r="N4526">
            <v>3955912</v>
          </cell>
        </row>
        <row r="4527">
          <cell r="A4527">
            <v>23682</v>
          </cell>
          <cell r="B4527">
            <v>4521</v>
          </cell>
          <cell r="C4527" t="str">
            <v>IASWD2412000237</v>
          </cell>
          <cell r="D4527">
            <v>45643</v>
          </cell>
          <cell r="E4527">
            <v>46361</v>
          </cell>
          <cell r="F4527" t="str">
            <v>23682</v>
          </cell>
          <cell r="G4527" t="str">
            <v>金像電二</v>
          </cell>
          <cell r="H4527">
            <v>100000</v>
          </cell>
          <cell r="I4527">
            <v>2.6</v>
          </cell>
          <cell r="J4527">
            <v>46361</v>
          </cell>
          <cell r="K4527">
            <v>100</v>
          </cell>
          <cell r="L4527">
            <v>46343</v>
          </cell>
          <cell r="M4527">
            <v>-1061</v>
          </cell>
          <cell r="N4527">
            <v>98939</v>
          </cell>
        </row>
        <row r="4528">
          <cell r="A4528">
            <v>23682</v>
          </cell>
          <cell r="B4528">
            <v>4522</v>
          </cell>
          <cell r="C4528" t="str">
            <v>IASWD2412000238</v>
          </cell>
          <cell r="D4528">
            <v>45643</v>
          </cell>
          <cell r="E4528">
            <v>46361</v>
          </cell>
          <cell r="F4528" t="str">
            <v>23682</v>
          </cell>
          <cell r="G4528" t="str">
            <v>金像電二</v>
          </cell>
          <cell r="H4528">
            <v>300000</v>
          </cell>
          <cell r="I4528">
            <v>2.6</v>
          </cell>
          <cell r="J4528">
            <v>46361</v>
          </cell>
          <cell r="K4528">
            <v>100</v>
          </cell>
          <cell r="L4528">
            <v>46343</v>
          </cell>
          <cell r="M4528">
            <v>-3184</v>
          </cell>
          <cell r="N4528">
            <v>296816</v>
          </cell>
        </row>
        <row r="4529">
          <cell r="A4529">
            <v>23682</v>
          </cell>
          <cell r="B4529">
            <v>4523</v>
          </cell>
          <cell r="C4529" t="str">
            <v>IASWD2412000239</v>
          </cell>
          <cell r="D4529">
            <v>45643</v>
          </cell>
          <cell r="E4529">
            <v>46361</v>
          </cell>
          <cell r="F4529" t="str">
            <v>23682</v>
          </cell>
          <cell r="G4529" t="str">
            <v>金像電二</v>
          </cell>
          <cell r="H4529">
            <v>100000</v>
          </cell>
          <cell r="I4529">
            <v>2.6</v>
          </cell>
          <cell r="J4529">
            <v>46361</v>
          </cell>
          <cell r="K4529">
            <v>100</v>
          </cell>
          <cell r="L4529">
            <v>46343</v>
          </cell>
          <cell r="M4529">
            <v>-1061</v>
          </cell>
          <cell r="N4529">
            <v>98939</v>
          </cell>
        </row>
        <row r="4530">
          <cell r="A4530">
            <v>49793</v>
          </cell>
          <cell r="B4530">
            <v>4524</v>
          </cell>
          <cell r="C4530" t="str">
            <v>IASWD2412000240</v>
          </cell>
          <cell r="D4530">
            <v>45643</v>
          </cell>
          <cell r="E4530">
            <v>46365</v>
          </cell>
          <cell r="F4530" t="str">
            <v>49793</v>
          </cell>
          <cell r="G4530" t="str">
            <v>華星光三</v>
          </cell>
          <cell r="H4530">
            <v>100000</v>
          </cell>
          <cell r="I4530">
            <v>4.5</v>
          </cell>
          <cell r="J4530">
            <v>46365</v>
          </cell>
          <cell r="K4530">
            <v>101.0025</v>
          </cell>
          <cell r="L4530">
            <v>46345</v>
          </cell>
          <cell r="M4530">
            <v>-1837</v>
          </cell>
          <cell r="N4530">
            <v>98163</v>
          </cell>
        </row>
        <row r="4531">
          <cell r="A4531">
            <v>31413</v>
          </cell>
          <cell r="B4531">
            <v>4525</v>
          </cell>
          <cell r="C4531" t="str">
            <v>IASWD2412000241</v>
          </cell>
          <cell r="D4531">
            <v>45643</v>
          </cell>
          <cell r="E4531">
            <v>46162</v>
          </cell>
          <cell r="F4531" t="str">
            <v>31413</v>
          </cell>
          <cell r="G4531" t="str">
            <v>晶宏三</v>
          </cell>
          <cell r="H4531">
            <v>100000</v>
          </cell>
          <cell r="I4531">
            <v>4</v>
          </cell>
          <cell r="J4531">
            <v>46162</v>
          </cell>
          <cell r="K4531">
            <v>100</v>
          </cell>
          <cell r="L4531">
            <v>46142</v>
          </cell>
          <cell r="M4531">
            <v>-1633</v>
          </cell>
          <cell r="N4531">
            <v>98367</v>
          </cell>
        </row>
        <row r="4532">
          <cell r="A4532">
            <v>31413</v>
          </cell>
          <cell r="B4532">
            <v>4526</v>
          </cell>
          <cell r="C4532" t="str">
            <v>IASWD2412000242</v>
          </cell>
          <cell r="D4532">
            <v>45643</v>
          </cell>
          <cell r="E4532">
            <v>46162</v>
          </cell>
          <cell r="F4532" t="str">
            <v>31413</v>
          </cell>
          <cell r="G4532" t="str">
            <v>晶宏三</v>
          </cell>
          <cell r="H4532">
            <v>100000</v>
          </cell>
          <cell r="I4532">
            <v>4</v>
          </cell>
          <cell r="J4532">
            <v>46162</v>
          </cell>
          <cell r="K4532">
            <v>100</v>
          </cell>
          <cell r="L4532">
            <v>46142</v>
          </cell>
          <cell r="M4532">
            <v>-1633</v>
          </cell>
          <cell r="N4532">
            <v>98367</v>
          </cell>
        </row>
        <row r="4533">
          <cell r="A4533">
            <v>11011</v>
          </cell>
          <cell r="B4533">
            <v>4527</v>
          </cell>
          <cell r="C4533" t="str">
            <v>IASWD2412000243</v>
          </cell>
          <cell r="D4533">
            <v>45643</v>
          </cell>
          <cell r="E4533">
            <v>46731</v>
          </cell>
          <cell r="F4533" t="str">
            <v>11011</v>
          </cell>
          <cell r="G4533" t="str">
            <v>台泥一永</v>
          </cell>
          <cell r="H4533">
            <v>1500000</v>
          </cell>
          <cell r="I4533">
            <v>2.8</v>
          </cell>
          <cell r="J4533">
            <v>46731</v>
          </cell>
          <cell r="K4533">
            <v>100</v>
          </cell>
          <cell r="L4533">
            <v>46713</v>
          </cell>
          <cell r="M4533">
            <v>-17145</v>
          </cell>
          <cell r="N4533">
            <v>1482855</v>
          </cell>
        </row>
        <row r="4534">
          <cell r="A4534">
            <v>37023</v>
          </cell>
          <cell r="B4534">
            <v>4528</v>
          </cell>
          <cell r="C4534" t="str">
            <v>IASWD2412000244</v>
          </cell>
          <cell r="D4534">
            <v>45643</v>
          </cell>
          <cell r="E4534">
            <v>46712</v>
          </cell>
          <cell r="F4534" t="str">
            <v>37023</v>
          </cell>
          <cell r="G4534" t="str">
            <v>大聯大三</v>
          </cell>
          <cell r="H4534">
            <v>500000</v>
          </cell>
          <cell r="I4534">
            <v>2.7</v>
          </cell>
          <cell r="J4534">
            <v>46712</v>
          </cell>
          <cell r="K4534">
            <v>100</v>
          </cell>
          <cell r="L4534">
            <v>46693</v>
          </cell>
          <cell r="M4534">
            <v>-5511</v>
          </cell>
          <cell r="N4534">
            <v>494489</v>
          </cell>
        </row>
        <row r="4535">
          <cell r="A4535">
            <v>27323</v>
          </cell>
          <cell r="B4535">
            <v>4529</v>
          </cell>
          <cell r="C4535" t="str">
            <v>IASWD2412000245</v>
          </cell>
          <cell r="D4535">
            <v>45643</v>
          </cell>
          <cell r="E4535">
            <v>46048</v>
          </cell>
          <cell r="F4535" t="str">
            <v>27323</v>
          </cell>
          <cell r="G4535" t="str">
            <v>六角三</v>
          </cell>
          <cell r="H4535">
            <v>100000</v>
          </cell>
          <cell r="I4535">
            <v>3</v>
          </cell>
          <cell r="J4535">
            <v>46048</v>
          </cell>
          <cell r="K4535">
            <v>101</v>
          </cell>
          <cell r="L4535">
            <v>46028</v>
          </cell>
          <cell r="M4535">
            <v>-1225</v>
          </cell>
          <cell r="N4535">
            <v>98775</v>
          </cell>
        </row>
        <row r="4536">
          <cell r="A4536">
            <v>11011</v>
          </cell>
          <cell r="B4536">
            <v>4530</v>
          </cell>
          <cell r="C4536" t="str">
            <v>IASWD2412000246</v>
          </cell>
          <cell r="D4536">
            <v>45643</v>
          </cell>
          <cell r="E4536">
            <v>46731</v>
          </cell>
          <cell r="F4536" t="str">
            <v>11011</v>
          </cell>
          <cell r="G4536" t="str">
            <v>台泥一永</v>
          </cell>
          <cell r="H4536">
            <v>200000</v>
          </cell>
          <cell r="I4536">
            <v>2.8</v>
          </cell>
          <cell r="J4536">
            <v>46731</v>
          </cell>
          <cell r="K4536">
            <v>100</v>
          </cell>
          <cell r="L4536">
            <v>46713</v>
          </cell>
          <cell r="M4536">
            <v>-2286</v>
          </cell>
          <cell r="N4536">
            <v>197714</v>
          </cell>
        </row>
        <row r="4537">
          <cell r="A4537">
            <v>37022</v>
          </cell>
          <cell r="B4537">
            <v>4531</v>
          </cell>
          <cell r="C4537" t="str">
            <v>IASWD2412000247</v>
          </cell>
          <cell r="D4537">
            <v>45643</v>
          </cell>
          <cell r="E4537">
            <v>46702</v>
          </cell>
          <cell r="F4537" t="str">
            <v>37022</v>
          </cell>
          <cell r="G4537" t="str">
            <v>大聯大二</v>
          </cell>
          <cell r="H4537">
            <v>200000</v>
          </cell>
          <cell r="I4537">
            <v>2.7</v>
          </cell>
          <cell r="J4537">
            <v>46702</v>
          </cell>
          <cell r="K4537">
            <v>100</v>
          </cell>
          <cell r="L4537">
            <v>46682</v>
          </cell>
          <cell r="M4537">
            <v>-2204</v>
          </cell>
          <cell r="N4537">
            <v>197796</v>
          </cell>
        </row>
        <row r="4538">
          <cell r="A4538">
            <v>37022</v>
          </cell>
          <cell r="B4538">
            <v>4532</v>
          </cell>
          <cell r="C4538" t="str">
            <v>IASWD2412000248</v>
          </cell>
          <cell r="D4538">
            <v>45643</v>
          </cell>
          <cell r="E4538">
            <v>46702</v>
          </cell>
          <cell r="F4538" t="str">
            <v>37022</v>
          </cell>
          <cell r="G4538" t="str">
            <v>大聯大二</v>
          </cell>
          <cell r="H4538">
            <v>1000000</v>
          </cell>
          <cell r="I4538">
            <v>2.7</v>
          </cell>
          <cell r="J4538">
            <v>46702</v>
          </cell>
          <cell r="K4538">
            <v>100</v>
          </cell>
          <cell r="L4538">
            <v>46682</v>
          </cell>
          <cell r="M4538">
            <v>-11022</v>
          </cell>
          <cell r="N4538">
            <v>988978</v>
          </cell>
        </row>
        <row r="4539">
          <cell r="A4539">
            <v>24361</v>
          </cell>
          <cell r="B4539">
            <v>4533</v>
          </cell>
          <cell r="C4539" t="str">
            <v>IASWD2412000249</v>
          </cell>
          <cell r="D4539">
            <v>45643</v>
          </cell>
          <cell r="E4539">
            <v>45911</v>
          </cell>
          <cell r="F4539" t="str">
            <v>24361</v>
          </cell>
          <cell r="G4539" t="str">
            <v>偉詮電一</v>
          </cell>
          <cell r="H4539">
            <v>1000000</v>
          </cell>
          <cell r="I4539">
            <v>3.75</v>
          </cell>
          <cell r="J4539">
            <v>45911</v>
          </cell>
          <cell r="K4539">
            <v>100.50060000000001</v>
          </cell>
          <cell r="L4539">
            <v>45891</v>
          </cell>
          <cell r="M4539">
            <v>-15308</v>
          </cell>
          <cell r="N4539">
            <v>984692</v>
          </cell>
        </row>
        <row r="4540">
          <cell r="A4540">
            <v>22283</v>
          </cell>
          <cell r="B4540">
            <v>4534</v>
          </cell>
          <cell r="C4540" t="str">
            <v>IASWD2412000250</v>
          </cell>
          <cell r="D4540">
            <v>45643</v>
          </cell>
          <cell r="E4540">
            <v>46628</v>
          </cell>
          <cell r="F4540" t="str">
            <v>22283</v>
          </cell>
          <cell r="G4540" t="str">
            <v>劍麟三</v>
          </cell>
          <cell r="H4540">
            <v>200000</v>
          </cell>
          <cell r="I4540">
            <v>3</v>
          </cell>
          <cell r="J4540">
            <v>46628</v>
          </cell>
          <cell r="K4540">
            <v>100</v>
          </cell>
          <cell r="L4540">
            <v>46609</v>
          </cell>
          <cell r="M4540">
            <v>-2449</v>
          </cell>
          <cell r="N4540">
            <v>197551</v>
          </cell>
        </row>
        <row r="4541">
          <cell r="A4541">
            <v>49793</v>
          </cell>
          <cell r="B4541">
            <v>4535</v>
          </cell>
          <cell r="C4541" t="str">
            <v>IASWD2412000251</v>
          </cell>
          <cell r="D4541">
            <v>45643</v>
          </cell>
          <cell r="E4541">
            <v>46365</v>
          </cell>
          <cell r="F4541" t="str">
            <v>49793</v>
          </cell>
          <cell r="G4541" t="str">
            <v>華星光三</v>
          </cell>
          <cell r="H4541">
            <v>500000</v>
          </cell>
          <cell r="I4541">
            <v>4.5</v>
          </cell>
          <cell r="J4541">
            <v>46365</v>
          </cell>
          <cell r="K4541">
            <v>101.0025</v>
          </cell>
          <cell r="L4541">
            <v>46345</v>
          </cell>
          <cell r="M4541">
            <v>-9185</v>
          </cell>
          <cell r="N4541">
            <v>490815</v>
          </cell>
        </row>
        <row r="4542">
          <cell r="A4542">
            <v>31413</v>
          </cell>
          <cell r="B4542">
            <v>4536</v>
          </cell>
          <cell r="C4542" t="str">
            <v>IASWD2412000252</v>
          </cell>
          <cell r="D4542">
            <v>45643</v>
          </cell>
          <cell r="E4542">
            <v>46162</v>
          </cell>
          <cell r="F4542" t="str">
            <v>31413</v>
          </cell>
          <cell r="G4542" t="str">
            <v>晶宏三</v>
          </cell>
          <cell r="H4542">
            <v>100000</v>
          </cell>
          <cell r="I4542">
            <v>4</v>
          </cell>
          <cell r="J4542">
            <v>46162</v>
          </cell>
          <cell r="K4542">
            <v>100</v>
          </cell>
          <cell r="L4542">
            <v>46142</v>
          </cell>
          <cell r="M4542">
            <v>-1633</v>
          </cell>
          <cell r="N4542">
            <v>98367</v>
          </cell>
        </row>
        <row r="4543">
          <cell r="A4543">
            <v>49793</v>
          </cell>
          <cell r="B4543">
            <v>4537</v>
          </cell>
          <cell r="C4543" t="str">
            <v>IASWD2412000253</v>
          </cell>
          <cell r="D4543">
            <v>45643</v>
          </cell>
          <cell r="E4543">
            <v>46365</v>
          </cell>
          <cell r="F4543" t="str">
            <v>49793</v>
          </cell>
          <cell r="G4543" t="str">
            <v>華星光三</v>
          </cell>
          <cell r="H4543">
            <v>100000</v>
          </cell>
          <cell r="I4543">
            <v>4.5</v>
          </cell>
          <cell r="J4543">
            <v>46365</v>
          </cell>
          <cell r="K4543">
            <v>101.0025</v>
          </cell>
          <cell r="L4543">
            <v>46345</v>
          </cell>
          <cell r="M4543">
            <v>-1837</v>
          </cell>
          <cell r="N4543">
            <v>98163</v>
          </cell>
        </row>
        <row r="4544">
          <cell r="A4544">
            <v>61875</v>
          </cell>
          <cell r="B4544">
            <v>4538</v>
          </cell>
          <cell r="C4544" t="str">
            <v>IASWD2412000255</v>
          </cell>
          <cell r="D4544">
            <v>45643</v>
          </cell>
          <cell r="E4544">
            <v>46578</v>
          </cell>
          <cell r="F4544" t="str">
            <v>61875</v>
          </cell>
          <cell r="G4544" t="str">
            <v>萬潤五</v>
          </cell>
          <cell r="H4544">
            <v>100000</v>
          </cell>
          <cell r="I4544">
            <v>3</v>
          </cell>
          <cell r="J4544">
            <v>46578</v>
          </cell>
          <cell r="K4544">
            <v>100</v>
          </cell>
          <cell r="L4544">
            <v>46560</v>
          </cell>
          <cell r="M4544">
            <v>-1225</v>
          </cell>
          <cell r="N4544">
            <v>98775</v>
          </cell>
        </row>
        <row r="4545">
          <cell r="A4545">
            <v>61965</v>
          </cell>
          <cell r="B4545">
            <v>4539</v>
          </cell>
          <cell r="C4545" t="str">
            <v>IASWD2412000256</v>
          </cell>
          <cell r="D4545">
            <v>45643</v>
          </cell>
          <cell r="E4545">
            <v>46200</v>
          </cell>
          <cell r="F4545" t="str">
            <v>61965</v>
          </cell>
          <cell r="G4545" t="str">
            <v>帆宣五</v>
          </cell>
          <cell r="H4545">
            <v>1000000</v>
          </cell>
          <cell r="I4545">
            <v>3</v>
          </cell>
          <cell r="J4545">
            <v>46200</v>
          </cell>
          <cell r="K4545">
            <v>100</v>
          </cell>
          <cell r="L4545">
            <v>46182</v>
          </cell>
          <cell r="M4545">
            <v>-12247</v>
          </cell>
          <cell r="N4545">
            <v>987753</v>
          </cell>
        </row>
        <row r="4546">
          <cell r="A4546">
            <v>35831</v>
          </cell>
          <cell r="B4546">
            <v>4540</v>
          </cell>
          <cell r="C4546" t="str">
            <v>IASWD2412000257</v>
          </cell>
          <cell r="D4546">
            <v>45643</v>
          </cell>
          <cell r="E4546">
            <v>46180</v>
          </cell>
          <cell r="F4546" t="str">
            <v>35831</v>
          </cell>
          <cell r="G4546" t="str">
            <v>辛耘一</v>
          </cell>
          <cell r="H4546">
            <v>100000</v>
          </cell>
          <cell r="I4546">
            <v>3</v>
          </cell>
          <cell r="J4546">
            <v>46180</v>
          </cell>
          <cell r="K4546">
            <v>100</v>
          </cell>
          <cell r="L4546">
            <v>46161</v>
          </cell>
          <cell r="M4546">
            <v>-1225</v>
          </cell>
          <cell r="N4546">
            <v>98775</v>
          </cell>
        </row>
        <row r="4547">
          <cell r="A4547">
            <v>11011</v>
          </cell>
          <cell r="B4547">
            <v>4541</v>
          </cell>
          <cell r="C4547" t="str">
            <v>IASWD2412000259</v>
          </cell>
          <cell r="D4547">
            <v>45643</v>
          </cell>
          <cell r="E4547">
            <v>46731</v>
          </cell>
          <cell r="F4547" t="str">
            <v>11011</v>
          </cell>
          <cell r="G4547" t="str">
            <v>台泥一永</v>
          </cell>
          <cell r="H4547">
            <v>100000</v>
          </cell>
          <cell r="I4547">
            <v>2.8</v>
          </cell>
          <cell r="J4547">
            <v>46731</v>
          </cell>
          <cell r="K4547">
            <v>100</v>
          </cell>
          <cell r="L4547">
            <v>46713</v>
          </cell>
          <cell r="M4547">
            <v>-1143</v>
          </cell>
          <cell r="N4547">
            <v>98857</v>
          </cell>
        </row>
        <row r="4548">
          <cell r="A4548">
            <v>68301</v>
          </cell>
          <cell r="B4548">
            <v>4542</v>
          </cell>
          <cell r="C4548" t="str">
            <v>IASWD2412000260</v>
          </cell>
          <cell r="D4548">
            <v>45643</v>
          </cell>
          <cell r="E4548">
            <v>46249</v>
          </cell>
          <cell r="F4548" t="str">
            <v>68301</v>
          </cell>
          <cell r="G4548" t="str">
            <v>汎銓一</v>
          </cell>
          <cell r="H4548">
            <v>100000</v>
          </cell>
          <cell r="I4548">
            <v>3</v>
          </cell>
          <cell r="J4548">
            <v>46249</v>
          </cell>
          <cell r="K4548">
            <v>100</v>
          </cell>
          <cell r="L4548">
            <v>46231</v>
          </cell>
          <cell r="M4548">
            <v>-1225</v>
          </cell>
          <cell r="N4548">
            <v>98775</v>
          </cell>
        </row>
        <row r="4549">
          <cell r="A4549">
            <v>11011</v>
          </cell>
          <cell r="B4549">
            <v>4543</v>
          </cell>
          <cell r="C4549" t="str">
            <v>IASWD2412000261</v>
          </cell>
          <cell r="D4549">
            <v>45643</v>
          </cell>
          <cell r="E4549">
            <v>46731</v>
          </cell>
          <cell r="F4549" t="str">
            <v>11011</v>
          </cell>
          <cell r="G4549" t="str">
            <v>台泥一永</v>
          </cell>
          <cell r="H4549">
            <v>1000000</v>
          </cell>
          <cell r="I4549">
            <v>2.8</v>
          </cell>
          <cell r="J4549">
            <v>46731</v>
          </cell>
          <cell r="K4549">
            <v>100</v>
          </cell>
          <cell r="L4549">
            <v>46713</v>
          </cell>
          <cell r="M4549">
            <v>-11430</v>
          </cell>
          <cell r="N4549">
            <v>988570</v>
          </cell>
        </row>
        <row r="4550">
          <cell r="A4550">
            <v>50097</v>
          </cell>
          <cell r="B4550">
            <v>4544</v>
          </cell>
          <cell r="C4550" t="str">
            <v>IASWD2412000262</v>
          </cell>
          <cell r="D4550">
            <v>45644</v>
          </cell>
          <cell r="E4550">
            <v>46234</v>
          </cell>
          <cell r="F4550" t="str">
            <v>50097</v>
          </cell>
          <cell r="G4550" t="str">
            <v>榮剛七</v>
          </cell>
          <cell r="H4550">
            <v>100000</v>
          </cell>
          <cell r="I4550">
            <v>4.0999999999999996</v>
          </cell>
          <cell r="J4550">
            <v>46234</v>
          </cell>
          <cell r="K4550">
            <v>101.51</v>
          </cell>
          <cell r="L4550">
            <v>46216</v>
          </cell>
          <cell r="M4550">
            <v>-1662</v>
          </cell>
          <cell r="N4550">
            <v>98338</v>
          </cell>
        </row>
        <row r="4551">
          <cell r="A4551">
            <v>11011</v>
          </cell>
          <cell r="B4551">
            <v>4545</v>
          </cell>
          <cell r="C4551" t="str">
            <v>IASWD2412000263</v>
          </cell>
          <cell r="D4551">
            <v>45644</v>
          </cell>
          <cell r="E4551">
            <v>46731</v>
          </cell>
          <cell r="F4551" t="str">
            <v>11011</v>
          </cell>
          <cell r="G4551" t="str">
            <v>台泥一永</v>
          </cell>
          <cell r="H4551">
            <v>500000</v>
          </cell>
          <cell r="I4551">
            <v>2.8</v>
          </cell>
          <cell r="J4551">
            <v>46731</v>
          </cell>
          <cell r="K4551">
            <v>100</v>
          </cell>
          <cell r="L4551">
            <v>46713</v>
          </cell>
          <cell r="M4551">
            <v>-5677</v>
          </cell>
          <cell r="N4551">
            <v>494323</v>
          </cell>
        </row>
        <row r="4552">
          <cell r="A4552">
            <v>35871</v>
          </cell>
          <cell r="B4552">
            <v>4546</v>
          </cell>
          <cell r="C4552" t="str">
            <v>IASWD2412000264</v>
          </cell>
          <cell r="D4552">
            <v>45644</v>
          </cell>
          <cell r="E4552">
            <v>46193</v>
          </cell>
          <cell r="F4552" t="str">
            <v>35871</v>
          </cell>
          <cell r="G4552" t="str">
            <v>閎康一</v>
          </cell>
          <cell r="H4552">
            <v>100000</v>
          </cell>
          <cell r="I4552">
            <v>2.6</v>
          </cell>
          <cell r="J4552">
            <v>46193</v>
          </cell>
          <cell r="K4552">
            <v>100</v>
          </cell>
          <cell r="L4552">
            <v>46175</v>
          </cell>
          <cell r="M4552">
            <v>-1054</v>
          </cell>
          <cell r="N4552">
            <v>98946</v>
          </cell>
        </row>
        <row r="4553">
          <cell r="A4553">
            <v>37022</v>
          </cell>
          <cell r="B4553">
            <v>4547</v>
          </cell>
          <cell r="C4553" t="str">
            <v>IASWD2412000265</v>
          </cell>
          <cell r="D4553">
            <v>45644</v>
          </cell>
          <cell r="E4553">
            <v>46702</v>
          </cell>
          <cell r="F4553" t="str">
            <v>37022</v>
          </cell>
          <cell r="G4553" t="str">
            <v>大聯大二</v>
          </cell>
          <cell r="H4553">
            <v>100000</v>
          </cell>
          <cell r="I4553">
            <v>2.7</v>
          </cell>
          <cell r="J4553">
            <v>46702</v>
          </cell>
          <cell r="K4553">
            <v>100</v>
          </cell>
          <cell r="L4553">
            <v>46682</v>
          </cell>
          <cell r="M4553">
            <v>-1095</v>
          </cell>
          <cell r="N4553">
            <v>98905</v>
          </cell>
        </row>
        <row r="4554">
          <cell r="A4554">
            <v>15364</v>
          </cell>
          <cell r="B4554">
            <v>4548</v>
          </cell>
          <cell r="C4554" t="str">
            <v>IASWD2412000266</v>
          </cell>
          <cell r="D4554">
            <v>45644</v>
          </cell>
          <cell r="E4554">
            <v>46246</v>
          </cell>
          <cell r="F4554" t="str">
            <v>15364</v>
          </cell>
          <cell r="G4554" t="str">
            <v>和大四</v>
          </cell>
          <cell r="H4554">
            <v>200000</v>
          </cell>
          <cell r="I4554">
            <v>4</v>
          </cell>
          <cell r="J4554">
            <v>46246</v>
          </cell>
          <cell r="K4554">
            <v>100</v>
          </cell>
          <cell r="L4554">
            <v>46226</v>
          </cell>
          <cell r="M4554">
            <v>-3244</v>
          </cell>
          <cell r="N4554">
            <v>196756</v>
          </cell>
        </row>
        <row r="4555">
          <cell r="A4555">
            <v>84781</v>
          </cell>
          <cell r="B4555">
            <v>4549</v>
          </cell>
          <cell r="C4555" t="str">
            <v>IASWD2412000267</v>
          </cell>
          <cell r="D4555">
            <v>45644</v>
          </cell>
          <cell r="E4555">
            <v>46583</v>
          </cell>
          <cell r="F4555" t="str">
            <v>84781</v>
          </cell>
          <cell r="G4555" t="str">
            <v>東哥遊艇一</v>
          </cell>
          <cell r="H4555">
            <v>500000</v>
          </cell>
          <cell r="I4555">
            <v>3.25</v>
          </cell>
          <cell r="J4555">
            <v>46583</v>
          </cell>
          <cell r="K4555">
            <v>100</v>
          </cell>
          <cell r="L4555">
            <v>46563</v>
          </cell>
          <cell r="M4555">
            <v>-6589</v>
          </cell>
          <cell r="N4555">
            <v>493411</v>
          </cell>
        </row>
        <row r="4556">
          <cell r="A4556">
            <v>34163</v>
          </cell>
          <cell r="B4556">
            <v>4550</v>
          </cell>
          <cell r="C4556" t="str">
            <v>IASWD2412000268</v>
          </cell>
          <cell r="D4556">
            <v>45644</v>
          </cell>
          <cell r="E4556">
            <v>46047</v>
          </cell>
          <cell r="F4556" t="str">
            <v>34163</v>
          </cell>
          <cell r="G4556" t="str">
            <v>融程電三</v>
          </cell>
          <cell r="H4556">
            <v>700000</v>
          </cell>
          <cell r="I4556">
            <v>3</v>
          </cell>
          <cell r="J4556">
            <v>46047</v>
          </cell>
          <cell r="K4556">
            <v>100.5</v>
          </cell>
          <cell r="L4556">
            <v>46028</v>
          </cell>
          <cell r="M4556">
            <v>-8515</v>
          </cell>
          <cell r="N4556">
            <v>691485</v>
          </cell>
        </row>
        <row r="4557">
          <cell r="A4557">
            <v>24361</v>
          </cell>
          <cell r="B4557">
            <v>4551</v>
          </cell>
          <cell r="C4557" t="str">
            <v>IASWD2412000269</v>
          </cell>
          <cell r="D4557">
            <v>45644</v>
          </cell>
          <cell r="E4557">
            <v>45911</v>
          </cell>
          <cell r="F4557" t="str">
            <v>24361</v>
          </cell>
          <cell r="G4557" t="str">
            <v>偉詮電一</v>
          </cell>
          <cell r="H4557">
            <v>100000</v>
          </cell>
          <cell r="I4557">
            <v>3.75</v>
          </cell>
          <cell r="J4557">
            <v>45911</v>
          </cell>
          <cell r="K4557">
            <v>100.50060000000001</v>
          </cell>
          <cell r="L4557">
            <v>45891</v>
          </cell>
          <cell r="M4557">
            <v>-1521</v>
          </cell>
          <cell r="N4557">
            <v>98479</v>
          </cell>
        </row>
        <row r="4558">
          <cell r="A4558">
            <v>35266</v>
          </cell>
          <cell r="B4558">
            <v>4552</v>
          </cell>
          <cell r="C4558" t="str">
            <v>IASWD2412000270</v>
          </cell>
          <cell r="D4558">
            <v>45644</v>
          </cell>
          <cell r="E4558">
            <v>46416</v>
          </cell>
          <cell r="F4558" t="str">
            <v>35266</v>
          </cell>
          <cell r="G4558" t="str">
            <v>凡甲六</v>
          </cell>
          <cell r="H4558">
            <v>100000</v>
          </cell>
          <cell r="I4558">
            <v>3.25</v>
          </cell>
          <cell r="J4558">
            <v>46416</v>
          </cell>
          <cell r="K4558">
            <v>100</v>
          </cell>
          <cell r="L4558">
            <v>46398</v>
          </cell>
          <cell r="M4558">
            <v>-1318</v>
          </cell>
          <cell r="N4558">
            <v>98682</v>
          </cell>
        </row>
        <row r="4559">
          <cell r="A4559">
            <v>11011</v>
          </cell>
          <cell r="B4559">
            <v>4553</v>
          </cell>
          <cell r="C4559" t="str">
            <v>IASWD2412000271</v>
          </cell>
          <cell r="D4559">
            <v>45644</v>
          </cell>
          <cell r="E4559">
            <v>46731</v>
          </cell>
          <cell r="F4559" t="str">
            <v>11011</v>
          </cell>
          <cell r="G4559" t="str">
            <v>台泥一永</v>
          </cell>
          <cell r="H4559">
            <v>200000</v>
          </cell>
          <cell r="I4559">
            <v>2.8</v>
          </cell>
          <cell r="J4559">
            <v>46731</v>
          </cell>
          <cell r="K4559">
            <v>100</v>
          </cell>
          <cell r="L4559">
            <v>46713</v>
          </cell>
          <cell r="M4559">
            <v>-2271</v>
          </cell>
          <cell r="N4559">
            <v>197729</v>
          </cell>
        </row>
        <row r="4560">
          <cell r="A4560">
            <v>68301</v>
          </cell>
          <cell r="B4560">
            <v>4554</v>
          </cell>
          <cell r="C4560" t="str">
            <v>IASWD2412000272</v>
          </cell>
          <cell r="D4560">
            <v>45644</v>
          </cell>
          <cell r="E4560">
            <v>46249</v>
          </cell>
          <cell r="F4560" t="str">
            <v>68301</v>
          </cell>
          <cell r="G4560" t="str">
            <v>汎銓一</v>
          </cell>
          <cell r="H4560">
            <v>100000</v>
          </cell>
          <cell r="I4560">
            <v>3</v>
          </cell>
          <cell r="J4560">
            <v>46249</v>
          </cell>
          <cell r="K4560">
            <v>100</v>
          </cell>
          <cell r="L4560">
            <v>46231</v>
          </cell>
          <cell r="M4560">
            <v>-1216</v>
          </cell>
          <cell r="N4560">
            <v>98784</v>
          </cell>
        </row>
        <row r="4561">
          <cell r="A4561">
            <v>50097</v>
          </cell>
          <cell r="B4561">
            <v>4555</v>
          </cell>
          <cell r="C4561" t="str">
            <v>IASWD2412000273</v>
          </cell>
          <cell r="D4561">
            <v>45644</v>
          </cell>
          <cell r="E4561">
            <v>46234</v>
          </cell>
          <cell r="F4561" t="str">
            <v>50097</v>
          </cell>
          <cell r="G4561" t="str">
            <v>榮剛七</v>
          </cell>
          <cell r="H4561">
            <v>100000</v>
          </cell>
          <cell r="I4561">
            <v>4.0999999999999996</v>
          </cell>
          <cell r="J4561">
            <v>46234</v>
          </cell>
          <cell r="K4561">
            <v>101.51</v>
          </cell>
          <cell r="L4561">
            <v>46216</v>
          </cell>
          <cell r="M4561">
            <v>-1662</v>
          </cell>
          <cell r="N4561">
            <v>98338</v>
          </cell>
        </row>
        <row r="4562">
          <cell r="A4562">
            <v>64145</v>
          </cell>
          <cell r="B4562">
            <v>4556</v>
          </cell>
          <cell r="C4562" t="str">
            <v>IASWD2412000274</v>
          </cell>
          <cell r="D4562">
            <v>45644</v>
          </cell>
          <cell r="E4562">
            <v>46250</v>
          </cell>
          <cell r="F4562" t="str">
            <v>64145</v>
          </cell>
          <cell r="G4562" t="str">
            <v>樺漢五</v>
          </cell>
          <cell r="H4562">
            <v>100000</v>
          </cell>
          <cell r="I4562">
            <v>3</v>
          </cell>
          <cell r="J4562">
            <v>46250</v>
          </cell>
          <cell r="K4562">
            <v>100</v>
          </cell>
          <cell r="L4562">
            <v>46231</v>
          </cell>
          <cell r="M4562">
            <v>-1216</v>
          </cell>
          <cell r="N4562">
            <v>98784</v>
          </cell>
        </row>
        <row r="4563">
          <cell r="A4563">
            <v>49793</v>
          </cell>
          <cell r="B4563">
            <v>4557</v>
          </cell>
          <cell r="C4563" t="str">
            <v>IASWD2412000275</v>
          </cell>
          <cell r="D4563">
            <v>45644</v>
          </cell>
          <cell r="E4563">
            <v>46365</v>
          </cell>
          <cell r="F4563" t="str">
            <v>49793</v>
          </cell>
          <cell r="G4563" t="str">
            <v>華星光三</v>
          </cell>
          <cell r="H4563">
            <v>100000</v>
          </cell>
          <cell r="I4563">
            <v>4.5</v>
          </cell>
          <cell r="J4563">
            <v>46365</v>
          </cell>
          <cell r="K4563">
            <v>101.0025</v>
          </cell>
          <cell r="L4563">
            <v>46345</v>
          </cell>
          <cell r="M4563">
            <v>-1825</v>
          </cell>
          <cell r="N4563">
            <v>98175</v>
          </cell>
        </row>
        <row r="4564">
          <cell r="A4564">
            <v>84781</v>
          </cell>
          <cell r="B4564">
            <v>4558</v>
          </cell>
          <cell r="C4564" t="str">
            <v>IASWD2412000276</v>
          </cell>
          <cell r="D4564">
            <v>45644</v>
          </cell>
          <cell r="E4564">
            <v>46583</v>
          </cell>
          <cell r="F4564" t="str">
            <v>84781</v>
          </cell>
          <cell r="G4564" t="str">
            <v>東哥遊艇一</v>
          </cell>
          <cell r="H4564">
            <v>100000</v>
          </cell>
          <cell r="I4564">
            <v>3.25</v>
          </cell>
          <cell r="J4564">
            <v>46583</v>
          </cell>
          <cell r="K4564">
            <v>100</v>
          </cell>
          <cell r="L4564">
            <v>46563</v>
          </cell>
          <cell r="M4564">
            <v>-1318</v>
          </cell>
          <cell r="N4564">
            <v>98682</v>
          </cell>
        </row>
        <row r="4565">
          <cell r="A4565">
            <v>50097</v>
          </cell>
          <cell r="B4565">
            <v>4559</v>
          </cell>
          <cell r="C4565" t="str">
            <v>IASWD2412000277</v>
          </cell>
          <cell r="D4565">
            <v>45644</v>
          </cell>
          <cell r="E4565">
            <v>46234</v>
          </cell>
          <cell r="F4565" t="str">
            <v>50097</v>
          </cell>
          <cell r="G4565" t="str">
            <v>榮剛七</v>
          </cell>
          <cell r="H4565">
            <v>100000</v>
          </cell>
          <cell r="I4565">
            <v>4.0999999999999996</v>
          </cell>
          <cell r="J4565">
            <v>46234</v>
          </cell>
          <cell r="K4565">
            <v>101.51</v>
          </cell>
          <cell r="L4565">
            <v>46216</v>
          </cell>
          <cell r="M4565">
            <v>-1662</v>
          </cell>
          <cell r="N4565">
            <v>98338</v>
          </cell>
        </row>
        <row r="4566">
          <cell r="A4566">
            <v>50097</v>
          </cell>
          <cell r="B4566">
            <v>4560</v>
          </cell>
          <cell r="C4566" t="str">
            <v>IASWD2412000278</v>
          </cell>
          <cell r="D4566">
            <v>45644</v>
          </cell>
          <cell r="E4566">
            <v>46234</v>
          </cell>
          <cell r="F4566" t="str">
            <v>50097</v>
          </cell>
          <cell r="G4566" t="str">
            <v>榮剛七</v>
          </cell>
          <cell r="H4566">
            <v>400000</v>
          </cell>
          <cell r="I4566">
            <v>4.0999999999999996</v>
          </cell>
          <cell r="J4566">
            <v>46234</v>
          </cell>
          <cell r="K4566">
            <v>101.51</v>
          </cell>
          <cell r="L4566">
            <v>46216</v>
          </cell>
          <cell r="M4566">
            <v>-6650</v>
          </cell>
          <cell r="N4566">
            <v>393350</v>
          </cell>
        </row>
        <row r="4567">
          <cell r="A4567">
            <v>34912</v>
          </cell>
          <cell r="B4567">
            <v>4561</v>
          </cell>
          <cell r="C4567" t="str">
            <v>IASWD2412000279</v>
          </cell>
          <cell r="D4567">
            <v>45644</v>
          </cell>
          <cell r="E4567">
            <v>46627</v>
          </cell>
          <cell r="F4567" t="str">
            <v>34912</v>
          </cell>
          <cell r="G4567" t="str">
            <v>昇達科二</v>
          </cell>
          <cell r="H4567">
            <v>100000</v>
          </cell>
          <cell r="I4567">
            <v>3</v>
          </cell>
          <cell r="J4567">
            <v>46627</v>
          </cell>
          <cell r="K4567">
            <v>100</v>
          </cell>
          <cell r="L4567">
            <v>46609</v>
          </cell>
          <cell r="M4567">
            <v>-1216</v>
          </cell>
          <cell r="N4567">
            <v>98784</v>
          </cell>
        </row>
        <row r="4568">
          <cell r="A4568">
            <v>64145</v>
          </cell>
          <cell r="B4568">
            <v>4562</v>
          </cell>
          <cell r="C4568" t="str">
            <v>IASWD2412000280</v>
          </cell>
          <cell r="D4568">
            <v>45644</v>
          </cell>
          <cell r="E4568">
            <v>46250</v>
          </cell>
          <cell r="F4568" t="str">
            <v>64145</v>
          </cell>
          <cell r="G4568" t="str">
            <v>樺漢五</v>
          </cell>
          <cell r="H4568">
            <v>200000</v>
          </cell>
          <cell r="I4568">
            <v>3</v>
          </cell>
          <cell r="J4568">
            <v>46250</v>
          </cell>
          <cell r="K4568">
            <v>100</v>
          </cell>
          <cell r="L4568">
            <v>46231</v>
          </cell>
          <cell r="M4568">
            <v>-2433</v>
          </cell>
          <cell r="N4568">
            <v>197567</v>
          </cell>
        </row>
        <row r="4569">
          <cell r="A4569">
            <v>50097</v>
          </cell>
          <cell r="B4569">
            <v>4563</v>
          </cell>
          <cell r="C4569" t="str">
            <v>IASWD2412000281</v>
          </cell>
          <cell r="D4569">
            <v>45644</v>
          </cell>
          <cell r="E4569">
            <v>46234</v>
          </cell>
          <cell r="F4569" t="str">
            <v>50097</v>
          </cell>
          <cell r="G4569" t="str">
            <v>榮剛七</v>
          </cell>
          <cell r="H4569">
            <v>100000</v>
          </cell>
          <cell r="I4569">
            <v>4.0999999999999996</v>
          </cell>
          <cell r="J4569">
            <v>46234</v>
          </cell>
          <cell r="K4569">
            <v>101.51</v>
          </cell>
          <cell r="L4569">
            <v>46216</v>
          </cell>
          <cell r="M4569">
            <v>-1662</v>
          </cell>
          <cell r="N4569">
            <v>98338</v>
          </cell>
        </row>
        <row r="4570">
          <cell r="A4570">
            <v>61965</v>
          </cell>
          <cell r="B4570">
            <v>4564</v>
          </cell>
          <cell r="C4570" t="str">
            <v>IASWD2412000282</v>
          </cell>
          <cell r="D4570">
            <v>45644</v>
          </cell>
          <cell r="E4570">
            <v>46200</v>
          </cell>
          <cell r="F4570" t="str">
            <v>61965</v>
          </cell>
          <cell r="G4570" t="str">
            <v>帆宣五</v>
          </cell>
          <cell r="H4570">
            <v>100000</v>
          </cell>
          <cell r="I4570">
            <v>3</v>
          </cell>
          <cell r="J4570">
            <v>46200</v>
          </cell>
          <cell r="K4570">
            <v>100</v>
          </cell>
          <cell r="L4570">
            <v>46182</v>
          </cell>
          <cell r="M4570">
            <v>-1216</v>
          </cell>
          <cell r="N4570">
            <v>98784</v>
          </cell>
        </row>
        <row r="4571">
          <cell r="A4571">
            <v>35266</v>
          </cell>
          <cell r="B4571">
            <v>4565</v>
          </cell>
          <cell r="C4571" t="str">
            <v>IASWD2412000283</v>
          </cell>
          <cell r="D4571">
            <v>45644</v>
          </cell>
          <cell r="E4571">
            <v>46416</v>
          </cell>
          <cell r="F4571" t="str">
            <v>35266</v>
          </cell>
          <cell r="G4571" t="str">
            <v>凡甲六</v>
          </cell>
          <cell r="H4571">
            <v>100000</v>
          </cell>
          <cell r="I4571">
            <v>3.25</v>
          </cell>
          <cell r="J4571">
            <v>46416</v>
          </cell>
          <cell r="K4571">
            <v>100</v>
          </cell>
          <cell r="L4571">
            <v>46398</v>
          </cell>
          <cell r="M4571">
            <v>-1318</v>
          </cell>
          <cell r="N4571">
            <v>98682</v>
          </cell>
        </row>
        <row r="4572">
          <cell r="A4572">
            <v>34163</v>
          </cell>
          <cell r="B4572">
            <v>4566</v>
          </cell>
          <cell r="C4572" t="str">
            <v>IASWD2412000284</v>
          </cell>
          <cell r="D4572">
            <v>45645</v>
          </cell>
          <cell r="E4572">
            <v>46047</v>
          </cell>
          <cell r="F4572" t="str">
            <v>34163</v>
          </cell>
          <cell r="G4572" t="str">
            <v>融程電三</v>
          </cell>
          <cell r="H4572">
            <v>3500000</v>
          </cell>
          <cell r="I4572">
            <v>3</v>
          </cell>
          <cell r="J4572">
            <v>46047</v>
          </cell>
          <cell r="K4572">
            <v>100.5</v>
          </cell>
          <cell r="L4572">
            <v>46028</v>
          </cell>
          <cell r="M4572">
            <v>-42288</v>
          </cell>
          <cell r="N4572">
            <v>3457712</v>
          </cell>
        </row>
        <row r="4573">
          <cell r="A4573">
            <v>31413</v>
          </cell>
          <cell r="B4573">
            <v>4567</v>
          </cell>
          <cell r="C4573" t="str">
            <v>IASWD2412000285</v>
          </cell>
          <cell r="D4573">
            <v>45645</v>
          </cell>
          <cell r="E4573">
            <v>46162</v>
          </cell>
          <cell r="F4573" t="str">
            <v>31413</v>
          </cell>
          <cell r="G4573" t="str">
            <v>晶宏三</v>
          </cell>
          <cell r="H4573">
            <v>200000</v>
          </cell>
          <cell r="I4573">
            <v>4</v>
          </cell>
          <cell r="J4573">
            <v>46162</v>
          </cell>
          <cell r="K4573">
            <v>100</v>
          </cell>
          <cell r="L4573">
            <v>46142</v>
          </cell>
          <cell r="M4573">
            <v>-3222</v>
          </cell>
          <cell r="N4573">
            <v>196778</v>
          </cell>
        </row>
        <row r="4574">
          <cell r="A4574">
            <v>33121</v>
          </cell>
          <cell r="B4574">
            <v>4568</v>
          </cell>
          <cell r="C4574" t="str">
            <v>IASWD2412000286</v>
          </cell>
          <cell r="D4574">
            <v>45645</v>
          </cell>
          <cell r="E4574">
            <v>46563</v>
          </cell>
          <cell r="F4574" t="str">
            <v>33121</v>
          </cell>
          <cell r="G4574" t="str">
            <v>弘憶股一</v>
          </cell>
          <cell r="H4574">
            <v>400000</v>
          </cell>
          <cell r="I4574">
            <v>3.35</v>
          </cell>
          <cell r="J4574">
            <v>46563</v>
          </cell>
          <cell r="K4574">
            <v>100</v>
          </cell>
          <cell r="L4574">
            <v>46545</v>
          </cell>
          <cell r="M4574">
            <v>-5397</v>
          </cell>
          <cell r="N4574">
            <v>394603</v>
          </cell>
        </row>
        <row r="4575">
          <cell r="A4575">
            <v>61973</v>
          </cell>
          <cell r="B4575">
            <v>4569</v>
          </cell>
          <cell r="C4575" t="str">
            <v>IASWD2412000287</v>
          </cell>
          <cell r="D4575">
            <v>45645</v>
          </cell>
          <cell r="E4575">
            <v>46675</v>
          </cell>
          <cell r="F4575" t="str">
            <v>61973</v>
          </cell>
          <cell r="G4575" t="str">
            <v>佳必琪三</v>
          </cell>
          <cell r="H4575">
            <v>100000</v>
          </cell>
          <cell r="I4575">
            <v>3</v>
          </cell>
          <cell r="J4575">
            <v>46675</v>
          </cell>
          <cell r="K4575">
            <v>100</v>
          </cell>
          <cell r="L4575">
            <v>46657</v>
          </cell>
          <cell r="M4575">
            <v>-1208</v>
          </cell>
          <cell r="N4575">
            <v>98792</v>
          </cell>
        </row>
        <row r="4576">
          <cell r="A4576">
            <v>23682</v>
          </cell>
          <cell r="B4576">
            <v>4570</v>
          </cell>
          <cell r="C4576" t="str">
            <v>IASWD2412000290</v>
          </cell>
          <cell r="D4576">
            <v>45645</v>
          </cell>
          <cell r="E4576">
            <v>46361</v>
          </cell>
          <cell r="F4576" t="str">
            <v>23682</v>
          </cell>
          <cell r="G4576" t="str">
            <v>金像電二</v>
          </cell>
          <cell r="H4576">
            <v>100000</v>
          </cell>
          <cell r="I4576">
            <v>2.6</v>
          </cell>
          <cell r="J4576">
            <v>46361</v>
          </cell>
          <cell r="K4576">
            <v>100</v>
          </cell>
          <cell r="L4576">
            <v>46343</v>
          </cell>
          <cell r="M4576">
            <v>-1047</v>
          </cell>
          <cell r="N4576">
            <v>98953</v>
          </cell>
        </row>
        <row r="4577">
          <cell r="A4577">
            <v>21043</v>
          </cell>
          <cell r="B4577">
            <v>4571</v>
          </cell>
          <cell r="C4577" t="str">
            <v>IASWD2412000291</v>
          </cell>
          <cell r="D4577">
            <v>45645</v>
          </cell>
          <cell r="E4577">
            <v>46308</v>
          </cell>
          <cell r="F4577" t="str">
            <v>21043</v>
          </cell>
          <cell r="G4577" t="str">
            <v>國際中橡三</v>
          </cell>
          <cell r="H4577">
            <v>100000</v>
          </cell>
          <cell r="I4577">
            <v>2.7</v>
          </cell>
          <cell r="J4577">
            <v>46308</v>
          </cell>
          <cell r="K4577">
            <v>100.9</v>
          </cell>
          <cell r="L4577">
            <v>46288</v>
          </cell>
          <cell r="M4577">
            <v>-1087</v>
          </cell>
          <cell r="N4577">
            <v>98913</v>
          </cell>
        </row>
        <row r="4578">
          <cell r="A4578">
            <v>49793</v>
          </cell>
          <cell r="B4578">
            <v>4572</v>
          </cell>
          <cell r="C4578" t="str">
            <v>IASWD2412000292</v>
          </cell>
          <cell r="D4578">
            <v>45645</v>
          </cell>
          <cell r="E4578">
            <v>46365</v>
          </cell>
          <cell r="F4578" t="str">
            <v>49793</v>
          </cell>
          <cell r="G4578" t="str">
            <v>華星光三</v>
          </cell>
          <cell r="H4578">
            <v>100000</v>
          </cell>
          <cell r="I4578">
            <v>4.5</v>
          </cell>
          <cell r="J4578">
            <v>46365</v>
          </cell>
          <cell r="K4578">
            <v>101.0025</v>
          </cell>
          <cell r="L4578">
            <v>46345</v>
          </cell>
          <cell r="M4578">
            <v>-1812</v>
          </cell>
          <cell r="N4578">
            <v>98188</v>
          </cell>
        </row>
        <row r="4579">
          <cell r="A4579">
            <v>37023</v>
          </cell>
          <cell r="B4579">
            <v>4573</v>
          </cell>
          <cell r="C4579" t="str">
            <v>IASWD2412000293</v>
          </cell>
          <cell r="D4579">
            <v>45645</v>
          </cell>
          <cell r="E4579">
            <v>46712</v>
          </cell>
          <cell r="F4579" t="str">
            <v>37023</v>
          </cell>
          <cell r="G4579" t="str">
            <v>大聯大三</v>
          </cell>
          <cell r="H4579">
            <v>1000000</v>
          </cell>
          <cell r="I4579">
            <v>2.7</v>
          </cell>
          <cell r="J4579">
            <v>46712</v>
          </cell>
          <cell r="K4579">
            <v>100</v>
          </cell>
          <cell r="L4579">
            <v>46693</v>
          </cell>
          <cell r="M4579">
            <v>-10874</v>
          </cell>
          <cell r="N4579">
            <v>989126</v>
          </cell>
        </row>
        <row r="4580">
          <cell r="A4580">
            <v>84781</v>
          </cell>
          <cell r="B4580">
            <v>4574</v>
          </cell>
          <cell r="C4580" t="str">
            <v>IASWD2412000294</v>
          </cell>
          <cell r="D4580">
            <v>45645</v>
          </cell>
          <cell r="E4580">
            <v>46583</v>
          </cell>
          <cell r="F4580" t="str">
            <v>84781</v>
          </cell>
          <cell r="G4580" t="str">
            <v>東哥遊艇一</v>
          </cell>
          <cell r="H4580">
            <v>500000</v>
          </cell>
          <cell r="I4580">
            <v>3.25</v>
          </cell>
          <cell r="J4580">
            <v>46583</v>
          </cell>
          <cell r="K4580">
            <v>100</v>
          </cell>
          <cell r="L4580">
            <v>46563</v>
          </cell>
          <cell r="M4580">
            <v>-6545</v>
          </cell>
          <cell r="N4580">
            <v>493455</v>
          </cell>
        </row>
        <row r="4581">
          <cell r="A4581">
            <v>24361</v>
          </cell>
          <cell r="B4581">
            <v>4575</v>
          </cell>
          <cell r="C4581" t="str">
            <v>IASWD2412000295</v>
          </cell>
          <cell r="D4581">
            <v>45645</v>
          </cell>
          <cell r="E4581">
            <v>45911</v>
          </cell>
          <cell r="F4581" t="str">
            <v>24361</v>
          </cell>
          <cell r="G4581" t="str">
            <v>偉詮電一</v>
          </cell>
          <cell r="H4581">
            <v>100000</v>
          </cell>
          <cell r="I4581">
            <v>3.75</v>
          </cell>
          <cell r="J4581">
            <v>45911</v>
          </cell>
          <cell r="K4581">
            <v>100.50060000000001</v>
          </cell>
          <cell r="L4581">
            <v>45891</v>
          </cell>
          <cell r="M4581">
            <v>-1510</v>
          </cell>
          <cell r="N4581">
            <v>98490</v>
          </cell>
        </row>
        <row r="4582">
          <cell r="A4582">
            <v>68301</v>
          </cell>
          <cell r="B4582">
            <v>4576</v>
          </cell>
          <cell r="C4582" t="str">
            <v>IASWD2412000296</v>
          </cell>
          <cell r="D4582">
            <v>45645</v>
          </cell>
          <cell r="E4582">
            <v>46249</v>
          </cell>
          <cell r="F4582" t="str">
            <v>68301</v>
          </cell>
          <cell r="G4582" t="str">
            <v>汎銓一</v>
          </cell>
          <cell r="H4582">
            <v>100000</v>
          </cell>
          <cell r="I4582">
            <v>3</v>
          </cell>
          <cell r="J4582">
            <v>46249</v>
          </cell>
          <cell r="K4582">
            <v>100</v>
          </cell>
          <cell r="L4582">
            <v>46231</v>
          </cell>
          <cell r="M4582">
            <v>-1208</v>
          </cell>
          <cell r="N4582">
            <v>98792</v>
          </cell>
        </row>
        <row r="4583">
          <cell r="A4583">
            <v>31413</v>
          </cell>
          <cell r="B4583">
            <v>4577</v>
          </cell>
          <cell r="C4583" t="str">
            <v>IASWD2412000297</v>
          </cell>
          <cell r="D4583">
            <v>45645</v>
          </cell>
          <cell r="E4583">
            <v>46162</v>
          </cell>
          <cell r="F4583" t="str">
            <v>31413</v>
          </cell>
          <cell r="G4583" t="str">
            <v>晶宏三</v>
          </cell>
          <cell r="H4583">
            <v>100000</v>
          </cell>
          <cell r="I4583">
            <v>4</v>
          </cell>
          <cell r="J4583">
            <v>46162</v>
          </cell>
          <cell r="K4583">
            <v>100</v>
          </cell>
          <cell r="L4583">
            <v>46142</v>
          </cell>
          <cell r="M4583">
            <v>-1611</v>
          </cell>
          <cell r="N4583">
            <v>98389</v>
          </cell>
        </row>
        <row r="4584">
          <cell r="A4584">
            <v>33121</v>
          </cell>
          <cell r="B4584">
            <v>4578</v>
          </cell>
          <cell r="C4584" t="str">
            <v>IASWD2412000298</v>
          </cell>
          <cell r="D4584">
            <v>45645</v>
          </cell>
          <cell r="E4584">
            <v>46563</v>
          </cell>
          <cell r="F4584" t="str">
            <v>33121</v>
          </cell>
          <cell r="G4584" t="str">
            <v>弘憶股一</v>
          </cell>
          <cell r="H4584">
            <v>100000</v>
          </cell>
          <cell r="I4584">
            <v>3.35</v>
          </cell>
          <cell r="J4584">
            <v>46563</v>
          </cell>
          <cell r="K4584">
            <v>100</v>
          </cell>
          <cell r="L4584">
            <v>46545</v>
          </cell>
          <cell r="M4584">
            <v>-1349</v>
          </cell>
          <cell r="N4584">
            <v>98651</v>
          </cell>
        </row>
        <row r="4585">
          <cell r="A4585">
            <v>11011</v>
          </cell>
          <cell r="B4585">
            <v>4579</v>
          </cell>
          <cell r="C4585" t="str">
            <v>IASWD2412000299</v>
          </cell>
          <cell r="D4585">
            <v>45645</v>
          </cell>
          <cell r="E4585">
            <v>46731</v>
          </cell>
          <cell r="F4585" t="str">
            <v>11011</v>
          </cell>
          <cell r="G4585" t="str">
            <v>台泥一永</v>
          </cell>
          <cell r="H4585">
            <v>100000</v>
          </cell>
          <cell r="I4585">
            <v>2.8</v>
          </cell>
          <cell r="J4585">
            <v>46731</v>
          </cell>
          <cell r="K4585">
            <v>100</v>
          </cell>
          <cell r="L4585">
            <v>46713</v>
          </cell>
          <cell r="M4585">
            <v>-1128</v>
          </cell>
          <cell r="N4585">
            <v>98872</v>
          </cell>
        </row>
        <row r="4586">
          <cell r="A4586">
            <v>84781</v>
          </cell>
          <cell r="B4586">
            <v>4580</v>
          </cell>
          <cell r="C4586" t="str">
            <v>IASWD2412000300</v>
          </cell>
          <cell r="D4586">
            <v>45645</v>
          </cell>
          <cell r="E4586">
            <v>46583</v>
          </cell>
          <cell r="F4586" t="str">
            <v>84781</v>
          </cell>
          <cell r="G4586" t="str">
            <v>東哥遊艇一</v>
          </cell>
          <cell r="H4586">
            <v>400000</v>
          </cell>
          <cell r="I4586">
            <v>3.25</v>
          </cell>
          <cell r="J4586">
            <v>46583</v>
          </cell>
          <cell r="K4586">
            <v>100</v>
          </cell>
          <cell r="L4586">
            <v>46563</v>
          </cell>
          <cell r="M4586">
            <v>-5236</v>
          </cell>
          <cell r="N4586">
            <v>394764</v>
          </cell>
        </row>
        <row r="4587">
          <cell r="A4587">
            <v>21043</v>
          </cell>
          <cell r="B4587">
            <v>4581</v>
          </cell>
          <cell r="C4587" t="str">
            <v>IASWD2412000301</v>
          </cell>
          <cell r="D4587">
            <v>45645</v>
          </cell>
          <cell r="E4587">
            <v>46308</v>
          </cell>
          <cell r="F4587" t="str">
            <v>21043</v>
          </cell>
          <cell r="G4587" t="str">
            <v>國際中橡三</v>
          </cell>
          <cell r="H4587">
            <v>100000</v>
          </cell>
          <cell r="I4587">
            <v>2.7</v>
          </cell>
          <cell r="J4587">
            <v>46308</v>
          </cell>
          <cell r="K4587">
            <v>100.9</v>
          </cell>
          <cell r="L4587">
            <v>46288</v>
          </cell>
          <cell r="M4587">
            <v>-1087</v>
          </cell>
          <cell r="N4587">
            <v>98913</v>
          </cell>
        </row>
        <row r="4588">
          <cell r="A4588">
            <v>37023</v>
          </cell>
          <cell r="B4588">
            <v>4582</v>
          </cell>
          <cell r="C4588" t="str">
            <v>IASWD2412000302</v>
          </cell>
          <cell r="D4588">
            <v>45645</v>
          </cell>
          <cell r="E4588">
            <v>46712</v>
          </cell>
          <cell r="F4588" t="str">
            <v>37023</v>
          </cell>
          <cell r="G4588" t="str">
            <v>大聯大三</v>
          </cell>
          <cell r="H4588">
            <v>100000</v>
          </cell>
          <cell r="I4588">
            <v>2.7</v>
          </cell>
          <cell r="J4588">
            <v>46712</v>
          </cell>
          <cell r="K4588">
            <v>100</v>
          </cell>
          <cell r="L4588">
            <v>46693</v>
          </cell>
          <cell r="M4588">
            <v>-1087</v>
          </cell>
          <cell r="N4588">
            <v>98913</v>
          </cell>
        </row>
        <row r="4589">
          <cell r="A4589">
            <v>34793</v>
          </cell>
          <cell r="B4589">
            <v>4583</v>
          </cell>
          <cell r="C4589" t="str">
            <v>IASWD2412000303</v>
          </cell>
          <cell r="D4589">
            <v>45645</v>
          </cell>
          <cell r="E4589">
            <v>46409</v>
          </cell>
          <cell r="F4589" t="str">
            <v>34793</v>
          </cell>
          <cell r="G4589" t="str">
            <v>安勤三</v>
          </cell>
          <cell r="H4589">
            <v>700000</v>
          </cell>
          <cell r="I4589">
            <v>3</v>
          </cell>
          <cell r="J4589">
            <v>46409</v>
          </cell>
          <cell r="K4589">
            <v>100</v>
          </cell>
          <cell r="L4589">
            <v>46391</v>
          </cell>
          <cell r="M4589">
            <v>-8458</v>
          </cell>
          <cell r="N4589">
            <v>691542</v>
          </cell>
        </row>
        <row r="4590">
          <cell r="A4590">
            <v>35832</v>
          </cell>
          <cell r="B4590">
            <v>4584</v>
          </cell>
          <cell r="C4590" t="str">
            <v>IASWD2412000304</v>
          </cell>
          <cell r="D4590">
            <v>45645</v>
          </cell>
          <cell r="E4590">
            <v>46192</v>
          </cell>
          <cell r="F4590" t="str">
            <v>35832</v>
          </cell>
          <cell r="G4590" t="str">
            <v>辛耘二</v>
          </cell>
          <cell r="H4590">
            <v>200000</v>
          </cell>
          <cell r="I4590">
            <v>3</v>
          </cell>
          <cell r="J4590">
            <v>46192</v>
          </cell>
          <cell r="K4590">
            <v>100</v>
          </cell>
          <cell r="L4590">
            <v>46174</v>
          </cell>
          <cell r="M4590">
            <v>-2416</v>
          </cell>
          <cell r="N4590">
            <v>197584</v>
          </cell>
        </row>
        <row r="4591">
          <cell r="A4591">
            <v>15364</v>
          </cell>
          <cell r="B4591">
            <v>4585</v>
          </cell>
          <cell r="C4591" t="str">
            <v>IASWD2412000305</v>
          </cell>
          <cell r="D4591">
            <v>45645</v>
          </cell>
          <cell r="E4591">
            <v>46246</v>
          </cell>
          <cell r="F4591" t="str">
            <v>15364</v>
          </cell>
          <cell r="G4591" t="str">
            <v>和大四</v>
          </cell>
          <cell r="H4591">
            <v>100000</v>
          </cell>
          <cell r="I4591">
            <v>4</v>
          </cell>
          <cell r="J4591">
            <v>46246</v>
          </cell>
          <cell r="K4591">
            <v>100</v>
          </cell>
          <cell r="L4591">
            <v>46226</v>
          </cell>
          <cell r="M4591">
            <v>-1611</v>
          </cell>
          <cell r="N4591">
            <v>98389</v>
          </cell>
        </row>
        <row r="4592">
          <cell r="A4592">
            <v>33121</v>
          </cell>
          <cell r="B4592">
            <v>4586</v>
          </cell>
          <cell r="C4592" t="str">
            <v>IASWD2412000306</v>
          </cell>
          <cell r="D4592">
            <v>45645</v>
          </cell>
          <cell r="E4592">
            <v>46563</v>
          </cell>
          <cell r="F4592" t="str">
            <v>33121</v>
          </cell>
          <cell r="G4592" t="str">
            <v>弘憶股一</v>
          </cell>
          <cell r="H4592">
            <v>200000</v>
          </cell>
          <cell r="I4592">
            <v>3.35</v>
          </cell>
          <cell r="J4592">
            <v>46563</v>
          </cell>
          <cell r="K4592">
            <v>100</v>
          </cell>
          <cell r="L4592">
            <v>46545</v>
          </cell>
          <cell r="M4592">
            <v>-2698</v>
          </cell>
          <cell r="N4592">
            <v>197302</v>
          </cell>
        </row>
        <row r="4593">
          <cell r="A4593">
            <v>11011</v>
          </cell>
          <cell r="B4593">
            <v>4587</v>
          </cell>
          <cell r="C4593" t="str">
            <v>IASWD2412000308</v>
          </cell>
          <cell r="D4593">
            <v>45645</v>
          </cell>
          <cell r="E4593">
            <v>46731</v>
          </cell>
          <cell r="F4593" t="str">
            <v>11011</v>
          </cell>
          <cell r="G4593" t="str">
            <v>台泥一永</v>
          </cell>
          <cell r="H4593">
            <v>2500000</v>
          </cell>
          <cell r="I4593">
            <v>2.8</v>
          </cell>
          <cell r="J4593">
            <v>46731</v>
          </cell>
          <cell r="K4593">
            <v>100</v>
          </cell>
          <cell r="L4593">
            <v>46713</v>
          </cell>
          <cell r="M4593">
            <v>-28192</v>
          </cell>
          <cell r="N4593">
            <v>2471808</v>
          </cell>
        </row>
        <row r="4594">
          <cell r="A4594">
            <v>15952</v>
          </cell>
          <cell r="B4594">
            <v>4588</v>
          </cell>
          <cell r="C4594" t="str">
            <v>IASWD2412000309</v>
          </cell>
          <cell r="D4594">
            <v>45646</v>
          </cell>
          <cell r="E4594">
            <v>46632</v>
          </cell>
          <cell r="F4594" t="str">
            <v>15952</v>
          </cell>
          <cell r="G4594" t="str">
            <v>川寶二</v>
          </cell>
          <cell r="H4594">
            <v>100000</v>
          </cell>
          <cell r="I4594">
            <v>4.25</v>
          </cell>
          <cell r="J4594">
            <v>46632</v>
          </cell>
          <cell r="K4594">
            <v>101.51</v>
          </cell>
          <cell r="L4594">
            <v>46612</v>
          </cell>
          <cell r="M4594">
            <v>-1700</v>
          </cell>
          <cell r="N4594">
            <v>98300</v>
          </cell>
        </row>
        <row r="4595">
          <cell r="A4595">
            <v>11011</v>
          </cell>
          <cell r="B4595">
            <v>4589</v>
          </cell>
          <cell r="C4595" t="str">
            <v>IASWD2412000311</v>
          </cell>
          <cell r="D4595">
            <v>45646</v>
          </cell>
          <cell r="E4595">
            <v>46731</v>
          </cell>
          <cell r="F4595" t="str">
            <v>11011</v>
          </cell>
          <cell r="G4595" t="str">
            <v>台泥一永</v>
          </cell>
          <cell r="H4595">
            <v>1000000</v>
          </cell>
          <cell r="I4595">
            <v>2.8</v>
          </cell>
          <cell r="J4595">
            <v>46731</v>
          </cell>
          <cell r="K4595">
            <v>100</v>
          </cell>
          <cell r="L4595">
            <v>46713</v>
          </cell>
          <cell r="M4595">
            <v>-11200</v>
          </cell>
          <cell r="N4595">
            <v>988800</v>
          </cell>
        </row>
        <row r="4596">
          <cell r="A4596">
            <v>64145</v>
          </cell>
          <cell r="B4596">
            <v>4590</v>
          </cell>
          <cell r="C4596" t="str">
            <v>IASWD2412000312</v>
          </cell>
          <cell r="D4596">
            <v>45646</v>
          </cell>
          <cell r="E4596">
            <v>46250</v>
          </cell>
          <cell r="F4596" t="str">
            <v>64145</v>
          </cell>
          <cell r="G4596" t="str">
            <v>樺漢五</v>
          </cell>
          <cell r="H4596">
            <v>300000</v>
          </cell>
          <cell r="I4596">
            <v>3</v>
          </cell>
          <cell r="J4596">
            <v>46250</v>
          </cell>
          <cell r="K4596">
            <v>100</v>
          </cell>
          <cell r="L4596">
            <v>46231</v>
          </cell>
          <cell r="M4596">
            <v>-3600</v>
          </cell>
          <cell r="N4596">
            <v>296400</v>
          </cell>
        </row>
        <row r="4597">
          <cell r="A4597">
            <v>23682</v>
          </cell>
          <cell r="B4597">
            <v>4591</v>
          </cell>
          <cell r="C4597" t="str">
            <v>IASWD2412000313</v>
          </cell>
          <cell r="D4597">
            <v>45646</v>
          </cell>
          <cell r="E4597">
            <v>46361</v>
          </cell>
          <cell r="F4597" t="str">
            <v>23682</v>
          </cell>
          <cell r="G4597" t="str">
            <v>金像電二</v>
          </cell>
          <cell r="H4597">
            <v>100000</v>
          </cell>
          <cell r="I4597">
            <v>2.6</v>
          </cell>
          <cell r="J4597">
            <v>46361</v>
          </cell>
          <cell r="K4597">
            <v>100</v>
          </cell>
          <cell r="L4597">
            <v>46343</v>
          </cell>
          <cell r="M4597">
            <v>-1040</v>
          </cell>
          <cell r="N4597">
            <v>98960</v>
          </cell>
        </row>
        <row r="4598">
          <cell r="A4598">
            <v>15364</v>
          </cell>
          <cell r="B4598">
            <v>4592</v>
          </cell>
          <cell r="C4598" t="str">
            <v>IASWD2412000314</v>
          </cell>
          <cell r="D4598">
            <v>45646</v>
          </cell>
          <cell r="E4598">
            <v>46246</v>
          </cell>
          <cell r="F4598" t="str">
            <v>15364</v>
          </cell>
          <cell r="G4598" t="str">
            <v>和大四</v>
          </cell>
          <cell r="H4598">
            <v>100000</v>
          </cell>
          <cell r="I4598">
            <v>4</v>
          </cell>
          <cell r="J4598">
            <v>46246</v>
          </cell>
          <cell r="K4598">
            <v>100</v>
          </cell>
          <cell r="L4598">
            <v>46226</v>
          </cell>
          <cell r="M4598">
            <v>-1600</v>
          </cell>
          <cell r="N4598">
            <v>98400</v>
          </cell>
        </row>
        <row r="4599">
          <cell r="A4599">
            <v>22283</v>
          </cell>
          <cell r="B4599">
            <v>4593</v>
          </cell>
          <cell r="C4599" t="str">
            <v>IASWD2412000316</v>
          </cell>
          <cell r="D4599">
            <v>45646</v>
          </cell>
          <cell r="E4599">
            <v>46628</v>
          </cell>
          <cell r="F4599" t="str">
            <v>22283</v>
          </cell>
          <cell r="G4599" t="str">
            <v>劍麟三</v>
          </cell>
          <cell r="H4599">
            <v>100000</v>
          </cell>
          <cell r="I4599">
            <v>3</v>
          </cell>
          <cell r="J4599">
            <v>46628</v>
          </cell>
          <cell r="K4599">
            <v>100</v>
          </cell>
          <cell r="L4599">
            <v>46609</v>
          </cell>
          <cell r="M4599">
            <v>-1200</v>
          </cell>
          <cell r="N4599">
            <v>98800</v>
          </cell>
        </row>
        <row r="4600">
          <cell r="A4600">
            <v>15364</v>
          </cell>
          <cell r="B4600">
            <v>4594</v>
          </cell>
          <cell r="C4600" t="str">
            <v>IASWD2412000317</v>
          </cell>
          <cell r="D4600">
            <v>45646</v>
          </cell>
          <cell r="E4600">
            <v>46246</v>
          </cell>
          <cell r="F4600" t="str">
            <v>15364</v>
          </cell>
          <cell r="G4600" t="str">
            <v>和大四</v>
          </cell>
          <cell r="H4600">
            <v>100000</v>
          </cell>
          <cell r="I4600">
            <v>4</v>
          </cell>
          <cell r="J4600">
            <v>46246</v>
          </cell>
          <cell r="K4600">
            <v>100</v>
          </cell>
          <cell r="L4600">
            <v>46226</v>
          </cell>
          <cell r="M4600">
            <v>-1600</v>
          </cell>
          <cell r="N4600">
            <v>98400</v>
          </cell>
        </row>
        <row r="4601">
          <cell r="A4601">
            <v>50097</v>
          </cell>
          <cell r="B4601">
            <v>4595</v>
          </cell>
          <cell r="C4601" t="str">
            <v>IASWD2412000318</v>
          </cell>
          <cell r="D4601">
            <v>45646</v>
          </cell>
          <cell r="E4601">
            <v>46234</v>
          </cell>
          <cell r="F4601" t="str">
            <v>50097</v>
          </cell>
          <cell r="G4601" t="str">
            <v>榮剛七</v>
          </cell>
          <cell r="H4601">
            <v>100000</v>
          </cell>
          <cell r="I4601">
            <v>4.0999999999999996</v>
          </cell>
          <cell r="J4601">
            <v>46234</v>
          </cell>
          <cell r="K4601">
            <v>101.51</v>
          </cell>
          <cell r="L4601">
            <v>46216</v>
          </cell>
          <cell r="M4601">
            <v>-1640</v>
          </cell>
          <cell r="N4601">
            <v>98360</v>
          </cell>
        </row>
        <row r="4602">
          <cell r="A4602">
            <v>37023</v>
          </cell>
          <cell r="B4602">
            <v>4596</v>
          </cell>
          <cell r="C4602" t="str">
            <v>IASWD2412000319</v>
          </cell>
          <cell r="D4602">
            <v>45646</v>
          </cell>
          <cell r="E4602">
            <v>46712</v>
          </cell>
          <cell r="F4602" t="str">
            <v>37023</v>
          </cell>
          <cell r="G4602" t="str">
            <v>大聯大三</v>
          </cell>
          <cell r="H4602">
            <v>1000000</v>
          </cell>
          <cell r="I4602">
            <v>2.7</v>
          </cell>
          <cell r="J4602">
            <v>46712</v>
          </cell>
          <cell r="K4602">
            <v>100</v>
          </cell>
          <cell r="L4602">
            <v>46693</v>
          </cell>
          <cell r="M4602">
            <v>-10800</v>
          </cell>
          <cell r="N4602">
            <v>989200</v>
          </cell>
        </row>
        <row r="4603">
          <cell r="A4603">
            <v>35266</v>
          </cell>
          <cell r="B4603">
            <v>4597</v>
          </cell>
          <cell r="C4603" t="str">
            <v>IASWD2412000320</v>
          </cell>
          <cell r="D4603">
            <v>45646</v>
          </cell>
          <cell r="E4603">
            <v>46416</v>
          </cell>
          <cell r="F4603" t="str">
            <v>35266</v>
          </cell>
          <cell r="G4603" t="str">
            <v>凡甲六</v>
          </cell>
          <cell r="H4603">
            <v>100000</v>
          </cell>
          <cell r="I4603">
            <v>3.25</v>
          </cell>
          <cell r="J4603">
            <v>46416</v>
          </cell>
          <cell r="K4603">
            <v>100</v>
          </cell>
          <cell r="L4603">
            <v>46398</v>
          </cell>
          <cell r="M4603">
            <v>-1300</v>
          </cell>
          <cell r="N4603">
            <v>98700</v>
          </cell>
        </row>
        <row r="4604">
          <cell r="A4604">
            <v>34912</v>
          </cell>
          <cell r="B4604">
            <v>4598</v>
          </cell>
          <cell r="C4604" t="str">
            <v>IASWD2412000321</v>
          </cell>
          <cell r="D4604">
            <v>45646</v>
          </cell>
          <cell r="E4604">
            <v>46627</v>
          </cell>
          <cell r="F4604" t="str">
            <v>34912</v>
          </cell>
          <cell r="G4604" t="str">
            <v>昇達科二</v>
          </cell>
          <cell r="H4604">
            <v>100000</v>
          </cell>
          <cell r="I4604">
            <v>3</v>
          </cell>
          <cell r="J4604">
            <v>46627</v>
          </cell>
          <cell r="K4604">
            <v>100</v>
          </cell>
          <cell r="L4604">
            <v>46609</v>
          </cell>
          <cell r="M4604">
            <v>-1200</v>
          </cell>
          <cell r="N4604">
            <v>98800</v>
          </cell>
        </row>
        <row r="4605">
          <cell r="A4605">
            <v>34163</v>
          </cell>
          <cell r="B4605">
            <v>4599</v>
          </cell>
          <cell r="C4605" t="str">
            <v>IASWD2412000322</v>
          </cell>
          <cell r="D4605">
            <v>45646</v>
          </cell>
          <cell r="E4605">
            <v>46047</v>
          </cell>
          <cell r="F4605" t="str">
            <v>34163</v>
          </cell>
          <cell r="G4605" t="str">
            <v>融程電三</v>
          </cell>
          <cell r="H4605">
            <v>2000000</v>
          </cell>
          <cell r="I4605">
            <v>3</v>
          </cell>
          <cell r="J4605">
            <v>46047</v>
          </cell>
          <cell r="K4605">
            <v>100.5</v>
          </cell>
          <cell r="L4605">
            <v>46028</v>
          </cell>
          <cell r="M4605">
            <v>-24000</v>
          </cell>
          <cell r="N4605">
            <v>1976000</v>
          </cell>
        </row>
        <row r="4606">
          <cell r="A4606">
            <v>15364</v>
          </cell>
          <cell r="B4606">
            <v>4600</v>
          </cell>
          <cell r="C4606" t="str">
            <v>IASWD2412000323</v>
          </cell>
          <cell r="D4606">
            <v>45646</v>
          </cell>
          <cell r="E4606">
            <v>46246</v>
          </cell>
          <cell r="F4606" t="str">
            <v>15364</v>
          </cell>
          <cell r="G4606" t="str">
            <v>和大四</v>
          </cell>
          <cell r="H4606">
            <v>200000</v>
          </cell>
          <cell r="I4606">
            <v>4</v>
          </cell>
          <cell r="J4606">
            <v>46246</v>
          </cell>
          <cell r="K4606">
            <v>100</v>
          </cell>
          <cell r="L4606">
            <v>46226</v>
          </cell>
          <cell r="M4606">
            <v>-3200</v>
          </cell>
          <cell r="N4606">
            <v>196800</v>
          </cell>
        </row>
        <row r="4607">
          <cell r="A4607">
            <v>15364</v>
          </cell>
          <cell r="B4607">
            <v>4601</v>
          </cell>
          <cell r="C4607" t="str">
            <v>IASWD2412000324</v>
          </cell>
          <cell r="D4607">
            <v>45646</v>
          </cell>
          <cell r="E4607">
            <v>46246</v>
          </cell>
          <cell r="F4607" t="str">
            <v>15364</v>
          </cell>
          <cell r="G4607" t="str">
            <v>和大四</v>
          </cell>
          <cell r="H4607">
            <v>100000</v>
          </cell>
          <cell r="I4607">
            <v>4</v>
          </cell>
          <cell r="J4607">
            <v>46246</v>
          </cell>
          <cell r="K4607">
            <v>100</v>
          </cell>
          <cell r="L4607">
            <v>46226</v>
          </cell>
          <cell r="M4607">
            <v>-1600</v>
          </cell>
          <cell r="N4607">
            <v>98400</v>
          </cell>
        </row>
        <row r="4608">
          <cell r="A4608">
            <v>64145</v>
          </cell>
          <cell r="B4608">
            <v>4602</v>
          </cell>
          <cell r="C4608" t="str">
            <v>IASWD2412000325</v>
          </cell>
          <cell r="D4608">
            <v>45646</v>
          </cell>
          <cell r="E4608">
            <v>46250</v>
          </cell>
          <cell r="F4608" t="str">
            <v>64145</v>
          </cell>
          <cell r="G4608" t="str">
            <v>樺漢五</v>
          </cell>
          <cell r="H4608">
            <v>100000</v>
          </cell>
          <cell r="I4608">
            <v>3</v>
          </cell>
          <cell r="J4608">
            <v>46250</v>
          </cell>
          <cell r="K4608">
            <v>100</v>
          </cell>
          <cell r="L4608">
            <v>46231</v>
          </cell>
          <cell r="M4608">
            <v>-1200</v>
          </cell>
          <cell r="N4608">
            <v>98800</v>
          </cell>
        </row>
        <row r="4609">
          <cell r="A4609">
            <v>64145</v>
          </cell>
          <cell r="B4609">
            <v>4603</v>
          </cell>
          <cell r="C4609" t="str">
            <v>IASWD2412000326</v>
          </cell>
          <cell r="D4609">
            <v>45646</v>
          </cell>
          <cell r="E4609">
            <v>46250</v>
          </cell>
          <cell r="F4609" t="str">
            <v>64145</v>
          </cell>
          <cell r="G4609" t="str">
            <v>樺漢五</v>
          </cell>
          <cell r="H4609">
            <v>100000</v>
          </cell>
          <cell r="I4609">
            <v>3</v>
          </cell>
          <cell r="J4609">
            <v>46250</v>
          </cell>
          <cell r="K4609">
            <v>100</v>
          </cell>
          <cell r="L4609">
            <v>46231</v>
          </cell>
          <cell r="M4609">
            <v>-1200</v>
          </cell>
          <cell r="N4609">
            <v>98800</v>
          </cell>
        </row>
        <row r="4610">
          <cell r="A4610">
            <v>84781</v>
          </cell>
          <cell r="B4610">
            <v>4604</v>
          </cell>
          <cell r="C4610" t="str">
            <v>IASWD2412000327</v>
          </cell>
          <cell r="D4610">
            <v>45646</v>
          </cell>
          <cell r="E4610">
            <v>46583</v>
          </cell>
          <cell r="F4610" t="str">
            <v>84781</v>
          </cell>
          <cell r="G4610" t="str">
            <v>東哥遊艇一</v>
          </cell>
          <cell r="H4610">
            <v>100000</v>
          </cell>
          <cell r="I4610">
            <v>3.25</v>
          </cell>
          <cell r="J4610">
            <v>46583</v>
          </cell>
          <cell r="K4610">
            <v>100</v>
          </cell>
          <cell r="L4610">
            <v>46563</v>
          </cell>
          <cell r="M4610">
            <v>-1300</v>
          </cell>
          <cell r="N4610">
            <v>98700</v>
          </cell>
        </row>
        <row r="4611">
          <cell r="A4611">
            <v>84781</v>
          </cell>
          <cell r="B4611">
            <v>4605</v>
          </cell>
          <cell r="C4611" t="str">
            <v>IASWD2412000328</v>
          </cell>
          <cell r="D4611">
            <v>45646</v>
          </cell>
          <cell r="E4611">
            <v>46583</v>
          </cell>
          <cell r="F4611" t="str">
            <v>84781</v>
          </cell>
          <cell r="G4611" t="str">
            <v>東哥遊艇一</v>
          </cell>
          <cell r="H4611">
            <v>100000</v>
          </cell>
          <cell r="I4611">
            <v>3.25</v>
          </cell>
          <cell r="J4611">
            <v>46583</v>
          </cell>
          <cell r="K4611">
            <v>100</v>
          </cell>
          <cell r="L4611">
            <v>46563</v>
          </cell>
          <cell r="M4611">
            <v>-1300</v>
          </cell>
          <cell r="N4611">
            <v>98700</v>
          </cell>
        </row>
        <row r="4612">
          <cell r="A4612">
            <v>11011</v>
          </cell>
          <cell r="B4612">
            <v>4606</v>
          </cell>
          <cell r="C4612" t="str">
            <v>IASWD2412000329</v>
          </cell>
          <cell r="D4612">
            <v>45646</v>
          </cell>
          <cell r="E4612">
            <v>46731</v>
          </cell>
          <cell r="F4612" t="str">
            <v>11011</v>
          </cell>
          <cell r="G4612" t="str">
            <v>台泥一永</v>
          </cell>
          <cell r="H4612">
            <v>400000</v>
          </cell>
          <cell r="I4612">
            <v>2.8</v>
          </cell>
          <cell r="J4612">
            <v>46731</v>
          </cell>
          <cell r="K4612">
            <v>100</v>
          </cell>
          <cell r="L4612">
            <v>46713</v>
          </cell>
          <cell r="M4612">
            <v>-4480</v>
          </cell>
          <cell r="N4612">
            <v>395520</v>
          </cell>
        </row>
        <row r="4613">
          <cell r="A4613">
            <v>23682</v>
          </cell>
          <cell r="B4613">
            <v>4607</v>
          </cell>
          <cell r="C4613" t="str">
            <v>IASWD2412000330</v>
          </cell>
          <cell r="D4613">
            <v>45646</v>
          </cell>
          <cell r="E4613">
            <v>46361</v>
          </cell>
          <cell r="F4613" t="str">
            <v>23682</v>
          </cell>
          <cell r="G4613" t="str">
            <v>金像電二</v>
          </cell>
          <cell r="H4613">
            <v>100000</v>
          </cell>
          <cell r="I4613">
            <v>2.6</v>
          </cell>
          <cell r="J4613">
            <v>46361</v>
          </cell>
          <cell r="K4613">
            <v>100</v>
          </cell>
          <cell r="L4613">
            <v>46343</v>
          </cell>
          <cell r="M4613">
            <v>-1040</v>
          </cell>
          <cell r="N4613">
            <v>98960</v>
          </cell>
        </row>
        <row r="4614">
          <cell r="A4614">
            <v>21043</v>
          </cell>
          <cell r="B4614">
            <v>4608</v>
          </cell>
          <cell r="C4614" t="str">
            <v>IASWD2412000331</v>
          </cell>
          <cell r="D4614">
            <v>45646</v>
          </cell>
          <cell r="E4614">
            <v>46308</v>
          </cell>
          <cell r="F4614" t="str">
            <v>21043</v>
          </cell>
          <cell r="G4614" t="str">
            <v>國際中橡三</v>
          </cell>
          <cell r="H4614">
            <v>100000</v>
          </cell>
          <cell r="I4614">
            <v>2.7</v>
          </cell>
          <cell r="J4614">
            <v>46308</v>
          </cell>
          <cell r="K4614">
            <v>100.9</v>
          </cell>
          <cell r="L4614">
            <v>46288</v>
          </cell>
          <cell r="M4614">
            <v>-1080</v>
          </cell>
          <cell r="N4614">
            <v>98920</v>
          </cell>
        </row>
        <row r="4615">
          <cell r="A4615">
            <v>34834</v>
          </cell>
          <cell r="B4615">
            <v>4609</v>
          </cell>
          <cell r="C4615" t="str">
            <v>IASWD2412000333</v>
          </cell>
          <cell r="D4615">
            <v>45646</v>
          </cell>
          <cell r="E4615">
            <v>46529</v>
          </cell>
          <cell r="F4615" t="str">
            <v>34834</v>
          </cell>
          <cell r="G4615" t="str">
            <v>力致四</v>
          </cell>
          <cell r="H4615">
            <v>100000</v>
          </cell>
          <cell r="I4615">
            <v>3.75</v>
          </cell>
          <cell r="J4615">
            <v>46529</v>
          </cell>
          <cell r="K4615">
            <v>100</v>
          </cell>
          <cell r="L4615">
            <v>46511</v>
          </cell>
          <cell r="M4615">
            <v>-1500</v>
          </cell>
          <cell r="N4615">
            <v>98500</v>
          </cell>
        </row>
        <row r="4616">
          <cell r="A4616">
            <v>23682</v>
          </cell>
          <cell r="B4616">
            <v>4610</v>
          </cell>
          <cell r="C4616" t="str">
            <v>IASWD2412000334</v>
          </cell>
          <cell r="D4616">
            <v>45646</v>
          </cell>
          <cell r="E4616">
            <v>46361</v>
          </cell>
          <cell r="F4616" t="str">
            <v>23682</v>
          </cell>
          <cell r="G4616" t="str">
            <v>金像電二</v>
          </cell>
          <cell r="H4616">
            <v>100000</v>
          </cell>
          <cell r="I4616">
            <v>2.6</v>
          </cell>
          <cell r="J4616">
            <v>46361</v>
          </cell>
          <cell r="K4616">
            <v>100</v>
          </cell>
          <cell r="L4616">
            <v>46343</v>
          </cell>
          <cell r="M4616">
            <v>-1040</v>
          </cell>
          <cell r="N4616">
            <v>98960</v>
          </cell>
        </row>
        <row r="4617">
          <cell r="A4617">
            <v>37023</v>
          </cell>
          <cell r="B4617">
            <v>4611</v>
          </cell>
          <cell r="C4617" t="str">
            <v>IASWD2412000335</v>
          </cell>
          <cell r="D4617">
            <v>45646</v>
          </cell>
          <cell r="E4617">
            <v>46712</v>
          </cell>
          <cell r="F4617" t="str">
            <v>37023</v>
          </cell>
          <cell r="G4617" t="str">
            <v>大聯大三</v>
          </cell>
          <cell r="H4617">
            <v>500000</v>
          </cell>
          <cell r="I4617">
            <v>2.7</v>
          </cell>
          <cell r="J4617">
            <v>46712</v>
          </cell>
          <cell r="K4617">
            <v>100</v>
          </cell>
          <cell r="L4617">
            <v>46693</v>
          </cell>
          <cell r="M4617">
            <v>-5400</v>
          </cell>
          <cell r="N4617">
            <v>494600</v>
          </cell>
        </row>
        <row r="4618">
          <cell r="A4618">
            <v>23682</v>
          </cell>
          <cell r="B4618">
            <v>4612</v>
          </cell>
          <cell r="C4618" t="str">
            <v>IASWD2412000336</v>
          </cell>
          <cell r="D4618">
            <v>45646</v>
          </cell>
          <cell r="E4618">
            <v>46361</v>
          </cell>
          <cell r="F4618" t="str">
            <v>23682</v>
          </cell>
          <cell r="G4618" t="str">
            <v>金像電二</v>
          </cell>
          <cell r="H4618">
            <v>200000</v>
          </cell>
          <cell r="I4618">
            <v>2.6</v>
          </cell>
          <cell r="J4618">
            <v>46361</v>
          </cell>
          <cell r="K4618">
            <v>100</v>
          </cell>
          <cell r="L4618">
            <v>46343</v>
          </cell>
          <cell r="M4618">
            <v>-2080</v>
          </cell>
          <cell r="N4618">
            <v>197920</v>
          </cell>
        </row>
        <row r="4619">
          <cell r="A4619">
            <v>84781</v>
          </cell>
          <cell r="B4619">
            <v>4613</v>
          </cell>
          <cell r="C4619" t="str">
            <v>IASWD2412000337</v>
          </cell>
          <cell r="D4619">
            <v>45646</v>
          </cell>
          <cell r="E4619">
            <v>46583</v>
          </cell>
          <cell r="F4619" t="str">
            <v>84781</v>
          </cell>
          <cell r="G4619" t="str">
            <v>東哥遊艇一</v>
          </cell>
          <cell r="H4619">
            <v>500000</v>
          </cell>
          <cell r="I4619">
            <v>3.25</v>
          </cell>
          <cell r="J4619">
            <v>46583</v>
          </cell>
          <cell r="K4619">
            <v>100</v>
          </cell>
          <cell r="L4619">
            <v>46563</v>
          </cell>
          <cell r="M4619">
            <v>-6500</v>
          </cell>
          <cell r="N4619">
            <v>493500</v>
          </cell>
        </row>
        <row r="4620">
          <cell r="A4620">
            <v>50097</v>
          </cell>
          <cell r="B4620">
            <v>4614</v>
          </cell>
          <cell r="C4620" t="str">
            <v>IASWD2412000338</v>
          </cell>
          <cell r="D4620">
            <v>45646</v>
          </cell>
          <cell r="E4620">
            <v>46234</v>
          </cell>
          <cell r="F4620" t="str">
            <v>50097</v>
          </cell>
          <cell r="G4620" t="str">
            <v>榮剛七</v>
          </cell>
          <cell r="H4620">
            <v>500000</v>
          </cell>
          <cell r="I4620">
            <v>4.0999999999999996</v>
          </cell>
          <cell r="J4620">
            <v>46234</v>
          </cell>
          <cell r="K4620">
            <v>101.51</v>
          </cell>
          <cell r="L4620">
            <v>46216</v>
          </cell>
          <cell r="M4620">
            <v>-8200</v>
          </cell>
          <cell r="N4620">
            <v>491800</v>
          </cell>
        </row>
        <row r="4621">
          <cell r="A4621">
            <v>37023</v>
          </cell>
          <cell r="B4621">
            <v>4615</v>
          </cell>
          <cell r="C4621" t="str">
            <v>IASWD2412000340</v>
          </cell>
          <cell r="D4621">
            <v>45646</v>
          </cell>
          <cell r="E4621">
            <v>46712</v>
          </cell>
          <cell r="F4621" t="str">
            <v>37023</v>
          </cell>
          <cell r="G4621" t="str">
            <v>大聯大三</v>
          </cell>
          <cell r="H4621">
            <v>300000</v>
          </cell>
          <cell r="I4621">
            <v>2.7</v>
          </cell>
          <cell r="J4621">
            <v>46712</v>
          </cell>
          <cell r="K4621">
            <v>100</v>
          </cell>
          <cell r="L4621">
            <v>46693</v>
          </cell>
          <cell r="M4621">
            <v>-3240</v>
          </cell>
          <cell r="N4621">
            <v>296760</v>
          </cell>
        </row>
        <row r="4622">
          <cell r="A4622">
            <v>50097</v>
          </cell>
          <cell r="B4622">
            <v>4616</v>
          </cell>
          <cell r="C4622" t="str">
            <v>IASWD2412000341</v>
          </cell>
          <cell r="D4622">
            <v>45649</v>
          </cell>
          <cell r="E4622">
            <v>46234</v>
          </cell>
          <cell r="F4622" t="str">
            <v>50097</v>
          </cell>
          <cell r="G4622" t="str">
            <v>榮剛七</v>
          </cell>
          <cell r="H4622">
            <v>200000</v>
          </cell>
          <cell r="I4622">
            <v>4.0999999999999996</v>
          </cell>
          <cell r="J4622">
            <v>46234</v>
          </cell>
          <cell r="K4622">
            <v>101.51</v>
          </cell>
          <cell r="L4622">
            <v>46216</v>
          </cell>
          <cell r="M4622">
            <v>-3213</v>
          </cell>
          <cell r="N4622">
            <v>196787</v>
          </cell>
        </row>
        <row r="4623">
          <cell r="A4623">
            <v>27323</v>
          </cell>
          <cell r="B4623">
            <v>4617</v>
          </cell>
          <cell r="C4623" t="str">
            <v>IASWD2412000342</v>
          </cell>
          <cell r="D4623">
            <v>45649</v>
          </cell>
          <cell r="E4623">
            <v>46048</v>
          </cell>
          <cell r="F4623" t="str">
            <v>27323</v>
          </cell>
          <cell r="G4623" t="str">
            <v>六角三</v>
          </cell>
          <cell r="H4623">
            <v>100000</v>
          </cell>
          <cell r="I4623">
            <v>3</v>
          </cell>
          <cell r="J4623">
            <v>46048</v>
          </cell>
          <cell r="K4623">
            <v>101</v>
          </cell>
          <cell r="L4623">
            <v>46028</v>
          </cell>
          <cell r="M4623">
            <v>-1175</v>
          </cell>
          <cell r="N4623">
            <v>98825</v>
          </cell>
        </row>
        <row r="4624">
          <cell r="A4624">
            <v>11011</v>
          </cell>
          <cell r="B4624">
            <v>4618</v>
          </cell>
          <cell r="C4624" t="str">
            <v>IASWD2412000343</v>
          </cell>
          <cell r="D4624">
            <v>45649</v>
          </cell>
          <cell r="E4624">
            <v>46731</v>
          </cell>
          <cell r="F4624" t="str">
            <v>11011</v>
          </cell>
          <cell r="G4624" t="str">
            <v>台泥一永</v>
          </cell>
          <cell r="H4624">
            <v>3500000</v>
          </cell>
          <cell r="I4624">
            <v>2.8</v>
          </cell>
          <cell r="J4624">
            <v>46731</v>
          </cell>
          <cell r="K4624">
            <v>100</v>
          </cell>
          <cell r="L4624">
            <v>46713</v>
          </cell>
          <cell r="M4624">
            <v>-38395</v>
          </cell>
          <cell r="N4624">
            <v>3461605</v>
          </cell>
        </row>
        <row r="4625">
          <cell r="A4625">
            <v>11011</v>
          </cell>
          <cell r="B4625">
            <v>4619</v>
          </cell>
          <cell r="C4625" t="str">
            <v>IASWD2412000344</v>
          </cell>
          <cell r="D4625">
            <v>45649</v>
          </cell>
          <cell r="E4625">
            <v>46731</v>
          </cell>
          <cell r="F4625" t="str">
            <v>11011</v>
          </cell>
          <cell r="G4625" t="str">
            <v>台泥一永</v>
          </cell>
          <cell r="H4625">
            <v>22300000</v>
          </cell>
          <cell r="I4625">
            <v>2.8</v>
          </cell>
          <cell r="J4625">
            <v>46731</v>
          </cell>
          <cell r="K4625">
            <v>100</v>
          </cell>
          <cell r="L4625">
            <v>46713</v>
          </cell>
          <cell r="M4625">
            <v>-244628</v>
          </cell>
          <cell r="N4625">
            <v>22055372</v>
          </cell>
        </row>
        <row r="4626">
          <cell r="A4626">
            <v>84781</v>
          </cell>
          <cell r="B4626">
            <v>4620</v>
          </cell>
          <cell r="C4626" t="str">
            <v>IASWD2412000345</v>
          </cell>
          <cell r="D4626">
            <v>45649</v>
          </cell>
          <cell r="E4626">
            <v>46583</v>
          </cell>
          <cell r="F4626" t="str">
            <v>84781</v>
          </cell>
          <cell r="G4626" t="str">
            <v>東哥遊艇一</v>
          </cell>
          <cell r="H4626">
            <v>500000</v>
          </cell>
          <cell r="I4626">
            <v>3.25</v>
          </cell>
          <cell r="J4626">
            <v>46583</v>
          </cell>
          <cell r="K4626">
            <v>100</v>
          </cell>
          <cell r="L4626">
            <v>46563</v>
          </cell>
          <cell r="M4626">
            <v>-6366</v>
          </cell>
          <cell r="N4626">
            <v>493634</v>
          </cell>
        </row>
        <row r="4627">
          <cell r="A4627">
            <v>45491</v>
          </cell>
          <cell r="B4627">
            <v>4621</v>
          </cell>
          <cell r="C4627" t="str">
            <v>IASWD2412000346</v>
          </cell>
          <cell r="D4627">
            <v>45649</v>
          </cell>
          <cell r="E4627">
            <v>46698</v>
          </cell>
          <cell r="F4627" t="str">
            <v>45491</v>
          </cell>
          <cell r="G4627" t="str">
            <v>桓達一</v>
          </cell>
          <cell r="H4627">
            <v>400000</v>
          </cell>
          <cell r="I4627">
            <v>4</v>
          </cell>
          <cell r="J4627">
            <v>46698</v>
          </cell>
          <cell r="K4627">
            <v>100</v>
          </cell>
          <cell r="L4627">
            <v>46679</v>
          </cell>
          <cell r="M4627">
            <v>-6268</v>
          </cell>
          <cell r="N4627">
            <v>393732</v>
          </cell>
        </row>
        <row r="4628">
          <cell r="A4628">
            <v>23682</v>
          </cell>
          <cell r="B4628">
            <v>4622</v>
          </cell>
          <cell r="C4628" t="str">
            <v>IASWD2412000347</v>
          </cell>
          <cell r="D4628">
            <v>45649</v>
          </cell>
          <cell r="E4628">
            <v>46361</v>
          </cell>
          <cell r="F4628" t="str">
            <v>23682</v>
          </cell>
          <cell r="G4628" t="str">
            <v>金像電二</v>
          </cell>
          <cell r="H4628">
            <v>100000</v>
          </cell>
          <cell r="I4628">
            <v>2.6</v>
          </cell>
          <cell r="J4628">
            <v>46361</v>
          </cell>
          <cell r="K4628">
            <v>100</v>
          </cell>
          <cell r="L4628">
            <v>46343</v>
          </cell>
          <cell r="M4628">
            <v>-1019</v>
          </cell>
          <cell r="N4628">
            <v>98981</v>
          </cell>
        </row>
        <row r="4629">
          <cell r="A4629">
            <v>15364</v>
          </cell>
          <cell r="B4629">
            <v>4623</v>
          </cell>
          <cell r="C4629" t="str">
            <v>IASWD2412000348</v>
          </cell>
          <cell r="D4629">
            <v>45649</v>
          </cell>
          <cell r="E4629">
            <v>46246</v>
          </cell>
          <cell r="F4629" t="str">
            <v>15364</v>
          </cell>
          <cell r="G4629" t="str">
            <v>和大四</v>
          </cell>
          <cell r="H4629">
            <v>100000</v>
          </cell>
          <cell r="I4629">
            <v>4</v>
          </cell>
          <cell r="J4629">
            <v>46246</v>
          </cell>
          <cell r="K4629">
            <v>100</v>
          </cell>
          <cell r="L4629">
            <v>46226</v>
          </cell>
          <cell r="M4629">
            <v>-1567</v>
          </cell>
          <cell r="N4629">
            <v>98433</v>
          </cell>
        </row>
        <row r="4630">
          <cell r="A4630">
            <v>21043</v>
          </cell>
          <cell r="B4630">
            <v>4624</v>
          </cell>
          <cell r="C4630" t="str">
            <v>IASWD2412000349</v>
          </cell>
          <cell r="D4630">
            <v>45649</v>
          </cell>
          <cell r="E4630">
            <v>46308</v>
          </cell>
          <cell r="F4630" t="str">
            <v>21043</v>
          </cell>
          <cell r="G4630" t="str">
            <v>國際中橡三</v>
          </cell>
          <cell r="H4630">
            <v>100000</v>
          </cell>
          <cell r="I4630">
            <v>2.7</v>
          </cell>
          <cell r="J4630">
            <v>46308</v>
          </cell>
          <cell r="K4630">
            <v>100.9</v>
          </cell>
          <cell r="L4630">
            <v>46288</v>
          </cell>
          <cell r="M4630">
            <v>-1058</v>
          </cell>
          <cell r="N4630">
            <v>98942</v>
          </cell>
        </row>
        <row r="4631">
          <cell r="A4631">
            <v>37023</v>
          </cell>
          <cell r="B4631">
            <v>4625</v>
          </cell>
          <cell r="C4631" t="str">
            <v>IASWD2412000350</v>
          </cell>
          <cell r="D4631">
            <v>45649</v>
          </cell>
          <cell r="E4631">
            <v>46712</v>
          </cell>
          <cell r="F4631" t="str">
            <v>37023</v>
          </cell>
          <cell r="G4631" t="str">
            <v>大聯大三</v>
          </cell>
          <cell r="H4631">
            <v>200000</v>
          </cell>
          <cell r="I4631">
            <v>2.7</v>
          </cell>
          <cell r="J4631">
            <v>46712</v>
          </cell>
          <cell r="K4631">
            <v>100</v>
          </cell>
          <cell r="L4631">
            <v>46693</v>
          </cell>
          <cell r="M4631">
            <v>-2116</v>
          </cell>
          <cell r="N4631">
            <v>197884</v>
          </cell>
        </row>
        <row r="4632">
          <cell r="A4632">
            <v>34163</v>
          </cell>
          <cell r="B4632">
            <v>4626</v>
          </cell>
          <cell r="C4632" t="str">
            <v>IASWD2412000351</v>
          </cell>
          <cell r="D4632">
            <v>45649</v>
          </cell>
          <cell r="E4632">
            <v>46047</v>
          </cell>
          <cell r="F4632" t="str">
            <v>34163</v>
          </cell>
          <cell r="G4632" t="str">
            <v>融程電三</v>
          </cell>
          <cell r="H4632">
            <v>1000000</v>
          </cell>
          <cell r="I4632">
            <v>3</v>
          </cell>
          <cell r="J4632">
            <v>46047</v>
          </cell>
          <cell r="K4632">
            <v>100.5</v>
          </cell>
          <cell r="L4632">
            <v>46028</v>
          </cell>
          <cell r="M4632">
            <v>-11753</v>
          </cell>
          <cell r="N4632">
            <v>988247</v>
          </cell>
        </row>
        <row r="4633">
          <cell r="A4633">
            <v>64145</v>
          </cell>
          <cell r="B4633">
            <v>4627</v>
          </cell>
          <cell r="C4633" t="str">
            <v>IASWD2412000352</v>
          </cell>
          <cell r="D4633">
            <v>45649</v>
          </cell>
          <cell r="E4633">
            <v>46250</v>
          </cell>
          <cell r="F4633" t="str">
            <v>64145</v>
          </cell>
          <cell r="G4633" t="str">
            <v>樺漢五</v>
          </cell>
          <cell r="H4633">
            <v>100000</v>
          </cell>
          <cell r="I4633">
            <v>3</v>
          </cell>
          <cell r="J4633">
            <v>46250</v>
          </cell>
          <cell r="K4633">
            <v>100</v>
          </cell>
          <cell r="L4633">
            <v>46231</v>
          </cell>
          <cell r="M4633">
            <v>-1175</v>
          </cell>
          <cell r="N4633">
            <v>98825</v>
          </cell>
        </row>
        <row r="4634">
          <cell r="A4634">
            <v>84781</v>
          </cell>
          <cell r="B4634">
            <v>4628</v>
          </cell>
          <cell r="C4634" t="str">
            <v>IASWD2412000353</v>
          </cell>
          <cell r="D4634">
            <v>45649</v>
          </cell>
          <cell r="E4634">
            <v>46583</v>
          </cell>
          <cell r="F4634" t="str">
            <v>84781</v>
          </cell>
          <cell r="G4634" t="str">
            <v>東哥遊艇一</v>
          </cell>
          <cell r="H4634">
            <v>100000</v>
          </cell>
          <cell r="I4634">
            <v>3.25</v>
          </cell>
          <cell r="J4634">
            <v>46583</v>
          </cell>
          <cell r="K4634">
            <v>100</v>
          </cell>
          <cell r="L4634">
            <v>46563</v>
          </cell>
          <cell r="M4634">
            <v>-1273</v>
          </cell>
          <cell r="N4634">
            <v>98727</v>
          </cell>
        </row>
        <row r="4635">
          <cell r="A4635">
            <v>35831</v>
          </cell>
          <cell r="B4635">
            <v>4629</v>
          </cell>
          <cell r="C4635" t="str">
            <v>IASWD2412000354</v>
          </cell>
          <cell r="D4635">
            <v>45649</v>
          </cell>
          <cell r="E4635">
            <v>46180</v>
          </cell>
          <cell r="F4635" t="str">
            <v>35831</v>
          </cell>
          <cell r="G4635" t="str">
            <v>辛耘一</v>
          </cell>
          <cell r="H4635">
            <v>1000000</v>
          </cell>
          <cell r="I4635">
            <v>3</v>
          </cell>
          <cell r="J4635">
            <v>46180</v>
          </cell>
          <cell r="K4635">
            <v>100</v>
          </cell>
          <cell r="L4635">
            <v>46161</v>
          </cell>
          <cell r="M4635">
            <v>-11753</v>
          </cell>
          <cell r="N4635">
            <v>988247</v>
          </cell>
        </row>
        <row r="4636">
          <cell r="A4636">
            <v>99392</v>
          </cell>
          <cell r="B4636">
            <v>4630</v>
          </cell>
          <cell r="C4636" t="str">
            <v>IASWD2412000355</v>
          </cell>
          <cell r="D4636">
            <v>45649</v>
          </cell>
          <cell r="E4636">
            <v>46689</v>
          </cell>
          <cell r="F4636" t="str">
            <v>99392</v>
          </cell>
          <cell r="G4636" t="str">
            <v>宏全二</v>
          </cell>
          <cell r="H4636">
            <v>100000</v>
          </cell>
          <cell r="I4636">
            <v>2.5</v>
          </cell>
          <cell r="J4636">
            <v>46689</v>
          </cell>
          <cell r="K4636">
            <v>100</v>
          </cell>
          <cell r="L4636">
            <v>46671</v>
          </cell>
          <cell r="M4636">
            <v>-979</v>
          </cell>
          <cell r="N4636">
            <v>99021</v>
          </cell>
        </row>
        <row r="4637">
          <cell r="A4637">
            <v>15364</v>
          </cell>
          <cell r="B4637">
            <v>4631</v>
          </cell>
          <cell r="C4637" t="str">
            <v>IASWD2412000356</v>
          </cell>
          <cell r="D4637">
            <v>45649</v>
          </cell>
          <cell r="E4637">
            <v>46246</v>
          </cell>
          <cell r="F4637" t="str">
            <v>15364</v>
          </cell>
          <cell r="G4637" t="str">
            <v>和大四</v>
          </cell>
          <cell r="H4637">
            <v>100000</v>
          </cell>
          <cell r="I4637">
            <v>4</v>
          </cell>
          <cell r="J4637">
            <v>46246</v>
          </cell>
          <cell r="K4637">
            <v>100</v>
          </cell>
          <cell r="L4637">
            <v>46226</v>
          </cell>
          <cell r="M4637">
            <v>-1567</v>
          </cell>
          <cell r="N4637">
            <v>98433</v>
          </cell>
        </row>
        <row r="4638">
          <cell r="A4638">
            <v>21043</v>
          </cell>
          <cell r="B4638">
            <v>4632</v>
          </cell>
          <cell r="C4638" t="str">
            <v>IASWD2412000357</v>
          </cell>
          <cell r="D4638">
            <v>45649</v>
          </cell>
          <cell r="E4638">
            <v>46308</v>
          </cell>
          <cell r="F4638" t="str">
            <v>21043</v>
          </cell>
          <cell r="G4638" t="str">
            <v>國際中橡三</v>
          </cell>
          <cell r="H4638">
            <v>1000000</v>
          </cell>
          <cell r="I4638">
            <v>2.7</v>
          </cell>
          <cell r="J4638">
            <v>46308</v>
          </cell>
          <cell r="K4638">
            <v>100.9</v>
          </cell>
          <cell r="L4638">
            <v>46288</v>
          </cell>
          <cell r="M4638">
            <v>-10578</v>
          </cell>
          <cell r="N4638">
            <v>989422</v>
          </cell>
        </row>
        <row r="4639">
          <cell r="A4639">
            <v>35831</v>
          </cell>
          <cell r="B4639">
            <v>4633</v>
          </cell>
          <cell r="C4639" t="str">
            <v>IASWD2412000358</v>
          </cell>
          <cell r="D4639">
            <v>45649</v>
          </cell>
          <cell r="E4639">
            <v>46180</v>
          </cell>
          <cell r="F4639" t="str">
            <v>35831</v>
          </cell>
          <cell r="G4639" t="str">
            <v>辛耘一</v>
          </cell>
          <cell r="H4639">
            <v>100000</v>
          </cell>
          <cell r="I4639">
            <v>3</v>
          </cell>
          <cell r="J4639">
            <v>46180</v>
          </cell>
          <cell r="K4639">
            <v>100</v>
          </cell>
          <cell r="L4639">
            <v>46161</v>
          </cell>
          <cell r="M4639">
            <v>-1175</v>
          </cell>
          <cell r="N4639">
            <v>98825</v>
          </cell>
        </row>
        <row r="4640">
          <cell r="A4640">
            <v>84781</v>
          </cell>
          <cell r="B4640">
            <v>4634</v>
          </cell>
          <cell r="C4640" t="str">
            <v>IASWD2412000359</v>
          </cell>
          <cell r="D4640">
            <v>45649</v>
          </cell>
          <cell r="E4640">
            <v>46583</v>
          </cell>
          <cell r="F4640" t="str">
            <v>84781</v>
          </cell>
          <cell r="G4640" t="str">
            <v>東哥遊艇一</v>
          </cell>
          <cell r="H4640">
            <v>300000</v>
          </cell>
          <cell r="I4640">
            <v>3.25</v>
          </cell>
          <cell r="J4640">
            <v>46583</v>
          </cell>
          <cell r="K4640">
            <v>100</v>
          </cell>
          <cell r="L4640">
            <v>46563</v>
          </cell>
          <cell r="M4640">
            <v>-3820</v>
          </cell>
          <cell r="N4640">
            <v>296180</v>
          </cell>
        </row>
        <row r="4641">
          <cell r="A4641">
            <v>37023</v>
          </cell>
          <cell r="B4641">
            <v>4635</v>
          </cell>
          <cell r="C4641" t="str">
            <v>IASWD2412000360</v>
          </cell>
          <cell r="D4641">
            <v>45649</v>
          </cell>
          <cell r="E4641">
            <v>46712</v>
          </cell>
          <cell r="F4641" t="str">
            <v>37023</v>
          </cell>
          <cell r="G4641" t="str">
            <v>大聯大三</v>
          </cell>
          <cell r="H4641">
            <v>100000</v>
          </cell>
          <cell r="I4641">
            <v>2.7</v>
          </cell>
          <cell r="J4641">
            <v>46712</v>
          </cell>
          <cell r="K4641">
            <v>100</v>
          </cell>
          <cell r="L4641">
            <v>46693</v>
          </cell>
          <cell r="M4641">
            <v>-1058</v>
          </cell>
          <cell r="N4641">
            <v>98942</v>
          </cell>
        </row>
        <row r="4642">
          <cell r="A4642">
            <v>11011</v>
          </cell>
          <cell r="B4642">
            <v>4636</v>
          </cell>
          <cell r="C4642" t="str">
            <v>IASWD2412000361</v>
          </cell>
          <cell r="D4642">
            <v>45649</v>
          </cell>
          <cell r="E4642">
            <v>46731</v>
          </cell>
          <cell r="F4642" t="str">
            <v>11011</v>
          </cell>
          <cell r="G4642" t="str">
            <v>台泥一永</v>
          </cell>
          <cell r="H4642">
            <v>500000</v>
          </cell>
          <cell r="I4642">
            <v>2.8</v>
          </cell>
          <cell r="J4642">
            <v>46731</v>
          </cell>
          <cell r="K4642">
            <v>100</v>
          </cell>
          <cell r="L4642">
            <v>46713</v>
          </cell>
          <cell r="M4642">
            <v>-5485</v>
          </cell>
          <cell r="N4642">
            <v>494515</v>
          </cell>
        </row>
        <row r="4643">
          <cell r="A4643">
            <v>30882</v>
          </cell>
          <cell r="B4643">
            <v>4637</v>
          </cell>
          <cell r="C4643" t="str">
            <v>IASWD2412000362</v>
          </cell>
          <cell r="D4643">
            <v>45649</v>
          </cell>
          <cell r="E4643">
            <v>46262</v>
          </cell>
          <cell r="F4643" t="str">
            <v>30882</v>
          </cell>
          <cell r="G4643" t="str">
            <v>艾訊二</v>
          </cell>
          <cell r="H4643">
            <v>100000</v>
          </cell>
          <cell r="I4643">
            <v>3.25</v>
          </cell>
          <cell r="J4643">
            <v>46262</v>
          </cell>
          <cell r="K4643">
            <v>100</v>
          </cell>
          <cell r="L4643">
            <v>46244</v>
          </cell>
          <cell r="M4643">
            <v>-1273</v>
          </cell>
          <cell r="N4643">
            <v>98727</v>
          </cell>
        </row>
        <row r="4644">
          <cell r="A4644">
            <v>64145</v>
          </cell>
          <cell r="B4644">
            <v>4638</v>
          </cell>
          <cell r="C4644" t="str">
            <v>IASWD2412000363</v>
          </cell>
          <cell r="D4644">
            <v>45649</v>
          </cell>
          <cell r="E4644">
            <v>46250</v>
          </cell>
          <cell r="F4644" t="str">
            <v>64145</v>
          </cell>
          <cell r="G4644" t="str">
            <v>樺漢五</v>
          </cell>
          <cell r="H4644">
            <v>100000</v>
          </cell>
          <cell r="I4644">
            <v>3</v>
          </cell>
          <cell r="J4644">
            <v>46250</v>
          </cell>
          <cell r="K4644">
            <v>100</v>
          </cell>
          <cell r="L4644">
            <v>46231</v>
          </cell>
          <cell r="M4644">
            <v>-1175</v>
          </cell>
          <cell r="N4644">
            <v>98825</v>
          </cell>
        </row>
        <row r="4645">
          <cell r="A4645">
            <v>99392</v>
          </cell>
          <cell r="B4645">
            <v>4639</v>
          </cell>
          <cell r="C4645" t="str">
            <v>IASWD2412000364</v>
          </cell>
          <cell r="D4645">
            <v>45649</v>
          </cell>
          <cell r="E4645">
            <v>46689</v>
          </cell>
          <cell r="F4645" t="str">
            <v>99392</v>
          </cell>
          <cell r="G4645" t="str">
            <v>宏全二</v>
          </cell>
          <cell r="H4645">
            <v>100000</v>
          </cell>
          <cell r="I4645">
            <v>2.5</v>
          </cell>
          <cell r="J4645">
            <v>46689</v>
          </cell>
          <cell r="K4645">
            <v>100</v>
          </cell>
          <cell r="L4645">
            <v>46671</v>
          </cell>
          <cell r="M4645">
            <v>-979</v>
          </cell>
          <cell r="N4645">
            <v>99021</v>
          </cell>
        </row>
        <row r="4646">
          <cell r="A4646">
            <v>50097</v>
          </cell>
          <cell r="B4646">
            <v>4640</v>
          </cell>
          <cell r="C4646" t="str">
            <v>IASWD2412000365</v>
          </cell>
          <cell r="D4646">
            <v>45649</v>
          </cell>
          <cell r="E4646">
            <v>46234</v>
          </cell>
          <cell r="F4646" t="str">
            <v>50097</v>
          </cell>
          <cell r="G4646" t="str">
            <v>榮剛七</v>
          </cell>
          <cell r="H4646">
            <v>300000</v>
          </cell>
          <cell r="I4646">
            <v>4.0999999999999996</v>
          </cell>
          <cell r="J4646">
            <v>46234</v>
          </cell>
          <cell r="K4646">
            <v>101.51</v>
          </cell>
          <cell r="L4646">
            <v>46216</v>
          </cell>
          <cell r="M4646">
            <v>-4819</v>
          </cell>
          <cell r="N4646">
            <v>295181</v>
          </cell>
        </row>
        <row r="4647">
          <cell r="A4647">
            <v>33121</v>
          </cell>
          <cell r="B4647">
            <v>4641</v>
          </cell>
          <cell r="C4647" t="str">
            <v>IASWD2412000366</v>
          </cell>
          <cell r="D4647">
            <v>45649</v>
          </cell>
          <cell r="E4647">
            <v>46563</v>
          </cell>
          <cell r="F4647" t="str">
            <v>33121</v>
          </cell>
          <cell r="G4647" t="str">
            <v>弘憶股一</v>
          </cell>
          <cell r="H4647">
            <v>100000</v>
          </cell>
          <cell r="I4647">
            <v>3.35</v>
          </cell>
          <cell r="J4647">
            <v>46563</v>
          </cell>
          <cell r="K4647">
            <v>100</v>
          </cell>
          <cell r="L4647">
            <v>46545</v>
          </cell>
          <cell r="M4647">
            <v>-1312</v>
          </cell>
          <cell r="N4647">
            <v>98688</v>
          </cell>
        </row>
        <row r="4648">
          <cell r="A4648">
            <v>37022</v>
          </cell>
          <cell r="B4648">
            <v>4642</v>
          </cell>
          <cell r="C4648" t="str">
            <v>IASWD2412000367</v>
          </cell>
          <cell r="D4648">
            <v>45649</v>
          </cell>
          <cell r="E4648">
            <v>46702</v>
          </cell>
          <cell r="F4648" t="str">
            <v>37022</v>
          </cell>
          <cell r="G4648" t="str">
            <v>大聯大二</v>
          </cell>
          <cell r="H4648">
            <v>1500000</v>
          </cell>
          <cell r="I4648">
            <v>2.7</v>
          </cell>
          <cell r="J4648">
            <v>46702</v>
          </cell>
          <cell r="K4648">
            <v>100</v>
          </cell>
          <cell r="L4648">
            <v>46682</v>
          </cell>
          <cell r="M4648">
            <v>-15867</v>
          </cell>
          <cell r="N4648">
            <v>1484133</v>
          </cell>
        </row>
        <row r="4649">
          <cell r="A4649">
            <v>61965</v>
          </cell>
          <cell r="B4649">
            <v>4643</v>
          </cell>
          <cell r="C4649" t="str">
            <v>IASWD2412000368</v>
          </cell>
          <cell r="D4649">
            <v>45650</v>
          </cell>
          <cell r="E4649">
            <v>46200</v>
          </cell>
          <cell r="F4649" t="str">
            <v>61965</v>
          </cell>
          <cell r="G4649" t="str">
            <v>帆宣五</v>
          </cell>
          <cell r="H4649">
            <v>200000</v>
          </cell>
          <cell r="I4649">
            <v>3</v>
          </cell>
          <cell r="J4649">
            <v>46200</v>
          </cell>
          <cell r="K4649">
            <v>100</v>
          </cell>
          <cell r="L4649">
            <v>46182</v>
          </cell>
          <cell r="M4649">
            <v>-2334</v>
          </cell>
          <cell r="N4649">
            <v>197666</v>
          </cell>
        </row>
        <row r="4650">
          <cell r="A4650">
            <v>50097</v>
          </cell>
          <cell r="B4650">
            <v>4644</v>
          </cell>
          <cell r="C4650" t="str">
            <v>IASWD2412000369</v>
          </cell>
          <cell r="D4650">
            <v>45650</v>
          </cell>
          <cell r="E4650">
            <v>46234</v>
          </cell>
          <cell r="F4650" t="str">
            <v>50097</v>
          </cell>
          <cell r="G4650" t="str">
            <v>榮剛七</v>
          </cell>
          <cell r="H4650">
            <v>200000</v>
          </cell>
          <cell r="I4650">
            <v>4.0999999999999996</v>
          </cell>
          <cell r="J4650">
            <v>46234</v>
          </cell>
          <cell r="K4650">
            <v>101.51</v>
          </cell>
          <cell r="L4650">
            <v>46216</v>
          </cell>
          <cell r="M4650">
            <v>-3190</v>
          </cell>
          <cell r="N4650">
            <v>196810</v>
          </cell>
        </row>
        <row r="4651">
          <cell r="A4651">
            <v>11011</v>
          </cell>
          <cell r="B4651">
            <v>4645</v>
          </cell>
          <cell r="C4651" t="str">
            <v>IASWD2412000371</v>
          </cell>
          <cell r="D4651">
            <v>45650</v>
          </cell>
          <cell r="E4651">
            <v>46731</v>
          </cell>
          <cell r="F4651" t="str">
            <v>11011</v>
          </cell>
          <cell r="G4651" t="str">
            <v>台泥一永</v>
          </cell>
          <cell r="H4651">
            <v>1000000</v>
          </cell>
          <cell r="I4651">
            <v>2.8</v>
          </cell>
          <cell r="J4651">
            <v>46731</v>
          </cell>
          <cell r="K4651">
            <v>100</v>
          </cell>
          <cell r="L4651">
            <v>46713</v>
          </cell>
          <cell r="M4651">
            <v>-10893</v>
          </cell>
          <cell r="N4651">
            <v>989107</v>
          </cell>
        </row>
        <row r="4652">
          <cell r="A4652">
            <v>37023</v>
          </cell>
          <cell r="B4652">
            <v>4646</v>
          </cell>
          <cell r="C4652" t="str">
            <v>IASWD2412000372</v>
          </cell>
          <cell r="D4652">
            <v>45650</v>
          </cell>
          <cell r="E4652">
            <v>46712</v>
          </cell>
          <cell r="F4652" t="str">
            <v>37023</v>
          </cell>
          <cell r="G4652" t="str">
            <v>大聯大三</v>
          </cell>
          <cell r="H4652">
            <v>100000</v>
          </cell>
          <cell r="I4652">
            <v>2.7</v>
          </cell>
          <cell r="J4652">
            <v>46712</v>
          </cell>
          <cell r="K4652">
            <v>100</v>
          </cell>
          <cell r="L4652">
            <v>46693</v>
          </cell>
          <cell r="M4652">
            <v>-1050</v>
          </cell>
          <cell r="N4652">
            <v>98950</v>
          </cell>
        </row>
        <row r="4653">
          <cell r="A4653">
            <v>50097</v>
          </cell>
          <cell r="B4653">
            <v>4647</v>
          </cell>
          <cell r="C4653" t="str">
            <v>IASWD2412000373</v>
          </cell>
          <cell r="D4653">
            <v>45650</v>
          </cell>
          <cell r="E4653">
            <v>46234</v>
          </cell>
          <cell r="F4653" t="str">
            <v>50097</v>
          </cell>
          <cell r="G4653" t="str">
            <v>榮剛七</v>
          </cell>
          <cell r="H4653">
            <v>400000</v>
          </cell>
          <cell r="I4653">
            <v>4.0999999999999996</v>
          </cell>
          <cell r="J4653">
            <v>46234</v>
          </cell>
          <cell r="K4653">
            <v>101.51</v>
          </cell>
          <cell r="L4653">
            <v>46216</v>
          </cell>
          <cell r="M4653">
            <v>-6380</v>
          </cell>
          <cell r="N4653">
            <v>393620</v>
          </cell>
        </row>
        <row r="4654">
          <cell r="A4654">
            <v>64145</v>
          </cell>
          <cell r="B4654">
            <v>4648</v>
          </cell>
          <cell r="C4654" t="str">
            <v>IASWD2412000374</v>
          </cell>
          <cell r="D4654">
            <v>45650</v>
          </cell>
          <cell r="E4654">
            <v>46250</v>
          </cell>
          <cell r="F4654" t="str">
            <v>64145</v>
          </cell>
          <cell r="G4654" t="str">
            <v>樺漢五</v>
          </cell>
          <cell r="H4654">
            <v>100000</v>
          </cell>
          <cell r="I4654">
            <v>3</v>
          </cell>
          <cell r="J4654">
            <v>46250</v>
          </cell>
          <cell r="K4654">
            <v>100</v>
          </cell>
          <cell r="L4654">
            <v>46231</v>
          </cell>
          <cell r="M4654">
            <v>-1167</v>
          </cell>
          <cell r="N4654">
            <v>98833</v>
          </cell>
        </row>
        <row r="4655">
          <cell r="A4655">
            <v>11011</v>
          </cell>
          <cell r="B4655">
            <v>4649</v>
          </cell>
          <cell r="C4655" t="str">
            <v>IASWD2412000375</v>
          </cell>
          <cell r="D4655">
            <v>45650</v>
          </cell>
          <cell r="E4655">
            <v>46731</v>
          </cell>
          <cell r="F4655" t="str">
            <v>11011</v>
          </cell>
          <cell r="G4655" t="str">
            <v>台泥一永</v>
          </cell>
          <cell r="H4655">
            <v>200000</v>
          </cell>
          <cell r="I4655">
            <v>2.8</v>
          </cell>
          <cell r="J4655">
            <v>46731</v>
          </cell>
          <cell r="K4655">
            <v>100</v>
          </cell>
          <cell r="L4655">
            <v>46713</v>
          </cell>
          <cell r="M4655">
            <v>-2179</v>
          </cell>
          <cell r="N4655">
            <v>197821</v>
          </cell>
        </row>
        <row r="4656">
          <cell r="A4656">
            <v>30882</v>
          </cell>
          <cell r="B4656">
            <v>4650</v>
          </cell>
          <cell r="C4656" t="str">
            <v>IASWD2412000376</v>
          </cell>
          <cell r="D4656">
            <v>45650</v>
          </cell>
          <cell r="E4656">
            <v>46262</v>
          </cell>
          <cell r="F4656" t="str">
            <v>30882</v>
          </cell>
          <cell r="G4656" t="str">
            <v>艾訊二</v>
          </cell>
          <cell r="H4656">
            <v>100000</v>
          </cell>
          <cell r="I4656">
            <v>3.25</v>
          </cell>
          <cell r="J4656">
            <v>46262</v>
          </cell>
          <cell r="K4656">
            <v>100</v>
          </cell>
          <cell r="L4656">
            <v>46244</v>
          </cell>
          <cell r="M4656">
            <v>-1264</v>
          </cell>
          <cell r="N4656">
            <v>98736</v>
          </cell>
        </row>
        <row r="4657">
          <cell r="A4657">
            <v>11011</v>
          </cell>
          <cell r="B4657">
            <v>4651</v>
          </cell>
          <cell r="C4657" t="str">
            <v>IASWD2412000377</v>
          </cell>
          <cell r="D4657">
            <v>45650</v>
          </cell>
          <cell r="E4657">
            <v>46731</v>
          </cell>
          <cell r="F4657" t="str">
            <v>11011</v>
          </cell>
          <cell r="G4657" t="str">
            <v>台泥一永</v>
          </cell>
          <cell r="H4657">
            <v>500000</v>
          </cell>
          <cell r="I4657">
            <v>2.8</v>
          </cell>
          <cell r="J4657">
            <v>46731</v>
          </cell>
          <cell r="K4657">
            <v>100</v>
          </cell>
          <cell r="L4657">
            <v>46713</v>
          </cell>
          <cell r="M4657">
            <v>-5447</v>
          </cell>
          <cell r="N4657">
            <v>494553</v>
          </cell>
        </row>
        <row r="4658">
          <cell r="A4658">
            <v>34163</v>
          </cell>
          <cell r="B4658">
            <v>4652</v>
          </cell>
          <cell r="C4658" t="str">
            <v>IASWD2412000378</v>
          </cell>
          <cell r="D4658">
            <v>45650</v>
          </cell>
          <cell r="E4658">
            <v>46047</v>
          </cell>
          <cell r="F4658" t="str">
            <v>34163</v>
          </cell>
          <cell r="G4658" t="str">
            <v>融程電三</v>
          </cell>
          <cell r="H4658">
            <v>200000</v>
          </cell>
          <cell r="I4658">
            <v>3</v>
          </cell>
          <cell r="J4658">
            <v>46047</v>
          </cell>
          <cell r="K4658">
            <v>100.5</v>
          </cell>
          <cell r="L4658">
            <v>46028</v>
          </cell>
          <cell r="M4658">
            <v>-2334</v>
          </cell>
          <cell r="N4658">
            <v>197666</v>
          </cell>
        </row>
        <row r="4659">
          <cell r="A4659">
            <v>64145</v>
          </cell>
          <cell r="B4659">
            <v>4653</v>
          </cell>
          <cell r="C4659" t="str">
            <v>IASWD2412000379</v>
          </cell>
          <cell r="D4659">
            <v>45650</v>
          </cell>
          <cell r="E4659">
            <v>46250</v>
          </cell>
          <cell r="F4659" t="str">
            <v>64145</v>
          </cell>
          <cell r="G4659" t="str">
            <v>樺漢五</v>
          </cell>
          <cell r="H4659">
            <v>200000</v>
          </cell>
          <cell r="I4659">
            <v>3</v>
          </cell>
          <cell r="J4659">
            <v>46250</v>
          </cell>
          <cell r="K4659">
            <v>100</v>
          </cell>
          <cell r="L4659">
            <v>46231</v>
          </cell>
          <cell r="M4659">
            <v>-2334</v>
          </cell>
          <cell r="N4659">
            <v>197666</v>
          </cell>
        </row>
        <row r="4660">
          <cell r="A4660">
            <v>37022</v>
          </cell>
          <cell r="B4660">
            <v>4654</v>
          </cell>
          <cell r="C4660" t="str">
            <v>IASWD2412000380</v>
          </cell>
          <cell r="D4660">
            <v>45650</v>
          </cell>
          <cell r="E4660">
            <v>46702</v>
          </cell>
          <cell r="F4660" t="str">
            <v>37022</v>
          </cell>
          <cell r="G4660" t="str">
            <v>大聯大二</v>
          </cell>
          <cell r="H4660">
            <v>3500000</v>
          </cell>
          <cell r="I4660">
            <v>2.7</v>
          </cell>
          <cell r="J4660">
            <v>46702</v>
          </cell>
          <cell r="K4660">
            <v>100</v>
          </cell>
          <cell r="L4660">
            <v>46682</v>
          </cell>
          <cell r="M4660">
            <v>-36764</v>
          </cell>
          <cell r="N4660">
            <v>3463236</v>
          </cell>
        </row>
        <row r="4661">
          <cell r="A4661">
            <v>26417</v>
          </cell>
          <cell r="B4661">
            <v>4655</v>
          </cell>
          <cell r="C4661" t="str">
            <v>IASWD2412000381</v>
          </cell>
          <cell r="D4661">
            <v>45650</v>
          </cell>
          <cell r="E4661">
            <v>46594</v>
          </cell>
          <cell r="F4661" t="str">
            <v>26417</v>
          </cell>
          <cell r="G4661" t="str">
            <v>正德七</v>
          </cell>
          <cell r="H4661">
            <v>500000</v>
          </cell>
          <cell r="I4661">
            <v>4</v>
          </cell>
          <cell r="J4661">
            <v>46594</v>
          </cell>
          <cell r="K4661">
            <v>100</v>
          </cell>
          <cell r="L4661">
            <v>46574</v>
          </cell>
          <cell r="M4661">
            <v>-7781</v>
          </cell>
          <cell r="N4661">
            <v>492219</v>
          </cell>
        </row>
        <row r="4662">
          <cell r="A4662">
            <v>24361</v>
          </cell>
          <cell r="B4662">
            <v>4656</v>
          </cell>
          <cell r="C4662" t="str">
            <v>IASWD2412000382</v>
          </cell>
          <cell r="D4662">
            <v>45651</v>
          </cell>
          <cell r="E4662">
            <v>45911</v>
          </cell>
          <cell r="F4662" t="str">
            <v>24361</v>
          </cell>
          <cell r="G4662" t="str">
            <v>偉詮電一</v>
          </cell>
          <cell r="H4662">
            <v>100000</v>
          </cell>
          <cell r="I4662">
            <v>3.75</v>
          </cell>
          <cell r="J4662">
            <v>45911</v>
          </cell>
          <cell r="K4662">
            <v>100.50060000000001</v>
          </cell>
          <cell r="L4662">
            <v>45891</v>
          </cell>
          <cell r="M4662">
            <v>-1449</v>
          </cell>
          <cell r="N4662">
            <v>98551</v>
          </cell>
        </row>
        <row r="4663">
          <cell r="A4663">
            <v>35831</v>
          </cell>
          <cell r="B4663">
            <v>4657</v>
          </cell>
          <cell r="C4663" t="str">
            <v>IASWD2412000383</v>
          </cell>
          <cell r="D4663">
            <v>45651</v>
          </cell>
          <cell r="E4663">
            <v>46180</v>
          </cell>
          <cell r="F4663" t="str">
            <v>35831</v>
          </cell>
          <cell r="G4663" t="str">
            <v>辛耘一</v>
          </cell>
          <cell r="H4663">
            <v>100000</v>
          </cell>
          <cell r="I4663">
            <v>3</v>
          </cell>
          <cell r="J4663">
            <v>46180</v>
          </cell>
          <cell r="K4663">
            <v>100</v>
          </cell>
          <cell r="L4663">
            <v>46161</v>
          </cell>
          <cell r="M4663">
            <v>-1159</v>
          </cell>
          <cell r="N4663">
            <v>98841</v>
          </cell>
        </row>
        <row r="4664">
          <cell r="A4664">
            <v>34912</v>
          </cell>
          <cell r="B4664">
            <v>4658</v>
          </cell>
          <cell r="C4664" t="str">
            <v>IASWD2412000384</v>
          </cell>
          <cell r="D4664">
            <v>45651</v>
          </cell>
          <cell r="E4664">
            <v>46627</v>
          </cell>
          <cell r="F4664" t="str">
            <v>34912</v>
          </cell>
          <cell r="G4664" t="str">
            <v>昇達科二</v>
          </cell>
          <cell r="H4664">
            <v>100000</v>
          </cell>
          <cell r="I4664">
            <v>3</v>
          </cell>
          <cell r="J4664">
            <v>46627</v>
          </cell>
          <cell r="K4664">
            <v>100</v>
          </cell>
          <cell r="L4664">
            <v>46609</v>
          </cell>
          <cell r="M4664">
            <v>-1159</v>
          </cell>
          <cell r="N4664">
            <v>98841</v>
          </cell>
        </row>
        <row r="4665">
          <cell r="A4665">
            <v>50097</v>
          </cell>
          <cell r="B4665">
            <v>4659</v>
          </cell>
          <cell r="C4665" t="str">
            <v>IASWD2412000385</v>
          </cell>
          <cell r="D4665">
            <v>45651</v>
          </cell>
          <cell r="E4665">
            <v>46234</v>
          </cell>
          <cell r="F4665" t="str">
            <v>50097</v>
          </cell>
          <cell r="G4665" t="str">
            <v>榮剛七</v>
          </cell>
          <cell r="H4665">
            <v>100000</v>
          </cell>
          <cell r="I4665">
            <v>4.0999999999999996</v>
          </cell>
          <cell r="J4665">
            <v>46234</v>
          </cell>
          <cell r="K4665">
            <v>101.51</v>
          </cell>
          <cell r="L4665">
            <v>46216</v>
          </cell>
          <cell r="M4665">
            <v>-1584</v>
          </cell>
          <cell r="N4665">
            <v>98416</v>
          </cell>
        </row>
        <row r="4666">
          <cell r="A4666">
            <v>15364</v>
          </cell>
          <cell r="B4666">
            <v>4660</v>
          </cell>
          <cell r="C4666" t="str">
            <v>IASWD2412000386</v>
          </cell>
          <cell r="D4666">
            <v>45651</v>
          </cell>
          <cell r="E4666">
            <v>46246</v>
          </cell>
          <cell r="F4666" t="str">
            <v>15364</v>
          </cell>
          <cell r="G4666" t="str">
            <v>和大四</v>
          </cell>
          <cell r="H4666">
            <v>300000</v>
          </cell>
          <cell r="I4666">
            <v>4</v>
          </cell>
          <cell r="J4666">
            <v>46246</v>
          </cell>
          <cell r="K4666">
            <v>100</v>
          </cell>
          <cell r="L4666">
            <v>46226</v>
          </cell>
          <cell r="M4666">
            <v>-4636</v>
          </cell>
          <cell r="N4666">
            <v>295364</v>
          </cell>
        </row>
        <row r="4667">
          <cell r="A4667">
            <v>11011</v>
          </cell>
          <cell r="B4667">
            <v>4661</v>
          </cell>
          <cell r="C4667" t="str">
            <v>IASWD2412000387</v>
          </cell>
          <cell r="D4667">
            <v>45651</v>
          </cell>
          <cell r="E4667">
            <v>46731</v>
          </cell>
          <cell r="F4667" t="str">
            <v>11011</v>
          </cell>
          <cell r="G4667" t="str">
            <v>台泥一永</v>
          </cell>
          <cell r="H4667">
            <v>500000</v>
          </cell>
          <cell r="I4667">
            <v>2.8</v>
          </cell>
          <cell r="J4667">
            <v>46731</v>
          </cell>
          <cell r="K4667">
            <v>100</v>
          </cell>
          <cell r="L4667">
            <v>46713</v>
          </cell>
          <cell r="M4667">
            <v>-5408</v>
          </cell>
          <cell r="N4667">
            <v>494592</v>
          </cell>
        </row>
        <row r="4668">
          <cell r="A4668">
            <v>34912</v>
          </cell>
          <cell r="B4668">
            <v>4662</v>
          </cell>
          <cell r="C4668" t="str">
            <v>IASWD2412000388</v>
          </cell>
          <cell r="D4668">
            <v>45651</v>
          </cell>
          <cell r="E4668">
            <v>46627</v>
          </cell>
          <cell r="F4668" t="str">
            <v>34912</v>
          </cell>
          <cell r="G4668" t="str">
            <v>昇達科二</v>
          </cell>
          <cell r="H4668">
            <v>100000</v>
          </cell>
          <cell r="I4668">
            <v>3</v>
          </cell>
          <cell r="J4668">
            <v>46627</v>
          </cell>
          <cell r="K4668">
            <v>100</v>
          </cell>
          <cell r="L4668">
            <v>46609</v>
          </cell>
          <cell r="M4668">
            <v>-1159</v>
          </cell>
          <cell r="N4668">
            <v>98841</v>
          </cell>
        </row>
        <row r="4669">
          <cell r="A4669">
            <v>11011</v>
          </cell>
          <cell r="B4669">
            <v>4663</v>
          </cell>
          <cell r="C4669" t="str">
            <v>IASWD2412000390</v>
          </cell>
          <cell r="D4669">
            <v>45651</v>
          </cell>
          <cell r="E4669">
            <v>46731</v>
          </cell>
          <cell r="F4669" t="str">
            <v>11011</v>
          </cell>
          <cell r="G4669" t="str">
            <v>台泥一永</v>
          </cell>
          <cell r="H4669">
            <v>34500000</v>
          </cell>
          <cell r="I4669">
            <v>2.8</v>
          </cell>
          <cell r="J4669">
            <v>46731</v>
          </cell>
          <cell r="K4669">
            <v>100</v>
          </cell>
          <cell r="L4669">
            <v>46713</v>
          </cell>
          <cell r="M4669">
            <v>-373167</v>
          </cell>
          <cell r="N4669">
            <v>34126833</v>
          </cell>
        </row>
        <row r="4670">
          <cell r="A4670">
            <v>45721</v>
          </cell>
          <cell r="B4670">
            <v>4664</v>
          </cell>
          <cell r="C4670" t="str">
            <v>IASWD2412000391</v>
          </cell>
          <cell r="D4670">
            <v>45651</v>
          </cell>
          <cell r="E4670">
            <v>46219</v>
          </cell>
          <cell r="F4670" t="str">
            <v>45721</v>
          </cell>
          <cell r="G4670" t="str">
            <v>駐龍一</v>
          </cell>
          <cell r="H4670">
            <v>500000</v>
          </cell>
          <cell r="I4670">
            <v>3.5</v>
          </cell>
          <cell r="J4670">
            <v>46219</v>
          </cell>
          <cell r="K4670">
            <v>100</v>
          </cell>
          <cell r="L4670">
            <v>46199</v>
          </cell>
          <cell r="M4670">
            <v>-6760</v>
          </cell>
          <cell r="N4670">
            <v>493240</v>
          </cell>
        </row>
        <row r="4671">
          <cell r="A4671">
            <v>15364</v>
          </cell>
          <cell r="B4671">
            <v>4665</v>
          </cell>
          <cell r="C4671" t="str">
            <v>IASWD2412000392</v>
          </cell>
          <cell r="D4671">
            <v>45651</v>
          </cell>
          <cell r="E4671">
            <v>46246</v>
          </cell>
          <cell r="F4671" t="str">
            <v>15364</v>
          </cell>
          <cell r="G4671" t="str">
            <v>和大四</v>
          </cell>
          <cell r="H4671">
            <v>100000</v>
          </cell>
          <cell r="I4671">
            <v>4</v>
          </cell>
          <cell r="J4671">
            <v>46246</v>
          </cell>
          <cell r="K4671">
            <v>100</v>
          </cell>
          <cell r="L4671">
            <v>46226</v>
          </cell>
          <cell r="M4671">
            <v>-1545</v>
          </cell>
          <cell r="N4671">
            <v>98455</v>
          </cell>
        </row>
        <row r="4672">
          <cell r="A4672">
            <v>66642</v>
          </cell>
          <cell r="B4672">
            <v>4666</v>
          </cell>
          <cell r="C4672" t="str">
            <v>IASWD2412000393</v>
          </cell>
          <cell r="D4672">
            <v>45651</v>
          </cell>
          <cell r="E4672">
            <v>46710</v>
          </cell>
          <cell r="F4672" t="str">
            <v>66642</v>
          </cell>
          <cell r="G4672" t="str">
            <v>群翊二</v>
          </cell>
          <cell r="H4672">
            <v>100000</v>
          </cell>
          <cell r="I4672">
            <v>4</v>
          </cell>
          <cell r="J4672">
            <v>46710</v>
          </cell>
          <cell r="K4672">
            <v>100</v>
          </cell>
          <cell r="L4672">
            <v>46692</v>
          </cell>
          <cell r="M4672">
            <v>-1545</v>
          </cell>
          <cell r="N4672">
            <v>98455</v>
          </cell>
        </row>
        <row r="4673">
          <cell r="A4673">
            <v>68301</v>
          </cell>
          <cell r="B4673">
            <v>4667</v>
          </cell>
          <cell r="C4673" t="str">
            <v>IASWD2412000394</v>
          </cell>
          <cell r="D4673">
            <v>45651</v>
          </cell>
          <cell r="E4673">
            <v>46249</v>
          </cell>
          <cell r="F4673" t="str">
            <v>68301</v>
          </cell>
          <cell r="G4673" t="str">
            <v>汎銓一</v>
          </cell>
          <cell r="H4673">
            <v>100000</v>
          </cell>
          <cell r="I4673">
            <v>3</v>
          </cell>
          <cell r="J4673">
            <v>46249</v>
          </cell>
          <cell r="K4673">
            <v>100</v>
          </cell>
          <cell r="L4673">
            <v>46231</v>
          </cell>
          <cell r="M4673">
            <v>-1159</v>
          </cell>
          <cell r="N4673">
            <v>98841</v>
          </cell>
        </row>
        <row r="4674">
          <cell r="A4674">
            <v>23682</v>
          </cell>
          <cell r="B4674">
            <v>4668</v>
          </cell>
          <cell r="C4674" t="str">
            <v>IASWD2412000395</v>
          </cell>
          <cell r="D4674">
            <v>45651</v>
          </cell>
          <cell r="E4674">
            <v>46361</v>
          </cell>
          <cell r="F4674" t="str">
            <v>23682</v>
          </cell>
          <cell r="G4674" t="str">
            <v>金像電二</v>
          </cell>
          <cell r="H4674">
            <v>200000</v>
          </cell>
          <cell r="I4674">
            <v>2.6</v>
          </cell>
          <cell r="J4674">
            <v>46361</v>
          </cell>
          <cell r="K4674">
            <v>100</v>
          </cell>
          <cell r="L4674">
            <v>46343</v>
          </cell>
          <cell r="M4674">
            <v>-2009</v>
          </cell>
          <cell r="N4674">
            <v>197991</v>
          </cell>
        </row>
        <row r="4675">
          <cell r="A4675">
            <v>26417</v>
          </cell>
          <cell r="B4675">
            <v>4669</v>
          </cell>
          <cell r="C4675" t="str">
            <v>IASWD2412000396</v>
          </cell>
          <cell r="D4675">
            <v>45651</v>
          </cell>
          <cell r="E4675">
            <v>46594</v>
          </cell>
          <cell r="F4675" t="str">
            <v>26417</v>
          </cell>
          <cell r="G4675" t="str">
            <v>正德七</v>
          </cell>
          <cell r="H4675">
            <v>500000</v>
          </cell>
          <cell r="I4675">
            <v>4</v>
          </cell>
          <cell r="J4675">
            <v>46594</v>
          </cell>
          <cell r="K4675">
            <v>100</v>
          </cell>
          <cell r="L4675">
            <v>46574</v>
          </cell>
          <cell r="M4675">
            <v>-7726</v>
          </cell>
          <cell r="N4675">
            <v>492274</v>
          </cell>
        </row>
        <row r="4676">
          <cell r="A4676">
            <v>30882</v>
          </cell>
          <cell r="B4676">
            <v>4670</v>
          </cell>
          <cell r="C4676" t="str">
            <v>IASWD2412000397</v>
          </cell>
          <cell r="D4676">
            <v>45652</v>
          </cell>
          <cell r="E4676">
            <v>46262</v>
          </cell>
          <cell r="F4676" t="str">
            <v>30882</v>
          </cell>
          <cell r="G4676" t="str">
            <v>艾訊二</v>
          </cell>
          <cell r="H4676">
            <v>100000</v>
          </cell>
          <cell r="I4676">
            <v>3.25</v>
          </cell>
          <cell r="J4676">
            <v>46262</v>
          </cell>
          <cell r="K4676">
            <v>100</v>
          </cell>
          <cell r="L4676">
            <v>46244</v>
          </cell>
          <cell r="M4676">
            <v>-1247</v>
          </cell>
          <cell r="N4676">
            <v>98753</v>
          </cell>
        </row>
        <row r="4677">
          <cell r="A4677">
            <v>37023</v>
          </cell>
          <cell r="B4677">
            <v>4671</v>
          </cell>
          <cell r="C4677" t="str">
            <v>IASWD2412000398</v>
          </cell>
          <cell r="D4677">
            <v>45652</v>
          </cell>
          <cell r="E4677">
            <v>46712</v>
          </cell>
          <cell r="F4677" t="str">
            <v>37023</v>
          </cell>
          <cell r="G4677" t="str">
            <v>大聯大三</v>
          </cell>
          <cell r="H4677">
            <v>100000</v>
          </cell>
          <cell r="I4677">
            <v>2.7</v>
          </cell>
          <cell r="J4677">
            <v>46712</v>
          </cell>
          <cell r="K4677">
            <v>100</v>
          </cell>
          <cell r="L4677">
            <v>46693</v>
          </cell>
          <cell r="M4677">
            <v>-1036</v>
          </cell>
          <cell r="N4677">
            <v>98964</v>
          </cell>
        </row>
        <row r="4678">
          <cell r="A4678">
            <v>34163</v>
          </cell>
          <cell r="B4678">
            <v>4672</v>
          </cell>
          <cell r="C4678" t="str">
            <v>IASWD2412000399</v>
          </cell>
          <cell r="D4678">
            <v>45652</v>
          </cell>
          <cell r="E4678">
            <v>46047</v>
          </cell>
          <cell r="F4678" t="str">
            <v>34163</v>
          </cell>
          <cell r="G4678" t="str">
            <v>融程電三</v>
          </cell>
          <cell r="H4678">
            <v>200000</v>
          </cell>
          <cell r="I4678">
            <v>3</v>
          </cell>
          <cell r="J4678">
            <v>46047</v>
          </cell>
          <cell r="K4678">
            <v>100.5</v>
          </cell>
          <cell r="L4678">
            <v>46028</v>
          </cell>
          <cell r="M4678">
            <v>-2301</v>
          </cell>
          <cell r="N4678">
            <v>197699</v>
          </cell>
        </row>
        <row r="4679">
          <cell r="A4679">
            <v>61843</v>
          </cell>
          <cell r="B4679">
            <v>4673</v>
          </cell>
          <cell r="C4679" t="str">
            <v>IASWD2412000401</v>
          </cell>
          <cell r="D4679">
            <v>45652</v>
          </cell>
          <cell r="E4679">
            <v>46452</v>
          </cell>
          <cell r="F4679" t="str">
            <v>61843</v>
          </cell>
          <cell r="G4679" t="str">
            <v>大豐電三</v>
          </cell>
          <cell r="H4679">
            <v>500000</v>
          </cell>
          <cell r="I4679">
            <v>3.75</v>
          </cell>
          <cell r="J4679">
            <v>46452</v>
          </cell>
          <cell r="K4679">
            <v>101.50749999999999</v>
          </cell>
          <cell r="L4679">
            <v>46434</v>
          </cell>
          <cell r="M4679">
            <v>-7192</v>
          </cell>
          <cell r="N4679">
            <v>492808</v>
          </cell>
        </row>
        <row r="4680">
          <cell r="A4680">
            <v>61973</v>
          </cell>
          <cell r="B4680">
            <v>4674</v>
          </cell>
          <cell r="C4680" t="str">
            <v>IASWD2412000402</v>
          </cell>
          <cell r="D4680">
            <v>45652</v>
          </cell>
          <cell r="E4680">
            <v>46675</v>
          </cell>
          <cell r="F4680" t="str">
            <v>61973</v>
          </cell>
          <cell r="G4680" t="str">
            <v>佳必琪三</v>
          </cell>
          <cell r="H4680">
            <v>100000</v>
          </cell>
          <cell r="I4680">
            <v>3</v>
          </cell>
          <cell r="J4680">
            <v>46675</v>
          </cell>
          <cell r="K4680">
            <v>100</v>
          </cell>
          <cell r="L4680">
            <v>46657</v>
          </cell>
          <cell r="M4680">
            <v>-1151</v>
          </cell>
          <cell r="N4680">
            <v>98849</v>
          </cell>
        </row>
        <row r="4681">
          <cell r="A4681">
            <v>23682</v>
          </cell>
          <cell r="B4681">
            <v>4675</v>
          </cell>
          <cell r="C4681" t="str">
            <v>IASWD2412000403</v>
          </cell>
          <cell r="D4681">
            <v>45652</v>
          </cell>
          <cell r="E4681">
            <v>46361</v>
          </cell>
          <cell r="F4681" t="str">
            <v>23682</v>
          </cell>
          <cell r="G4681" t="str">
            <v>金像電二</v>
          </cell>
          <cell r="H4681">
            <v>100000</v>
          </cell>
          <cell r="I4681">
            <v>2.6</v>
          </cell>
          <cell r="J4681">
            <v>46361</v>
          </cell>
          <cell r="K4681">
            <v>100</v>
          </cell>
          <cell r="L4681">
            <v>46343</v>
          </cell>
          <cell r="M4681">
            <v>-997</v>
          </cell>
          <cell r="N4681">
            <v>99003</v>
          </cell>
        </row>
        <row r="4682">
          <cell r="A4682">
            <v>30882</v>
          </cell>
          <cell r="B4682">
            <v>4676</v>
          </cell>
          <cell r="C4682" t="str">
            <v>IASWD2412000404</v>
          </cell>
          <cell r="D4682">
            <v>45652</v>
          </cell>
          <cell r="E4682">
            <v>46262</v>
          </cell>
          <cell r="F4682" t="str">
            <v>30882</v>
          </cell>
          <cell r="G4682" t="str">
            <v>艾訊二</v>
          </cell>
          <cell r="H4682">
            <v>100000</v>
          </cell>
          <cell r="I4682">
            <v>3.25</v>
          </cell>
          <cell r="J4682">
            <v>46262</v>
          </cell>
          <cell r="K4682">
            <v>100</v>
          </cell>
          <cell r="L4682">
            <v>46244</v>
          </cell>
          <cell r="M4682">
            <v>-1247</v>
          </cell>
          <cell r="N4682">
            <v>98753</v>
          </cell>
        </row>
        <row r="4683">
          <cell r="A4683">
            <v>23682</v>
          </cell>
          <cell r="B4683">
            <v>4677</v>
          </cell>
          <cell r="C4683" t="str">
            <v>IASWD2412000405</v>
          </cell>
          <cell r="D4683">
            <v>45652</v>
          </cell>
          <cell r="E4683">
            <v>46361</v>
          </cell>
          <cell r="F4683" t="str">
            <v>23682</v>
          </cell>
          <cell r="G4683" t="str">
            <v>金像電二</v>
          </cell>
          <cell r="H4683">
            <v>100000</v>
          </cell>
          <cell r="I4683">
            <v>2.6</v>
          </cell>
          <cell r="J4683">
            <v>46361</v>
          </cell>
          <cell r="K4683">
            <v>100</v>
          </cell>
          <cell r="L4683">
            <v>46343</v>
          </cell>
          <cell r="M4683">
            <v>-997</v>
          </cell>
          <cell r="N4683">
            <v>99003</v>
          </cell>
        </row>
        <row r="4684">
          <cell r="A4684">
            <v>37022</v>
          </cell>
          <cell r="B4684">
            <v>4678</v>
          </cell>
          <cell r="C4684" t="str">
            <v>IASWD2412000406</v>
          </cell>
          <cell r="D4684">
            <v>45652</v>
          </cell>
          <cell r="E4684">
            <v>46702</v>
          </cell>
          <cell r="F4684" t="str">
            <v>37022</v>
          </cell>
          <cell r="G4684" t="str">
            <v>大聯大二</v>
          </cell>
          <cell r="H4684">
            <v>400000</v>
          </cell>
          <cell r="I4684">
            <v>2.7</v>
          </cell>
          <cell r="J4684">
            <v>46702</v>
          </cell>
          <cell r="K4684">
            <v>100</v>
          </cell>
          <cell r="L4684">
            <v>46682</v>
          </cell>
          <cell r="M4684">
            <v>-4142</v>
          </cell>
          <cell r="N4684">
            <v>395858</v>
          </cell>
        </row>
        <row r="4685">
          <cell r="A4685">
            <v>37023</v>
          </cell>
          <cell r="B4685">
            <v>4679</v>
          </cell>
          <cell r="C4685" t="str">
            <v>IASWD2412000407</v>
          </cell>
          <cell r="D4685">
            <v>45652</v>
          </cell>
          <cell r="E4685">
            <v>46712</v>
          </cell>
          <cell r="F4685" t="str">
            <v>37023</v>
          </cell>
          <cell r="G4685" t="str">
            <v>大聯大三</v>
          </cell>
          <cell r="H4685">
            <v>200000</v>
          </cell>
          <cell r="I4685">
            <v>2.7</v>
          </cell>
          <cell r="J4685">
            <v>46712</v>
          </cell>
          <cell r="K4685">
            <v>100</v>
          </cell>
          <cell r="L4685">
            <v>46693</v>
          </cell>
          <cell r="M4685">
            <v>-2071</v>
          </cell>
          <cell r="N4685">
            <v>197929</v>
          </cell>
        </row>
        <row r="4686">
          <cell r="A4686">
            <v>30882</v>
          </cell>
          <cell r="B4686">
            <v>4680</v>
          </cell>
          <cell r="C4686" t="str">
            <v>IASWD2412000408</v>
          </cell>
          <cell r="D4686">
            <v>45652</v>
          </cell>
          <cell r="E4686">
            <v>46262</v>
          </cell>
          <cell r="F4686" t="str">
            <v>30882</v>
          </cell>
          <cell r="G4686" t="str">
            <v>艾訊二</v>
          </cell>
          <cell r="H4686">
            <v>100000</v>
          </cell>
          <cell r="I4686">
            <v>3.25</v>
          </cell>
          <cell r="J4686">
            <v>46262</v>
          </cell>
          <cell r="K4686">
            <v>100</v>
          </cell>
          <cell r="L4686">
            <v>46244</v>
          </cell>
          <cell r="M4686">
            <v>-1247</v>
          </cell>
          <cell r="N4686">
            <v>98753</v>
          </cell>
        </row>
        <row r="4687">
          <cell r="A4687">
            <v>15364</v>
          </cell>
          <cell r="B4687">
            <v>4681</v>
          </cell>
          <cell r="C4687" t="str">
            <v>IASWD2412000409</v>
          </cell>
          <cell r="D4687">
            <v>45652</v>
          </cell>
          <cell r="E4687">
            <v>46246</v>
          </cell>
          <cell r="F4687" t="str">
            <v>15364</v>
          </cell>
          <cell r="G4687" t="str">
            <v>和大四</v>
          </cell>
          <cell r="H4687">
            <v>100000</v>
          </cell>
          <cell r="I4687">
            <v>4</v>
          </cell>
          <cell r="J4687">
            <v>46246</v>
          </cell>
          <cell r="K4687">
            <v>100</v>
          </cell>
          <cell r="L4687">
            <v>46226</v>
          </cell>
          <cell r="M4687">
            <v>-1534</v>
          </cell>
          <cell r="N4687">
            <v>98466</v>
          </cell>
        </row>
        <row r="4688">
          <cell r="A4688">
            <v>34912</v>
          </cell>
          <cell r="B4688">
            <v>4682</v>
          </cell>
          <cell r="C4688" t="str">
            <v>IASWD2412000410</v>
          </cell>
          <cell r="D4688">
            <v>45652</v>
          </cell>
          <cell r="E4688">
            <v>46627</v>
          </cell>
          <cell r="F4688" t="str">
            <v>34912</v>
          </cell>
          <cell r="G4688" t="str">
            <v>昇達科二</v>
          </cell>
          <cell r="H4688">
            <v>100000</v>
          </cell>
          <cell r="I4688">
            <v>3</v>
          </cell>
          <cell r="J4688">
            <v>46627</v>
          </cell>
          <cell r="K4688">
            <v>100</v>
          </cell>
          <cell r="L4688">
            <v>46609</v>
          </cell>
          <cell r="M4688">
            <v>-1151</v>
          </cell>
          <cell r="N4688">
            <v>98849</v>
          </cell>
        </row>
        <row r="4689">
          <cell r="A4689">
            <v>35832</v>
          </cell>
          <cell r="B4689">
            <v>4683</v>
          </cell>
          <cell r="C4689" t="str">
            <v>IASWD2412000412</v>
          </cell>
          <cell r="D4689">
            <v>45653</v>
          </cell>
          <cell r="E4689">
            <v>46192</v>
          </cell>
          <cell r="F4689" t="str">
            <v>35832</v>
          </cell>
          <cell r="G4689" t="str">
            <v>辛耘二</v>
          </cell>
          <cell r="H4689">
            <v>200000</v>
          </cell>
          <cell r="I4689">
            <v>3</v>
          </cell>
          <cell r="J4689">
            <v>46192</v>
          </cell>
          <cell r="K4689">
            <v>100</v>
          </cell>
          <cell r="L4689">
            <v>46174</v>
          </cell>
          <cell r="M4689">
            <v>-2285</v>
          </cell>
          <cell r="N4689">
            <v>197715</v>
          </cell>
        </row>
        <row r="4690">
          <cell r="A4690">
            <v>61875</v>
          </cell>
          <cell r="B4690">
            <v>4684</v>
          </cell>
          <cell r="C4690" t="str">
            <v>IASWD2412000413</v>
          </cell>
          <cell r="D4690">
            <v>45653</v>
          </cell>
          <cell r="E4690">
            <v>46578</v>
          </cell>
          <cell r="F4690" t="str">
            <v>61875</v>
          </cell>
          <cell r="G4690" t="str">
            <v>萬潤五</v>
          </cell>
          <cell r="H4690">
            <v>100000</v>
          </cell>
          <cell r="I4690">
            <v>3</v>
          </cell>
          <cell r="J4690">
            <v>46578</v>
          </cell>
          <cell r="K4690">
            <v>100</v>
          </cell>
          <cell r="L4690">
            <v>46560</v>
          </cell>
          <cell r="M4690">
            <v>-1142</v>
          </cell>
          <cell r="N4690">
            <v>98858</v>
          </cell>
        </row>
        <row r="4691">
          <cell r="A4691">
            <v>23682</v>
          </cell>
          <cell r="B4691">
            <v>4685</v>
          </cell>
          <cell r="C4691" t="str">
            <v>IASWD2412000414</v>
          </cell>
          <cell r="D4691">
            <v>45653</v>
          </cell>
          <cell r="E4691">
            <v>46361</v>
          </cell>
          <cell r="F4691" t="str">
            <v>23682</v>
          </cell>
          <cell r="G4691" t="str">
            <v>金像電二</v>
          </cell>
          <cell r="H4691">
            <v>100000</v>
          </cell>
          <cell r="I4691">
            <v>2.6</v>
          </cell>
          <cell r="J4691">
            <v>46361</v>
          </cell>
          <cell r="K4691">
            <v>100</v>
          </cell>
          <cell r="L4691">
            <v>46343</v>
          </cell>
          <cell r="M4691">
            <v>-990</v>
          </cell>
          <cell r="N4691">
            <v>99010</v>
          </cell>
        </row>
        <row r="4692">
          <cell r="A4692">
            <v>35831</v>
          </cell>
          <cell r="B4692">
            <v>4686</v>
          </cell>
          <cell r="C4692" t="str">
            <v>IASWD2412000415</v>
          </cell>
          <cell r="D4692">
            <v>45653</v>
          </cell>
          <cell r="E4692">
            <v>46180</v>
          </cell>
          <cell r="F4692" t="str">
            <v>35831</v>
          </cell>
          <cell r="G4692" t="str">
            <v>辛耘一</v>
          </cell>
          <cell r="H4692">
            <v>100000</v>
          </cell>
          <cell r="I4692">
            <v>3</v>
          </cell>
          <cell r="J4692">
            <v>46180</v>
          </cell>
          <cell r="K4692">
            <v>100</v>
          </cell>
          <cell r="L4692">
            <v>46161</v>
          </cell>
          <cell r="M4692">
            <v>-1142</v>
          </cell>
          <cell r="N4692">
            <v>98858</v>
          </cell>
        </row>
        <row r="4693">
          <cell r="A4693">
            <v>23682</v>
          </cell>
          <cell r="B4693">
            <v>4687</v>
          </cell>
          <cell r="C4693" t="str">
            <v>IASWD2412000416</v>
          </cell>
          <cell r="D4693">
            <v>45653</v>
          </cell>
          <cell r="E4693">
            <v>46361</v>
          </cell>
          <cell r="F4693" t="str">
            <v>23682</v>
          </cell>
          <cell r="G4693" t="str">
            <v>金像電二</v>
          </cell>
          <cell r="H4693">
            <v>300000</v>
          </cell>
          <cell r="I4693">
            <v>2.6</v>
          </cell>
          <cell r="J4693">
            <v>46361</v>
          </cell>
          <cell r="K4693">
            <v>100</v>
          </cell>
          <cell r="L4693">
            <v>46343</v>
          </cell>
          <cell r="M4693">
            <v>-2970</v>
          </cell>
          <cell r="N4693">
            <v>297030</v>
          </cell>
        </row>
        <row r="4694">
          <cell r="A4694">
            <v>50097</v>
          </cell>
          <cell r="B4694">
            <v>4688</v>
          </cell>
          <cell r="C4694" t="str">
            <v>IASWD2412000417</v>
          </cell>
          <cell r="D4694">
            <v>45653</v>
          </cell>
          <cell r="E4694">
            <v>46234</v>
          </cell>
          <cell r="F4694" t="str">
            <v>50097</v>
          </cell>
          <cell r="G4694" t="str">
            <v>榮剛七</v>
          </cell>
          <cell r="H4694">
            <v>100000</v>
          </cell>
          <cell r="I4694">
            <v>4.25</v>
          </cell>
          <cell r="J4694">
            <v>46234</v>
          </cell>
          <cell r="K4694">
            <v>101.51</v>
          </cell>
          <cell r="L4694">
            <v>46216</v>
          </cell>
          <cell r="M4694">
            <v>-1618</v>
          </cell>
          <cell r="N4694">
            <v>98382</v>
          </cell>
        </row>
        <row r="4695">
          <cell r="A4695">
            <v>61973</v>
          </cell>
          <cell r="B4695">
            <v>4689</v>
          </cell>
          <cell r="C4695" t="str">
            <v>IASWD2412000418</v>
          </cell>
          <cell r="D4695">
            <v>45653</v>
          </cell>
          <cell r="E4695">
            <v>46675</v>
          </cell>
          <cell r="F4695" t="str">
            <v>61973</v>
          </cell>
          <cell r="G4695" t="str">
            <v>佳必琪三</v>
          </cell>
          <cell r="H4695">
            <v>100000</v>
          </cell>
          <cell r="I4695">
            <v>3</v>
          </cell>
          <cell r="J4695">
            <v>46675</v>
          </cell>
          <cell r="K4695">
            <v>100</v>
          </cell>
          <cell r="L4695">
            <v>46657</v>
          </cell>
          <cell r="M4695">
            <v>-1142</v>
          </cell>
          <cell r="N4695">
            <v>98858</v>
          </cell>
        </row>
        <row r="4696">
          <cell r="A4696">
            <v>50097</v>
          </cell>
          <cell r="B4696">
            <v>4690</v>
          </cell>
          <cell r="C4696" t="str">
            <v>IASWD2412000419</v>
          </cell>
          <cell r="D4696">
            <v>45653</v>
          </cell>
          <cell r="E4696">
            <v>46234</v>
          </cell>
          <cell r="F4696" t="str">
            <v>50097</v>
          </cell>
          <cell r="G4696" t="str">
            <v>榮剛七</v>
          </cell>
          <cell r="H4696">
            <v>100000</v>
          </cell>
          <cell r="I4696">
            <v>4.25</v>
          </cell>
          <cell r="J4696">
            <v>46234</v>
          </cell>
          <cell r="K4696">
            <v>101.51</v>
          </cell>
          <cell r="L4696">
            <v>46216</v>
          </cell>
          <cell r="M4696">
            <v>-1618</v>
          </cell>
          <cell r="N4696">
            <v>98382</v>
          </cell>
        </row>
        <row r="4697">
          <cell r="A4697">
            <v>34834</v>
          </cell>
          <cell r="B4697">
            <v>4691</v>
          </cell>
          <cell r="C4697" t="str">
            <v>IASWD2412000421</v>
          </cell>
          <cell r="D4697">
            <v>45653</v>
          </cell>
          <cell r="E4697">
            <v>46529</v>
          </cell>
          <cell r="F4697" t="str">
            <v>34834</v>
          </cell>
          <cell r="G4697" t="str">
            <v>力致四</v>
          </cell>
          <cell r="H4697">
            <v>100000</v>
          </cell>
          <cell r="I4697">
            <v>3.75</v>
          </cell>
          <cell r="J4697">
            <v>46529</v>
          </cell>
          <cell r="K4697">
            <v>100</v>
          </cell>
          <cell r="L4697">
            <v>46511</v>
          </cell>
          <cell r="M4697">
            <v>-1428</v>
          </cell>
          <cell r="N4697">
            <v>98572</v>
          </cell>
        </row>
        <row r="4698">
          <cell r="A4698">
            <v>64145</v>
          </cell>
          <cell r="B4698">
            <v>4692</v>
          </cell>
          <cell r="C4698" t="str">
            <v>IASWD2412000422</v>
          </cell>
          <cell r="D4698">
            <v>45653</v>
          </cell>
          <cell r="E4698">
            <v>46250</v>
          </cell>
          <cell r="F4698" t="str">
            <v>64145</v>
          </cell>
          <cell r="G4698" t="str">
            <v>樺漢五</v>
          </cell>
          <cell r="H4698">
            <v>100000</v>
          </cell>
          <cell r="I4698">
            <v>3</v>
          </cell>
          <cell r="J4698">
            <v>46250</v>
          </cell>
          <cell r="K4698">
            <v>100</v>
          </cell>
          <cell r="L4698">
            <v>46231</v>
          </cell>
          <cell r="M4698">
            <v>-1142</v>
          </cell>
          <cell r="N4698">
            <v>98858</v>
          </cell>
        </row>
        <row r="4699">
          <cell r="A4699">
            <v>34163</v>
          </cell>
          <cell r="B4699">
            <v>4693</v>
          </cell>
          <cell r="C4699" t="str">
            <v>IASWD2412000423</v>
          </cell>
          <cell r="D4699">
            <v>45653</v>
          </cell>
          <cell r="E4699">
            <v>46047</v>
          </cell>
          <cell r="F4699" t="str">
            <v>34163</v>
          </cell>
          <cell r="G4699" t="str">
            <v>融程電三</v>
          </cell>
          <cell r="H4699">
            <v>700000</v>
          </cell>
          <cell r="I4699">
            <v>3</v>
          </cell>
          <cell r="J4699">
            <v>46047</v>
          </cell>
          <cell r="K4699">
            <v>100.5</v>
          </cell>
          <cell r="L4699">
            <v>46028</v>
          </cell>
          <cell r="M4699">
            <v>-7997</v>
          </cell>
          <cell r="N4699">
            <v>692003</v>
          </cell>
        </row>
        <row r="4700">
          <cell r="A4700">
            <v>66642</v>
          </cell>
          <cell r="B4700">
            <v>4694</v>
          </cell>
          <cell r="C4700" t="str">
            <v>IASWD2412000424</v>
          </cell>
          <cell r="D4700">
            <v>45653</v>
          </cell>
          <cell r="E4700">
            <v>46710</v>
          </cell>
          <cell r="F4700" t="str">
            <v>66642</v>
          </cell>
          <cell r="G4700" t="str">
            <v>群翊二</v>
          </cell>
          <cell r="H4700">
            <v>300000</v>
          </cell>
          <cell r="I4700">
            <v>3.75</v>
          </cell>
          <cell r="J4700">
            <v>46710</v>
          </cell>
          <cell r="K4700">
            <v>100</v>
          </cell>
          <cell r="L4700">
            <v>46692</v>
          </cell>
          <cell r="M4700">
            <v>-4284</v>
          </cell>
          <cell r="N4700">
            <v>295716</v>
          </cell>
        </row>
        <row r="4701">
          <cell r="A4701">
            <v>45721</v>
          </cell>
          <cell r="B4701">
            <v>4695</v>
          </cell>
          <cell r="C4701" t="str">
            <v>IASWD2412000425</v>
          </cell>
          <cell r="D4701">
            <v>45653</v>
          </cell>
          <cell r="E4701">
            <v>46219</v>
          </cell>
          <cell r="F4701" t="str">
            <v>45721</v>
          </cell>
          <cell r="G4701" t="str">
            <v>駐龍一</v>
          </cell>
          <cell r="H4701">
            <v>100000</v>
          </cell>
          <cell r="I4701">
            <v>3.5</v>
          </cell>
          <cell r="J4701">
            <v>46219</v>
          </cell>
          <cell r="K4701">
            <v>100</v>
          </cell>
          <cell r="L4701">
            <v>46199</v>
          </cell>
          <cell r="M4701">
            <v>-1333</v>
          </cell>
          <cell r="N4701">
            <v>98667</v>
          </cell>
        </row>
        <row r="4702">
          <cell r="A4702">
            <v>61965</v>
          </cell>
          <cell r="B4702">
            <v>4696</v>
          </cell>
          <cell r="C4702" t="str">
            <v>IASWD2412000426</v>
          </cell>
          <cell r="D4702">
            <v>45653</v>
          </cell>
          <cell r="E4702">
            <v>46200</v>
          </cell>
          <cell r="F4702" t="str">
            <v>61965</v>
          </cell>
          <cell r="G4702" t="str">
            <v>帆宣五</v>
          </cell>
          <cell r="H4702">
            <v>500000</v>
          </cell>
          <cell r="I4702">
            <v>3</v>
          </cell>
          <cell r="J4702">
            <v>46200</v>
          </cell>
          <cell r="K4702">
            <v>100</v>
          </cell>
          <cell r="L4702">
            <v>46182</v>
          </cell>
          <cell r="M4702">
            <v>-5712</v>
          </cell>
          <cell r="N4702">
            <v>494288</v>
          </cell>
        </row>
        <row r="4703">
          <cell r="A4703">
            <v>50097</v>
          </cell>
          <cell r="B4703">
            <v>4697</v>
          </cell>
          <cell r="C4703" t="str">
            <v>IASWD2412000428</v>
          </cell>
          <cell r="D4703">
            <v>45653</v>
          </cell>
          <cell r="E4703">
            <v>46234</v>
          </cell>
          <cell r="F4703" t="str">
            <v>50097</v>
          </cell>
          <cell r="G4703" t="str">
            <v>榮剛七</v>
          </cell>
          <cell r="H4703">
            <v>2000000</v>
          </cell>
          <cell r="I4703">
            <v>4.25</v>
          </cell>
          <cell r="J4703">
            <v>46234</v>
          </cell>
          <cell r="K4703">
            <v>101.51</v>
          </cell>
          <cell r="L4703">
            <v>46216</v>
          </cell>
          <cell r="M4703">
            <v>-32370</v>
          </cell>
          <cell r="N4703">
            <v>1967630</v>
          </cell>
        </row>
        <row r="4704">
          <cell r="A4704">
            <v>50097</v>
          </cell>
          <cell r="B4704">
            <v>4698</v>
          </cell>
          <cell r="C4704" t="str">
            <v>IASWD2412000429</v>
          </cell>
          <cell r="D4704">
            <v>45656</v>
          </cell>
          <cell r="E4704">
            <v>46234</v>
          </cell>
          <cell r="F4704" t="str">
            <v>50097</v>
          </cell>
          <cell r="G4704" t="str">
            <v>榮剛七</v>
          </cell>
          <cell r="H4704">
            <v>100000</v>
          </cell>
          <cell r="I4704">
            <v>4.25</v>
          </cell>
          <cell r="J4704">
            <v>46234</v>
          </cell>
          <cell r="K4704">
            <v>101.51</v>
          </cell>
          <cell r="L4704">
            <v>46216</v>
          </cell>
          <cell r="M4704">
            <v>-1584</v>
          </cell>
          <cell r="N4704">
            <v>98416</v>
          </cell>
        </row>
        <row r="4705">
          <cell r="A4705">
            <v>61394</v>
          </cell>
          <cell r="B4705">
            <v>4699</v>
          </cell>
          <cell r="C4705" t="str">
            <v>IASWD2412000430</v>
          </cell>
          <cell r="D4705">
            <v>45656</v>
          </cell>
          <cell r="E4705">
            <v>46047</v>
          </cell>
          <cell r="F4705" t="str">
            <v>61394</v>
          </cell>
          <cell r="G4705" t="str">
            <v>亞翔四</v>
          </cell>
          <cell r="H4705">
            <v>300000</v>
          </cell>
          <cell r="I4705">
            <v>3</v>
          </cell>
          <cell r="J4705">
            <v>46047</v>
          </cell>
          <cell r="K4705">
            <v>101.0025</v>
          </cell>
          <cell r="L4705">
            <v>46028</v>
          </cell>
          <cell r="M4705">
            <v>-3353</v>
          </cell>
          <cell r="N4705">
            <v>296647</v>
          </cell>
        </row>
        <row r="4706">
          <cell r="A4706">
            <v>50097</v>
          </cell>
          <cell r="B4706">
            <v>4700</v>
          </cell>
          <cell r="C4706" t="str">
            <v>IASWD2412000431</v>
          </cell>
          <cell r="D4706">
            <v>45656</v>
          </cell>
          <cell r="E4706">
            <v>46234</v>
          </cell>
          <cell r="F4706" t="str">
            <v>50097</v>
          </cell>
          <cell r="G4706" t="str">
            <v>榮剛七</v>
          </cell>
          <cell r="H4706">
            <v>400000</v>
          </cell>
          <cell r="I4706">
            <v>4.25</v>
          </cell>
          <cell r="J4706">
            <v>46234</v>
          </cell>
          <cell r="K4706">
            <v>101.51</v>
          </cell>
          <cell r="L4706">
            <v>46216</v>
          </cell>
          <cell r="M4706">
            <v>-6334</v>
          </cell>
          <cell r="N4706">
            <v>393666</v>
          </cell>
        </row>
        <row r="4707">
          <cell r="A4707">
            <v>64145</v>
          </cell>
          <cell r="B4707">
            <v>4701</v>
          </cell>
          <cell r="C4707" t="str">
            <v>IASWD2412000432</v>
          </cell>
          <cell r="D4707">
            <v>45656</v>
          </cell>
          <cell r="E4707">
            <v>46250</v>
          </cell>
          <cell r="F4707" t="str">
            <v>64145</v>
          </cell>
          <cell r="G4707" t="str">
            <v>樺漢五</v>
          </cell>
          <cell r="H4707">
            <v>100000</v>
          </cell>
          <cell r="I4707">
            <v>3</v>
          </cell>
          <cell r="J4707">
            <v>46250</v>
          </cell>
          <cell r="K4707">
            <v>100</v>
          </cell>
          <cell r="L4707">
            <v>46231</v>
          </cell>
          <cell r="M4707">
            <v>-1118</v>
          </cell>
          <cell r="N4707">
            <v>98882</v>
          </cell>
        </row>
        <row r="4708">
          <cell r="A4708">
            <v>23682</v>
          </cell>
          <cell r="B4708">
            <v>4702</v>
          </cell>
          <cell r="C4708" t="str">
            <v>IASWD2412000433</v>
          </cell>
          <cell r="D4708">
            <v>45656</v>
          </cell>
          <cell r="E4708">
            <v>46361</v>
          </cell>
          <cell r="F4708" t="str">
            <v>23682</v>
          </cell>
          <cell r="G4708" t="str">
            <v>金像電二</v>
          </cell>
          <cell r="H4708">
            <v>200000</v>
          </cell>
          <cell r="I4708">
            <v>2.6</v>
          </cell>
          <cell r="J4708">
            <v>46361</v>
          </cell>
          <cell r="K4708">
            <v>100</v>
          </cell>
          <cell r="L4708">
            <v>46343</v>
          </cell>
          <cell r="M4708">
            <v>-1938</v>
          </cell>
          <cell r="N4708">
            <v>198062</v>
          </cell>
        </row>
        <row r="4709">
          <cell r="A4709">
            <v>35832</v>
          </cell>
          <cell r="B4709">
            <v>4703</v>
          </cell>
          <cell r="C4709" t="str">
            <v>IASWD2412000434</v>
          </cell>
          <cell r="D4709">
            <v>45656</v>
          </cell>
          <cell r="E4709">
            <v>46192</v>
          </cell>
          <cell r="F4709" t="str">
            <v>35832</v>
          </cell>
          <cell r="G4709" t="str">
            <v>辛耘二</v>
          </cell>
          <cell r="H4709">
            <v>100000</v>
          </cell>
          <cell r="I4709">
            <v>3</v>
          </cell>
          <cell r="J4709">
            <v>46192</v>
          </cell>
          <cell r="K4709">
            <v>100</v>
          </cell>
          <cell r="L4709">
            <v>46174</v>
          </cell>
          <cell r="M4709">
            <v>-1118</v>
          </cell>
          <cell r="N4709">
            <v>98882</v>
          </cell>
        </row>
        <row r="4710">
          <cell r="A4710">
            <v>15364</v>
          </cell>
          <cell r="B4710">
            <v>4704</v>
          </cell>
          <cell r="C4710" t="str">
            <v>IASWD2412000435</v>
          </cell>
          <cell r="D4710">
            <v>45656</v>
          </cell>
          <cell r="E4710">
            <v>46246</v>
          </cell>
          <cell r="F4710" t="str">
            <v>15364</v>
          </cell>
          <cell r="G4710" t="str">
            <v>和大四</v>
          </cell>
          <cell r="H4710">
            <v>100000</v>
          </cell>
          <cell r="I4710">
            <v>4</v>
          </cell>
          <cell r="J4710">
            <v>46246</v>
          </cell>
          <cell r="K4710">
            <v>100</v>
          </cell>
          <cell r="L4710">
            <v>46226</v>
          </cell>
          <cell r="M4710">
            <v>-1490</v>
          </cell>
          <cell r="N4710">
            <v>98510</v>
          </cell>
        </row>
        <row r="4711">
          <cell r="A4711">
            <v>34163</v>
          </cell>
          <cell r="B4711">
            <v>4705</v>
          </cell>
          <cell r="C4711" t="str">
            <v>IASWD2412000436</v>
          </cell>
          <cell r="D4711">
            <v>45656</v>
          </cell>
          <cell r="E4711">
            <v>46047</v>
          </cell>
          <cell r="F4711" t="str">
            <v>34163</v>
          </cell>
          <cell r="G4711" t="str">
            <v>融程電三</v>
          </cell>
          <cell r="H4711">
            <v>3100000</v>
          </cell>
          <cell r="I4711">
            <v>3</v>
          </cell>
          <cell r="J4711">
            <v>46047</v>
          </cell>
          <cell r="K4711">
            <v>100.5</v>
          </cell>
          <cell r="L4711">
            <v>46028</v>
          </cell>
          <cell r="M4711">
            <v>-34652</v>
          </cell>
          <cell r="N4711">
            <v>3065348</v>
          </cell>
        </row>
        <row r="4712">
          <cell r="A4712">
            <v>35831</v>
          </cell>
          <cell r="B4712">
            <v>4706</v>
          </cell>
          <cell r="C4712" t="str">
            <v>IASWD2412000437</v>
          </cell>
          <cell r="D4712">
            <v>45656</v>
          </cell>
          <cell r="E4712">
            <v>46180</v>
          </cell>
          <cell r="F4712" t="str">
            <v>35831</v>
          </cell>
          <cell r="G4712" t="str">
            <v>辛耘一</v>
          </cell>
          <cell r="H4712">
            <v>100000</v>
          </cell>
          <cell r="I4712">
            <v>3</v>
          </cell>
          <cell r="J4712">
            <v>46180</v>
          </cell>
          <cell r="K4712">
            <v>100</v>
          </cell>
          <cell r="L4712">
            <v>46161</v>
          </cell>
          <cell r="M4712">
            <v>-1118</v>
          </cell>
          <cell r="N4712">
            <v>98882</v>
          </cell>
        </row>
        <row r="4713">
          <cell r="A4713">
            <v>37023</v>
          </cell>
          <cell r="B4713">
            <v>4707</v>
          </cell>
          <cell r="C4713" t="str">
            <v>IASWD2412000438</v>
          </cell>
          <cell r="D4713">
            <v>45656</v>
          </cell>
          <cell r="E4713">
            <v>46712</v>
          </cell>
          <cell r="F4713" t="str">
            <v>37023</v>
          </cell>
          <cell r="G4713" t="str">
            <v>大聯大三</v>
          </cell>
          <cell r="H4713">
            <v>300000</v>
          </cell>
          <cell r="I4713">
            <v>2.7</v>
          </cell>
          <cell r="J4713">
            <v>46712</v>
          </cell>
          <cell r="K4713">
            <v>100</v>
          </cell>
          <cell r="L4713">
            <v>46693</v>
          </cell>
          <cell r="M4713">
            <v>-3018</v>
          </cell>
          <cell r="N4713">
            <v>296982</v>
          </cell>
        </row>
        <row r="4714">
          <cell r="A4714">
            <v>64145</v>
          </cell>
          <cell r="B4714">
            <v>4708</v>
          </cell>
          <cell r="C4714" t="str">
            <v>IASWD2412000439</v>
          </cell>
          <cell r="D4714">
            <v>45656</v>
          </cell>
          <cell r="E4714">
            <v>46250</v>
          </cell>
          <cell r="F4714" t="str">
            <v>64145</v>
          </cell>
          <cell r="G4714" t="str">
            <v>樺漢五</v>
          </cell>
          <cell r="H4714">
            <v>1200000</v>
          </cell>
          <cell r="I4714">
            <v>3</v>
          </cell>
          <cell r="J4714">
            <v>46250</v>
          </cell>
          <cell r="K4714">
            <v>100</v>
          </cell>
          <cell r="L4714">
            <v>46231</v>
          </cell>
          <cell r="M4714">
            <v>-13414</v>
          </cell>
          <cell r="N4714">
            <v>1186586</v>
          </cell>
        </row>
        <row r="4715">
          <cell r="A4715">
            <v>27323</v>
          </cell>
          <cell r="B4715">
            <v>4709</v>
          </cell>
          <cell r="C4715" t="str">
            <v>IASWD2412000440</v>
          </cell>
          <cell r="D4715">
            <v>45656</v>
          </cell>
          <cell r="E4715">
            <v>46048</v>
          </cell>
          <cell r="F4715" t="str">
            <v>27323</v>
          </cell>
          <cell r="G4715" t="str">
            <v>六角三</v>
          </cell>
          <cell r="H4715">
            <v>100000</v>
          </cell>
          <cell r="I4715">
            <v>3</v>
          </cell>
          <cell r="J4715">
            <v>46048</v>
          </cell>
          <cell r="K4715">
            <v>101</v>
          </cell>
          <cell r="L4715">
            <v>46028</v>
          </cell>
          <cell r="M4715">
            <v>-1118</v>
          </cell>
          <cell r="N4715">
            <v>98882</v>
          </cell>
        </row>
        <row r="4716">
          <cell r="A4716">
            <v>30882</v>
          </cell>
          <cell r="B4716">
            <v>4710</v>
          </cell>
          <cell r="C4716" t="str">
            <v>IASWD2412000441</v>
          </cell>
          <cell r="D4716">
            <v>45656</v>
          </cell>
          <cell r="E4716">
            <v>46262</v>
          </cell>
          <cell r="F4716" t="str">
            <v>30882</v>
          </cell>
          <cell r="G4716" t="str">
            <v>艾訊二</v>
          </cell>
          <cell r="H4716">
            <v>200000</v>
          </cell>
          <cell r="I4716">
            <v>3.25</v>
          </cell>
          <cell r="J4716">
            <v>46262</v>
          </cell>
          <cell r="K4716">
            <v>100</v>
          </cell>
          <cell r="L4716">
            <v>46244</v>
          </cell>
          <cell r="M4716">
            <v>-2422</v>
          </cell>
          <cell r="N4716">
            <v>197578</v>
          </cell>
        </row>
        <row r="4717">
          <cell r="A4717">
            <v>15364</v>
          </cell>
          <cell r="B4717">
            <v>4711</v>
          </cell>
          <cell r="C4717" t="str">
            <v>IASWD2412000442</v>
          </cell>
          <cell r="D4717">
            <v>45657</v>
          </cell>
          <cell r="E4717">
            <v>46246</v>
          </cell>
          <cell r="F4717" t="str">
            <v>15364</v>
          </cell>
          <cell r="G4717" t="str">
            <v>和大四</v>
          </cell>
          <cell r="H4717">
            <v>200000</v>
          </cell>
          <cell r="I4717">
            <v>4</v>
          </cell>
          <cell r="J4717">
            <v>46246</v>
          </cell>
          <cell r="K4717">
            <v>100</v>
          </cell>
          <cell r="L4717">
            <v>46226</v>
          </cell>
          <cell r="M4717">
            <v>-2959</v>
          </cell>
          <cell r="N4717">
            <v>197041</v>
          </cell>
        </row>
        <row r="4718">
          <cell r="A4718">
            <v>37023</v>
          </cell>
          <cell r="B4718">
            <v>4712</v>
          </cell>
          <cell r="C4718" t="str">
            <v>IASWD2412000443</v>
          </cell>
          <cell r="D4718">
            <v>45657</v>
          </cell>
          <cell r="E4718">
            <v>46712</v>
          </cell>
          <cell r="F4718" t="str">
            <v>37023</v>
          </cell>
          <cell r="G4718" t="str">
            <v>大聯大三</v>
          </cell>
          <cell r="H4718">
            <v>100000</v>
          </cell>
          <cell r="I4718">
            <v>2.7</v>
          </cell>
          <cell r="J4718">
            <v>46712</v>
          </cell>
          <cell r="K4718">
            <v>100</v>
          </cell>
          <cell r="L4718">
            <v>46693</v>
          </cell>
          <cell r="M4718">
            <v>-999</v>
          </cell>
          <cell r="N4718">
            <v>99001</v>
          </cell>
        </row>
        <row r="4719">
          <cell r="A4719">
            <v>15364</v>
          </cell>
          <cell r="B4719">
            <v>4713</v>
          </cell>
          <cell r="C4719" t="str">
            <v>IASWD2412000444</v>
          </cell>
          <cell r="D4719">
            <v>45657</v>
          </cell>
          <cell r="E4719">
            <v>46246</v>
          </cell>
          <cell r="F4719" t="str">
            <v>15364</v>
          </cell>
          <cell r="G4719" t="str">
            <v>和大四</v>
          </cell>
          <cell r="H4719">
            <v>300000</v>
          </cell>
          <cell r="I4719">
            <v>4</v>
          </cell>
          <cell r="J4719">
            <v>46246</v>
          </cell>
          <cell r="K4719">
            <v>100</v>
          </cell>
          <cell r="L4719">
            <v>46226</v>
          </cell>
          <cell r="M4719">
            <v>-4438</v>
          </cell>
          <cell r="N4719">
            <v>295562</v>
          </cell>
        </row>
        <row r="4720">
          <cell r="A4720">
            <v>37022</v>
          </cell>
          <cell r="B4720">
            <v>4714</v>
          </cell>
          <cell r="C4720" t="str">
            <v>IASWD2412000445</v>
          </cell>
          <cell r="D4720">
            <v>45657</v>
          </cell>
          <cell r="E4720">
            <v>46702</v>
          </cell>
          <cell r="F4720" t="str">
            <v>37022</v>
          </cell>
          <cell r="G4720" t="str">
            <v>大聯大二</v>
          </cell>
          <cell r="H4720">
            <v>200000</v>
          </cell>
          <cell r="I4720">
            <v>2.7</v>
          </cell>
          <cell r="J4720">
            <v>46702</v>
          </cell>
          <cell r="K4720">
            <v>100</v>
          </cell>
          <cell r="L4720">
            <v>46682</v>
          </cell>
          <cell r="M4720">
            <v>-1997</v>
          </cell>
          <cell r="N4720">
            <v>198003</v>
          </cell>
        </row>
        <row r="4721">
          <cell r="A4721">
            <v>15364</v>
          </cell>
          <cell r="B4721">
            <v>4715</v>
          </cell>
          <cell r="C4721" t="str">
            <v>IASWD2412000446</v>
          </cell>
          <cell r="D4721">
            <v>45657</v>
          </cell>
          <cell r="E4721">
            <v>46246</v>
          </cell>
          <cell r="F4721" t="str">
            <v>15364</v>
          </cell>
          <cell r="G4721" t="str">
            <v>和大四</v>
          </cell>
          <cell r="H4721">
            <v>100000</v>
          </cell>
          <cell r="I4721">
            <v>4</v>
          </cell>
          <cell r="J4721">
            <v>46246</v>
          </cell>
          <cell r="K4721">
            <v>100</v>
          </cell>
          <cell r="L4721">
            <v>46226</v>
          </cell>
          <cell r="M4721">
            <v>-1479</v>
          </cell>
          <cell r="N4721">
            <v>98521</v>
          </cell>
        </row>
        <row r="4722">
          <cell r="A4722">
            <v>15364</v>
          </cell>
          <cell r="B4722">
            <v>4716</v>
          </cell>
          <cell r="C4722" t="str">
            <v>IASWD2412000447</v>
          </cell>
          <cell r="D4722">
            <v>45657</v>
          </cell>
          <cell r="E4722">
            <v>46246</v>
          </cell>
          <cell r="F4722" t="str">
            <v>15364</v>
          </cell>
          <cell r="G4722" t="str">
            <v>和大四</v>
          </cell>
          <cell r="H4722">
            <v>300000</v>
          </cell>
          <cell r="I4722">
            <v>4</v>
          </cell>
          <cell r="J4722">
            <v>46246</v>
          </cell>
          <cell r="K4722">
            <v>100</v>
          </cell>
          <cell r="L4722">
            <v>46226</v>
          </cell>
          <cell r="M4722">
            <v>-4438</v>
          </cell>
          <cell r="N4722">
            <v>295562</v>
          </cell>
        </row>
        <row r="4723">
          <cell r="A4723">
            <v>45721</v>
          </cell>
          <cell r="B4723">
            <v>4717</v>
          </cell>
          <cell r="C4723" t="str">
            <v>IASWD2412000448</v>
          </cell>
          <cell r="D4723">
            <v>45657</v>
          </cell>
          <cell r="E4723">
            <v>46219</v>
          </cell>
          <cell r="F4723" t="str">
            <v>45721</v>
          </cell>
          <cell r="G4723" t="str">
            <v>駐龍一</v>
          </cell>
          <cell r="H4723">
            <v>1200000</v>
          </cell>
          <cell r="I4723">
            <v>3.5</v>
          </cell>
          <cell r="J4723">
            <v>46219</v>
          </cell>
          <cell r="K4723">
            <v>100</v>
          </cell>
          <cell r="L4723">
            <v>46199</v>
          </cell>
          <cell r="M4723">
            <v>-15534</v>
          </cell>
          <cell r="N4723">
            <v>1184466</v>
          </cell>
        </row>
        <row r="4724">
          <cell r="A4724">
            <v>37023</v>
          </cell>
          <cell r="B4724">
            <v>4718</v>
          </cell>
          <cell r="C4724" t="str">
            <v>IASWD2412000449</v>
          </cell>
          <cell r="D4724">
            <v>45657</v>
          </cell>
          <cell r="E4724">
            <v>46712</v>
          </cell>
          <cell r="F4724" t="str">
            <v>37023</v>
          </cell>
          <cell r="G4724" t="str">
            <v>大聯大三</v>
          </cell>
          <cell r="H4724">
            <v>300000</v>
          </cell>
          <cell r="I4724">
            <v>2.7</v>
          </cell>
          <cell r="J4724">
            <v>46712</v>
          </cell>
          <cell r="K4724">
            <v>100</v>
          </cell>
          <cell r="L4724">
            <v>46693</v>
          </cell>
          <cell r="M4724">
            <v>-2996</v>
          </cell>
          <cell r="N4724">
            <v>297004</v>
          </cell>
        </row>
        <row r="4725">
          <cell r="A4725">
            <v>15364</v>
          </cell>
          <cell r="B4725">
            <v>4719</v>
          </cell>
          <cell r="C4725" t="str">
            <v>IASWD2412000450</v>
          </cell>
          <cell r="D4725">
            <v>45657</v>
          </cell>
          <cell r="E4725">
            <v>46246</v>
          </cell>
          <cell r="F4725" t="str">
            <v>15364</v>
          </cell>
          <cell r="G4725" t="str">
            <v>和大四</v>
          </cell>
          <cell r="H4725">
            <v>100000</v>
          </cell>
          <cell r="I4725">
            <v>4</v>
          </cell>
          <cell r="J4725">
            <v>46246</v>
          </cell>
          <cell r="K4725">
            <v>100</v>
          </cell>
          <cell r="L4725">
            <v>46226</v>
          </cell>
          <cell r="M4725">
            <v>-1479</v>
          </cell>
          <cell r="N4725">
            <v>98521</v>
          </cell>
        </row>
        <row r="4726">
          <cell r="A4726">
            <v>64145</v>
          </cell>
          <cell r="B4726">
            <v>4720</v>
          </cell>
          <cell r="C4726" t="str">
            <v>IASWD2412000452</v>
          </cell>
          <cell r="D4726">
            <v>45657</v>
          </cell>
          <cell r="E4726">
            <v>46250</v>
          </cell>
          <cell r="F4726" t="str">
            <v>64145</v>
          </cell>
          <cell r="G4726" t="str">
            <v>樺漢五</v>
          </cell>
          <cell r="H4726">
            <v>400000</v>
          </cell>
          <cell r="I4726">
            <v>3</v>
          </cell>
          <cell r="J4726">
            <v>46250</v>
          </cell>
          <cell r="K4726">
            <v>100</v>
          </cell>
          <cell r="L4726">
            <v>46231</v>
          </cell>
          <cell r="M4726">
            <v>-4438</v>
          </cell>
          <cell r="N4726">
            <v>395562</v>
          </cell>
        </row>
        <row r="4727">
          <cell r="A4727">
            <v>66642</v>
          </cell>
          <cell r="B4727">
            <v>4721</v>
          </cell>
          <cell r="C4727" t="str">
            <v>IASWD2412000453</v>
          </cell>
          <cell r="D4727">
            <v>45657</v>
          </cell>
          <cell r="E4727">
            <v>46710</v>
          </cell>
          <cell r="F4727" t="str">
            <v>66642</v>
          </cell>
          <cell r="G4727" t="str">
            <v>群翊二</v>
          </cell>
          <cell r="H4727">
            <v>1000000</v>
          </cell>
          <cell r="I4727">
            <v>3.75</v>
          </cell>
          <cell r="J4727">
            <v>46710</v>
          </cell>
          <cell r="K4727">
            <v>100</v>
          </cell>
          <cell r="L4727">
            <v>46692</v>
          </cell>
          <cell r="M4727">
            <v>-13870</v>
          </cell>
          <cell r="N4727">
            <v>986130</v>
          </cell>
        </row>
        <row r="4728">
          <cell r="A4728">
            <v>15364</v>
          </cell>
          <cell r="B4728">
            <v>4722</v>
          </cell>
          <cell r="C4728" t="str">
            <v>IASWD2412000454</v>
          </cell>
          <cell r="D4728">
            <v>45657</v>
          </cell>
          <cell r="E4728">
            <v>46246</v>
          </cell>
          <cell r="F4728" t="str">
            <v>15364</v>
          </cell>
          <cell r="G4728" t="str">
            <v>和大四</v>
          </cell>
          <cell r="H4728">
            <v>200000</v>
          </cell>
          <cell r="I4728">
            <v>4</v>
          </cell>
          <cell r="J4728">
            <v>46246</v>
          </cell>
          <cell r="K4728">
            <v>100</v>
          </cell>
          <cell r="L4728">
            <v>46226</v>
          </cell>
          <cell r="M4728">
            <v>-2959</v>
          </cell>
          <cell r="N4728">
            <v>197041</v>
          </cell>
        </row>
        <row r="4729">
          <cell r="A4729">
            <v>15364</v>
          </cell>
          <cell r="B4729">
            <v>4723</v>
          </cell>
          <cell r="C4729" t="str">
            <v>IASWD2412000455</v>
          </cell>
          <cell r="D4729">
            <v>45657</v>
          </cell>
          <cell r="E4729">
            <v>46246</v>
          </cell>
          <cell r="F4729" t="str">
            <v>15364</v>
          </cell>
          <cell r="G4729" t="str">
            <v>和大四</v>
          </cell>
          <cell r="H4729">
            <v>200000</v>
          </cell>
          <cell r="I4729">
            <v>4</v>
          </cell>
          <cell r="J4729">
            <v>46246</v>
          </cell>
          <cell r="K4729">
            <v>100</v>
          </cell>
          <cell r="L4729">
            <v>46226</v>
          </cell>
          <cell r="M4729">
            <v>-2959</v>
          </cell>
          <cell r="N4729">
            <v>197041</v>
          </cell>
        </row>
        <row r="4730">
          <cell r="A4730">
            <v>15364</v>
          </cell>
          <cell r="B4730">
            <v>4724</v>
          </cell>
          <cell r="C4730" t="str">
            <v>IASWD2412000456</v>
          </cell>
          <cell r="D4730">
            <v>45657</v>
          </cell>
          <cell r="E4730">
            <v>46246</v>
          </cell>
          <cell r="F4730" t="str">
            <v>15364</v>
          </cell>
          <cell r="G4730" t="str">
            <v>和大四</v>
          </cell>
          <cell r="H4730">
            <v>300000</v>
          </cell>
          <cell r="I4730">
            <v>4</v>
          </cell>
          <cell r="J4730">
            <v>46246</v>
          </cell>
          <cell r="K4730">
            <v>100</v>
          </cell>
          <cell r="L4730">
            <v>46226</v>
          </cell>
          <cell r="M4730">
            <v>-4438</v>
          </cell>
          <cell r="N4730">
            <v>295562</v>
          </cell>
        </row>
        <row r="4731">
          <cell r="A4731">
            <v>35831</v>
          </cell>
          <cell r="B4731">
            <v>4725</v>
          </cell>
          <cell r="C4731" t="str">
            <v>IASWD2412000457</v>
          </cell>
          <cell r="D4731">
            <v>45657</v>
          </cell>
          <cell r="E4731">
            <v>46180</v>
          </cell>
          <cell r="F4731" t="str">
            <v>35831</v>
          </cell>
          <cell r="G4731" t="str">
            <v>辛耘一</v>
          </cell>
          <cell r="H4731">
            <v>100000</v>
          </cell>
          <cell r="I4731">
            <v>3</v>
          </cell>
          <cell r="J4731">
            <v>46180</v>
          </cell>
          <cell r="K4731">
            <v>100</v>
          </cell>
          <cell r="L4731">
            <v>46161</v>
          </cell>
          <cell r="M4731">
            <v>-1110</v>
          </cell>
          <cell r="N4731">
            <v>98890</v>
          </cell>
        </row>
        <row r="4732">
          <cell r="A4732">
            <v>15364</v>
          </cell>
          <cell r="B4732">
            <v>4726</v>
          </cell>
          <cell r="C4732" t="str">
            <v>IASWD2412000458</v>
          </cell>
          <cell r="D4732">
            <v>45657</v>
          </cell>
          <cell r="E4732">
            <v>46246</v>
          </cell>
          <cell r="F4732" t="str">
            <v>15364</v>
          </cell>
          <cell r="G4732" t="str">
            <v>和大四</v>
          </cell>
          <cell r="H4732">
            <v>900000</v>
          </cell>
          <cell r="I4732">
            <v>4</v>
          </cell>
          <cell r="J4732">
            <v>46246</v>
          </cell>
          <cell r="K4732">
            <v>100</v>
          </cell>
          <cell r="L4732">
            <v>46226</v>
          </cell>
          <cell r="M4732">
            <v>-13315</v>
          </cell>
          <cell r="N4732">
            <v>886685</v>
          </cell>
        </row>
        <row r="4733">
          <cell r="A4733">
            <v>66642</v>
          </cell>
          <cell r="B4733">
            <v>4727</v>
          </cell>
          <cell r="C4733" t="str">
            <v>IASWD2412000459</v>
          </cell>
          <cell r="D4733">
            <v>45657</v>
          </cell>
          <cell r="E4733">
            <v>46710</v>
          </cell>
          <cell r="F4733" t="str">
            <v>66642</v>
          </cell>
          <cell r="G4733" t="str">
            <v>群翊二</v>
          </cell>
          <cell r="H4733">
            <v>100000</v>
          </cell>
          <cell r="I4733">
            <v>3.75</v>
          </cell>
          <cell r="J4733">
            <v>46710</v>
          </cell>
          <cell r="K4733">
            <v>100</v>
          </cell>
          <cell r="L4733">
            <v>46692</v>
          </cell>
          <cell r="M4733">
            <v>-1387</v>
          </cell>
          <cell r="N4733">
            <v>98613</v>
          </cell>
        </row>
        <row r="4734">
          <cell r="A4734">
            <v>30882</v>
          </cell>
          <cell r="B4734">
            <v>4728</v>
          </cell>
          <cell r="C4734" t="str">
            <v>IASWD2412000460</v>
          </cell>
          <cell r="D4734">
            <v>45657</v>
          </cell>
          <cell r="E4734">
            <v>46262</v>
          </cell>
          <cell r="F4734" t="str">
            <v>30882</v>
          </cell>
          <cell r="G4734" t="str">
            <v>艾訊二</v>
          </cell>
          <cell r="H4734">
            <v>200000</v>
          </cell>
          <cell r="I4734">
            <v>3.25</v>
          </cell>
          <cell r="J4734">
            <v>46262</v>
          </cell>
          <cell r="K4734">
            <v>100</v>
          </cell>
          <cell r="L4734">
            <v>46244</v>
          </cell>
          <cell r="M4734">
            <v>-2404</v>
          </cell>
          <cell r="N4734">
            <v>197596</v>
          </cell>
        </row>
        <row r="4735">
          <cell r="A4735">
            <v>37022</v>
          </cell>
          <cell r="B4735">
            <v>4729</v>
          </cell>
          <cell r="C4735" t="str">
            <v>IASWD2501000001</v>
          </cell>
          <cell r="D4735">
            <v>45659</v>
          </cell>
          <cell r="E4735">
            <v>46702</v>
          </cell>
          <cell r="F4735" t="str">
            <v>37022</v>
          </cell>
          <cell r="G4735" t="str">
            <v>大聯大二</v>
          </cell>
          <cell r="H4735">
            <v>100000</v>
          </cell>
          <cell r="I4735">
            <v>2.7</v>
          </cell>
          <cell r="J4735">
            <v>46702</v>
          </cell>
          <cell r="K4735">
            <v>100</v>
          </cell>
          <cell r="L4735">
            <v>46682</v>
          </cell>
          <cell r="M4735">
            <v>-984</v>
          </cell>
          <cell r="N4735">
            <v>99016</v>
          </cell>
        </row>
        <row r="4736">
          <cell r="A4736">
            <v>35831</v>
          </cell>
          <cell r="B4736">
            <v>4730</v>
          </cell>
          <cell r="C4736" t="str">
            <v>IASWD2501000002</v>
          </cell>
          <cell r="D4736">
            <v>45659</v>
          </cell>
          <cell r="E4736">
            <v>46180</v>
          </cell>
          <cell r="F4736" t="str">
            <v>35831</v>
          </cell>
          <cell r="G4736" t="str">
            <v>辛耘一</v>
          </cell>
          <cell r="H4736">
            <v>100000</v>
          </cell>
          <cell r="I4736">
            <v>3</v>
          </cell>
          <cell r="J4736">
            <v>46180</v>
          </cell>
          <cell r="K4736">
            <v>100</v>
          </cell>
          <cell r="L4736">
            <v>46161</v>
          </cell>
          <cell r="M4736">
            <v>-1093</v>
          </cell>
          <cell r="N4736">
            <v>98907</v>
          </cell>
        </row>
        <row r="4737">
          <cell r="A4737">
            <v>34163</v>
          </cell>
          <cell r="B4737">
            <v>4731</v>
          </cell>
          <cell r="C4737" t="str">
            <v>IASWD2501000003</v>
          </cell>
          <cell r="D4737">
            <v>45659</v>
          </cell>
          <cell r="E4737">
            <v>46047</v>
          </cell>
          <cell r="F4737" t="str">
            <v>34163</v>
          </cell>
          <cell r="G4737" t="str">
            <v>融程電三</v>
          </cell>
          <cell r="H4737">
            <v>400000</v>
          </cell>
          <cell r="I4737">
            <v>3</v>
          </cell>
          <cell r="J4737">
            <v>46047</v>
          </cell>
          <cell r="K4737">
            <v>100.5</v>
          </cell>
          <cell r="L4737">
            <v>46028</v>
          </cell>
          <cell r="M4737">
            <v>-4373</v>
          </cell>
          <cell r="N4737">
            <v>395627</v>
          </cell>
        </row>
        <row r="4738">
          <cell r="A4738">
            <v>37023</v>
          </cell>
          <cell r="B4738">
            <v>4732</v>
          </cell>
          <cell r="C4738" t="str">
            <v>IASWD2501000004</v>
          </cell>
          <cell r="D4738">
            <v>45659</v>
          </cell>
          <cell r="E4738">
            <v>46712</v>
          </cell>
          <cell r="F4738" t="str">
            <v>37023</v>
          </cell>
          <cell r="G4738" t="str">
            <v>大聯大三</v>
          </cell>
          <cell r="H4738">
            <v>500000</v>
          </cell>
          <cell r="I4738">
            <v>2.7</v>
          </cell>
          <cell r="J4738">
            <v>46712</v>
          </cell>
          <cell r="K4738">
            <v>100</v>
          </cell>
          <cell r="L4738">
            <v>46693</v>
          </cell>
          <cell r="M4738">
            <v>-4919</v>
          </cell>
          <cell r="N4738">
            <v>495081</v>
          </cell>
        </row>
        <row r="4739">
          <cell r="A4739">
            <v>15364</v>
          </cell>
          <cell r="B4739">
            <v>4733</v>
          </cell>
          <cell r="C4739" t="str">
            <v>IASWD2501000005</v>
          </cell>
          <cell r="D4739">
            <v>45659</v>
          </cell>
          <cell r="E4739">
            <v>46246</v>
          </cell>
          <cell r="F4739" t="str">
            <v>15364</v>
          </cell>
          <cell r="G4739" t="str">
            <v>和大四</v>
          </cell>
          <cell r="H4739">
            <v>200000</v>
          </cell>
          <cell r="I4739">
            <v>4</v>
          </cell>
          <cell r="J4739">
            <v>46246</v>
          </cell>
          <cell r="K4739">
            <v>100</v>
          </cell>
          <cell r="L4739">
            <v>46226</v>
          </cell>
          <cell r="M4739">
            <v>-2915</v>
          </cell>
          <cell r="N4739">
            <v>197085</v>
          </cell>
        </row>
        <row r="4740">
          <cell r="A4740">
            <v>35831</v>
          </cell>
          <cell r="B4740">
            <v>4734</v>
          </cell>
          <cell r="C4740" t="str">
            <v>IASWD2501000007</v>
          </cell>
          <cell r="D4740">
            <v>45659</v>
          </cell>
          <cell r="E4740">
            <v>46180</v>
          </cell>
          <cell r="F4740" t="str">
            <v>35831</v>
          </cell>
          <cell r="G4740" t="str">
            <v>辛耘一</v>
          </cell>
          <cell r="H4740">
            <v>200000</v>
          </cell>
          <cell r="I4740">
            <v>3</v>
          </cell>
          <cell r="J4740">
            <v>46180</v>
          </cell>
          <cell r="K4740">
            <v>100</v>
          </cell>
          <cell r="L4740">
            <v>46161</v>
          </cell>
          <cell r="M4740">
            <v>-2186</v>
          </cell>
          <cell r="N4740">
            <v>197814</v>
          </cell>
        </row>
        <row r="4741">
          <cell r="A4741">
            <v>30882</v>
          </cell>
          <cell r="B4741">
            <v>4735</v>
          </cell>
          <cell r="C4741" t="str">
            <v>IASWD2501000008</v>
          </cell>
          <cell r="D4741">
            <v>45659</v>
          </cell>
          <cell r="E4741">
            <v>46262</v>
          </cell>
          <cell r="F4741" t="str">
            <v>30882</v>
          </cell>
          <cell r="G4741" t="str">
            <v>艾訊二</v>
          </cell>
          <cell r="H4741">
            <v>200000</v>
          </cell>
          <cell r="I4741">
            <v>3.25</v>
          </cell>
          <cell r="J4741">
            <v>46262</v>
          </cell>
          <cell r="K4741">
            <v>100</v>
          </cell>
          <cell r="L4741">
            <v>46244</v>
          </cell>
          <cell r="M4741">
            <v>-2368</v>
          </cell>
          <cell r="N4741">
            <v>197632</v>
          </cell>
        </row>
        <row r="4742">
          <cell r="A4742">
            <v>37022</v>
          </cell>
          <cell r="B4742">
            <v>4736</v>
          </cell>
          <cell r="C4742" t="str">
            <v>IASWD2501000009</v>
          </cell>
          <cell r="D4742">
            <v>45659</v>
          </cell>
          <cell r="E4742">
            <v>46702</v>
          </cell>
          <cell r="F4742" t="str">
            <v>37022</v>
          </cell>
          <cell r="G4742" t="str">
            <v>大聯大二</v>
          </cell>
          <cell r="H4742">
            <v>1000000</v>
          </cell>
          <cell r="I4742">
            <v>2.7</v>
          </cell>
          <cell r="J4742">
            <v>46702</v>
          </cell>
          <cell r="K4742">
            <v>100</v>
          </cell>
          <cell r="L4742">
            <v>46682</v>
          </cell>
          <cell r="M4742">
            <v>-9838</v>
          </cell>
          <cell r="N4742">
            <v>990162</v>
          </cell>
        </row>
        <row r="4743">
          <cell r="A4743">
            <v>15364</v>
          </cell>
          <cell r="B4743">
            <v>4737</v>
          </cell>
          <cell r="C4743" t="str">
            <v>IASWD2501000012</v>
          </cell>
          <cell r="D4743">
            <v>45659</v>
          </cell>
          <cell r="E4743">
            <v>46246</v>
          </cell>
          <cell r="F4743" t="str">
            <v>15364</v>
          </cell>
          <cell r="G4743" t="str">
            <v>和大四</v>
          </cell>
          <cell r="H4743">
            <v>500000</v>
          </cell>
          <cell r="I4743">
            <v>4</v>
          </cell>
          <cell r="J4743">
            <v>46246</v>
          </cell>
          <cell r="K4743">
            <v>100</v>
          </cell>
          <cell r="L4743">
            <v>46226</v>
          </cell>
          <cell r="M4743">
            <v>-7288</v>
          </cell>
          <cell r="N4743">
            <v>492712</v>
          </cell>
        </row>
        <row r="4744">
          <cell r="A4744">
            <v>64145</v>
          </cell>
          <cell r="B4744">
            <v>4738</v>
          </cell>
          <cell r="C4744" t="str">
            <v>IASWD2501000013</v>
          </cell>
          <cell r="D4744">
            <v>45659</v>
          </cell>
          <cell r="E4744">
            <v>46250</v>
          </cell>
          <cell r="F4744" t="str">
            <v>64145</v>
          </cell>
          <cell r="G4744" t="str">
            <v>樺漢五</v>
          </cell>
          <cell r="H4744">
            <v>200000</v>
          </cell>
          <cell r="I4744">
            <v>3</v>
          </cell>
          <cell r="J4744">
            <v>46250</v>
          </cell>
          <cell r="K4744">
            <v>100</v>
          </cell>
          <cell r="L4744">
            <v>46231</v>
          </cell>
          <cell r="M4744">
            <v>-2186</v>
          </cell>
          <cell r="N4744">
            <v>197814</v>
          </cell>
        </row>
        <row r="4745">
          <cell r="A4745">
            <v>15364</v>
          </cell>
          <cell r="B4745">
            <v>4739</v>
          </cell>
          <cell r="C4745" t="str">
            <v>IASWD2501000014</v>
          </cell>
          <cell r="D4745">
            <v>45659</v>
          </cell>
          <cell r="E4745">
            <v>46246</v>
          </cell>
          <cell r="F4745" t="str">
            <v>15364</v>
          </cell>
          <cell r="G4745" t="str">
            <v>和大四</v>
          </cell>
          <cell r="H4745">
            <v>200000</v>
          </cell>
          <cell r="I4745">
            <v>4</v>
          </cell>
          <cell r="J4745">
            <v>46246</v>
          </cell>
          <cell r="K4745">
            <v>100</v>
          </cell>
          <cell r="L4745">
            <v>46226</v>
          </cell>
          <cell r="M4745">
            <v>-2915</v>
          </cell>
          <cell r="N4745">
            <v>197085</v>
          </cell>
        </row>
        <row r="4746">
          <cell r="A4746">
            <v>15364</v>
          </cell>
          <cell r="B4746">
            <v>4740</v>
          </cell>
          <cell r="C4746" t="str">
            <v>IASWD2501000016</v>
          </cell>
          <cell r="D4746">
            <v>45659</v>
          </cell>
          <cell r="E4746">
            <v>46246</v>
          </cell>
          <cell r="F4746" t="str">
            <v>15364</v>
          </cell>
          <cell r="G4746" t="str">
            <v>和大四</v>
          </cell>
          <cell r="H4746">
            <v>100000</v>
          </cell>
          <cell r="I4746">
            <v>4</v>
          </cell>
          <cell r="J4746">
            <v>46246</v>
          </cell>
          <cell r="K4746">
            <v>100</v>
          </cell>
          <cell r="L4746">
            <v>46226</v>
          </cell>
          <cell r="M4746">
            <v>-1458</v>
          </cell>
          <cell r="N4746">
            <v>98542</v>
          </cell>
        </row>
        <row r="4747">
          <cell r="A4747">
            <v>37023</v>
          </cell>
          <cell r="B4747">
            <v>4741</v>
          </cell>
          <cell r="C4747" t="str">
            <v>IASWD2501000017</v>
          </cell>
          <cell r="D4747">
            <v>45659</v>
          </cell>
          <cell r="E4747">
            <v>46712</v>
          </cell>
          <cell r="F4747" t="str">
            <v>37023</v>
          </cell>
          <cell r="G4747" t="str">
            <v>大聯大三</v>
          </cell>
          <cell r="H4747">
            <v>200000</v>
          </cell>
          <cell r="I4747">
            <v>2.7</v>
          </cell>
          <cell r="J4747">
            <v>46712</v>
          </cell>
          <cell r="K4747">
            <v>100</v>
          </cell>
          <cell r="L4747">
            <v>46693</v>
          </cell>
          <cell r="M4747">
            <v>-1968</v>
          </cell>
          <cell r="N4747">
            <v>198032</v>
          </cell>
        </row>
        <row r="4748">
          <cell r="A4748">
            <v>15364</v>
          </cell>
          <cell r="B4748">
            <v>4742</v>
          </cell>
          <cell r="C4748" t="str">
            <v>IASWD2501000018</v>
          </cell>
          <cell r="D4748">
            <v>45659</v>
          </cell>
          <cell r="E4748">
            <v>46246</v>
          </cell>
          <cell r="F4748" t="str">
            <v>15364</v>
          </cell>
          <cell r="G4748" t="str">
            <v>和大四</v>
          </cell>
          <cell r="H4748">
            <v>100000</v>
          </cell>
          <cell r="I4748">
            <v>4</v>
          </cell>
          <cell r="J4748">
            <v>46246</v>
          </cell>
          <cell r="K4748">
            <v>100</v>
          </cell>
          <cell r="L4748">
            <v>46226</v>
          </cell>
          <cell r="M4748">
            <v>-1458</v>
          </cell>
          <cell r="N4748">
            <v>98542</v>
          </cell>
        </row>
        <row r="4749">
          <cell r="A4749">
            <v>15364</v>
          </cell>
          <cell r="B4749">
            <v>4743</v>
          </cell>
          <cell r="C4749" t="str">
            <v>IASWD2501000019</v>
          </cell>
          <cell r="D4749">
            <v>45659</v>
          </cell>
          <cell r="E4749">
            <v>46246</v>
          </cell>
          <cell r="F4749" t="str">
            <v>15364</v>
          </cell>
          <cell r="G4749" t="str">
            <v>和大四</v>
          </cell>
          <cell r="H4749">
            <v>300000</v>
          </cell>
          <cell r="I4749">
            <v>4</v>
          </cell>
          <cell r="J4749">
            <v>46246</v>
          </cell>
          <cell r="K4749">
            <v>100</v>
          </cell>
          <cell r="L4749">
            <v>46226</v>
          </cell>
          <cell r="M4749">
            <v>-4373</v>
          </cell>
          <cell r="N4749">
            <v>295627</v>
          </cell>
        </row>
        <row r="4750">
          <cell r="A4750">
            <v>15364</v>
          </cell>
          <cell r="B4750">
            <v>4744</v>
          </cell>
          <cell r="C4750" t="str">
            <v>IASWD2501000020</v>
          </cell>
          <cell r="D4750">
            <v>45659</v>
          </cell>
          <cell r="E4750">
            <v>46246</v>
          </cell>
          <cell r="F4750" t="str">
            <v>15364</v>
          </cell>
          <cell r="G4750" t="str">
            <v>和大四</v>
          </cell>
          <cell r="H4750">
            <v>300000</v>
          </cell>
          <cell r="I4750">
            <v>4</v>
          </cell>
          <cell r="J4750">
            <v>46246</v>
          </cell>
          <cell r="K4750">
            <v>100</v>
          </cell>
          <cell r="L4750">
            <v>46226</v>
          </cell>
          <cell r="M4750">
            <v>-4373</v>
          </cell>
          <cell r="N4750">
            <v>295627</v>
          </cell>
        </row>
        <row r="4751">
          <cell r="A4751">
            <v>15364</v>
          </cell>
          <cell r="B4751">
            <v>4745</v>
          </cell>
          <cell r="C4751" t="str">
            <v>IASWD2501000022</v>
          </cell>
          <cell r="D4751">
            <v>45660</v>
          </cell>
          <cell r="E4751">
            <v>46246</v>
          </cell>
          <cell r="F4751" t="str">
            <v>15364</v>
          </cell>
          <cell r="G4751" t="str">
            <v>和大四</v>
          </cell>
          <cell r="H4751">
            <v>100000</v>
          </cell>
          <cell r="I4751">
            <v>4</v>
          </cell>
          <cell r="J4751">
            <v>46246</v>
          </cell>
          <cell r="K4751">
            <v>100</v>
          </cell>
          <cell r="L4751">
            <v>46226</v>
          </cell>
          <cell r="M4751">
            <v>-1447</v>
          </cell>
          <cell r="N4751">
            <v>98553</v>
          </cell>
        </row>
        <row r="4752">
          <cell r="A4752">
            <v>37023</v>
          </cell>
          <cell r="B4752">
            <v>4746</v>
          </cell>
          <cell r="C4752" t="str">
            <v>IASWD2501000023</v>
          </cell>
          <cell r="D4752">
            <v>45660</v>
          </cell>
          <cell r="E4752">
            <v>46712</v>
          </cell>
          <cell r="F4752" t="str">
            <v>37023</v>
          </cell>
          <cell r="G4752" t="str">
            <v>大聯大三</v>
          </cell>
          <cell r="H4752">
            <v>100000</v>
          </cell>
          <cell r="I4752">
            <v>2.7</v>
          </cell>
          <cell r="J4752">
            <v>46712</v>
          </cell>
          <cell r="K4752">
            <v>100</v>
          </cell>
          <cell r="L4752">
            <v>46693</v>
          </cell>
          <cell r="M4752">
            <v>-976</v>
          </cell>
          <cell r="N4752">
            <v>99024</v>
          </cell>
        </row>
        <row r="4753">
          <cell r="A4753">
            <v>30882</v>
          </cell>
          <cell r="B4753">
            <v>4747</v>
          </cell>
          <cell r="C4753" t="str">
            <v>IASWD2501000025</v>
          </cell>
          <cell r="D4753">
            <v>45660</v>
          </cell>
          <cell r="E4753">
            <v>46262</v>
          </cell>
          <cell r="F4753" t="str">
            <v>30882</v>
          </cell>
          <cell r="G4753" t="str">
            <v>艾訊二</v>
          </cell>
          <cell r="H4753">
            <v>100000</v>
          </cell>
          <cell r="I4753">
            <v>3.25</v>
          </cell>
          <cell r="J4753">
            <v>46262</v>
          </cell>
          <cell r="K4753">
            <v>100</v>
          </cell>
          <cell r="L4753">
            <v>46244</v>
          </cell>
          <cell r="M4753">
            <v>-1175</v>
          </cell>
          <cell r="N4753">
            <v>98825</v>
          </cell>
        </row>
        <row r="4754">
          <cell r="A4754">
            <v>15364</v>
          </cell>
          <cell r="B4754">
            <v>4748</v>
          </cell>
          <cell r="C4754" t="str">
            <v>IASWD2501000027</v>
          </cell>
          <cell r="D4754">
            <v>45660</v>
          </cell>
          <cell r="E4754">
            <v>46246</v>
          </cell>
          <cell r="F4754" t="str">
            <v>15364</v>
          </cell>
          <cell r="G4754" t="str">
            <v>和大四</v>
          </cell>
          <cell r="H4754">
            <v>100000</v>
          </cell>
          <cell r="I4754">
            <v>4</v>
          </cell>
          <cell r="J4754">
            <v>46246</v>
          </cell>
          <cell r="K4754">
            <v>100</v>
          </cell>
          <cell r="L4754">
            <v>46226</v>
          </cell>
          <cell r="M4754">
            <v>-1447</v>
          </cell>
          <cell r="N4754">
            <v>98553</v>
          </cell>
        </row>
        <row r="4755">
          <cell r="A4755">
            <v>34834</v>
          </cell>
          <cell r="B4755">
            <v>4749</v>
          </cell>
          <cell r="C4755" t="str">
            <v>IASWD2501000028</v>
          </cell>
          <cell r="D4755">
            <v>45660</v>
          </cell>
          <cell r="E4755">
            <v>46529</v>
          </cell>
          <cell r="F4755" t="str">
            <v>34834</v>
          </cell>
          <cell r="G4755" t="str">
            <v>力致四</v>
          </cell>
          <cell r="H4755">
            <v>100000</v>
          </cell>
          <cell r="I4755">
            <v>3.75</v>
          </cell>
          <cell r="J4755">
            <v>46529</v>
          </cell>
          <cell r="K4755">
            <v>100</v>
          </cell>
          <cell r="L4755">
            <v>46511</v>
          </cell>
          <cell r="M4755">
            <v>-1356</v>
          </cell>
          <cell r="N4755">
            <v>98644</v>
          </cell>
        </row>
        <row r="4756">
          <cell r="A4756">
            <v>64145</v>
          </cell>
          <cell r="B4756">
            <v>4750</v>
          </cell>
          <cell r="C4756" t="str">
            <v>IASWD2501000029</v>
          </cell>
          <cell r="D4756">
            <v>45660</v>
          </cell>
          <cell r="E4756">
            <v>46250</v>
          </cell>
          <cell r="F4756" t="str">
            <v>64145</v>
          </cell>
          <cell r="G4756" t="str">
            <v>樺漢五</v>
          </cell>
          <cell r="H4756">
            <v>300000</v>
          </cell>
          <cell r="I4756">
            <v>3</v>
          </cell>
          <cell r="J4756">
            <v>46250</v>
          </cell>
          <cell r="K4756">
            <v>100</v>
          </cell>
          <cell r="L4756">
            <v>46231</v>
          </cell>
          <cell r="M4756">
            <v>-3255</v>
          </cell>
          <cell r="N4756">
            <v>296745</v>
          </cell>
        </row>
        <row r="4757">
          <cell r="A4757">
            <v>15364</v>
          </cell>
          <cell r="B4757">
            <v>4751</v>
          </cell>
          <cell r="C4757" t="str">
            <v>IASWD2501000030</v>
          </cell>
          <cell r="D4757">
            <v>45660</v>
          </cell>
          <cell r="E4757">
            <v>46246</v>
          </cell>
          <cell r="F4757" t="str">
            <v>15364</v>
          </cell>
          <cell r="G4757" t="str">
            <v>和大四</v>
          </cell>
          <cell r="H4757">
            <v>200000</v>
          </cell>
          <cell r="I4757">
            <v>4</v>
          </cell>
          <cell r="J4757">
            <v>46246</v>
          </cell>
          <cell r="K4757">
            <v>100</v>
          </cell>
          <cell r="L4757">
            <v>46226</v>
          </cell>
          <cell r="M4757">
            <v>-2893</v>
          </cell>
          <cell r="N4757">
            <v>197107</v>
          </cell>
        </row>
        <row r="4758">
          <cell r="A4758">
            <v>37023</v>
          </cell>
          <cell r="B4758">
            <v>4752</v>
          </cell>
          <cell r="C4758" t="str">
            <v>IASWD2501000031</v>
          </cell>
          <cell r="D4758">
            <v>45660</v>
          </cell>
          <cell r="E4758">
            <v>46712</v>
          </cell>
          <cell r="F4758" t="str">
            <v>37023</v>
          </cell>
          <cell r="G4758" t="str">
            <v>大聯大三</v>
          </cell>
          <cell r="H4758">
            <v>100000</v>
          </cell>
          <cell r="I4758">
            <v>2.7</v>
          </cell>
          <cell r="J4758">
            <v>46712</v>
          </cell>
          <cell r="K4758">
            <v>100</v>
          </cell>
          <cell r="L4758">
            <v>46693</v>
          </cell>
          <cell r="M4758">
            <v>-976</v>
          </cell>
          <cell r="N4758">
            <v>99024</v>
          </cell>
        </row>
        <row r="4759">
          <cell r="A4759">
            <v>15364</v>
          </cell>
          <cell r="B4759">
            <v>4753</v>
          </cell>
          <cell r="C4759" t="str">
            <v>IASWD2501000032</v>
          </cell>
          <cell r="D4759">
            <v>45660</v>
          </cell>
          <cell r="E4759">
            <v>46246</v>
          </cell>
          <cell r="F4759" t="str">
            <v>15364</v>
          </cell>
          <cell r="G4759" t="str">
            <v>和大四</v>
          </cell>
          <cell r="H4759">
            <v>200000</v>
          </cell>
          <cell r="I4759">
            <v>4</v>
          </cell>
          <cell r="J4759">
            <v>46246</v>
          </cell>
          <cell r="K4759">
            <v>100</v>
          </cell>
          <cell r="L4759">
            <v>46226</v>
          </cell>
          <cell r="M4759">
            <v>-2893</v>
          </cell>
          <cell r="N4759">
            <v>197107</v>
          </cell>
        </row>
        <row r="4760">
          <cell r="A4760">
            <v>37022</v>
          </cell>
          <cell r="B4760">
            <v>4754</v>
          </cell>
          <cell r="C4760" t="str">
            <v>IASWD2501000033</v>
          </cell>
          <cell r="D4760">
            <v>45660</v>
          </cell>
          <cell r="E4760">
            <v>46702</v>
          </cell>
          <cell r="F4760" t="str">
            <v>37022</v>
          </cell>
          <cell r="G4760" t="str">
            <v>大聯大二</v>
          </cell>
          <cell r="H4760">
            <v>700000</v>
          </cell>
          <cell r="I4760">
            <v>2.7</v>
          </cell>
          <cell r="J4760">
            <v>46702</v>
          </cell>
          <cell r="K4760">
            <v>100</v>
          </cell>
          <cell r="L4760">
            <v>46682</v>
          </cell>
          <cell r="M4760">
            <v>-6835</v>
          </cell>
          <cell r="N4760">
            <v>693165</v>
          </cell>
        </row>
        <row r="4761">
          <cell r="A4761">
            <v>34163</v>
          </cell>
          <cell r="B4761">
            <v>4755</v>
          </cell>
          <cell r="C4761" t="str">
            <v>IASWD2501000034</v>
          </cell>
          <cell r="D4761">
            <v>45660</v>
          </cell>
          <cell r="E4761">
            <v>46047</v>
          </cell>
          <cell r="F4761" t="str">
            <v>34163</v>
          </cell>
          <cell r="G4761" t="str">
            <v>融程電三</v>
          </cell>
          <cell r="H4761">
            <v>2400000</v>
          </cell>
          <cell r="I4761">
            <v>3</v>
          </cell>
          <cell r="J4761">
            <v>46047</v>
          </cell>
          <cell r="K4761">
            <v>100.5</v>
          </cell>
          <cell r="L4761">
            <v>46028</v>
          </cell>
          <cell r="M4761">
            <v>-26038</v>
          </cell>
          <cell r="N4761">
            <v>2373962</v>
          </cell>
        </row>
        <row r="4762">
          <cell r="A4762">
            <v>15364</v>
          </cell>
          <cell r="B4762">
            <v>4756</v>
          </cell>
          <cell r="C4762" t="str">
            <v>IASWD2501000035</v>
          </cell>
          <cell r="D4762">
            <v>45660</v>
          </cell>
          <cell r="E4762">
            <v>46246</v>
          </cell>
          <cell r="F4762" t="str">
            <v>15364</v>
          </cell>
          <cell r="G4762" t="str">
            <v>和大四</v>
          </cell>
          <cell r="H4762">
            <v>200000</v>
          </cell>
          <cell r="I4762">
            <v>4</v>
          </cell>
          <cell r="J4762">
            <v>46246</v>
          </cell>
          <cell r="K4762">
            <v>100</v>
          </cell>
          <cell r="L4762">
            <v>46226</v>
          </cell>
          <cell r="M4762">
            <v>-2893</v>
          </cell>
          <cell r="N4762">
            <v>197107</v>
          </cell>
        </row>
        <row r="4763">
          <cell r="A4763">
            <v>37023</v>
          </cell>
          <cell r="B4763">
            <v>4757</v>
          </cell>
          <cell r="C4763" t="str">
            <v>IASWD2501000036</v>
          </cell>
          <cell r="D4763">
            <v>45660</v>
          </cell>
          <cell r="E4763">
            <v>46712</v>
          </cell>
          <cell r="F4763" t="str">
            <v>37023</v>
          </cell>
          <cell r="G4763" t="str">
            <v>大聯大三</v>
          </cell>
          <cell r="H4763">
            <v>100000</v>
          </cell>
          <cell r="I4763">
            <v>2.7</v>
          </cell>
          <cell r="J4763">
            <v>46712</v>
          </cell>
          <cell r="K4763">
            <v>100</v>
          </cell>
          <cell r="L4763">
            <v>46693</v>
          </cell>
          <cell r="M4763">
            <v>-976</v>
          </cell>
          <cell r="N4763">
            <v>99024</v>
          </cell>
        </row>
        <row r="4764">
          <cell r="A4764">
            <v>34912</v>
          </cell>
          <cell r="B4764">
            <v>4758</v>
          </cell>
          <cell r="C4764" t="str">
            <v>IASWD2501000037</v>
          </cell>
          <cell r="D4764">
            <v>45660</v>
          </cell>
          <cell r="E4764">
            <v>46627</v>
          </cell>
          <cell r="F4764" t="str">
            <v>34912</v>
          </cell>
          <cell r="G4764" t="str">
            <v>昇達科二</v>
          </cell>
          <cell r="H4764">
            <v>100000</v>
          </cell>
          <cell r="I4764">
            <v>3</v>
          </cell>
          <cell r="J4764">
            <v>46627</v>
          </cell>
          <cell r="K4764">
            <v>100</v>
          </cell>
          <cell r="L4764">
            <v>46609</v>
          </cell>
          <cell r="M4764">
            <v>-1085</v>
          </cell>
          <cell r="N4764">
            <v>98915</v>
          </cell>
        </row>
        <row r="4765">
          <cell r="A4765">
            <v>15364</v>
          </cell>
          <cell r="B4765">
            <v>4759</v>
          </cell>
          <cell r="C4765" t="str">
            <v>IASWD2501000038</v>
          </cell>
          <cell r="D4765">
            <v>45660</v>
          </cell>
          <cell r="E4765">
            <v>46246</v>
          </cell>
          <cell r="F4765" t="str">
            <v>15364</v>
          </cell>
          <cell r="G4765" t="str">
            <v>和大四</v>
          </cell>
          <cell r="H4765">
            <v>200000</v>
          </cell>
          <cell r="I4765">
            <v>4</v>
          </cell>
          <cell r="J4765">
            <v>46246</v>
          </cell>
          <cell r="K4765">
            <v>100</v>
          </cell>
          <cell r="L4765">
            <v>46226</v>
          </cell>
          <cell r="M4765">
            <v>-2893</v>
          </cell>
          <cell r="N4765">
            <v>197107</v>
          </cell>
        </row>
        <row r="4766">
          <cell r="A4766">
            <v>26415</v>
          </cell>
          <cell r="B4766">
            <v>4760</v>
          </cell>
          <cell r="C4766" t="str">
            <v>IASWD2501000039</v>
          </cell>
          <cell r="D4766">
            <v>45660</v>
          </cell>
          <cell r="E4766">
            <v>45866</v>
          </cell>
          <cell r="F4766" t="str">
            <v>26415</v>
          </cell>
          <cell r="G4766" t="str">
            <v>正德五</v>
          </cell>
          <cell r="H4766">
            <v>100000</v>
          </cell>
          <cell r="I4766">
            <v>4</v>
          </cell>
          <cell r="J4766">
            <v>45866</v>
          </cell>
          <cell r="K4766">
            <v>100</v>
          </cell>
          <cell r="L4766">
            <v>45846</v>
          </cell>
          <cell r="M4766">
            <v>-1447</v>
          </cell>
          <cell r="N4766">
            <v>98553</v>
          </cell>
        </row>
        <row r="4767">
          <cell r="A4767">
            <v>37022</v>
          </cell>
          <cell r="B4767">
            <v>4761</v>
          </cell>
          <cell r="C4767" t="str">
            <v>IASWD2501000040</v>
          </cell>
          <cell r="D4767">
            <v>45660</v>
          </cell>
          <cell r="E4767">
            <v>46702</v>
          </cell>
          <cell r="F4767" t="str">
            <v>37022</v>
          </cell>
          <cell r="G4767" t="str">
            <v>大聯大二</v>
          </cell>
          <cell r="H4767">
            <v>500000</v>
          </cell>
          <cell r="I4767">
            <v>2.7</v>
          </cell>
          <cell r="J4767">
            <v>46702</v>
          </cell>
          <cell r="K4767">
            <v>100</v>
          </cell>
          <cell r="L4767">
            <v>46682</v>
          </cell>
          <cell r="M4767">
            <v>-4882</v>
          </cell>
          <cell r="N4767">
            <v>495118</v>
          </cell>
        </row>
        <row r="4768">
          <cell r="A4768">
            <v>15364</v>
          </cell>
          <cell r="B4768">
            <v>4762</v>
          </cell>
          <cell r="C4768" t="str">
            <v>IASWD2501000041</v>
          </cell>
          <cell r="D4768">
            <v>45660</v>
          </cell>
          <cell r="E4768">
            <v>46246</v>
          </cell>
          <cell r="F4768" t="str">
            <v>15364</v>
          </cell>
          <cell r="G4768" t="str">
            <v>和大四</v>
          </cell>
          <cell r="H4768">
            <v>100000</v>
          </cell>
          <cell r="I4768">
            <v>4</v>
          </cell>
          <cell r="J4768">
            <v>46246</v>
          </cell>
          <cell r="K4768">
            <v>100</v>
          </cell>
          <cell r="L4768">
            <v>46226</v>
          </cell>
          <cell r="M4768">
            <v>-1447</v>
          </cell>
          <cell r="N4768">
            <v>98553</v>
          </cell>
        </row>
        <row r="4769">
          <cell r="A4769">
            <v>33121</v>
          </cell>
          <cell r="B4769">
            <v>4763</v>
          </cell>
          <cell r="C4769" t="str">
            <v>IASWD2501000042</v>
          </cell>
          <cell r="D4769">
            <v>45663</v>
          </cell>
          <cell r="E4769">
            <v>46563</v>
          </cell>
          <cell r="F4769" t="str">
            <v>33121</v>
          </cell>
          <cell r="G4769" t="str">
            <v>弘憶股一</v>
          </cell>
          <cell r="H4769">
            <v>1000000</v>
          </cell>
          <cell r="I4769">
            <v>3.35</v>
          </cell>
          <cell r="J4769">
            <v>46563</v>
          </cell>
          <cell r="K4769">
            <v>100</v>
          </cell>
          <cell r="L4769">
            <v>46545</v>
          </cell>
          <cell r="M4769">
            <v>-11840</v>
          </cell>
          <cell r="N4769">
            <v>988160</v>
          </cell>
        </row>
        <row r="4770">
          <cell r="A4770">
            <v>45491</v>
          </cell>
          <cell r="B4770">
            <v>4764</v>
          </cell>
          <cell r="C4770" t="str">
            <v>IASWD2501000043</v>
          </cell>
          <cell r="D4770">
            <v>45663</v>
          </cell>
          <cell r="E4770">
            <v>46698</v>
          </cell>
          <cell r="F4770" t="str">
            <v>45491</v>
          </cell>
          <cell r="G4770" t="str">
            <v>桓達一</v>
          </cell>
          <cell r="H4770">
            <v>100000</v>
          </cell>
          <cell r="I4770">
            <v>4</v>
          </cell>
          <cell r="J4770">
            <v>46698</v>
          </cell>
          <cell r="K4770">
            <v>100</v>
          </cell>
          <cell r="L4770">
            <v>46679</v>
          </cell>
          <cell r="M4770">
            <v>-1414</v>
          </cell>
          <cell r="N4770">
            <v>98586</v>
          </cell>
        </row>
        <row r="4771">
          <cell r="A4771">
            <v>15364</v>
          </cell>
          <cell r="B4771">
            <v>4765</v>
          </cell>
          <cell r="C4771" t="str">
            <v>IASWD2501000044</v>
          </cell>
          <cell r="D4771">
            <v>45663</v>
          </cell>
          <cell r="E4771">
            <v>46246</v>
          </cell>
          <cell r="F4771" t="str">
            <v>15364</v>
          </cell>
          <cell r="G4771" t="str">
            <v>和大四</v>
          </cell>
          <cell r="H4771">
            <v>100000</v>
          </cell>
          <cell r="I4771">
            <v>4</v>
          </cell>
          <cell r="J4771">
            <v>46246</v>
          </cell>
          <cell r="K4771">
            <v>100</v>
          </cell>
          <cell r="L4771">
            <v>46226</v>
          </cell>
          <cell r="M4771">
            <v>-1414</v>
          </cell>
          <cell r="N4771">
            <v>98586</v>
          </cell>
        </row>
        <row r="4772">
          <cell r="A4772">
            <v>15364</v>
          </cell>
          <cell r="B4772">
            <v>4766</v>
          </cell>
          <cell r="C4772" t="str">
            <v>IASWD2501000045</v>
          </cell>
          <cell r="D4772">
            <v>45663</v>
          </cell>
          <cell r="E4772">
            <v>46246</v>
          </cell>
          <cell r="F4772" t="str">
            <v>15364</v>
          </cell>
          <cell r="G4772" t="str">
            <v>和大四</v>
          </cell>
          <cell r="H4772">
            <v>200000</v>
          </cell>
          <cell r="I4772">
            <v>4</v>
          </cell>
          <cell r="J4772">
            <v>46246</v>
          </cell>
          <cell r="K4772">
            <v>100</v>
          </cell>
          <cell r="L4772">
            <v>46226</v>
          </cell>
          <cell r="M4772">
            <v>-2827</v>
          </cell>
          <cell r="N4772">
            <v>197173</v>
          </cell>
        </row>
        <row r="4773">
          <cell r="A4773">
            <v>30882</v>
          </cell>
          <cell r="B4773">
            <v>4767</v>
          </cell>
          <cell r="C4773" t="str">
            <v>IASWD2501000046</v>
          </cell>
          <cell r="D4773">
            <v>45663</v>
          </cell>
          <cell r="E4773">
            <v>46262</v>
          </cell>
          <cell r="F4773" t="str">
            <v>30882</v>
          </cell>
          <cell r="G4773" t="str">
            <v>艾訊二</v>
          </cell>
          <cell r="H4773">
            <v>100000</v>
          </cell>
          <cell r="I4773">
            <v>3.25</v>
          </cell>
          <cell r="J4773">
            <v>46262</v>
          </cell>
          <cell r="K4773">
            <v>100</v>
          </cell>
          <cell r="L4773">
            <v>46244</v>
          </cell>
          <cell r="M4773">
            <v>-1149</v>
          </cell>
          <cell r="N4773">
            <v>98851</v>
          </cell>
        </row>
        <row r="4774">
          <cell r="A4774">
            <v>30882</v>
          </cell>
          <cell r="B4774">
            <v>4768</v>
          </cell>
          <cell r="C4774" t="str">
            <v>IASWD2501000047</v>
          </cell>
          <cell r="D4774">
            <v>45663</v>
          </cell>
          <cell r="E4774">
            <v>46262</v>
          </cell>
          <cell r="F4774" t="str">
            <v>30882</v>
          </cell>
          <cell r="G4774" t="str">
            <v>艾訊二</v>
          </cell>
          <cell r="H4774">
            <v>600000</v>
          </cell>
          <cell r="I4774">
            <v>3.25</v>
          </cell>
          <cell r="J4774">
            <v>46262</v>
          </cell>
          <cell r="K4774">
            <v>100</v>
          </cell>
          <cell r="L4774">
            <v>46244</v>
          </cell>
          <cell r="M4774">
            <v>-6892</v>
          </cell>
          <cell r="N4774">
            <v>593108</v>
          </cell>
        </row>
        <row r="4775">
          <cell r="A4775">
            <v>15364</v>
          </cell>
          <cell r="B4775">
            <v>4769</v>
          </cell>
          <cell r="C4775" t="str">
            <v>IASWD2501000048</v>
          </cell>
          <cell r="D4775">
            <v>45663</v>
          </cell>
          <cell r="E4775">
            <v>46246</v>
          </cell>
          <cell r="F4775" t="str">
            <v>15364</v>
          </cell>
          <cell r="G4775" t="str">
            <v>和大四</v>
          </cell>
          <cell r="H4775">
            <v>100000</v>
          </cell>
          <cell r="I4775">
            <v>4</v>
          </cell>
          <cell r="J4775">
            <v>46246</v>
          </cell>
          <cell r="K4775">
            <v>100</v>
          </cell>
          <cell r="L4775">
            <v>46226</v>
          </cell>
          <cell r="M4775">
            <v>-1414</v>
          </cell>
          <cell r="N4775">
            <v>98586</v>
          </cell>
        </row>
        <row r="4776">
          <cell r="A4776">
            <v>15364</v>
          </cell>
          <cell r="B4776">
            <v>4770</v>
          </cell>
          <cell r="C4776" t="str">
            <v>IASWD2501000049</v>
          </cell>
          <cell r="D4776">
            <v>45663</v>
          </cell>
          <cell r="E4776">
            <v>46246</v>
          </cell>
          <cell r="F4776" t="str">
            <v>15364</v>
          </cell>
          <cell r="G4776" t="str">
            <v>和大四</v>
          </cell>
          <cell r="H4776">
            <v>200000</v>
          </cell>
          <cell r="I4776">
            <v>4</v>
          </cell>
          <cell r="J4776">
            <v>46246</v>
          </cell>
          <cell r="K4776">
            <v>100</v>
          </cell>
          <cell r="L4776">
            <v>46226</v>
          </cell>
          <cell r="M4776">
            <v>-2827</v>
          </cell>
          <cell r="N4776">
            <v>197173</v>
          </cell>
        </row>
        <row r="4777">
          <cell r="A4777">
            <v>15364</v>
          </cell>
          <cell r="B4777">
            <v>4771</v>
          </cell>
          <cell r="C4777" t="str">
            <v>IASWD2501000050</v>
          </cell>
          <cell r="D4777">
            <v>45663</v>
          </cell>
          <cell r="E4777">
            <v>46246</v>
          </cell>
          <cell r="F4777" t="str">
            <v>15364</v>
          </cell>
          <cell r="G4777" t="str">
            <v>和大四</v>
          </cell>
          <cell r="H4777">
            <v>400000</v>
          </cell>
          <cell r="I4777">
            <v>4</v>
          </cell>
          <cell r="J4777">
            <v>46246</v>
          </cell>
          <cell r="K4777">
            <v>100</v>
          </cell>
          <cell r="L4777">
            <v>46226</v>
          </cell>
          <cell r="M4777">
            <v>-5655</v>
          </cell>
          <cell r="N4777">
            <v>394345</v>
          </cell>
        </row>
        <row r="4778">
          <cell r="A4778">
            <v>37022</v>
          </cell>
          <cell r="B4778">
            <v>4772</v>
          </cell>
          <cell r="C4778" t="str">
            <v>IASWD2501000051</v>
          </cell>
          <cell r="D4778">
            <v>45663</v>
          </cell>
          <cell r="E4778">
            <v>46702</v>
          </cell>
          <cell r="F4778" t="str">
            <v>37022</v>
          </cell>
          <cell r="G4778" t="str">
            <v>大聯大二</v>
          </cell>
          <cell r="H4778">
            <v>600000</v>
          </cell>
          <cell r="I4778">
            <v>2.7</v>
          </cell>
          <cell r="J4778">
            <v>46702</v>
          </cell>
          <cell r="K4778">
            <v>100</v>
          </cell>
          <cell r="L4778">
            <v>46682</v>
          </cell>
          <cell r="M4778">
            <v>-5725</v>
          </cell>
          <cell r="N4778">
            <v>594275</v>
          </cell>
        </row>
        <row r="4779">
          <cell r="A4779">
            <v>15364</v>
          </cell>
          <cell r="B4779">
            <v>4773</v>
          </cell>
          <cell r="C4779" t="str">
            <v>IASWD2501000052</v>
          </cell>
          <cell r="D4779">
            <v>45663</v>
          </cell>
          <cell r="E4779">
            <v>46246</v>
          </cell>
          <cell r="F4779" t="str">
            <v>15364</v>
          </cell>
          <cell r="G4779" t="str">
            <v>和大四</v>
          </cell>
          <cell r="H4779">
            <v>100000</v>
          </cell>
          <cell r="I4779">
            <v>4</v>
          </cell>
          <cell r="J4779">
            <v>46246</v>
          </cell>
          <cell r="K4779">
            <v>100</v>
          </cell>
          <cell r="L4779">
            <v>46226</v>
          </cell>
          <cell r="M4779">
            <v>-1414</v>
          </cell>
          <cell r="N4779">
            <v>98586</v>
          </cell>
        </row>
        <row r="4780">
          <cell r="A4780">
            <v>34912</v>
          </cell>
          <cell r="B4780">
            <v>4774</v>
          </cell>
          <cell r="C4780" t="str">
            <v>IASWD2501000053</v>
          </cell>
          <cell r="D4780">
            <v>45663</v>
          </cell>
          <cell r="E4780">
            <v>46627</v>
          </cell>
          <cell r="F4780" t="str">
            <v>34912</v>
          </cell>
          <cell r="G4780" t="str">
            <v>昇達科二</v>
          </cell>
          <cell r="H4780">
            <v>100000</v>
          </cell>
          <cell r="I4780">
            <v>3</v>
          </cell>
          <cell r="J4780">
            <v>46627</v>
          </cell>
          <cell r="K4780">
            <v>100</v>
          </cell>
          <cell r="L4780">
            <v>46609</v>
          </cell>
          <cell r="M4780">
            <v>-1060</v>
          </cell>
          <cell r="N4780">
            <v>98940</v>
          </cell>
        </row>
        <row r="4781">
          <cell r="A4781">
            <v>27323</v>
          </cell>
          <cell r="B4781">
            <v>4775</v>
          </cell>
          <cell r="C4781" t="str">
            <v>IASWD2501000054</v>
          </cell>
          <cell r="D4781">
            <v>45663</v>
          </cell>
          <cell r="E4781">
            <v>46048</v>
          </cell>
          <cell r="F4781" t="str">
            <v>27323</v>
          </cell>
          <cell r="G4781" t="str">
            <v>六角三</v>
          </cell>
          <cell r="H4781">
            <v>100000</v>
          </cell>
          <cell r="I4781">
            <v>3</v>
          </cell>
          <cell r="J4781">
            <v>46048</v>
          </cell>
          <cell r="K4781">
            <v>101</v>
          </cell>
          <cell r="L4781">
            <v>46028</v>
          </cell>
          <cell r="M4781">
            <v>-1060</v>
          </cell>
          <cell r="N4781">
            <v>98940</v>
          </cell>
        </row>
        <row r="4782">
          <cell r="A4782">
            <v>24361</v>
          </cell>
          <cell r="B4782">
            <v>4776</v>
          </cell>
          <cell r="C4782" t="str">
            <v>IASWD2501000055</v>
          </cell>
          <cell r="D4782">
            <v>45663</v>
          </cell>
          <cell r="E4782">
            <v>45911</v>
          </cell>
          <cell r="F4782" t="str">
            <v>24361</v>
          </cell>
          <cell r="G4782" t="str">
            <v>偉詮電一</v>
          </cell>
          <cell r="H4782">
            <v>300000</v>
          </cell>
          <cell r="I4782">
            <v>3.75</v>
          </cell>
          <cell r="J4782">
            <v>45911</v>
          </cell>
          <cell r="K4782">
            <v>100.50060000000001</v>
          </cell>
          <cell r="L4782">
            <v>45891</v>
          </cell>
          <cell r="M4782">
            <v>-3976</v>
          </cell>
          <cell r="N4782">
            <v>296024</v>
          </cell>
        </row>
        <row r="4783">
          <cell r="A4783">
            <v>24361</v>
          </cell>
          <cell r="B4783">
            <v>4777</v>
          </cell>
          <cell r="C4783" t="str">
            <v>IASWD2501000056</v>
          </cell>
          <cell r="D4783">
            <v>45663</v>
          </cell>
          <cell r="E4783">
            <v>45911</v>
          </cell>
          <cell r="F4783" t="str">
            <v>24361</v>
          </cell>
          <cell r="G4783" t="str">
            <v>偉詮電一</v>
          </cell>
          <cell r="H4783">
            <v>500000</v>
          </cell>
          <cell r="I4783">
            <v>3.75</v>
          </cell>
          <cell r="J4783">
            <v>45911</v>
          </cell>
          <cell r="K4783">
            <v>100.50060000000001</v>
          </cell>
          <cell r="L4783">
            <v>45891</v>
          </cell>
          <cell r="M4783">
            <v>-6627</v>
          </cell>
          <cell r="N4783">
            <v>493373</v>
          </cell>
        </row>
        <row r="4784">
          <cell r="A4784">
            <v>80914</v>
          </cell>
          <cell r="B4784">
            <v>4778</v>
          </cell>
          <cell r="C4784" t="str">
            <v>IASWD2501000057</v>
          </cell>
          <cell r="D4784">
            <v>45663</v>
          </cell>
          <cell r="E4784">
            <v>46249</v>
          </cell>
          <cell r="F4784" t="str">
            <v>80914</v>
          </cell>
          <cell r="G4784" t="str">
            <v>翔名四</v>
          </cell>
          <cell r="H4784">
            <v>100000</v>
          </cell>
          <cell r="I4784">
            <v>3</v>
          </cell>
          <cell r="J4784">
            <v>46249</v>
          </cell>
          <cell r="K4784">
            <v>100.25</v>
          </cell>
          <cell r="L4784">
            <v>46231</v>
          </cell>
          <cell r="M4784">
            <v>-1060</v>
          </cell>
          <cell r="N4784">
            <v>98940</v>
          </cell>
        </row>
        <row r="4785">
          <cell r="A4785">
            <v>37023</v>
          </cell>
          <cell r="B4785">
            <v>4779</v>
          </cell>
          <cell r="C4785" t="str">
            <v>IASWD2501000058</v>
          </cell>
          <cell r="D4785">
            <v>45663</v>
          </cell>
          <cell r="E4785">
            <v>46712</v>
          </cell>
          <cell r="F4785" t="str">
            <v>37023</v>
          </cell>
          <cell r="G4785" t="str">
            <v>大聯大三</v>
          </cell>
          <cell r="H4785">
            <v>200000</v>
          </cell>
          <cell r="I4785">
            <v>2.7</v>
          </cell>
          <cell r="J4785">
            <v>46712</v>
          </cell>
          <cell r="K4785">
            <v>100</v>
          </cell>
          <cell r="L4785">
            <v>46693</v>
          </cell>
          <cell r="M4785">
            <v>-1908</v>
          </cell>
          <cell r="N4785">
            <v>198092</v>
          </cell>
        </row>
        <row r="4786">
          <cell r="A4786">
            <v>34163</v>
          </cell>
          <cell r="B4786">
            <v>4780</v>
          </cell>
          <cell r="C4786" t="str">
            <v>IASWD2501000059</v>
          </cell>
          <cell r="D4786">
            <v>45663</v>
          </cell>
          <cell r="E4786">
            <v>46047</v>
          </cell>
          <cell r="F4786" t="str">
            <v>34163</v>
          </cell>
          <cell r="G4786" t="str">
            <v>融程電三</v>
          </cell>
          <cell r="H4786">
            <v>1100000</v>
          </cell>
          <cell r="I4786">
            <v>3</v>
          </cell>
          <cell r="J4786">
            <v>46047</v>
          </cell>
          <cell r="K4786">
            <v>100.5</v>
          </cell>
          <cell r="L4786">
            <v>46028</v>
          </cell>
          <cell r="M4786">
            <v>-11663</v>
          </cell>
          <cell r="N4786">
            <v>1088337</v>
          </cell>
        </row>
        <row r="4787">
          <cell r="A4787">
            <v>64145</v>
          </cell>
          <cell r="B4787">
            <v>4781</v>
          </cell>
          <cell r="C4787" t="str">
            <v>IASWD2501000060</v>
          </cell>
          <cell r="D4787">
            <v>45663</v>
          </cell>
          <cell r="E4787">
            <v>46250</v>
          </cell>
          <cell r="F4787" t="str">
            <v>64145</v>
          </cell>
          <cell r="G4787" t="str">
            <v>樺漢五</v>
          </cell>
          <cell r="H4787">
            <v>1500000</v>
          </cell>
          <cell r="I4787">
            <v>3</v>
          </cell>
          <cell r="J4787">
            <v>46250</v>
          </cell>
          <cell r="K4787">
            <v>100</v>
          </cell>
          <cell r="L4787">
            <v>46231</v>
          </cell>
          <cell r="M4787">
            <v>-15904</v>
          </cell>
          <cell r="N4787">
            <v>1484096</v>
          </cell>
        </row>
        <row r="4788">
          <cell r="A4788">
            <v>24361</v>
          </cell>
          <cell r="B4788">
            <v>4782</v>
          </cell>
          <cell r="C4788" t="str">
            <v>IASWD2501000061</v>
          </cell>
          <cell r="D4788">
            <v>45663</v>
          </cell>
          <cell r="E4788">
            <v>45911</v>
          </cell>
          <cell r="F4788" t="str">
            <v>24361</v>
          </cell>
          <cell r="G4788" t="str">
            <v>偉詮電一</v>
          </cell>
          <cell r="H4788">
            <v>100000</v>
          </cell>
          <cell r="I4788">
            <v>3.75</v>
          </cell>
          <cell r="J4788">
            <v>45911</v>
          </cell>
          <cell r="K4788">
            <v>100.50060000000001</v>
          </cell>
          <cell r="L4788">
            <v>45891</v>
          </cell>
          <cell r="M4788">
            <v>-1325</v>
          </cell>
          <cell r="N4788">
            <v>98675</v>
          </cell>
        </row>
        <row r="4789">
          <cell r="A4789">
            <v>37022</v>
          </cell>
          <cell r="B4789">
            <v>4783</v>
          </cell>
          <cell r="C4789" t="str">
            <v>IASWD2501000062</v>
          </cell>
          <cell r="D4789">
            <v>45663</v>
          </cell>
          <cell r="E4789">
            <v>46702</v>
          </cell>
          <cell r="F4789" t="str">
            <v>37022</v>
          </cell>
          <cell r="G4789" t="str">
            <v>大聯大二</v>
          </cell>
          <cell r="H4789">
            <v>2200000</v>
          </cell>
          <cell r="I4789">
            <v>2.7</v>
          </cell>
          <cell r="J4789">
            <v>46702</v>
          </cell>
          <cell r="K4789">
            <v>100</v>
          </cell>
          <cell r="L4789">
            <v>46682</v>
          </cell>
          <cell r="M4789">
            <v>-20993</v>
          </cell>
          <cell r="N4789">
            <v>2179007</v>
          </cell>
        </row>
        <row r="4790">
          <cell r="A4790">
            <v>66642</v>
          </cell>
          <cell r="B4790">
            <v>4784</v>
          </cell>
          <cell r="C4790" t="str">
            <v>IASWD2501000063</v>
          </cell>
          <cell r="D4790">
            <v>45663</v>
          </cell>
          <cell r="E4790">
            <v>46710</v>
          </cell>
          <cell r="F4790" t="str">
            <v>66642</v>
          </cell>
          <cell r="G4790" t="str">
            <v>群翊二</v>
          </cell>
          <cell r="H4790">
            <v>1000000</v>
          </cell>
          <cell r="I4790">
            <v>3.75</v>
          </cell>
          <cell r="J4790">
            <v>46710</v>
          </cell>
          <cell r="K4790">
            <v>100</v>
          </cell>
          <cell r="L4790">
            <v>46692</v>
          </cell>
          <cell r="M4790">
            <v>-13253</v>
          </cell>
          <cell r="N4790">
            <v>986747</v>
          </cell>
        </row>
        <row r="4791">
          <cell r="A4791">
            <v>61394</v>
          </cell>
          <cell r="B4791">
            <v>4785</v>
          </cell>
          <cell r="C4791" t="str">
            <v>IASWD2501000064</v>
          </cell>
          <cell r="D4791">
            <v>45663</v>
          </cell>
          <cell r="E4791">
            <v>46047</v>
          </cell>
          <cell r="F4791" t="str">
            <v>61394</v>
          </cell>
          <cell r="G4791" t="str">
            <v>亞翔四</v>
          </cell>
          <cell r="H4791">
            <v>100000</v>
          </cell>
          <cell r="I4791">
            <v>3</v>
          </cell>
          <cell r="J4791">
            <v>46047</v>
          </cell>
          <cell r="K4791">
            <v>101.0025</v>
          </cell>
          <cell r="L4791">
            <v>46028</v>
          </cell>
          <cell r="M4791">
            <v>-1060</v>
          </cell>
          <cell r="N4791">
            <v>98940</v>
          </cell>
        </row>
        <row r="4792">
          <cell r="A4792">
            <v>15364</v>
          </cell>
          <cell r="B4792">
            <v>4786</v>
          </cell>
          <cell r="C4792" t="str">
            <v>IASWD2501000065</v>
          </cell>
          <cell r="D4792">
            <v>45663</v>
          </cell>
          <cell r="E4792">
            <v>46246</v>
          </cell>
          <cell r="F4792" t="str">
            <v>15364</v>
          </cell>
          <cell r="G4792" t="str">
            <v>和大四</v>
          </cell>
          <cell r="H4792">
            <v>100000</v>
          </cell>
          <cell r="I4792">
            <v>4</v>
          </cell>
          <cell r="J4792">
            <v>46246</v>
          </cell>
          <cell r="K4792">
            <v>100</v>
          </cell>
          <cell r="L4792">
            <v>46226</v>
          </cell>
          <cell r="M4792">
            <v>-1414</v>
          </cell>
          <cell r="N4792">
            <v>98586</v>
          </cell>
        </row>
        <row r="4793">
          <cell r="A4793">
            <v>61394</v>
          </cell>
          <cell r="B4793">
            <v>4787</v>
          </cell>
          <cell r="C4793" t="str">
            <v>IASWD2501000066</v>
          </cell>
          <cell r="D4793">
            <v>45664</v>
          </cell>
          <cell r="E4793">
            <v>46047</v>
          </cell>
          <cell r="F4793" t="str">
            <v>61394</v>
          </cell>
          <cell r="G4793" t="str">
            <v>亞翔四</v>
          </cell>
          <cell r="H4793">
            <v>200000</v>
          </cell>
          <cell r="I4793">
            <v>3</v>
          </cell>
          <cell r="J4793">
            <v>46047</v>
          </cell>
          <cell r="K4793">
            <v>101.0025</v>
          </cell>
          <cell r="L4793">
            <v>46028</v>
          </cell>
          <cell r="M4793">
            <v>-2104</v>
          </cell>
          <cell r="N4793">
            <v>197896</v>
          </cell>
        </row>
        <row r="4794">
          <cell r="A4794">
            <v>45721</v>
          </cell>
          <cell r="B4794">
            <v>4788</v>
          </cell>
          <cell r="C4794" t="str">
            <v>IASWD2501000068</v>
          </cell>
          <cell r="D4794">
            <v>45664</v>
          </cell>
          <cell r="E4794">
            <v>46219</v>
          </cell>
          <cell r="F4794" t="str">
            <v>45721</v>
          </cell>
          <cell r="G4794" t="str">
            <v>駐龍一</v>
          </cell>
          <cell r="H4794">
            <v>500000</v>
          </cell>
          <cell r="I4794">
            <v>3.5</v>
          </cell>
          <cell r="J4794">
            <v>46219</v>
          </cell>
          <cell r="K4794">
            <v>100</v>
          </cell>
          <cell r="L4794">
            <v>46199</v>
          </cell>
          <cell r="M4794">
            <v>-6137</v>
          </cell>
          <cell r="N4794">
            <v>493863</v>
          </cell>
        </row>
        <row r="4795">
          <cell r="A4795">
            <v>37022</v>
          </cell>
          <cell r="B4795">
            <v>4789</v>
          </cell>
          <cell r="C4795" t="str">
            <v>IASWD2501000069</v>
          </cell>
          <cell r="D4795">
            <v>45664</v>
          </cell>
          <cell r="E4795">
            <v>46702</v>
          </cell>
          <cell r="F4795" t="str">
            <v>37022</v>
          </cell>
          <cell r="G4795" t="str">
            <v>大聯大二</v>
          </cell>
          <cell r="H4795">
            <v>400000</v>
          </cell>
          <cell r="I4795">
            <v>2.7</v>
          </cell>
          <cell r="J4795">
            <v>46702</v>
          </cell>
          <cell r="K4795">
            <v>100</v>
          </cell>
          <cell r="L4795">
            <v>46682</v>
          </cell>
          <cell r="M4795">
            <v>-3787</v>
          </cell>
          <cell r="N4795">
            <v>396213</v>
          </cell>
        </row>
        <row r="4796">
          <cell r="A4796">
            <v>15364</v>
          </cell>
          <cell r="B4796">
            <v>4790</v>
          </cell>
          <cell r="C4796" t="str">
            <v>IASWD2501000070</v>
          </cell>
          <cell r="D4796">
            <v>45664</v>
          </cell>
          <cell r="E4796">
            <v>46246</v>
          </cell>
          <cell r="F4796" t="str">
            <v>15364</v>
          </cell>
          <cell r="G4796" t="str">
            <v>和大四</v>
          </cell>
          <cell r="H4796">
            <v>100000</v>
          </cell>
          <cell r="I4796">
            <v>4</v>
          </cell>
          <cell r="J4796">
            <v>46246</v>
          </cell>
          <cell r="K4796">
            <v>100</v>
          </cell>
          <cell r="L4796">
            <v>46226</v>
          </cell>
          <cell r="M4796">
            <v>-1403</v>
          </cell>
          <cell r="N4796">
            <v>98597</v>
          </cell>
        </row>
        <row r="4797">
          <cell r="A4797">
            <v>30882</v>
          </cell>
          <cell r="B4797">
            <v>4791</v>
          </cell>
          <cell r="C4797" t="str">
            <v>IASWD2501000071</v>
          </cell>
          <cell r="D4797">
            <v>45664</v>
          </cell>
          <cell r="E4797">
            <v>46262</v>
          </cell>
          <cell r="F4797" t="str">
            <v>30882</v>
          </cell>
          <cell r="G4797" t="str">
            <v>艾訊二</v>
          </cell>
          <cell r="H4797">
            <v>200000</v>
          </cell>
          <cell r="I4797">
            <v>3.25</v>
          </cell>
          <cell r="J4797">
            <v>46262</v>
          </cell>
          <cell r="K4797">
            <v>100</v>
          </cell>
          <cell r="L4797">
            <v>46244</v>
          </cell>
          <cell r="M4797">
            <v>-2279</v>
          </cell>
          <cell r="N4797">
            <v>197721</v>
          </cell>
        </row>
        <row r="4798">
          <cell r="A4798">
            <v>30882</v>
          </cell>
          <cell r="B4798">
            <v>4792</v>
          </cell>
          <cell r="C4798" t="str">
            <v>IASWD2501000072</v>
          </cell>
          <cell r="D4798">
            <v>45664</v>
          </cell>
          <cell r="E4798">
            <v>46262</v>
          </cell>
          <cell r="F4798" t="str">
            <v>30882</v>
          </cell>
          <cell r="G4798" t="str">
            <v>艾訊二</v>
          </cell>
          <cell r="H4798">
            <v>100000</v>
          </cell>
          <cell r="I4798">
            <v>3.25</v>
          </cell>
          <cell r="J4798">
            <v>46262</v>
          </cell>
          <cell r="K4798">
            <v>100</v>
          </cell>
          <cell r="L4798">
            <v>46244</v>
          </cell>
          <cell r="M4798">
            <v>-1140</v>
          </cell>
          <cell r="N4798">
            <v>98860</v>
          </cell>
        </row>
        <row r="4799">
          <cell r="A4799">
            <v>30882</v>
          </cell>
          <cell r="B4799">
            <v>4793</v>
          </cell>
          <cell r="C4799" t="str">
            <v>IASWD2501000073</v>
          </cell>
          <cell r="D4799">
            <v>45664</v>
          </cell>
          <cell r="E4799">
            <v>46262</v>
          </cell>
          <cell r="F4799" t="str">
            <v>30882</v>
          </cell>
          <cell r="G4799" t="str">
            <v>艾訊二</v>
          </cell>
          <cell r="H4799">
            <v>100000</v>
          </cell>
          <cell r="I4799">
            <v>3.25</v>
          </cell>
          <cell r="J4799">
            <v>46262</v>
          </cell>
          <cell r="K4799">
            <v>100</v>
          </cell>
          <cell r="L4799">
            <v>46244</v>
          </cell>
          <cell r="M4799">
            <v>-1140</v>
          </cell>
          <cell r="N4799">
            <v>98860</v>
          </cell>
        </row>
        <row r="4800">
          <cell r="A4800">
            <v>37022</v>
          </cell>
          <cell r="B4800">
            <v>4794</v>
          </cell>
          <cell r="C4800" t="str">
            <v>IASWD2501000074</v>
          </cell>
          <cell r="D4800">
            <v>45664</v>
          </cell>
          <cell r="E4800">
            <v>46702</v>
          </cell>
          <cell r="F4800" t="str">
            <v>37022</v>
          </cell>
          <cell r="G4800" t="str">
            <v>大聯大二</v>
          </cell>
          <cell r="H4800">
            <v>1800000</v>
          </cell>
          <cell r="I4800">
            <v>2.7</v>
          </cell>
          <cell r="J4800">
            <v>46702</v>
          </cell>
          <cell r="K4800">
            <v>100</v>
          </cell>
          <cell r="L4800">
            <v>46682</v>
          </cell>
          <cell r="M4800">
            <v>-17043</v>
          </cell>
          <cell r="N4800">
            <v>1782957</v>
          </cell>
        </row>
        <row r="4801">
          <cell r="A4801">
            <v>35265</v>
          </cell>
          <cell r="B4801">
            <v>4795</v>
          </cell>
          <cell r="C4801" t="str">
            <v>IASWD2501000075</v>
          </cell>
          <cell r="D4801">
            <v>45664</v>
          </cell>
          <cell r="E4801">
            <v>46067</v>
          </cell>
          <cell r="F4801" t="str">
            <v>35265</v>
          </cell>
          <cell r="G4801" t="str">
            <v>凡甲五</v>
          </cell>
          <cell r="H4801">
            <v>100000</v>
          </cell>
          <cell r="I4801">
            <v>3</v>
          </cell>
          <cell r="J4801">
            <v>46067</v>
          </cell>
          <cell r="K4801">
            <v>100</v>
          </cell>
          <cell r="L4801">
            <v>46049</v>
          </cell>
          <cell r="M4801">
            <v>-1052</v>
          </cell>
          <cell r="N4801">
            <v>98948</v>
          </cell>
        </row>
        <row r="4802">
          <cell r="A4802">
            <v>35832</v>
          </cell>
          <cell r="B4802">
            <v>4796</v>
          </cell>
          <cell r="C4802" t="str">
            <v>IASWD2501000076</v>
          </cell>
          <cell r="D4802">
            <v>45664</v>
          </cell>
          <cell r="E4802">
            <v>46192</v>
          </cell>
          <cell r="F4802" t="str">
            <v>35832</v>
          </cell>
          <cell r="G4802" t="str">
            <v>辛耘二</v>
          </cell>
          <cell r="H4802">
            <v>300000</v>
          </cell>
          <cell r="I4802">
            <v>3</v>
          </cell>
          <cell r="J4802">
            <v>46192</v>
          </cell>
          <cell r="K4802">
            <v>100</v>
          </cell>
          <cell r="L4802">
            <v>46174</v>
          </cell>
          <cell r="M4802">
            <v>-3156</v>
          </cell>
          <cell r="N4802">
            <v>296844</v>
          </cell>
        </row>
        <row r="4803">
          <cell r="A4803">
            <v>34793</v>
          </cell>
          <cell r="B4803">
            <v>4797</v>
          </cell>
          <cell r="C4803" t="str">
            <v>IASWD2501000077</v>
          </cell>
          <cell r="D4803">
            <v>45664</v>
          </cell>
          <cell r="E4803">
            <v>46409</v>
          </cell>
          <cell r="F4803" t="str">
            <v>34793</v>
          </cell>
          <cell r="G4803" t="str">
            <v>安勤三</v>
          </cell>
          <cell r="H4803">
            <v>400000</v>
          </cell>
          <cell r="I4803">
            <v>3</v>
          </cell>
          <cell r="J4803">
            <v>46409</v>
          </cell>
          <cell r="K4803">
            <v>100</v>
          </cell>
          <cell r="L4803">
            <v>46391</v>
          </cell>
          <cell r="M4803">
            <v>-4208</v>
          </cell>
          <cell r="N4803">
            <v>395792</v>
          </cell>
        </row>
        <row r="4804">
          <cell r="A4804">
            <v>34163</v>
          </cell>
          <cell r="B4804">
            <v>4798</v>
          </cell>
          <cell r="C4804" t="str">
            <v>IASWD2501000078</v>
          </cell>
          <cell r="D4804">
            <v>45664</v>
          </cell>
          <cell r="E4804">
            <v>46047</v>
          </cell>
          <cell r="F4804" t="str">
            <v>34163</v>
          </cell>
          <cell r="G4804" t="str">
            <v>融程電三</v>
          </cell>
          <cell r="H4804">
            <v>900000</v>
          </cell>
          <cell r="I4804">
            <v>3</v>
          </cell>
          <cell r="J4804">
            <v>46047</v>
          </cell>
          <cell r="K4804">
            <v>100.5</v>
          </cell>
          <cell r="L4804">
            <v>46028</v>
          </cell>
          <cell r="M4804">
            <v>-9468</v>
          </cell>
          <cell r="N4804">
            <v>890532</v>
          </cell>
        </row>
        <row r="4805">
          <cell r="A4805">
            <v>34912</v>
          </cell>
          <cell r="B4805">
            <v>4799</v>
          </cell>
          <cell r="C4805" t="str">
            <v>IASWD2501000079</v>
          </cell>
          <cell r="D4805">
            <v>45664</v>
          </cell>
          <cell r="E4805">
            <v>46627</v>
          </cell>
          <cell r="F4805" t="str">
            <v>34912</v>
          </cell>
          <cell r="G4805" t="str">
            <v>昇達科二</v>
          </cell>
          <cell r="H4805">
            <v>100000</v>
          </cell>
          <cell r="I4805">
            <v>3</v>
          </cell>
          <cell r="J4805">
            <v>46627</v>
          </cell>
          <cell r="K4805">
            <v>100</v>
          </cell>
          <cell r="L4805">
            <v>46609</v>
          </cell>
          <cell r="M4805">
            <v>-1052</v>
          </cell>
          <cell r="N4805">
            <v>98948</v>
          </cell>
        </row>
        <row r="4806">
          <cell r="A4806">
            <v>37023</v>
          </cell>
          <cell r="B4806">
            <v>4800</v>
          </cell>
          <cell r="C4806" t="str">
            <v>IASWD2501000080</v>
          </cell>
          <cell r="D4806">
            <v>45664</v>
          </cell>
          <cell r="E4806">
            <v>46712</v>
          </cell>
          <cell r="F4806" t="str">
            <v>37023</v>
          </cell>
          <cell r="G4806" t="str">
            <v>大聯大三</v>
          </cell>
          <cell r="H4806">
            <v>2000000</v>
          </cell>
          <cell r="I4806">
            <v>2.7</v>
          </cell>
          <cell r="J4806">
            <v>46712</v>
          </cell>
          <cell r="K4806">
            <v>100</v>
          </cell>
          <cell r="L4806">
            <v>46693</v>
          </cell>
          <cell r="M4806">
            <v>-18937</v>
          </cell>
          <cell r="N4806">
            <v>1981063</v>
          </cell>
        </row>
        <row r="4807">
          <cell r="A4807">
            <v>24361</v>
          </cell>
          <cell r="B4807">
            <v>4801</v>
          </cell>
          <cell r="C4807" t="str">
            <v>IASWD2501000081</v>
          </cell>
          <cell r="D4807">
            <v>45664</v>
          </cell>
          <cell r="E4807">
            <v>45911</v>
          </cell>
          <cell r="F4807" t="str">
            <v>24361</v>
          </cell>
          <cell r="G4807" t="str">
            <v>偉詮電一</v>
          </cell>
          <cell r="H4807">
            <v>200000</v>
          </cell>
          <cell r="I4807">
            <v>3.75</v>
          </cell>
          <cell r="J4807">
            <v>45911</v>
          </cell>
          <cell r="K4807">
            <v>100.50060000000001</v>
          </cell>
          <cell r="L4807">
            <v>45891</v>
          </cell>
          <cell r="M4807">
            <v>-2630</v>
          </cell>
          <cell r="N4807">
            <v>197370</v>
          </cell>
        </row>
        <row r="4808">
          <cell r="A4808">
            <v>61973</v>
          </cell>
          <cell r="B4808">
            <v>4802</v>
          </cell>
          <cell r="C4808" t="str">
            <v>IASWD2501000082</v>
          </cell>
          <cell r="D4808">
            <v>45664</v>
          </cell>
          <cell r="E4808">
            <v>46675</v>
          </cell>
          <cell r="F4808" t="str">
            <v>61973</v>
          </cell>
          <cell r="G4808" t="str">
            <v>佳必琪三</v>
          </cell>
          <cell r="H4808">
            <v>500000</v>
          </cell>
          <cell r="I4808">
            <v>3</v>
          </cell>
          <cell r="J4808">
            <v>46675</v>
          </cell>
          <cell r="K4808">
            <v>100</v>
          </cell>
          <cell r="L4808">
            <v>46657</v>
          </cell>
          <cell r="M4808">
            <v>-5260</v>
          </cell>
          <cell r="N4808">
            <v>494740</v>
          </cell>
        </row>
        <row r="4809">
          <cell r="A4809">
            <v>61394</v>
          </cell>
          <cell r="B4809">
            <v>4803</v>
          </cell>
          <cell r="C4809" t="str">
            <v>IASWD2501000083</v>
          </cell>
          <cell r="D4809">
            <v>45664</v>
          </cell>
          <cell r="E4809">
            <v>46047</v>
          </cell>
          <cell r="F4809" t="str">
            <v>61394</v>
          </cell>
          <cell r="G4809" t="str">
            <v>亞翔四</v>
          </cell>
          <cell r="H4809">
            <v>200000</v>
          </cell>
          <cell r="I4809">
            <v>3</v>
          </cell>
          <cell r="J4809">
            <v>46047</v>
          </cell>
          <cell r="K4809">
            <v>101.0025</v>
          </cell>
          <cell r="L4809">
            <v>46028</v>
          </cell>
          <cell r="M4809">
            <v>-2104</v>
          </cell>
          <cell r="N4809">
            <v>197896</v>
          </cell>
        </row>
        <row r="4810">
          <cell r="A4810">
            <v>61394</v>
          </cell>
          <cell r="B4810">
            <v>4804</v>
          </cell>
          <cell r="C4810" t="str">
            <v>IASWD2501000084</v>
          </cell>
          <cell r="D4810">
            <v>45664</v>
          </cell>
          <cell r="E4810">
            <v>46047</v>
          </cell>
          <cell r="F4810" t="str">
            <v>61394</v>
          </cell>
          <cell r="G4810" t="str">
            <v>亞翔四</v>
          </cell>
          <cell r="H4810">
            <v>400000</v>
          </cell>
          <cell r="I4810">
            <v>3</v>
          </cell>
          <cell r="J4810">
            <v>46047</v>
          </cell>
          <cell r="K4810">
            <v>101.0025</v>
          </cell>
          <cell r="L4810">
            <v>46028</v>
          </cell>
          <cell r="M4810">
            <v>-4208</v>
          </cell>
          <cell r="N4810">
            <v>395792</v>
          </cell>
        </row>
        <row r="4811">
          <cell r="A4811">
            <v>26415</v>
          </cell>
          <cell r="B4811">
            <v>4805</v>
          </cell>
          <cell r="C4811" t="str">
            <v>IASWD2501000085</v>
          </cell>
          <cell r="D4811">
            <v>45664</v>
          </cell>
          <cell r="E4811">
            <v>45866</v>
          </cell>
          <cell r="F4811" t="str">
            <v>26415</v>
          </cell>
          <cell r="G4811" t="str">
            <v>正德五</v>
          </cell>
          <cell r="H4811">
            <v>100000</v>
          </cell>
          <cell r="I4811">
            <v>4</v>
          </cell>
          <cell r="J4811">
            <v>45866</v>
          </cell>
          <cell r="K4811">
            <v>100</v>
          </cell>
          <cell r="L4811">
            <v>45846</v>
          </cell>
          <cell r="M4811">
            <v>-1403</v>
          </cell>
          <cell r="N4811">
            <v>98597</v>
          </cell>
        </row>
        <row r="4812">
          <cell r="A4812">
            <v>61973</v>
          </cell>
          <cell r="B4812">
            <v>4806</v>
          </cell>
          <cell r="C4812" t="str">
            <v>IASWD2501000086</v>
          </cell>
          <cell r="D4812">
            <v>45664</v>
          </cell>
          <cell r="E4812">
            <v>46675</v>
          </cell>
          <cell r="F4812" t="str">
            <v>61973</v>
          </cell>
          <cell r="G4812" t="str">
            <v>佳必琪三</v>
          </cell>
          <cell r="H4812">
            <v>300000</v>
          </cell>
          <cell r="I4812">
            <v>3</v>
          </cell>
          <cell r="J4812">
            <v>46675</v>
          </cell>
          <cell r="K4812">
            <v>100</v>
          </cell>
          <cell r="L4812">
            <v>46657</v>
          </cell>
          <cell r="M4812">
            <v>-3156</v>
          </cell>
          <cell r="N4812">
            <v>296844</v>
          </cell>
        </row>
        <row r="4813">
          <cell r="A4813">
            <v>37023</v>
          </cell>
          <cell r="B4813">
            <v>4807</v>
          </cell>
          <cell r="C4813" t="str">
            <v>IASWD2501000087</v>
          </cell>
          <cell r="D4813">
            <v>45665</v>
          </cell>
          <cell r="E4813">
            <v>46712</v>
          </cell>
          <cell r="F4813" t="str">
            <v>37023</v>
          </cell>
          <cell r="G4813" t="str">
            <v>大聯大三</v>
          </cell>
          <cell r="H4813">
            <v>100000</v>
          </cell>
          <cell r="I4813">
            <v>2.7</v>
          </cell>
          <cell r="J4813">
            <v>46712</v>
          </cell>
          <cell r="K4813">
            <v>100</v>
          </cell>
          <cell r="L4813">
            <v>46693</v>
          </cell>
          <cell r="M4813">
            <v>-939</v>
          </cell>
          <cell r="N4813">
            <v>99061</v>
          </cell>
        </row>
        <row r="4814">
          <cell r="A4814">
            <v>64145</v>
          </cell>
          <cell r="B4814">
            <v>4808</v>
          </cell>
          <cell r="C4814" t="str">
            <v>IASWD2501000088</v>
          </cell>
          <cell r="D4814">
            <v>45665</v>
          </cell>
          <cell r="E4814">
            <v>46250</v>
          </cell>
          <cell r="F4814" t="str">
            <v>64145</v>
          </cell>
          <cell r="G4814" t="str">
            <v>樺漢五</v>
          </cell>
          <cell r="H4814">
            <v>100000</v>
          </cell>
          <cell r="I4814">
            <v>3</v>
          </cell>
          <cell r="J4814">
            <v>46250</v>
          </cell>
          <cell r="K4814">
            <v>100</v>
          </cell>
          <cell r="L4814">
            <v>46231</v>
          </cell>
          <cell r="M4814">
            <v>-1044</v>
          </cell>
          <cell r="N4814">
            <v>98956</v>
          </cell>
        </row>
        <row r="4815">
          <cell r="A4815">
            <v>34912</v>
          </cell>
          <cell r="B4815">
            <v>4809</v>
          </cell>
          <cell r="C4815" t="str">
            <v>IASWD2501000092</v>
          </cell>
          <cell r="D4815">
            <v>45665</v>
          </cell>
          <cell r="E4815">
            <v>46627</v>
          </cell>
          <cell r="F4815" t="str">
            <v>34912</v>
          </cell>
          <cell r="G4815" t="str">
            <v>昇達科二</v>
          </cell>
          <cell r="H4815">
            <v>200000</v>
          </cell>
          <cell r="I4815">
            <v>3</v>
          </cell>
          <cell r="J4815">
            <v>46627</v>
          </cell>
          <cell r="K4815">
            <v>100</v>
          </cell>
          <cell r="L4815">
            <v>46609</v>
          </cell>
          <cell r="M4815">
            <v>-2088</v>
          </cell>
          <cell r="N4815">
            <v>197912</v>
          </cell>
        </row>
        <row r="4816">
          <cell r="A4816">
            <v>64145</v>
          </cell>
          <cell r="B4816">
            <v>4810</v>
          </cell>
          <cell r="C4816" t="str">
            <v>IASWD2501000094</v>
          </cell>
          <cell r="D4816">
            <v>45665</v>
          </cell>
          <cell r="E4816">
            <v>46250</v>
          </cell>
          <cell r="F4816" t="str">
            <v>64145</v>
          </cell>
          <cell r="G4816" t="str">
            <v>樺漢五</v>
          </cell>
          <cell r="H4816">
            <v>200000</v>
          </cell>
          <cell r="I4816">
            <v>3</v>
          </cell>
          <cell r="J4816">
            <v>46250</v>
          </cell>
          <cell r="K4816">
            <v>100</v>
          </cell>
          <cell r="L4816">
            <v>46231</v>
          </cell>
          <cell r="M4816">
            <v>-2088</v>
          </cell>
          <cell r="N4816">
            <v>197912</v>
          </cell>
        </row>
        <row r="4817">
          <cell r="A4817">
            <v>25283</v>
          </cell>
          <cell r="B4817">
            <v>4811</v>
          </cell>
          <cell r="C4817" t="str">
            <v>IASWD2501000095</v>
          </cell>
          <cell r="D4817">
            <v>45665</v>
          </cell>
          <cell r="E4817">
            <v>46752</v>
          </cell>
          <cell r="F4817" t="str">
            <v>25283</v>
          </cell>
          <cell r="G4817" t="str">
            <v>皇普三</v>
          </cell>
          <cell r="H4817">
            <v>1200000</v>
          </cell>
          <cell r="I4817">
            <v>2.2999999999999998</v>
          </cell>
          <cell r="J4817">
            <v>46752</v>
          </cell>
          <cell r="K4817">
            <v>100.752</v>
          </cell>
          <cell r="L4817">
            <v>46734</v>
          </cell>
          <cell r="M4817">
            <v>-9603</v>
          </cell>
          <cell r="N4817">
            <v>1190397</v>
          </cell>
        </row>
        <row r="4818">
          <cell r="A4818">
            <v>50097</v>
          </cell>
          <cell r="B4818">
            <v>4812</v>
          </cell>
          <cell r="C4818" t="str">
            <v>IASWD2501000096</v>
          </cell>
          <cell r="D4818">
            <v>45665</v>
          </cell>
          <cell r="E4818">
            <v>46234</v>
          </cell>
          <cell r="F4818" t="str">
            <v>50097</v>
          </cell>
          <cell r="G4818" t="str">
            <v>榮剛七</v>
          </cell>
          <cell r="H4818">
            <v>100000</v>
          </cell>
          <cell r="I4818">
            <v>4.25</v>
          </cell>
          <cell r="J4818">
            <v>46234</v>
          </cell>
          <cell r="K4818">
            <v>101.51</v>
          </cell>
          <cell r="L4818">
            <v>46216</v>
          </cell>
          <cell r="M4818">
            <v>-1479</v>
          </cell>
          <cell r="N4818">
            <v>98521</v>
          </cell>
        </row>
        <row r="4819">
          <cell r="A4819">
            <v>34163</v>
          </cell>
          <cell r="B4819">
            <v>4813</v>
          </cell>
          <cell r="C4819" t="str">
            <v>IASWD2501000097</v>
          </cell>
          <cell r="D4819">
            <v>45665</v>
          </cell>
          <cell r="E4819">
            <v>46047</v>
          </cell>
          <cell r="F4819" t="str">
            <v>34163</v>
          </cell>
          <cell r="G4819" t="str">
            <v>融程電三</v>
          </cell>
          <cell r="H4819">
            <v>2000000</v>
          </cell>
          <cell r="I4819">
            <v>3</v>
          </cell>
          <cell r="J4819">
            <v>46047</v>
          </cell>
          <cell r="K4819">
            <v>100.5</v>
          </cell>
          <cell r="L4819">
            <v>46028</v>
          </cell>
          <cell r="M4819">
            <v>-20877</v>
          </cell>
          <cell r="N4819">
            <v>1979123</v>
          </cell>
        </row>
        <row r="4820">
          <cell r="A4820">
            <v>64145</v>
          </cell>
          <cell r="B4820">
            <v>4814</v>
          </cell>
          <cell r="C4820" t="str">
            <v>IASWD2501000098</v>
          </cell>
          <cell r="D4820">
            <v>45666</v>
          </cell>
          <cell r="E4820">
            <v>46250</v>
          </cell>
          <cell r="F4820" t="str">
            <v>64145</v>
          </cell>
          <cell r="G4820" t="str">
            <v>樺漢五</v>
          </cell>
          <cell r="H4820">
            <v>1600000</v>
          </cell>
          <cell r="I4820">
            <v>3</v>
          </cell>
          <cell r="J4820">
            <v>46250</v>
          </cell>
          <cell r="K4820">
            <v>100</v>
          </cell>
          <cell r="L4820">
            <v>46231</v>
          </cell>
          <cell r="M4820">
            <v>-16570</v>
          </cell>
          <cell r="N4820">
            <v>1583430</v>
          </cell>
        </row>
        <row r="4821">
          <cell r="A4821">
            <v>34834</v>
          </cell>
          <cell r="B4821">
            <v>4815</v>
          </cell>
          <cell r="C4821" t="str">
            <v>IASWD2501000099</v>
          </cell>
          <cell r="D4821">
            <v>45666</v>
          </cell>
          <cell r="E4821">
            <v>46529</v>
          </cell>
          <cell r="F4821" t="str">
            <v>34834</v>
          </cell>
          <cell r="G4821" t="str">
            <v>力致四</v>
          </cell>
          <cell r="H4821">
            <v>100000</v>
          </cell>
          <cell r="I4821">
            <v>3.75</v>
          </cell>
          <cell r="J4821">
            <v>46529</v>
          </cell>
          <cell r="K4821">
            <v>100</v>
          </cell>
          <cell r="L4821">
            <v>46511</v>
          </cell>
          <cell r="M4821">
            <v>-1295</v>
          </cell>
          <cell r="N4821">
            <v>98705</v>
          </cell>
        </row>
        <row r="4822">
          <cell r="A4822">
            <v>64145</v>
          </cell>
          <cell r="B4822">
            <v>4816</v>
          </cell>
          <cell r="C4822" t="str">
            <v>IASWD2501000100</v>
          </cell>
          <cell r="D4822">
            <v>45666</v>
          </cell>
          <cell r="E4822">
            <v>46250</v>
          </cell>
          <cell r="F4822" t="str">
            <v>64145</v>
          </cell>
          <cell r="G4822" t="str">
            <v>樺漢五</v>
          </cell>
          <cell r="H4822">
            <v>100000</v>
          </cell>
          <cell r="I4822">
            <v>3</v>
          </cell>
          <cell r="J4822">
            <v>46250</v>
          </cell>
          <cell r="K4822">
            <v>100</v>
          </cell>
          <cell r="L4822">
            <v>46231</v>
          </cell>
          <cell r="M4822">
            <v>-1036</v>
          </cell>
          <cell r="N4822">
            <v>98964</v>
          </cell>
        </row>
        <row r="4823">
          <cell r="A4823">
            <v>34163</v>
          </cell>
          <cell r="B4823">
            <v>4817</v>
          </cell>
          <cell r="C4823" t="str">
            <v>IASWD2501000101</v>
          </cell>
          <cell r="D4823">
            <v>45666</v>
          </cell>
          <cell r="E4823">
            <v>46047</v>
          </cell>
          <cell r="F4823" t="str">
            <v>34163</v>
          </cell>
          <cell r="G4823" t="str">
            <v>融程電三</v>
          </cell>
          <cell r="H4823">
            <v>2200000</v>
          </cell>
          <cell r="I4823">
            <v>3</v>
          </cell>
          <cell r="J4823">
            <v>46047</v>
          </cell>
          <cell r="K4823">
            <v>100.5</v>
          </cell>
          <cell r="L4823">
            <v>46028</v>
          </cell>
          <cell r="M4823">
            <v>-22784</v>
          </cell>
          <cell r="N4823">
            <v>2177216</v>
          </cell>
        </row>
        <row r="4824">
          <cell r="A4824">
            <v>37023</v>
          </cell>
          <cell r="B4824">
            <v>4818</v>
          </cell>
          <cell r="C4824" t="str">
            <v>IASWD2501000102</v>
          </cell>
          <cell r="D4824">
            <v>45666</v>
          </cell>
          <cell r="E4824">
            <v>46712</v>
          </cell>
          <cell r="F4824" t="str">
            <v>37023</v>
          </cell>
          <cell r="G4824" t="str">
            <v>大聯大三</v>
          </cell>
          <cell r="H4824">
            <v>100000</v>
          </cell>
          <cell r="I4824">
            <v>2.7</v>
          </cell>
          <cell r="J4824">
            <v>46712</v>
          </cell>
          <cell r="K4824">
            <v>100</v>
          </cell>
          <cell r="L4824">
            <v>46693</v>
          </cell>
          <cell r="M4824">
            <v>-932</v>
          </cell>
          <cell r="N4824">
            <v>99068</v>
          </cell>
        </row>
        <row r="4825">
          <cell r="A4825">
            <v>35266</v>
          </cell>
          <cell r="B4825">
            <v>4819</v>
          </cell>
          <cell r="C4825" t="str">
            <v>IASWD2501000104</v>
          </cell>
          <cell r="D4825">
            <v>45666</v>
          </cell>
          <cell r="E4825">
            <v>46416</v>
          </cell>
          <cell r="F4825" t="str">
            <v>35266</v>
          </cell>
          <cell r="G4825" t="str">
            <v>凡甲六</v>
          </cell>
          <cell r="H4825">
            <v>200000</v>
          </cell>
          <cell r="I4825">
            <v>3.25</v>
          </cell>
          <cell r="J4825">
            <v>46416</v>
          </cell>
          <cell r="K4825">
            <v>100</v>
          </cell>
          <cell r="L4825">
            <v>46398</v>
          </cell>
          <cell r="M4825">
            <v>-2244</v>
          </cell>
          <cell r="N4825">
            <v>197756</v>
          </cell>
        </row>
        <row r="4826">
          <cell r="A4826">
            <v>45491</v>
          </cell>
          <cell r="B4826">
            <v>4820</v>
          </cell>
          <cell r="C4826" t="str">
            <v>IASWD2501000105</v>
          </cell>
          <cell r="D4826">
            <v>45666</v>
          </cell>
          <cell r="E4826">
            <v>46698</v>
          </cell>
          <cell r="F4826" t="str">
            <v>45491</v>
          </cell>
          <cell r="G4826" t="str">
            <v>桓達一</v>
          </cell>
          <cell r="H4826">
            <v>100000</v>
          </cell>
          <cell r="I4826">
            <v>4</v>
          </cell>
          <cell r="J4826">
            <v>46698</v>
          </cell>
          <cell r="K4826">
            <v>100</v>
          </cell>
          <cell r="L4826">
            <v>46679</v>
          </cell>
          <cell r="M4826">
            <v>-1381</v>
          </cell>
          <cell r="N4826">
            <v>98619</v>
          </cell>
        </row>
        <row r="4827">
          <cell r="A4827">
            <v>33121</v>
          </cell>
          <cell r="B4827">
            <v>4821</v>
          </cell>
          <cell r="C4827" t="str">
            <v>IASWD2501000106</v>
          </cell>
          <cell r="D4827">
            <v>45666</v>
          </cell>
          <cell r="E4827">
            <v>46563</v>
          </cell>
          <cell r="F4827" t="str">
            <v>33121</v>
          </cell>
          <cell r="G4827" t="str">
            <v>弘憶股一</v>
          </cell>
          <cell r="H4827">
            <v>100000</v>
          </cell>
          <cell r="I4827">
            <v>3.35</v>
          </cell>
          <cell r="J4827">
            <v>46563</v>
          </cell>
          <cell r="K4827">
            <v>100</v>
          </cell>
          <cell r="L4827">
            <v>46545</v>
          </cell>
          <cell r="M4827">
            <v>-1156</v>
          </cell>
          <cell r="N4827">
            <v>98844</v>
          </cell>
        </row>
        <row r="4828">
          <cell r="A4828">
            <v>37022</v>
          </cell>
          <cell r="B4828">
            <v>4822</v>
          </cell>
          <cell r="C4828" t="str">
            <v>IASWD2501000107</v>
          </cell>
          <cell r="D4828">
            <v>45666</v>
          </cell>
          <cell r="E4828">
            <v>46702</v>
          </cell>
          <cell r="F4828" t="str">
            <v>37022</v>
          </cell>
          <cell r="G4828" t="str">
            <v>大聯大二</v>
          </cell>
          <cell r="H4828">
            <v>400000</v>
          </cell>
          <cell r="I4828">
            <v>2.7</v>
          </cell>
          <cell r="J4828">
            <v>46702</v>
          </cell>
          <cell r="K4828">
            <v>100</v>
          </cell>
          <cell r="L4828">
            <v>46682</v>
          </cell>
          <cell r="M4828">
            <v>-3728</v>
          </cell>
          <cell r="N4828">
            <v>396272</v>
          </cell>
        </row>
        <row r="4829">
          <cell r="A4829">
            <v>21043</v>
          </cell>
          <cell r="B4829">
            <v>4823</v>
          </cell>
          <cell r="C4829" t="str">
            <v>IASWD2501000108</v>
          </cell>
          <cell r="D4829">
            <v>45666</v>
          </cell>
          <cell r="E4829">
            <v>46308</v>
          </cell>
          <cell r="F4829" t="str">
            <v>21043</v>
          </cell>
          <cell r="G4829" t="str">
            <v>國際中橡三</v>
          </cell>
          <cell r="H4829">
            <v>200000</v>
          </cell>
          <cell r="I4829">
            <v>2.8</v>
          </cell>
          <cell r="J4829">
            <v>46308</v>
          </cell>
          <cell r="K4829">
            <v>100.9</v>
          </cell>
          <cell r="L4829">
            <v>46288</v>
          </cell>
          <cell r="M4829">
            <v>-1933</v>
          </cell>
          <cell r="N4829">
            <v>198067</v>
          </cell>
        </row>
        <row r="4830">
          <cell r="A4830">
            <v>66642</v>
          </cell>
          <cell r="B4830">
            <v>4824</v>
          </cell>
          <cell r="C4830" t="str">
            <v>IASWD2501000109</v>
          </cell>
          <cell r="D4830">
            <v>45666</v>
          </cell>
          <cell r="E4830">
            <v>46710</v>
          </cell>
          <cell r="F4830" t="str">
            <v>66642</v>
          </cell>
          <cell r="G4830" t="str">
            <v>群翊二</v>
          </cell>
          <cell r="H4830">
            <v>100000</v>
          </cell>
          <cell r="I4830">
            <v>3.75</v>
          </cell>
          <cell r="J4830">
            <v>46710</v>
          </cell>
          <cell r="K4830">
            <v>100</v>
          </cell>
          <cell r="L4830">
            <v>46692</v>
          </cell>
          <cell r="M4830">
            <v>-1295</v>
          </cell>
          <cell r="N4830">
            <v>98705</v>
          </cell>
        </row>
        <row r="4831">
          <cell r="A4831">
            <v>64145</v>
          </cell>
          <cell r="B4831">
            <v>4825</v>
          </cell>
          <cell r="C4831" t="str">
            <v>IASWD2501000110</v>
          </cell>
          <cell r="D4831">
            <v>45666</v>
          </cell>
          <cell r="E4831">
            <v>46250</v>
          </cell>
          <cell r="F4831" t="str">
            <v>64145</v>
          </cell>
          <cell r="G4831" t="str">
            <v>樺漢五</v>
          </cell>
          <cell r="H4831">
            <v>100000</v>
          </cell>
          <cell r="I4831">
            <v>3</v>
          </cell>
          <cell r="J4831">
            <v>46250</v>
          </cell>
          <cell r="K4831">
            <v>100</v>
          </cell>
          <cell r="L4831">
            <v>46231</v>
          </cell>
          <cell r="M4831">
            <v>-1036</v>
          </cell>
          <cell r="N4831">
            <v>98964</v>
          </cell>
        </row>
        <row r="4832">
          <cell r="A4832">
            <v>61875</v>
          </cell>
          <cell r="B4832">
            <v>4826</v>
          </cell>
          <cell r="C4832" t="str">
            <v>IASWD2501000111</v>
          </cell>
          <cell r="D4832">
            <v>45666</v>
          </cell>
          <cell r="E4832">
            <v>46578</v>
          </cell>
          <cell r="F4832" t="str">
            <v>61875</v>
          </cell>
          <cell r="G4832" t="str">
            <v>萬潤五</v>
          </cell>
          <cell r="H4832">
            <v>100000</v>
          </cell>
          <cell r="I4832">
            <v>3</v>
          </cell>
          <cell r="J4832">
            <v>46578</v>
          </cell>
          <cell r="K4832">
            <v>100</v>
          </cell>
          <cell r="L4832">
            <v>46560</v>
          </cell>
          <cell r="M4832">
            <v>-1036</v>
          </cell>
          <cell r="N4832">
            <v>98964</v>
          </cell>
        </row>
        <row r="4833">
          <cell r="A4833">
            <v>64145</v>
          </cell>
          <cell r="B4833">
            <v>4827</v>
          </cell>
          <cell r="C4833" t="str">
            <v>IASWD2501000112</v>
          </cell>
          <cell r="D4833">
            <v>45666</v>
          </cell>
          <cell r="E4833">
            <v>46250</v>
          </cell>
          <cell r="F4833" t="str">
            <v>64145</v>
          </cell>
          <cell r="G4833" t="str">
            <v>樺漢五</v>
          </cell>
          <cell r="H4833">
            <v>200000</v>
          </cell>
          <cell r="I4833">
            <v>3</v>
          </cell>
          <cell r="J4833">
            <v>46250</v>
          </cell>
          <cell r="K4833">
            <v>100</v>
          </cell>
          <cell r="L4833">
            <v>46231</v>
          </cell>
          <cell r="M4833">
            <v>-2071</v>
          </cell>
          <cell r="N4833">
            <v>197929</v>
          </cell>
        </row>
        <row r="4834">
          <cell r="A4834">
            <v>27323</v>
          </cell>
          <cell r="B4834">
            <v>4828</v>
          </cell>
          <cell r="C4834" t="str">
            <v>IASWD2501000113</v>
          </cell>
          <cell r="D4834">
            <v>45667</v>
          </cell>
          <cell r="E4834">
            <v>46048</v>
          </cell>
          <cell r="F4834" t="str">
            <v>27323</v>
          </cell>
          <cell r="G4834" t="str">
            <v>六角三</v>
          </cell>
          <cell r="H4834">
            <v>100000</v>
          </cell>
          <cell r="I4834">
            <v>3</v>
          </cell>
          <cell r="J4834">
            <v>46048</v>
          </cell>
          <cell r="K4834">
            <v>101</v>
          </cell>
          <cell r="L4834">
            <v>46028</v>
          </cell>
          <cell r="M4834">
            <v>-1027</v>
          </cell>
          <cell r="N4834">
            <v>98973</v>
          </cell>
        </row>
        <row r="4835">
          <cell r="A4835">
            <v>35831</v>
          </cell>
          <cell r="B4835">
            <v>4829</v>
          </cell>
          <cell r="C4835" t="str">
            <v>IASWD2501000114</v>
          </cell>
          <cell r="D4835">
            <v>45667</v>
          </cell>
          <cell r="E4835">
            <v>46180</v>
          </cell>
          <cell r="F4835" t="str">
            <v>35831</v>
          </cell>
          <cell r="G4835" t="str">
            <v>辛耘一</v>
          </cell>
          <cell r="H4835">
            <v>400000</v>
          </cell>
          <cell r="I4835">
            <v>3</v>
          </cell>
          <cell r="J4835">
            <v>46180</v>
          </cell>
          <cell r="K4835">
            <v>100</v>
          </cell>
          <cell r="L4835">
            <v>46161</v>
          </cell>
          <cell r="M4835">
            <v>-4110</v>
          </cell>
          <cell r="N4835">
            <v>395890</v>
          </cell>
        </row>
        <row r="4836">
          <cell r="A4836">
            <v>36894</v>
          </cell>
          <cell r="B4836">
            <v>4830</v>
          </cell>
          <cell r="C4836" t="str">
            <v>IASWD2501000115</v>
          </cell>
          <cell r="D4836">
            <v>45667</v>
          </cell>
          <cell r="E4836">
            <v>46086</v>
          </cell>
          <cell r="F4836" t="str">
            <v>36894</v>
          </cell>
          <cell r="G4836" t="str">
            <v>湧德四</v>
          </cell>
          <cell r="H4836">
            <v>100000</v>
          </cell>
          <cell r="I4836">
            <v>3.25</v>
          </cell>
          <cell r="J4836">
            <v>46086</v>
          </cell>
          <cell r="K4836">
            <v>100</v>
          </cell>
          <cell r="L4836">
            <v>46066</v>
          </cell>
          <cell r="M4836">
            <v>-1113</v>
          </cell>
          <cell r="N4836">
            <v>98887</v>
          </cell>
        </row>
        <row r="4837">
          <cell r="A4837">
            <v>49793</v>
          </cell>
          <cell r="B4837">
            <v>4831</v>
          </cell>
          <cell r="C4837" t="str">
            <v>IASWD2501000116</v>
          </cell>
          <cell r="D4837">
            <v>45667</v>
          </cell>
          <cell r="E4837">
            <v>46365</v>
          </cell>
          <cell r="F4837" t="str">
            <v>49793</v>
          </cell>
          <cell r="G4837" t="str">
            <v>華星光三</v>
          </cell>
          <cell r="H4837">
            <v>200000</v>
          </cell>
          <cell r="I4837">
            <v>4.25</v>
          </cell>
          <cell r="J4837">
            <v>46365</v>
          </cell>
          <cell r="K4837">
            <v>101.0025</v>
          </cell>
          <cell r="L4837">
            <v>46345</v>
          </cell>
          <cell r="M4837">
            <v>-2911</v>
          </cell>
          <cell r="N4837">
            <v>197089</v>
          </cell>
        </row>
        <row r="4838">
          <cell r="A4838">
            <v>34912</v>
          </cell>
          <cell r="B4838">
            <v>4832</v>
          </cell>
          <cell r="C4838" t="str">
            <v>IASWD2501000117</v>
          </cell>
          <cell r="D4838">
            <v>45667</v>
          </cell>
          <cell r="E4838">
            <v>46627</v>
          </cell>
          <cell r="F4838" t="str">
            <v>34912</v>
          </cell>
          <cell r="G4838" t="str">
            <v>昇達科二</v>
          </cell>
          <cell r="H4838">
            <v>200000</v>
          </cell>
          <cell r="I4838">
            <v>3</v>
          </cell>
          <cell r="J4838">
            <v>46627</v>
          </cell>
          <cell r="K4838">
            <v>100</v>
          </cell>
          <cell r="L4838">
            <v>46609</v>
          </cell>
          <cell r="M4838">
            <v>-2055</v>
          </cell>
          <cell r="N4838">
            <v>197945</v>
          </cell>
        </row>
        <row r="4839">
          <cell r="A4839">
            <v>64145</v>
          </cell>
          <cell r="B4839">
            <v>4833</v>
          </cell>
          <cell r="C4839" t="str">
            <v>IASWD2501000119</v>
          </cell>
          <cell r="D4839">
            <v>45667</v>
          </cell>
          <cell r="E4839">
            <v>46250</v>
          </cell>
          <cell r="F4839" t="str">
            <v>64145</v>
          </cell>
          <cell r="G4839" t="str">
            <v>樺漢五</v>
          </cell>
          <cell r="H4839">
            <v>900000</v>
          </cell>
          <cell r="I4839">
            <v>3</v>
          </cell>
          <cell r="J4839">
            <v>46250</v>
          </cell>
          <cell r="K4839">
            <v>100</v>
          </cell>
          <cell r="L4839">
            <v>46231</v>
          </cell>
          <cell r="M4839">
            <v>-9247</v>
          </cell>
          <cell r="N4839">
            <v>890753</v>
          </cell>
        </row>
        <row r="4840">
          <cell r="A4840">
            <v>61965</v>
          </cell>
          <cell r="B4840">
            <v>4834</v>
          </cell>
          <cell r="C4840" t="str">
            <v>IASWD2501000120</v>
          </cell>
          <cell r="D4840">
            <v>45667</v>
          </cell>
          <cell r="E4840">
            <v>46200</v>
          </cell>
          <cell r="F4840" t="str">
            <v>61965</v>
          </cell>
          <cell r="G4840" t="str">
            <v>帆宣五</v>
          </cell>
          <cell r="H4840">
            <v>100000</v>
          </cell>
          <cell r="I4840">
            <v>3</v>
          </cell>
          <cell r="J4840">
            <v>46200</v>
          </cell>
          <cell r="K4840">
            <v>100</v>
          </cell>
          <cell r="L4840">
            <v>46182</v>
          </cell>
          <cell r="M4840">
            <v>-1027</v>
          </cell>
          <cell r="N4840">
            <v>98973</v>
          </cell>
        </row>
        <row r="4841">
          <cell r="A4841">
            <v>37022</v>
          </cell>
          <cell r="B4841">
            <v>4835</v>
          </cell>
          <cell r="C4841" t="str">
            <v>IASWD2501000121</v>
          </cell>
          <cell r="D4841">
            <v>45667</v>
          </cell>
          <cell r="E4841">
            <v>46702</v>
          </cell>
          <cell r="F4841" t="str">
            <v>37022</v>
          </cell>
          <cell r="G4841" t="str">
            <v>大聯大二</v>
          </cell>
          <cell r="H4841">
            <v>200000</v>
          </cell>
          <cell r="I4841">
            <v>2.7</v>
          </cell>
          <cell r="J4841">
            <v>46702</v>
          </cell>
          <cell r="K4841">
            <v>100</v>
          </cell>
          <cell r="L4841">
            <v>46682</v>
          </cell>
          <cell r="M4841">
            <v>-1849</v>
          </cell>
          <cell r="N4841">
            <v>198151</v>
          </cell>
        </row>
        <row r="4842">
          <cell r="A4842">
            <v>34163</v>
          </cell>
          <cell r="B4842">
            <v>4836</v>
          </cell>
          <cell r="C4842" t="str">
            <v>IASWD2501000122</v>
          </cell>
          <cell r="D4842">
            <v>45667</v>
          </cell>
          <cell r="E4842">
            <v>46047</v>
          </cell>
          <cell r="F4842" t="str">
            <v>34163</v>
          </cell>
          <cell r="G4842" t="str">
            <v>融程電三</v>
          </cell>
          <cell r="H4842">
            <v>300000</v>
          </cell>
          <cell r="I4842">
            <v>3</v>
          </cell>
          <cell r="J4842">
            <v>46047</v>
          </cell>
          <cell r="K4842">
            <v>100.5</v>
          </cell>
          <cell r="L4842">
            <v>46028</v>
          </cell>
          <cell r="M4842">
            <v>-3082</v>
          </cell>
          <cell r="N4842">
            <v>296918</v>
          </cell>
        </row>
        <row r="4843">
          <cell r="A4843">
            <v>61394</v>
          </cell>
          <cell r="B4843">
            <v>4837</v>
          </cell>
          <cell r="C4843" t="str">
            <v>IASWD2501000123</v>
          </cell>
          <cell r="D4843">
            <v>45667</v>
          </cell>
          <cell r="E4843">
            <v>46047</v>
          </cell>
          <cell r="F4843" t="str">
            <v>61394</v>
          </cell>
          <cell r="G4843" t="str">
            <v>亞翔四</v>
          </cell>
          <cell r="H4843">
            <v>300000</v>
          </cell>
          <cell r="I4843">
            <v>3</v>
          </cell>
          <cell r="J4843">
            <v>46047</v>
          </cell>
          <cell r="K4843">
            <v>101.0025</v>
          </cell>
          <cell r="L4843">
            <v>46028</v>
          </cell>
          <cell r="M4843">
            <v>-3082</v>
          </cell>
          <cell r="N4843">
            <v>296918</v>
          </cell>
        </row>
        <row r="4844">
          <cell r="A4844">
            <v>37022</v>
          </cell>
          <cell r="B4844">
            <v>4838</v>
          </cell>
          <cell r="C4844" t="str">
            <v>IASWD2501000124</v>
          </cell>
          <cell r="D4844">
            <v>45667</v>
          </cell>
          <cell r="E4844">
            <v>46702</v>
          </cell>
          <cell r="F4844" t="str">
            <v>37022</v>
          </cell>
          <cell r="G4844" t="str">
            <v>大聯大二</v>
          </cell>
          <cell r="H4844">
            <v>100000</v>
          </cell>
          <cell r="I4844">
            <v>2.7</v>
          </cell>
          <cell r="J4844">
            <v>46702</v>
          </cell>
          <cell r="K4844">
            <v>100</v>
          </cell>
          <cell r="L4844">
            <v>46682</v>
          </cell>
          <cell r="M4844">
            <v>-925</v>
          </cell>
          <cell r="N4844">
            <v>99075</v>
          </cell>
        </row>
        <row r="4845">
          <cell r="A4845">
            <v>37023</v>
          </cell>
          <cell r="B4845">
            <v>4839</v>
          </cell>
          <cell r="C4845" t="str">
            <v>IASWD2501000125</v>
          </cell>
          <cell r="D4845">
            <v>45670</v>
          </cell>
          <cell r="E4845">
            <v>46712</v>
          </cell>
          <cell r="F4845" t="str">
            <v>37023</v>
          </cell>
          <cell r="G4845" t="str">
            <v>大聯大三</v>
          </cell>
          <cell r="H4845">
            <v>100000</v>
          </cell>
          <cell r="I4845">
            <v>2.7</v>
          </cell>
          <cell r="J4845">
            <v>46712</v>
          </cell>
          <cell r="K4845">
            <v>100</v>
          </cell>
          <cell r="L4845">
            <v>46693</v>
          </cell>
          <cell r="M4845">
            <v>-902</v>
          </cell>
          <cell r="N4845">
            <v>99098</v>
          </cell>
        </row>
        <row r="4846">
          <cell r="A4846">
            <v>34912</v>
          </cell>
          <cell r="B4846">
            <v>4840</v>
          </cell>
          <cell r="C4846" t="str">
            <v>IASWD2501000127</v>
          </cell>
          <cell r="D4846">
            <v>45670</v>
          </cell>
          <cell r="E4846">
            <v>46627</v>
          </cell>
          <cell r="F4846" t="str">
            <v>34912</v>
          </cell>
          <cell r="G4846" t="str">
            <v>昇達科二</v>
          </cell>
          <cell r="H4846">
            <v>100000</v>
          </cell>
          <cell r="I4846">
            <v>3</v>
          </cell>
          <cell r="J4846">
            <v>46627</v>
          </cell>
          <cell r="K4846">
            <v>100</v>
          </cell>
          <cell r="L4846">
            <v>46609</v>
          </cell>
          <cell r="M4846">
            <v>-1003</v>
          </cell>
          <cell r="N4846">
            <v>98997</v>
          </cell>
        </row>
        <row r="4847">
          <cell r="A4847">
            <v>64145</v>
          </cell>
          <cell r="B4847">
            <v>4841</v>
          </cell>
          <cell r="C4847" t="str">
            <v>IASWD2501000129</v>
          </cell>
          <cell r="D4847">
            <v>45670</v>
          </cell>
          <cell r="E4847">
            <v>46250</v>
          </cell>
          <cell r="F4847" t="str">
            <v>64145</v>
          </cell>
          <cell r="G4847" t="str">
            <v>樺漢五</v>
          </cell>
          <cell r="H4847">
            <v>100000</v>
          </cell>
          <cell r="I4847">
            <v>3</v>
          </cell>
          <cell r="J4847">
            <v>46250</v>
          </cell>
          <cell r="K4847">
            <v>100</v>
          </cell>
          <cell r="L4847">
            <v>46231</v>
          </cell>
          <cell r="M4847">
            <v>-1003</v>
          </cell>
          <cell r="N4847">
            <v>98997</v>
          </cell>
        </row>
        <row r="4848">
          <cell r="A4848">
            <v>35831</v>
          </cell>
          <cell r="B4848">
            <v>4842</v>
          </cell>
          <cell r="C4848" t="str">
            <v>IASWD2501000130</v>
          </cell>
          <cell r="D4848">
            <v>45670</v>
          </cell>
          <cell r="E4848">
            <v>46180</v>
          </cell>
          <cell r="F4848" t="str">
            <v>35831</v>
          </cell>
          <cell r="G4848" t="str">
            <v>辛耘一</v>
          </cell>
          <cell r="H4848">
            <v>100000</v>
          </cell>
          <cell r="I4848">
            <v>3</v>
          </cell>
          <cell r="J4848">
            <v>46180</v>
          </cell>
          <cell r="K4848">
            <v>100</v>
          </cell>
          <cell r="L4848">
            <v>46161</v>
          </cell>
          <cell r="M4848">
            <v>-1003</v>
          </cell>
          <cell r="N4848">
            <v>98997</v>
          </cell>
        </row>
        <row r="4849">
          <cell r="A4849">
            <v>35265</v>
          </cell>
          <cell r="B4849">
            <v>4843</v>
          </cell>
          <cell r="C4849" t="str">
            <v>IASWD2501000131</v>
          </cell>
          <cell r="D4849">
            <v>45670</v>
          </cell>
          <cell r="E4849">
            <v>46067</v>
          </cell>
          <cell r="F4849" t="str">
            <v>35265</v>
          </cell>
          <cell r="G4849" t="str">
            <v>凡甲五</v>
          </cell>
          <cell r="H4849">
            <v>200000</v>
          </cell>
          <cell r="I4849">
            <v>3</v>
          </cell>
          <cell r="J4849">
            <v>46067</v>
          </cell>
          <cell r="K4849">
            <v>100</v>
          </cell>
          <cell r="L4849">
            <v>46049</v>
          </cell>
          <cell r="M4849">
            <v>-2005</v>
          </cell>
          <cell r="N4849">
            <v>197995</v>
          </cell>
        </row>
        <row r="4850">
          <cell r="A4850">
            <v>45491</v>
          </cell>
          <cell r="B4850">
            <v>4844</v>
          </cell>
          <cell r="C4850" t="str">
            <v>IASWD2501000134</v>
          </cell>
          <cell r="D4850">
            <v>45670</v>
          </cell>
          <cell r="E4850">
            <v>46698</v>
          </cell>
          <cell r="F4850" t="str">
            <v>45491</v>
          </cell>
          <cell r="G4850" t="str">
            <v>桓達一</v>
          </cell>
          <cell r="H4850">
            <v>100000</v>
          </cell>
          <cell r="I4850">
            <v>4</v>
          </cell>
          <cell r="J4850">
            <v>46698</v>
          </cell>
          <cell r="K4850">
            <v>100</v>
          </cell>
          <cell r="L4850">
            <v>46679</v>
          </cell>
          <cell r="M4850">
            <v>-1337</v>
          </cell>
          <cell r="N4850">
            <v>98663</v>
          </cell>
        </row>
        <row r="4851">
          <cell r="A4851">
            <v>34912</v>
          </cell>
          <cell r="B4851">
            <v>4845</v>
          </cell>
          <cell r="C4851" t="str">
            <v>IASWD2501000135</v>
          </cell>
          <cell r="D4851">
            <v>45670</v>
          </cell>
          <cell r="E4851">
            <v>46627</v>
          </cell>
          <cell r="F4851" t="str">
            <v>34912</v>
          </cell>
          <cell r="G4851" t="str">
            <v>昇達科二</v>
          </cell>
          <cell r="H4851">
            <v>400000</v>
          </cell>
          <cell r="I4851">
            <v>3</v>
          </cell>
          <cell r="J4851">
            <v>46627</v>
          </cell>
          <cell r="K4851">
            <v>100</v>
          </cell>
          <cell r="L4851">
            <v>46609</v>
          </cell>
          <cell r="M4851">
            <v>-4011</v>
          </cell>
          <cell r="N4851">
            <v>395989</v>
          </cell>
        </row>
        <row r="4852">
          <cell r="A4852">
            <v>37023</v>
          </cell>
          <cell r="B4852">
            <v>4846</v>
          </cell>
          <cell r="C4852" t="str">
            <v>IASWD2501000136</v>
          </cell>
          <cell r="D4852">
            <v>45670</v>
          </cell>
          <cell r="E4852">
            <v>46712</v>
          </cell>
          <cell r="F4852" t="str">
            <v>37023</v>
          </cell>
          <cell r="G4852" t="str">
            <v>大聯大三</v>
          </cell>
          <cell r="H4852">
            <v>100000</v>
          </cell>
          <cell r="I4852">
            <v>2.7</v>
          </cell>
          <cell r="J4852">
            <v>46712</v>
          </cell>
          <cell r="K4852">
            <v>100</v>
          </cell>
          <cell r="L4852">
            <v>46693</v>
          </cell>
          <cell r="M4852">
            <v>-902</v>
          </cell>
          <cell r="N4852">
            <v>99098</v>
          </cell>
        </row>
        <row r="4853">
          <cell r="A4853">
            <v>64145</v>
          </cell>
          <cell r="B4853">
            <v>4847</v>
          </cell>
          <cell r="C4853" t="str">
            <v>IASWD2501000137</v>
          </cell>
          <cell r="D4853">
            <v>45670</v>
          </cell>
          <cell r="E4853">
            <v>46250</v>
          </cell>
          <cell r="F4853" t="str">
            <v>64145</v>
          </cell>
          <cell r="G4853" t="str">
            <v>樺漢五</v>
          </cell>
          <cell r="H4853">
            <v>100000</v>
          </cell>
          <cell r="I4853">
            <v>3</v>
          </cell>
          <cell r="J4853">
            <v>46250</v>
          </cell>
          <cell r="K4853">
            <v>100</v>
          </cell>
          <cell r="L4853">
            <v>46231</v>
          </cell>
          <cell r="M4853">
            <v>-1003</v>
          </cell>
          <cell r="N4853">
            <v>98997</v>
          </cell>
        </row>
        <row r="4854">
          <cell r="A4854">
            <v>34912</v>
          </cell>
          <cell r="B4854">
            <v>4848</v>
          </cell>
          <cell r="C4854" t="str">
            <v>IASWD2501000138</v>
          </cell>
          <cell r="D4854">
            <v>45670</v>
          </cell>
          <cell r="E4854">
            <v>46627</v>
          </cell>
          <cell r="F4854" t="str">
            <v>34912</v>
          </cell>
          <cell r="G4854" t="str">
            <v>昇達科二</v>
          </cell>
          <cell r="H4854">
            <v>100000</v>
          </cell>
          <cell r="I4854">
            <v>3</v>
          </cell>
          <cell r="J4854">
            <v>46627</v>
          </cell>
          <cell r="K4854">
            <v>100</v>
          </cell>
          <cell r="L4854">
            <v>46609</v>
          </cell>
          <cell r="M4854">
            <v>-1003</v>
          </cell>
          <cell r="N4854">
            <v>98997</v>
          </cell>
        </row>
        <row r="4855">
          <cell r="A4855">
            <v>35831</v>
          </cell>
          <cell r="B4855">
            <v>4849</v>
          </cell>
          <cell r="C4855" t="str">
            <v>IASWD2501000139</v>
          </cell>
          <cell r="D4855">
            <v>45670</v>
          </cell>
          <cell r="E4855">
            <v>46180</v>
          </cell>
          <cell r="F4855" t="str">
            <v>35831</v>
          </cell>
          <cell r="G4855" t="str">
            <v>辛耘一</v>
          </cell>
          <cell r="H4855">
            <v>1000000</v>
          </cell>
          <cell r="I4855">
            <v>3</v>
          </cell>
          <cell r="J4855">
            <v>46180</v>
          </cell>
          <cell r="K4855">
            <v>100</v>
          </cell>
          <cell r="L4855">
            <v>46161</v>
          </cell>
          <cell r="M4855">
            <v>-10027</v>
          </cell>
          <cell r="N4855">
            <v>989973</v>
          </cell>
        </row>
        <row r="4856">
          <cell r="A4856">
            <v>61965</v>
          </cell>
          <cell r="B4856">
            <v>4850</v>
          </cell>
          <cell r="C4856" t="str">
            <v>IASWD2501000141</v>
          </cell>
          <cell r="D4856">
            <v>45670</v>
          </cell>
          <cell r="E4856">
            <v>46200</v>
          </cell>
          <cell r="F4856" t="str">
            <v>61965</v>
          </cell>
          <cell r="G4856" t="str">
            <v>帆宣五</v>
          </cell>
          <cell r="H4856">
            <v>2000000</v>
          </cell>
          <cell r="I4856">
            <v>3</v>
          </cell>
          <cell r="J4856">
            <v>46200</v>
          </cell>
          <cell r="K4856">
            <v>100</v>
          </cell>
          <cell r="L4856">
            <v>46182</v>
          </cell>
          <cell r="M4856">
            <v>-20055</v>
          </cell>
          <cell r="N4856">
            <v>1979945</v>
          </cell>
        </row>
        <row r="4857">
          <cell r="A4857">
            <v>61973</v>
          </cell>
          <cell r="B4857">
            <v>4851</v>
          </cell>
          <cell r="C4857" t="str">
            <v>IASWD2501000143</v>
          </cell>
          <cell r="D4857">
            <v>45670</v>
          </cell>
          <cell r="E4857">
            <v>46675</v>
          </cell>
          <cell r="F4857" t="str">
            <v>61973</v>
          </cell>
          <cell r="G4857" t="str">
            <v>佳必琪三</v>
          </cell>
          <cell r="H4857">
            <v>100000</v>
          </cell>
          <cell r="I4857">
            <v>3</v>
          </cell>
          <cell r="J4857">
            <v>46675</v>
          </cell>
          <cell r="K4857">
            <v>100</v>
          </cell>
          <cell r="L4857">
            <v>46657</v>
          </cell>
          <cell r="M4857">
            <v>-1003</v>
          </cell>
          <cell r="N4857">
            <v>98997</v>
          </cell>
        </row>
        <row r="4858">
          <cell r="A4858">
            <v>37023</v>
          </cell>
          <cell r="B4858">
            <v>4852</v>
          </cell>
          <cell r="C4858" t="str">
            <v>IASWD2501000144</v>
          </cell>
          <cell r="D4858">
            <v>45670</v>
          </cell>
          <cell r="E4858">
            <v>46712</v>
          </cell>
          <cell r="F4858" t="str">
            <v>37023</v>
          </cell>
          <cell r="G4858" t="str">
            <v>大聯大三</v>
          </cell>
          <cell r="H4858">
            <v>100000</v>
          </cell>
          <cell r="I4858">
            <v>2.7</v>
          </cell>
          <cell r="J4858">
            <v>46712</v>
          </cell>
          <cell r="K4858">
            <v>100</v>
          </cell>
          <cell r="L4858">
            <v>46693</v>
          </cell>
          <cell r="M4858">
            <v>-902</v>
          </cell>
          <cell r="N4858">
            <v>99098</v>
          </cell>
        </row>
        <row r="4859">
          <cell r="A4859">
            <v>37022</v>
          </cell>
          <cell r="B4859">
            <v>4853</v>
          </cell>
          <cell r="C4859" t="str">
            <v>IASWD2501000145</v>
          </cell>
          <cell r="D4859">
            <v>45671</v>
          </cell>
          <cell r="E4859">
            <v>46702</v>
          </cell>
          <cell r="F4859" t="str">
            <v>37022</v>
          </cell>
          <cell r="G4859" t="str">
            <v>大聯大二</v>
          </cell>
          <cell r="H4859">
            <v>400000</v>
          </cell>
          <cell r="I4859">
            <v>2.7</v>
          </cell>
          <cell r="J4859">
            <v>46702</v>
          </cell>
          <cell r="K4859">
            <v>100</v>
          </cell>
          <cell r="L4859">
            <v>46682</v>
          </cell>
          <cell r="M4859">
            <v>-3580</v>
          </cell>
          <cell r="N4859">
            <v>396420</v>
          </cell>
        </row>
        <row r="4860">
          <cell r="A4860">
            <v>66642</v>
          </cell>
          <cell r="B4860">
            <v>4854</v>
          </cell>
          <cell r="C4860" t="str">
            <v>IASWD2501000146</v>
          </cell>
          <cell r="D4860">
            <v>45671</v>
          </cell>
          <cell r="E4860">
            <v>46710</v>
          </cell>
          <cell r="F4860" t="str">
            <v>66642</v>
          </cell>
          <cell r="G4860" t="str">
            <v>群翊二</v>
          </cell>
          <cell r="H4860">
            <v>100000</v>
          </cell>
          <cell r="I4860">
            <v>3.75</v>
          </cell>
          <cell r="J4860">
            <v>46710</v>
          </cell>
          <cell r="K4860">
            <v>100</v>
          </cell>
          <cell r="L4860">
            <v>46692</v>
          </cell>
          <cell r="M4860">
            <v>-1243</v>
          </cell>
          <cell r="N4860">
            <v>98757</v>
          </cell>
        </row>
        <row r="4861">
          <cell r="A4861">
            <v>64145</v>
          </cell>
          <cell r="B4861">
            <v>4855</v>
          </cell>
          <cell r="C4861" t="str">
            <v>IASWD2501000147</v>
          </cell>
          <cell r="D4861">
            <v>45671</v>
          </cell>
          <cell r="E4861">
            <v>46250</v>
          </cell>
          <cell r="F4861" t="str">
            <v>64145</v>
          </cell>
          <cell r="G4861" t="str">
            <v>樺漢五</v>
          </cell>
          <cell r="H4861">
            <v>100000</v>
          </cell>
          <cell r="I4861">
            <v>3</v>
          </cell>
          <cell r="J4861">
            <v>46250</v>
          </cell>
          <cell r="K4861">
            <v>100</v>
          </cell>
          <cell r="L4861">
            <v>46231</v>
          </cell>
          <cell r="M4861">
            <v>-995</v>
          </cell>
          <cell r="N4861">
            <v>99005</v>
          </cell>
        </row>
        <row r="4862">
          <cell r="A4862">
            <v>35831</v>
          </cell>
          <cell r="B4862">
            <v>4856</v>
          </cell>
          <cell r="C4862" t="str">
            <v>IASWD2501000148</v>
          </cell>
          <cell r="D4862">
            <v>45671</v>
          </cell>
          <cell r="E4862">
            <v>46180</v>
          </cell>
          <cell r="F4862" t="str">
            <v>35831</v>
          </cell>
          <cell r="G4862" t="str">
            <v>辛耘一</v>
          </cell>
          <cell r="H4862">
            <v>100000</v>
          </cell>
          <cell r="I4862">
            <v>3</v>
          </cell>
          <cell r="J4862">
            <v>46180</v>
          </cell>
          <cell r="K4862">
            <v>100</v>
          </cell>
          <cell r="L4862">
            <v>46161</v>
          </cell>
          <cell r="M4862">
            <v>-995</v>
          </cell>
          <cell r="N4862">
            <v>99005</v>
          </cell>
        </row>
        <row r="4863">
          <cell r="A4863">
            <v>37023</v>
          </cell>
          <cell r="B4863">
            <v>4857</v>
          </cell>
          <cell r="C4863" t="str">
            <v>IASWD2501000151</v>
          </cell>
          <cell r="D4863">
            <v>45671</v>
          </cell>
          <cell r="E4863">
            <v>46712</v>
          </cell>
          <cell r="F4863" t="str">
            <v>37023</v>
          </cell>
          <cell r="G4863" t="str">
            <v>大聯大三</v>
          </cell>
          <cell r="H4863">
            <v>500000</v>
          </cell>
          <cell r="I4863">
            <v>2.7</v>
          </cell>
          <cell r="J4863">
            <v>46712</v>
          </cell>
          <cell r="K4863">
            <v>100</v>
          </cell>
          <cell r="L4863">
            <v>46693</v>
          </cell>
          <cell r="M4863">
            <v>-4475</v>
          </cell>
          <cell r="N4863">
            <v>495525</v>
          </cell>
        </row>
        <row r="4864">
          <cell r="A4864">
            <v>65096</v>
          </cell>
          <cell r="B4864">
            <v>4858</v>
          </cell>
          <cell r="C4864" t="str">
            <v>IASWD2501000152</v>
          </cell>
          <cell r="D4864">
            <v>45671</v>
          </cell>
          <cell r="E4864">
            <v>46206</v>
          </cell>
          <cell r="F4864" t="str">
            <v>65096</v>
          </cell>
          <cell r="G4864" t="str">
            <v>聚和六</v>
          </cell>
          <cell r="H4864">
            <v>200000</v>
          </cell>
          <cell r="I4864">
            <v>3.25</v>
          </cell>
          <cell r="J4864">
            <v>46206</v>
          </cell>
          <cell r="K4864">
            <v>100</v>
          </cell>
          <cell r="L4864">
            <v>46188</v>
          </cell>
          <cell r="M4864">
            <v>-2155</v>
          </cell>
          <cell r="N4864">
            <v>197845</v>
          </cell>
        </row>
        <row r="4865">
          <cell r="A4865">
            <v>45491</v>
          </cell>
          <cell r="B4865">
            <v>4859</v>
          </cell>
          <cell r="C4865" t="str">
            <v>IASWD2501000153</v>
          </cell>
          <cell r="D4865">
            <v>45671</v>
          </cell>
          <cell r="E4865">
            <v>46698</v>
          </cell>
          <cell r="F4865" t="str">
            <v>45491</v>
          </cell>
          <cell r="G4865" t="str">
            <v>桓達一</v>
          </cell>
          <cell r="H4865">
            <v>200000</v>
          </cell>
          <cell r="I4865">
            <v>4</v>
          </cell>
          <cell r="J4865">
            <v>46698</v>
          </cell>
          <cell r="K4865">
            <v>100</v>
          </cell>
          <cell r="L4865">
            <v>46679</v>
          </cell>
          <cell r="M4865">
            <v>-2652</v>
          </cell>
          <cell r="N4865">
            <v>197348</v>
          </cell>
        </row>
        <row r="4866">
          <cell r="A4866">
            <v>50097</v>
          </cell>
          <cell r="B4866">
            <v>4860</v>
          </cell>
          <cell r="C4866" t="str">
            <v>IASWD2501000154</v>
          </cell>
          <cell r="D4866">
            <v>45671</v>
          </cell>
          <cell r="E4866">
            <v>46234</v>
          </cell>
          <cell r="F4866" t="str">
            <v>50097</v>
          </cell>
          <cell r="G4866" t="str">
            <v>榮剛七</v>
          </cell>
          <cell r="H4866">
            <v>500000</v>
          </cell>
          <cell r="I4866">
            <v>4.25</v>
          </cell>
          <cell r="J4866">
            <v>46234</v>
          </cell>
          <cell r="K4866">
            <v>101.51</v>
          </cell>
          <cell r="L4866">
            <v>46216</v>
          </cell>
          <cell r="M4866">
            <v>-7045</v>
          </cell>
          <cell r="N4866">
            <v>492955</v>
          </cell>
        </row>
        <row r="4867">
          <cell r="A4867">
            <v>24361</v>
          </cell>
          <cell r="B4867">
            <v>4861</v>
          </cell>
          <cell r="C4867" t="str">
            <v>IASWD2501000155</v>
          </cell>
          <cell r="D4867">
            <v>45671</v>
          </cell>
          <cell r="E4867">
            <v>45911</v>
          </cell>
          <cell r="F4867" t="str">
            <v>24361</v>
          </cell>
          <cell r="G4867" t="str">
            <v>偉詮電一</v>
          </cell>
          <cell r="H4867">
            <v>200000</v>
          </cell>
          <cell r="I4867">
            <v>3.75</v>
          </cell>
          <cell r="J4867">
            <v>45911</v>
          </cell>
          <cell r="K4867">
            <v>100.50060000000001</v>
          </cell>
          <cell r="L4867">
            <v>45891</v>
          </cell>
          <cell r="M4867">
            <v>-2486</v>
          </cell>
          <cell r="N4867">
            <v>197514</v>
          </cell>
        </row>
        <row r="4868">
          <cell r="A4868">
            <v>64145</v>
          </cell>
          <cell r="B4868">
            <v>4862</v>
          </cell>
          <cell r="C4868" t="str">
            <v>IASWD2501000156</v>
          </cell>
          <cell r="D4868">
            <v>45671</v>
          </cell>
          <cell r="E4868">
            <v>46250</v>
          </cell>
          <cell r="F4868" t="str">
            <v>64145</v>
          </cell>
          <cell r="G4868" t="str">
            <v>樺漢五</v>
          </cell>
          <cell r="H4868">
            <v>100000</v>
          </cell>
          <cell r="I4868">
            <v>3</v>
          </cell>
          <cell r="J4868">
            <v>46250</v>
          </cell>
          <cell r="K4868">
            <v>100</v>
          </cell>
          <cell r="L4868">
            <v>46231</v>
          </cell>
          <cell r="M4868">
            <v>-995</v>
          </cell>
          <cell r="N4868">
            <v>99005</v>
          </cell>
        </row>
        <row r="4869">
          <cell r="A4869">
            <v>21043</v>
          </cell>
          <cell r="B4869">
            <v>4863</v>
          </cell>
          <cell r="C4869" t="str">
            <v>IASWD2501000157</v>
          </cell>
          <cell r="D4869">
            <v>45671</v>
          </cell>
          <cell r="E4869">
            <v>46308</v>
          </cell>
          <cell r="F4869" t="str">
            <v>21043</v>
          </cell>
          <cell r="G4869" t="str">
            <v>國際中橡三</v>
          </cell>
          <cell r="H4869">
            <v>2000000</v>
          </cell>
          <cell r="I4869">
            <v>2.8</v>
          </cell>
          <cell r="J4869">
            <v>46308</v>
          </cell>
          <cell r="K4869">
            <v>100.9</v>
          </cell>
          <cell r="L4869">
            <v>46288</v>
          </cell>
          <cell r="M4869">
            <v>-18564</v>
          </cell>
          <cell r="N4869">
            <v>1981436</v>
          </cell>
        </row>
        <row r="4870">
          <cell r="A4870">
            <v>66642</v>
          </cell>
          <cell r="B4870">
            <v>4864</v>
          </cell>
          <cell r="C4870" t="str">
            <v>IASWD2501000158</v>
          </cell>
          <cell r="D4870">
            <v>45671</v>
          </cell>
          <cell r="E4870">
            <v>46710</v>
          </cell>
          <cell r="F4870" t="str">
            <v>66642</v>
          </cell>
          <cell r="G4870" t="str">
            <v>群翊二</v>
          </cell>
          <cell r="H4870">
            <v>200000</v>
          </cell>
          <cell r="I4870">
            <v>3.75</v>
          </cell>
          <cell r="J4870">
            <v>46710</v>
          </cell>
          <cell r="K4870">
            <v>100</v>
          </cell>
          <cell r="L4870">
            <v>46692</v>
          </cell>
          <cell r="M4870">
            <v>-2486</v>
          </cell>
          <cell r="N4870">
            <v>197514</v>
          </cell>
        </row>
        <row r="4871">
          <cell r="A4871">
            <v>50097</v>
          </cell>
          <cell r="B4871">
            <v>4865</v>
          </cell>
          <cell r="C4871" t="str">
            <v>IASWD2501000159</v>
          </cell>
          <cell r="D4871">
            <v>45671</v>
          </cell>
          <cell r="E4871">
            <v>46234</v>
          </cell>
          <cell r="F4871" t="str">
            <v>50097</v>
          </cell>
          <cell r="G4871" t="str">
            <v>榮剛七</v>
          </cell>
          <cell r="H4871">
            <v>300000</v>
          </cell>
          <cell r="I4871">
            <v>4.25</v>
          </cell>
          <cell r="J4871">
            <v>46234</v>
          </cell>
          <cell r="K4871">
            <v>101.51</v>
          </cell>
          <cell r="L4871">
            <v>46216</v>
          </cell>
          <cell r="M4871">
            <v>-4227</v>
          </cell>
          <cell r="N4871">
            <v>295773</v>
          </cell>
        </row>
        <row r="4872">
          <cell r="A4872">
            <v>65096</v>
          </cell>
          <cell r="B4872">
            <v>4866</v>
          </cell>
          <cell r="C4872" t="str">
            <v>IASWD2501000160</v>
          </cell>
          <cell r="D4872">
            <v>45671</v>
          </cell>
          <cell r="E4872">
            <v>46206</v>
          </cell>
          <cell r="F4872" t="str">
            <v>65096</v>
          </cell>
          <cell r="G4872" t="str">
            <v>聚和六</v>
          </cell>
          <cell r="H4872">
            <v>200000</v>
          </cell>
          <cell r="I4872">
            <v>3.25</v>
          </cell>
          <cell r="J4872">
            <v>46206</v>
          </cell>
          <cell r="K4872">
            <v>100</v>
          </cell>
          <cell r="L4872">
            <v>46188</v>
          </cell>
          <cell r="M4872">
            <v>-2155</v>
          </cell>
          <cell r="N4872">
            <v>197845</v>
          </cell>
        </row>
        <row r="4873">
          <cell r="A4873">
            <v>68301</v>
          </cell>
          <cell r="B4873">
            <v>4867</v>
          </cell>
          <cell r="C4873" t="str">
            <v>IASWD2501000162</v>
          </cell>
          <cell r="D4873">
            <v>45671</v>
          </cell>
          <cell r="E4873">
            <v>46249</v>
          </cell>
          <cell r="F4873" t="str">
            <v>68301</v>
          </cell>
          <cell r="G4873" t="str">
            <v>汎銓一</v>
          </cell>
          <cell r="H4873">
            <v>200000</v>
          </cell>
          <cell r="I4873">
            <v>3</v>
          </cell>
          <cell r="J4873">
            <v>46249</v>
          </cell>
          <cell r="K4873">
            <v>100</v>
          </cell>
          <cell r="L4873">
            <v>46231</v>
          </cell>
          <cell r="M4873">
            <v>-1989</v>
          </cell>
          <cell r="N4873">
            <v>198011</v>
          </cell>
        </row>
        <row r="4874">
          <cell r="A4874">
            <v>30882</v>
          </cell>
          <cell r="B4874">
            <v>4868</v>
          </cell>
          <cell r="C4874" t="str">
            <v>IASWD2501000163</v>
          </cell>
          <cell r="D4874">
            <v>45671</v>
          </cell>
          <cell r="E4874">
            <v>46262</v>
          </cell>
          <cell r="F4874" t="str">
            <v>30882</v>
          </cell>
          <cell r="G4874" t="str">
            <v>艾訊二</v>
          </cell>
          <cell r="H4874">
            <v>600000</v>
          </cell>
          <cell r="I4874">
            <v>3.25</v>
          </cell>
          <cell r="J4874">
            <v>46262</v>
          </cell>
          <cell r="K4874">
            <v>100</v>
          </cell>
          <cell r="L4874">
            <v>46244</v>
          </cell>
          <cell r="M4874">
            <v>-6464</v>
          </cell>
          <cell r="N4874">
            <v>593536</v>
          </cell>
        </row>
        <row r="4875">
          <cell r="A4875">
            <v>34163</v>
          </cell>
          <cell r="B4875">
            <v>4869</v>
          </cell>
          <cell r="C4875" t="str">
            <v>IASWD2501000164</v>
          </cell>
          <cell r="D4875">
            <v>45671</v>
          </cell>
          <cell r="E4875">
            <v>46047</v>
          </cell>
          <cell r="F4875" t="str">
            <v>34163</v>
          </cell>
          <cell r="G4875" t="str">
            <v>融程電三</v>
          </cell>
          <cell r="H4875">
            <v>200000</v>
          </cell>
          <cell r="I4875">
            <v>3</v>
          </cell>
          <cell r="J4875">
            <v>46047</v>
          </cell>
          <cell r="K4875">
            <v>100.5</v>
          </cell>
          <cell r="L4875">
            <v>46028</v>
          </cell>
          <cell r="M4875">
            <v>-1989</v>
          </cell>
          <cell r="N4875">
            <v>198011</v>
          </cell>
        </row>
        <row r="4876">
          <cell r="A4876">
            <v>35831</v>
          </cell>
          <cell r="B4876">
            <v>4870</v>
          </cell>
          <cell r="C4876" t="str">
            <v>IASWD2501000165</v>
          </cell>
          <cell r="D4876">
            <v>45671</v>
          </cell>
          <cell r="E4876">
            <v>46180</v>
          </cell>
          <cell r="F4876" t="str">
            <v>35831</v>
          </cell>
          <cell r="G4876" t="str">
            <v>辛耘一</v>
          </cell>
          <cell r="H4876">
            <v>100000</v>
          </cell>
          <cell r="I4876">
            <v>3</v>
          </cell>
          <cell r="J4876">
            <v>46180</v>
          </cell>
          <cell r="K4876">
            <v>100</v>
          </cell>
          <cell r="L4876">
            <v>46161</v>
          </cell>
          <cell r="M4876">
            <v>-995</v>
          </cell>
          <cell r="N4876">
            <v>99005</v>
          </cell>
        </row>
        <row r="4877">
          <cell r="A4877">
            <v>50097</v>
          </cell>
          <cell r="B4877">
            <v>4871</v>
          </cell>
          <cell r="C4877" t="str">
            <v>IASWD2501000188</v>
          </cell>
          <cell r="D4877">
            <v>45672</v>
          </cell>
          <cell r="E4877">
            <v>46234</v>
          </cell>
          <cell r="F4877" t="str">
            <v>50097</v>
          </cell>
          <cell r="G4877" t="str">
            <v>榮剛七</v>
          </cell>
          <cell r="H4877">
            <v>800000</v>
          </cell>
          <cell r="I4877">
            <v>4.25</v>
          </cell>
          <cell r="J4877">
            <v>46234</v>
          </cell>
          <cell r="K4877">
            <v>101.51</v>
          </cell>
          <cell r="L4877">
            <v>46216</v>
          </cell>
          <cell r="M4877">
            <v>-11178</v>
          </cell>
          <cell r="N4877">
            <v>788822</v>
          </cell>
        </row>
        <row r="4878">
          <cell r="A4878">
            <v>37022</v>
          </cell>
          <cell r="B4878">
            <v>4872</v>
          </cell>
          <cell r="C4878" t="str">
            <v>IASWD2501000189</v>
          </cell>
          <cell r="D4878">
            <v>45672</v>
          </cell>
          <cell r="E4878">
            <v>46702</v>
          </cell>
          <cell r="F4878" t="str">
            <v>37022</v>
          </cell>
          <cell r="G4878" t="str">
            <v>大聯大二</v>
          </cell>
          <cell r="H4878">
            <v>300000</v>
          </cell>
          <cell r="I4878">
            <v>2.7</v>
          </cell>
          <cell r="J4878">
            <v>46702</v>
          </cell>
          <cell r="K4878">
            <v>100</v>
          </cell>
          <cell r="L4878">
            <v>46682</v>
          </cell>
          <cell r="M4878">
            <v>-2663</v>
          </cell>
          <cell r="N4878">
            <v>297337</v>
          </cell>
        </row>
        <row r="4879">
          <cell r="A4879">
            <v>64145</v>
          </cell>
          <cell r="B4879">
            <v>4873</v>
          </cell>
          <cell r="C4879" t="str">
            <v>IASWD2501000190</v>
          </cell>
          <cell r="D4879">
            <v>45672</v>
          </cell>
          <cell r="E4879">
            <v>46250</v>
          </cell>
          <cell r="F4879" t="str">
            <v>64145</v>
          </cell>
          <cell r="G4879" t="str">
            <v>樺漢五</v>
          </cell>
          <cell r="H4879">
            <v>300000</v>
          </cell>
          <cell r="I4879">
            <v>3</v>
          </cell>
          <cell r="J4879">
            <v>46250</v>
          </cell>
          <cell r="K4879">
            <v>100</v>
          </cell>
          <cell r="L4879">
            <v>46231</v>
          </cell>
          <cell r="M4879">
            <v>-2959</v>
          </cell>
          <cell r="N4879">
            <v>297041</v>
          </cell>
        </row>
        <row r="4880">
          <cell r="A4880">
            <v>64145</v>
          </cell>
          <cell r="B4880">
            <v>4874</v>
          </cell>
          <cell r="C4880" t="str">
            <v>IASWD2501000191</v>
          </cell>
          <cell r="D4880">
            <v>45672</v>
          </cell>
          <cell r="E4880">
            <v>46250</v>
          </cell>
          <cell r="F4880" t="str">
            <v>64145</v>
          </cell>
          <cell r="G4880" t="str">
            <v>樺漢五</v>
          </cell>
          <cell r="H4880">
            <v>100000</v>
          </cell>
          <cell r="I4880">
            <v>3</v>
          </cell>
          <cell r="J4880">
            <v>46250</v>
          </cell>
          <cell r="K4880">
            <v>100</v>
          </cell>
          <cell r="L4880">
            <v>46231</v>
          </cell>
          <cell r="M4880">
            <v>-986</v>
          </cell>
          <cell r="N4880">
            <v>99014</v>
          </cell>
        </row>
        <row r="4881">
          <cell r="A4881">
            <v>29051</v>
          </cell>
          <cell r="B4881">
            <v>4875</v>
          </cell>
          <cell r="C4881" t="str">
            <v>IASWD2501000192</v>
          </cell>
          <cell r="D4881">
            <v>45672</v>
          </cell>
          <cell r="E4881">
            <v>46047</v>
          </cell>
          <cell r="F4881" t="str">
            <v>29051</v>
          </cell>
          <cell r="G4881" t="str">
            <v>三商一</v>
          </cell>
          <cell r="H4881">
            <v>800000</v>
          </cell>
          <cell r="I4881">
            <v>3.25</v>
          </cell>
          <cell r="J4881">
            <v>46047</v>
          </cell>
          <cell r="K4881">
            <v>100</v>
          </cell>
          <cell r="L4881">
            <v>46028</v>
          </cell>
          <cell r="M4881">
            <v>-8548</v>
          </cell>
          <cell r="N4881">
            <v>791452</v>
          </cell>
        </row>
        <row r="4882">
          <cell r="A4882">
            <v>34912</v>
          </cell>
          <cell r="B4882">
            <v>4876</v>
          </cell>
          <cell r="C4882" t="str">
            <v>IASWD2501000193</v>
          </cell>
          <cell r="D4882">
            <v>45672</v>
          </cell>
          <cell r="E4882">
            <v>46627</v>
          </cell>
          <cell r="F4882" t="str">
            <v>34912</v>
          </cell>
          <cell r="G4882" t="str">
            <v>昇達科二</v>
          </cell>
          <cell r="H4882">
            <v>100000</v>
          </cell>
          <cell r="I4882">
            <v>3</v>
          </cell>
          <cell r="J4882">
            <v>46627</v>
          </cell>
          <cell r="K4882">
            <v>100</v>
          </cell>
          <cell r="L4882">
            <v>46609</v>
          </cell>
          <cell r="M4882">
            <v>-986</v>
          </cell>
          <cell r="N4882">
            <v>99014</v>
          </cell>
        </row>
        <row r="4883">
          <cell r="A4883">
            <v>37023</v>
          </cell>
          <cell r="B4883">
            <v>4877</v>
          </cell>
          <cell r="C4883" t="str">
            <v>IASWD2501000194</v>
          </cell>
          <cell r="D4883">
            <v>45672</v>
          </cell>
          <cell r="E4883">
            <v>46712</v>
          </cell>
          <cell r="F4883" t="str">
            <v>37023</v>
          </cell>
          <cell r="G4883" t="str">
            <v>大聯大三</v>
          </cell>
          <cell r="H4883">
            <v>100000</v>
          </cell>
          <cell r="I4883">
            <v>2.7</v>
          </cell>
          <cell r="J4883">
            <v>46712</v>
          </cell>
          <cell r="K4883">
            <v>100</v>
          </cell>
          <cell r="L4883">
            <v>46693</v>
          </cell>
          <cell r="M4883">
            <v>-888</v>
          </cell>
          <cell r="N4883">
            <v>99112</v>
          </cell>
        </row>
        <row r="4884">
          <cell r="A4884">
            <v>45491</v>
          </cell>
          <cell r="B4884">
            <v>4878</v>
          </cell>
          <cell r="C4884" t="str">
            <v>IASWD2501000195</v>
          </cell>
          <cell r="D4884">
            <v>45672</v>
          </cell>
          <cell r="E4884">
            <v>46698</v>
          </cell>
          <cell r="F4884" t="str">
            <v>45491</v>
          </cell>
          <cell r="G4884" t="str">
            <v>桓達一</v>
          </cell>
          <cell r="H4884">
            <v>100000</v>
          </cell>
          <cell r="I4884">
            <v>4</v>
          </cell>
          <cell r="J4884">
            <v>46698</v>
          </cell>
          <cell r="K4884">
            <v>100</v>
          </cell>
          <cell r="L4884">
            <v>46679</v>
          </cell>
          <cell r="M4884">
            <v>-1315</v>
          </cell>
          <cell r="N4884">
            <v>98685</v>
          </cell>
        </row>
        <row r="4885">
          <cell r="A4885">
            <v>37022</v>
          </cell>
          <cell r="B4885">
            <v>4879</v>
          </cell>
          <cell r="C4885" t="str">
            <v>IASWD2501000196</v>
          </cell>
          <cell r="D4885">
            <v>45672</v>
          </cell>
          <cell r="E4885">
            <v>46702</v>
          </cell>
          <cell r="F4885" t="str">
            <v>37022</v>
          </cell>
          <cell r="G4885" t="str">
            <v>大聯大二</v>
          </cell>
          <cell r="H4885">
            <v>800000</v>
          </cell>
          <cell r="I4885">
            <v>2.7</v>
          </cell>
          <cell r="J4885">
            <v>46702</v>
          </cell>
          <cell r="K4885">
            <v>100</v>
          </cell>
          <cell r="L4885">
            <v>46682</v>
          </cell>
          <cell r="M4885">
            <v>-7101</v>
          </cell>
          <cell r="N4885">
            <v>792899</v>
          </cell>
        </row>
        <row r="4886">
          <cell r="A4886">
            <v>35265</v>
          </cell>
          <cell r="B4886">
            <v>4880</v>
          </cell>
          <cell r="C4886" t="str">
            <v>IASWD2501000197</v>
          </cell>
          <cell r="D4886">
            <v>45672</v>
          </cell>
          <cell r="E4886">
            <v>46067</v>
          </cell>
          <cell r="F4886" t="str">
            <v>35265</v>
          </cell>
          <cell r="G4886" t="str">
            <v>凡甲五</v>
          </cell>
          <cell r="H4886">
            <v>100000</v>
          </cell>
          <cell r="I4886">
            <v>3</v>
          </cell>
          <cell r="J4886">
            <v>46067</v>
          </cell>
          <cell r="K4886">
            <v>100</v>
          </cell>
          <cell r="L4886">
            <v>46049</v>
          </cell>
          <cell r="M4886">
            <v>-986</v>
          </cell>
          <cell r="N4886">
            <v>99014</v>
          </cell>
        </row>
        <row r="4887">
          <cell r="A4887">
            <v>37023</v>
          </cell>
          <cell r="B4887">
            <v>4881</v>
          </cell>
          <cell r="C4887" t="str">
            <v>IASWD2501000199</v>
          </cell>
          <cell r="D4887">
            <v>45672</v>
          </cell>
          <cell r="E4887">
            <v>46712</v>
          </cell>
          <cell r="F4887" t="str">
            <v>37023</v>
          </cell>
          <cell r="G4887" t="str">
            <v>大聯大三</v>
          </cell>
          <cell r="H4887">
            <v>200000</v>
          </cell>
          <cell r="I4887">
            <v>2.7</v>
          </cell>
          <cell r="J4887">
            <v>46712</v>
          </cell>
          <cell r="K4887">
            <v>100</v>
          </cell>
          <cell r="L4887">
            <v>46693</v>
          </cell>
          <cell r="M4887">
            <v>-1775</v>
          </cell>
          <cell r="N4887">
            <v>198225</v>
          </cell>
        </row>
        <row r="4888">
          <cell r="A4888">
            <v>50097</v>
          </cell>
          <cell r="B4888">
            <v>4882</v>
          </cell>
          <cell r="C4888" t="str">
            <v>IASWD2501000200</v>
          </cell>
          <cell r="D4888">
            <v>45672</v>
          </cell>
          <cell r="E4888">
            <v>46234</v>
          </cell>
          <cell r="F4888" t="str">
            <v>50097</v>
          </cell>
          <cell r="G4888" t="str">
            <v>榮剛七</v>
          </cell>
          <cell r="H4888">
            <v>2000000</v>
          </cell>
          <cell r="I4888">
            <v>4.25</v>
          </cell>
          <cell r="J4888">
            <v>46234</v>
          </cell>
          <cell r="K4888">
            <v>101.51</v>
          </cell>
          <cell r="L4888">
            <v>46216</v>
          </cell>
          <cell r="M4888">
            <v>-27945</v>
          </cell>
          <cell r="N4888">
            <v>1972055</v>
          </cell>
        </row>
        <row r="4889">
          <cell r="A4889">
            <v>99211</v>
          </cell>
          <cell r="B4889">
            <v>4883</v>
          </cell>
          <cell r="C4889" t="str">
            <v>IASWD2501000201</v>
          </cell>
          <cell r="D4889">
            <v>45672</v>
          </cell>
          <cell r="E4889">
            <v>45821</v>
          </cell>
          <cell r="F4889" t="str">
            <v>99211</v>
          </cell>
          <cell r="G4889" t="str">
            <v>巨大一</v>
          </cell>
          <cell r="H4889">
            <v>300000</v>
          </cell>
          <cell r="I4889">
            <v>2.9</v>
          </cell>
          <cell r="J4889">
            <v>45821</v>
          </cell>
          <cell r="K4889">
            <v>100</v>
          </cell>
          <cell r="L4889">
            <v>45800</v>
          </cell>
          <cell r="M4889">
            <v>-2860</v>
          </cell>
          <cell r="N4889">
            <v>297140</v>
          </cell>
        </row>
        <row r="4890">
          <cell r="A4890">
            <v>45491</v>
          </cell>
          <cell r="B4890">
            <v>4884</v>
          </cell>
          <cell r="C4890" t="str">
            <v>IASWD2501000202</v>
          </cell>
          <cell r="D4890">
            <v>45672</v>
          </cell>
          <cell r="E4890">
            <v>46698</v>
          </cell>
          <cell r="F4890" t="str">
            <v>45491</v>
          </cell>
          <cell r="G4890" t="str">
            <v>桓達一</v>
          </cell>
          <cell r="H4890">
            <v>300000</v>
          </cell>
          <cell r="I4890">
            <v>4</v>
          </cell>
          <cell r="J4890">
            <v>46698</v>
          </cell>
          <cell r="K4890">
            <v>100</v>
          </cell>
          <cell r="L4890">
            <v>46679</v>
          </cell>
          <cell r="M4890">
            <v>-3945</v>
          </cell>
          <cell r="N4890">
            <v>296055</v>
          </cell>
        </row>
        <row r="4891">
          <cell r="A4891">
            <v>30882</v>
          </cell>
          <cell r="B4891">
            <v>4885</v>
          </cell>
          <cell r="C4891" t="str">
            <v>IASWD2501000203</v>
          </cell>
          <cell r="D4891">
            <v>45672</v>
          </cell>
          <cell r="E4891">
            <v>46262</v>
          </cell>
          <cell r="F4891" t="str">
            <v>30882</v>
          </cell>
          <cell r="G4891" t="str">
            <v>艾訊二</v>
          </cell>
          <cell r="H4891">
            <v>100000</v>
          </cell>
          <cell r="I4891">
            <v>3.25</v>
          </cell>
          <cell r="J4891">
            <v>46262</v>
          </cell>
          <cell r="K4891">
            <v>100</v>
          </cell>
          <cell r="L4891">
            <v>46244</v>
          </cell>
          <cell r="M4891">
            <v>-1068</v>
          </cell>
          <cell r="N4891">
            <v>98932</v>
          </cell>
        </row>
        <row r="4892">
          <cell r="A4892">
            <v>65096</v>
          </cell>
          <cell r="B4892">
            <v>4886</v>
          </cell>
          <cell r="C4892" t="str">
            <v>IASWD2501000204</v>
          </cell>
          <cell r="D4892">
            <v>45672</v>
          </cell>
          <cell r="E4892">
            <v>46206</v>
          </cell>
          <cell r="F4892" t="str">
            <v>65096</v>
          </cell>
          <cell r="G4892" t="str">
            <v>聚和六</v>
          </cell>
          <cell r="H4892">
            <v>100000</v>
          </cell>
          <cell r="I4892">
            <v>3.25</v>
          </cell>
          <cell r="J4892">
            <v>46206</v>
          </cell>
          <cell r="K4892">
            <v>100</v>
          </cell>
          <cell r="L4892">
            <v>46188</v>
          </cell>
          <cell r="M4892">
            <v>-1068</v>
          </cell>
          <cell r="N4892">
            <v>98932</v>
          </cell>
        </row>
        <row r="4893">
          <cell r="A4893">
            <v>30882</v>
          </cell>
          <cell r="B4893">
            <v>4887</v>
          </cell>
          <cell r="C4893" t="str">
            <v>IASWD2501000206</v>
          </cell>
          <cell r="D4893">
            <v>45673</v>
          </cell>
          <cell r="E4893">
            <v>46262</v>
          </cell>
          <cell r="F4893" t="str">
            <v>30882</v>
          </cell>
          <cell r="G4893" t="str">
            <v>艾訊二</v>
          </cell>
          <cell r="H4893">
            <v>300000</v>
          </cell>
          <cell r="I4893">
            <v>3.25</v>
          </cell>
          <cell r="J4893">
            <v>46262</v>
          </cell>
          <cell r="K4893">
            <v>100</v>
          </cell>
          <cell r="L4893">
            <v>46244</v>
          </cell>
          <cell r="M4893">
            <v>-3179</v>
          </cell>
          <cell r="N4893">
            <v>296821</v>
          </cell>
        </row>
        <row r="4894">
          <cell r="A4894">
            <v>34912</v>
          </cell>
          <cell r="B4894">
            <v>4888</v>
          </cell>
          <cell r="C4894" t="str">
            <v>IASWD2501000207</v>
          </cell>
          <cell r="D4894">
            <v>45673</v>
          </cell>
          <cell r="E4894">
            <v>46627</v>
          </cell>
          <cell r="F4894" t="str">
            <v>34912</v>
          </cell>
          <cell r="G4894" t="str">
            <v>昇達科二</v>
          </cell>
          <cell r="H4894">
            <v>200000</v>
          </cell>
          <cell r="I4894">
            <v>3</v>
          </cell>
          <cell r="J4894">
            <v>46627</v>
          </cell>
          <cell r="K4894">
            <v>100</v>
          </cell>
          <cell r="L4894">
            <v>46609</v>
          </cell>
          <cell r="M4894">
            <v>-1956</v>
          </cell>
          <cell r="N4894">
            <v>198044</v>
          </cell>
        </row>
        <row r="4895">
          <cell r="A4895">
            <v>99211</v>
          </cell>
          <cell r="B4895">
            <v>4889</v>
          </cell>
          <cell r="C4895" t="str">
            <v>IASWD2501000208</v>
          </cell>
          <cell r="D4895">
            <v>45673</v>
          </cell>
          <cell r="E4895">
            <v>45821</v>
          </cell>
          <cell r="F4895" t="str">
            <v>99211</v>
          </cell>
          <cell r="G4895" t="str">
            <v>巨大一</v>
          </cell>
          <cell r="H4895">
            <v>6400000</v>
          </cell>
          <cell r="I4895">
            <v>2.9</v>
          </cell>
          <cell r="J4895">
            <v>45821</v>
          </cell>
          <cell r="K4895">
            <v>100</v>
          </cell>
          <cell r="L4895">
            <v>45800</v>
          </cell>
          <cell r="M4895">
            <v>-60511</v>
          </cell>
          <cell r="N4895">
            <v>6339489</v>
          </cell>
        </row>
        <row r="4896">
          <cell r="A4896">
            <v>34163</v>
          </cell>
          <cell r="B4896">
            <v>4890</v>
          </cell>
          <cell r="C4896" t="str">
            <v>IASWD2501000209</v>
          </cell>
          <cell r="D4896">
            <v>45673</v>
          </cell>
          <cell r="E4896">
            <v>46047</v>
          </cell>
          <cell r="F4896" t="str">
            <v>34163</v>
          </cell>
          <cell r="G4896" t="str">
            <v>融程電三</v>
          </cell>
          <cell r="H4896">
            <v>100000</v>
          </cell>
          <cell r="I4896">
            <v>3</v>
          </cell>
          <cell r="J4896">
            <v>46047</v>
          </cell>
          <cell r="K4896">
            <v>100.5</v>
          </cell>
          <cell r="L4896">
            <v>46028</v>
          </cell>
          <cell r="M4896">
            <v>-978</v>
          </cell>
          <cell r="N4896">
            <v>99022</v>
          </cell>
        </row>
        <row r="4897">
          <cell r="A4897">
            <v>99211</v>
          </cell>
          <cell r="B4897">
            <v>4891</v>
          </cell>
          <cell r="C4897" t="str">
            <v>IASWD2501000210</v>
          </cell>
          <cell r="D4897">
            <v>45673</v>
          </cell>
          <cell r="E4897">
            <v>45821</v>
          </cell>
          <cell r="F4897" t="str">
            <v>99211</v>
          </cell>
          <cell r="G4897" t="str">
            <v>巨大一</v>
          </cell>
          <cell r="H4897">
            <v>500000</v>
          </cell>
          <cell r="I4897">
            <v>2.9</v>
          </cell>
          <cell r="J4897">
            <v>45821</v>
          </cell>
          <cell r="K4897">
            <v>100</v>
          </cell>
          <cell r="L4897">
            <v>45800</v>
          </cell>
          <cell r="M4897">
            <v>-4727</v>
          </cell>
          <cell r="N4897">
            <v>495273</v>
          </cell>
        </row>
        <row r="4898">
          <cell r="A4898">
            <v>68301</v>
          </cell>
          <cell r="B4898">
            <v>4892</v>
          </cell>
          <cell r="C4898" t="str">
            <v>IASWD2501000211</v>
          </cell>
          <cell r="D4898">
            <v>45673</v>
          </cell>
          <cell r="E4898">
            <v>46249</v>
          </cell>
          <cell r="F4898" t="str">
            <v>68301</v>
          </cell>
          <cell r="G4898" t="str">
            <v>汎銓一</v>
          </cell>
          <cell r="H4898">
            <v>100000</v>
          </cell>
          <cell r="I4898">
            <v>3</v>
          </cell>
          <cell r="J4898">
            <v>46249</v>
          </cell>
          <cell r="K4898">
            <v>100</v>
          </cell>
          <cell r="L4898">
            <v>46231</v>
          </cell>
          <cell r="M4898">
            <v>-978</v>
          </cell>
          <cell r="N4898">
            <v>99022</v>
          </cell>
        </row>
        <row r="4899">
          <cell r="A4899">
            <v>35265</v>
          </cell>
          <cell r="B4899">
            <v>4893</v>
          </cell>
          <cell r="C4899" t="str">
            <v>IASWD2501000212</v>
          </cell>
          <cell r="D4899">
            <v>45673</v>
          </cell>
          <cell r="E4899">
            <v>46067</v>
          </cell>
          <cell r="F4899" t="str">
            <v>35265</v>
          </cell>
          <cell r="G4899" t="str">
            <v>凡甲五</v>
          </cell>
          <cell r="H4899">
            <v>700000</v>
          </cell>
          <cell r="I4899">
            <v>3</v>
          </cell>
          <cell r="J4899">
            <v>46067</v>
          </cell>
          <cell r="K4899">
            <v>100</v>
          </cell>
          <cell r="L4899">
            <v>46049</v>
          </cell>
          <cell r="M4899">
            <v>-6847</v>
          </cell>
          <cell r="N4899">
            <v>693153</v>
          </cell>
        </row>
        <row r="4900">
          <cell r="A4900">
            <v>61875</v>
          </cell>
          <cell r="B4900">
            <v>4894</v>
          </cell>
          <cell r="C4900" t="str">
            <v>IASWD2501000213</v>
          </cell>
          <cell r="D4900">
            <v>45673</v>
          </cell>
          <cell r="E4900">
            <v>46578</v>
          </cell>
          <cell r="F4900" t="str">
            <v>61875</v>
          </cell>
          <cell r="G4900" t="str">
            <v>萬潤五</v>
          </cell>
          <cell r="H4900">
            <v>100000</v>
          </cell>
          <cell r="I4900">
            <v>3</v>
          </cell>
          <cell r="J4900">
            <v>46578</v>
          </cell>
          <cell r="K4900">
            <v>100</v>
          </cell>
          <cell r="L4900">
            <v>46560</v>
          </cell>
          <cell r="M4900">
            <v>-978</v>
          </cell>
          <cell r="N4900">
            <v>99022</v>
          </cell>
        </row>
        <row r="4901">
          <cell r="A4901">
            <v>34912</v>
          </cell>
          <cell r="B4901">
            <v>4895</v>
          </cell>
          <cell r="C4901" t="str">
            <v>IASWD2501000215</v>
          </cell>
          <cell r="D4901">
            <v>45673</v>
          </cell>
          <cell r="E4901">
            <v>46627</v>
          </cell>
          <cell r="F4901" t="str">
            <v>34912</v>
          </cell>
          <cell r="G4901" t="str">
            <v>昇達科二</v>
          </cell>
          <cell r="H4901">
            <v>100000</v>
          </cell>
          <cell r="I4901">
            <v>3</v>
          </cell>
          <cell r="J4901">
            <v>46627</v>
          </cell>
          <cell r="K4901">
            <v>100</v>
          </cell>
          <cell r="L4901">
            <v>46609</v>
          </cell>
          <cell r="M4901">
            <v>-978</v>
          </cell>
          <cell r="N4901">
            <v>99022</v>
          </cell>
        </row>
        <row r="4902">
          <cell r="A4902">
            <v>61394</v>
          </cell>
          <cell r="B4902">
            <v>4896</v>
          </cell>
          <cell r="C4902" t="str">
            <v>IASWD2501000216</v>
          </cell>
          <cell r="D4902">
            <v>45673</v>
          </cell>
          <cell r="E4902">
            <v>46047</v>
          </cell>
          <cell r="F4902" t="str">
            <v>61394</v>
          </cell>
          <cell r="G4902" t="str">
            <v>亞翔四</v>
          </cell>
          <cell r="H4902">
            <v>200000</v>
          </cell>
          <cell r="I4902">
            <v>3</v>
          </cell>
          <cell r="J4902">
            <v>46047</v>
          </cell>
          <cell r="K4902">
            <v>101.0025</v>
          </cell>
          <cell r="L4902">
            <v>46028</v>
          </cell>
          <cell r="M4902">
            <v>-1956</v>
          </cell>
          <cell r="N4902">
            <v>198044</v>
          </cell>
        </row>
        <row r="4903">
          <cell r="A4903">
            <v>61843</v>
          </cell>
          <cell r="B4903">
            <v>4897</v>
          </cell>
          <cell r="C4903" t="str">
            <v>IASWD2501000217</v>
          </cell>
          <cell r="D4903">
            <v>45673</v>
          </cell>
          <cell r="E4903">
            <v>46452</v>
          </cell>
          <cell r="F4903" t="str">
            <v>61843</v>
          </cell>
          <cell r="G4903" t="str">
            <v>大豐電三</v>
          </cell>
          <cell r="H4903">
            <v>100000</v>
          </cell>
          <cell r="I4903">
            <v>3.75</v>
          </cell>
          <cell r="J4903">
            <v>46452</v>
          </cell>
          <cell r="K4903">
            <v>101.50749999999999</v>
          </cell>
          <cell r="L4903">
            <v>46434</v>
          </cell>
          <cell r="M4903">
            <v>-1223</v>
          </cell>
          <cell r="N4903">
            <v>98777</v>
          </cell>
        </row>
        <row r="4904">
          <cell r="A4904">
            <v>68301</v>
          </cell>
          <cell r="B4904">
            <v>4898</v>
          </cell>
          <cell r="C4904" t="str">
            <v>IASWD2501000218</v>
          </cell>
          <cell r="D4904">
            <v>45673</v>
          </cell>
          <cell r="E4904">
            <v>46249</v>
          </cell>
          <cell r="F4904" t="str">
            <v>68301</v>
          </cell>
          <cell r="G4904" t="str">
            <v>汎銓一</v>
          </cell>
          <cell r="H4904">
            <v>300000</v>
          </cell>
          <cell r="I4904">
            <v>3</v>
          </cell>
          <cell r="J4904">
            <v>46249</v>
          </cell>
          <cell r="K4904">
            <v>100</v>
          </cell>
          <cell r="L4904">
            <v>46231</v>
          </cell>
          <cell r="M4904">
            <v>-2934</v>
          </cell>
          <cell r="N4904">
            <v>297066</v>
          </cell>
        </row>
        <row r="4905">
          <cell r="A4905">
            <v>24361</v>
          </cell>
          <cell r="B4905">
            <v>4899</v>
          </cell>
          <cell r="C4905" t="str">
            <v>IASWD2501000221</v>
          </cell>
          <cell r="D4905">
            <v>45673</v>
          </cell>
          <cell r="E4905">
            <v>45911</v>
          </cell>
          <cell r="F4905" t="str">
            <v>24361</v>
          </cell>
          <cell r="G4905" t="str">
            <v>偉詮電一</v>
          </cell>
          <cell r="H4905">
            <v>200000</v>
          </cell>
          <cell r="I4905">
            <v>3.75</v>
          </cell>
          <cell r="J4905">
            <v>45911</v>
          </cell>
          <cell r="K4905">
            <v>100.50060000000001</v>
          </cell>
          <cell r="L4905">
            <v>45891</v>
          </cell>
          <cell r="M4905">
            <v>-2445</v>
          </cell>
          <cell r="N4905">
            <v>197555</v>
          </cell>
        </row>
        <row r="4906">
          <cell r="A4906">
            <v>34912</v>
          </cell>
          <cell r="B4906">
            <v>4900</v>
          </cell>
          <cell r="C4906" t="str">
            <v>IASWD2501000222</v>
          </cell>
          <cell r="D4906">
            <v>45674</v>
          </cell>
          <cell r="E4906">
            <v>46627</v>
          </cell>
          <cell r="F4906" t="str">
            <v>34912</v>
          </cell>
          <cell r="G4906" t="str">
            <v>昇達科二</v>
          </cell>
          <cell r="H4906">
            <v>300000</v>
          </cell>
          <cell r="I4906">
            <v>3</v>
          </cell>
          <cell r="J4906">
            <v>46627</v>
          </cell>
          <cell r="K4906">
            <v>100</v>
          </cell>
          <cell r="L4906">
            <v>46609</v>
          </cell>
          <cell r="M4906">
            <v>-2910</v>
          </cell>
          <cell r="N4906">
            <v>297090</v>
          </cell>
        </row>
        <row r="4907">
          <cell r="A4907">
            <v>66642</v>
          </cell>
          <cell r="B4907">
            <v>4901</v>
          </cell>
          <cell r="C4907" t="str">
            <v>IASWD2501000223</v>
          </cell>
          <cell r="D4907">
            <v>45674</v>
          </cell>
          <cell r="E4907">
            <v>46710</v>
          </cell>
          <cell r="F4907" t="str">
            <v>66642</v>
          </cell>
          <cell r="G4907" t="str">
            <v>群翊二</v>
          </cell>
          <cell r="H4907">
            <v>100000</v>
          </cell>
          <cell r="I4907">
            <v>3.75</v>
          </cell>
          <cell r="J4907">
            <v>46710</v>
          </cell>
          <cell r="K4907">
            <v>100</v>
          </cell>
          <cell r="L4907">
            <v>46692</v>
          </cell>
          <cell r="M4907">
            <v>-1212</v>
          </cell>
          <cell r="N4907">
            <v>98788</v>
          </cell>
        </row>
        <row r="4908">
          <cell r="A4908">
            <v>22013</v>
          </cell>
          <cell r="B4908">
            <v>4902</v>
          </cell>
          <cell r="C4908" t="str">
            <v>IASWD2501000224</v>
          </cell>
          <cell r="D4908">
            <v>45674</v>
          </cell>
          <cell r="E4908">
            <v>46167</v>
          </cell>
          <cell r="F4908" t="str">
            <v>22013</v>
          </cell>
          <cell r="G4908" t="str">
            <v>裕隆三</v>
          </cell>
          <cell r="H4908">
            <v>100000</v>
          </cell>
          <cell r="I4908">
            <v>3.5</v>
          </cell>
          <cell r="J4908">
            <v>46167</v>
          </cell>
          <cell r="K4908">
            <v>100.75190000000001</v>
          </cell>
          <cell r="L4908">
            <v>46147</v>
          </cell>
          <cell r="M4908">
            <v>-1132</v>
          </cell>
          <cell r="N4908">
            <v>98868</v>
          </cell>
        </row>
        <row r="4909">
          <cell r="A4909">
            <v>21043</v>
          </cell>
          <cell r="B4909">
            <v>4903</v>
          </cell>
          <cell r="C4909" t="str">
            <v>IASWD2501000225</v>
          </cell>
          <cell r="D4909">
            <v>45674</v>
          </cell>
          <cell r="E4909">
            <v>46308</v>
          </cell>
          <cell r="F4909" t="str">
            <v>21043</v>
          </cell>
          <cell r="G4909" t="str">
            <v>國際中橡三</v>
          </cell>
          <cell r="H4909">
            <v>2000000</v>
          </cell>
          <cell r="I4909">
            <v>2.8</v>
          </cell>
          <cell r="J4909">
            <v>46308</v>
          </cell>
          <cell r="K4909">
            <v>100.9</v>
          </cell>
          <cell r="L4909">
            <v>46288</v>
          </cell>
          <cell r="M4909">
            <v>-18104</v>
          </cell>
          <cell r="N4909">
            <v>1981896</v>
          </cell>
        </row>
        <row r="4910">
          <cell r="A4910">
            <v>34163</v>
          </cell>
          <cell r="B4910">
            <v>4904</v>
          </cell>
          <cell r="C4910" t="str">
            <v>IASWD2501000226</v>
          </cell>
          <cell r="D4910">
            <v>45674</v>
          </cell>
          <cell r="E4910">
            <v>46047</v>
          </cell>
          <cell r="F4910" t="str">
            <v>34163</v>
          </cell>
          <cell r="G4910" t="str">
            <v>融程電三</v>
          </cell>
          <cell r="H4910">
            <v>400000</v>
          </cell>
          <cell r="I4910">
            <v>3</v>
          </cell>
          <cell r="J4910">
            <v>46047</v>
          </cell>
          <cell r="K4910">
            <v>100.5</v>
          </cell>
          <cell r="L4910">
            <v>46028</v>
          </cell>
          <cell r="M4910">
            <v>-3879</v>
          </cell>
          <cell r="N4910">
            <v>396121</v>
          </cell>
        </row>
        <row r="4911">
          <cell r="A4911">
            <v>68301</v>
          </cell>
          <cell r="B4911">
            <v>4905</v>
          </cell>
          <cell r="C4911" t="str">
            <v>IASWD2501000227</v>
          </cell>
          <cell r="D4911">
            <v>45674</v>
          </cell>
          <cell r="E4911">
            <v>46249</v>
          </cell>
          <cell r="F4911" t="str">
            <v>68301</v>
          </cell>
          <cell r="G4911" t="str">
            <v>汎銓一</v>
          </cell>
          <cell r="H4911">
            <v>500000</v>
          </cell>
          <cell r="I4911">
            <v>3</v>
          </cell>
          <cell r="J4911">
            <v>46249</v>
          </cell>
          <cell r="K4911">
            <v>100</v>
          </cell>
          <cell r="L4911">
            <v>46231</v>
          </cell>
          <cell r="M4911">
            <v>-4849</v>
          </cell>
          <cell r="N4911">
            <v>495151</v>
          </cell>
        </row>
        <row r="4912">
          <cell r="A4912">
            <v>66642</v>
          </cell>
          <cell r="B4912">
            <v>4906</v>
          </cell>
          <cell r="C4912" t="str">
            <v>IASWD2501000228</v>
          </cell>
          <cell r="D4912">
            <v>45674</v>
          </cell>
          <cell r="E4912">
            <v>46710</v>
          </cell>
          <cell r="F4912" t="str">
            <v>66642</v>
          </cell>
          <cell r="G4912" t="str">
            <v>群翊二</v>
          </cell>
          <cell r="H4912">
            <v>100000</v>
          </cell>
          <cell r="I4912">
            <v>3.75</v>
          </cell>
          <cell r="J4912">
            <v>46710</v>
          </cell>
          <cell r="K4912">
            <v>100</v>
          </cell>
          <cell r="L4912">
            <v>46692</v>
          </cell>
          <cell r="M4912">
            <v>-1212</v>
          </cell>
          <cell r="N4912">
            <v>98788</v>
          </cell>
        </row>
        <row r="4913">
          <cell r="A4913">
            <v>37022</v>
          </cell>
          <cell r="B4913">
            <v>4907</v>
          </cell>
          <cell r="C4913" t="str">
            <v>IASWD2501000232</v>
          </cell>
          <cell r="D4913">
            <v>45677</v>
          </cell>
          <cell r="E4913">
            <v>46702</v>
          </cell>
          <cell r="F4913" t="str">
            <v>37022</v>
          </cell>
          <cell r="G4913" t="str">
            <v>大聯大二</v>
          </cell>
          <cell r="H4913">
            <v>200000</v>
          </cell>
          <cell r="I4913">
            <v>2.7</v>
          </cell>
          <cell r="J4913">
            <v>46702</v>
          </cell>
          <cell r="K4913">
            <v>100</v>
          </cell>
          <cell r="L4913">
            <v>46682</v>
          </cell>
          <cell r="M4913">
            <v>-1701</v>
          </cell>
          <cell r="N4913">
            <v>198299</v>
          </cell>
        </row>
        <row r="4914">
          <cell r="A4914">
            <v>30882</v>
          </cell>
          <cell r="B4914">
            <v>4908</v>
          </cell>
          <cell r="C4914" t="str">
            <v>IASWD2501000233</v>
          </cell>
          <cell r="D4914">
            <v>45677</v>
          </cell>
          <cell r="E4914">
            <v>46262</v>
          </cell>
          <cell r="F4914" t="str">
            <v>30882</v>
          </cell>
          <cell r="G4914" t="str">
            <v>艾訊二</v>
          </cell>
          <cell r="H4914">
            <v>300000</v>
          </cell>
          <cell r="I4914">
            <v>3.25</v>
          </cell>
          <cell r="J4914">
            <v>46262</v>
          </cell>
          <cell r="K4914">
            <v>100</v>
          </cell>
          <cell r="L4914">
            <v>46244</v>
          </cell>
          <cell r="M4914">
            <v>-3072</v>
          </cell>
          <cell r="N4914">
            <v>296928</v>
          </cell>
        </row>
        <row r="4915">
          <cell r="A4915">
            <v>45491</v>
          </cell>
          <cell r="B4915">
            <v>4909</v>
          </cell>
          <cell r="C4915" t="str">
            <v>IASWD2501000234</v>
          </cell>
          <cell r="D4915">
            <v>45677</v>
          </cell>
          <cell r="E4915">
            <v>46698</v>
          </cell>
          <cell r="F4915" t="str">
            <v>45491</v>
          </cell>
          <cell r="G4915" t="str">
            <v>桓達一</v>
          </cell>
          <cell r="H4915">
            <v>100000</v>
          </cell>
          <cell r="I4915">
            <v>4</v>
          </cell>
          <cell r="J4915">
            <v>46698</v>
          </cell>
          <cell r="K4915">
            <v>100</v>
          </cell>
          <cell r="L4915">
            <v>46679</v>
          </cell>
          <cell r="M4915">
            <v>-1260</v>
          </cell>
          <cell r="N4915">
            <v>98740</v>
          </cell>
        </row>
        <row r="4916">
          <cell r="A4916">
            <v>80914</v>
          </cell>
          <cell r="B4916">
            <v>4910</v>
          </cell>
          <cell r="C4916" t="str">
            <v>IASWD2501000237</v>
          </cell>
          <cell r="D4916">
            <v>45677</v>
          </cell>
          <cell r="E4916">
            <v>46249</v>
          </cell>
          <cell r="F4916" t="str">
            <v>80914</v>
          </cell>
          <cell r="G4916" t="str">
            <v>翔名四</v>
          </cell>
          <cell r="H4916">
            <v>100000</v>
          </cell>
          <cell r="I4916">
            <v>3</v>
          </cell>
          <cell r="J4916">
            <v>46249</v>
          </cell>
          <cell r="K4916">
            <v>100.25</v>
          </cell>
          <cell r="L4916">
            <v>46231</v>
          </cell>
          <cell r="M4916">
            <v>-945</v>
          </cell>
          <cell r="N4916">
            <v>99055</v>
          </cell>
        </row>
        <row r="4917">
          <cell r="A4917">
            <v>37022</v>
          </cell>
          <cell r="B4917">
            <v>4911</v>
          </cell>
          <cell r="C4917" t="str">
            <v>IASWD2501000238</v>
          </cell>
          <cell r="D4917">
            <v>45678</v>
          </cell>
          <cell r="E4917">
            <v>46702</v>
          </cell>
          <cell r="F4917" t="str">
            <v>37022</v>
          </cell>
          <cell r="G4917" t="str">
            <v>大聯大二</v>
          </cell>
          <cell r="H4917">
            <v>2000000</v>
          </cell>
          <cell r="I4917">
            <v>2.7</v>
          </cell>
          <cell r="J4917">
            <v>46702</v>
          </cell>
          <cell r="K4917">
            <v>100</v>
          </cell>
          <cell r="L4917">
            <v>46682</v>
          </cell>
          <cell r="M4917">
            <v>-16866</v>
          </cell>
          <cell r="N4917">
            <v>1983134</v>
          </cell>
        </row>
        <row r="4918">
          <cell r="A4918">
            <v>30882</v>
          </cell>
          <cell r="B4918">
            <v>4912</v>
          </cell>
          <cell r="C4918" t="str">
            <v>IASWD2501000239</v>
          </cell>
          <cell r="D4918">
            <v>45678</v>
          </cell>
          <cell r="E4918">
            <v>46262</v>
          </cell>
          <cell r="F4918" t="str">
            <v>30882</v>
          </cell>
          <cell r="G4918" t="str">
            <v>艾訊二</v>
          </cell>
          <cell r="H4918">
            <v>100000</v>
          </cell>
          <cell r="I4918">
            <v>3.25</v>
          </cell>
          <cell r="J4918">
            <v>46262</v>
          </cell>
          <cell r="K4918">
            <v>100</v>
          </cell>
          <cell r="L4918">
            <v>46244</v>
          </cell>
          <cell r="M4918">
            <v>-1015</v>
          </cell>
          <cell r="N4918">
            <v>98985</v>
          </cell>
        </row>
        <row r="4919">
          <cell r="A4919">
            <v>34912</v>
          </cell>
          <cell r="B4919">
            <v>4913</v>
          </cell>
          <cell r="C4919" t="str">
            <v>IASWD2501000241</v>
          </cell>
          <cell r="D4919">
            <v>45678</v>
          </cell>
          <cell r="E4919">
            <v>46627</v>
          </cell>
          <cell r="F4919" t="str">
            <v>34912</v>
          </cell>
          <cell r="G4919" t="str">
            <v>昇達科二</v>
          </cell>
          <cell r="H4919">
            <v>200000</v>
          </cell>
          <cell r="I4919">
            <v>3</v>
          </cell>
          <cell r="J4919">
            <v>46627</v>
          </cell>
          <cell r="K4919">
            <v>100</v>
          </cell>
          <cell r="L4919">
            <v>46609</v>
          </cell>
          <cell r="M4919">
            <v>-1874</v>
          </cell>
          <cell r="N4919">
            <v>198126</v>
          </cell>
        </row>
        <row r="4920">
          <cell r="A4920">
            <v>34163</v>
          </cell>
          <cell r="B4920">
            <v>4914</v>
          </cell>
          <cell r="C4920" t="str">
            <v>IASWD2501000242</v>
          </cell>
          <cell r="D4920">
            <v>45678</v>
          </cell>
          <cell r="E4920">
            <v>46047</v>
          </cell>
          <cell r="F4920" t="str">
            <v>34163</v>
          </cell>
          <cell r="G4920" t="str">
            <v>融程電三</v>
          </cell>
          <cell r="H4920">
            <v>500000</v>
          </cell>
          <cell r="I4920">
            <v>3</v>
          </cell>
          <cell r="J4920">
            <v>46047</v>
          </cell>
          <cell r="K4920">
            <v>100.5</v>
          </cell>
          <cell r="L4920">
            <v>46028</v>
          </cell>
          <cell r="M4920">
            <v>-4685</v>
          </cell>
          <cell r="N4920">
            <v>495315</v>
          </cell>
        </row>
        <row r="4921">
          <cell r="A4921">
            <v>66642</v>
          </cell>
          <cell r="B4921">
            <v>4915</v>
          </cell>
          <cell r="C4921" t="str">
            <v>IASWD2501000243</v>
          </cell>
          <cell r="D4921">
            <v>45678</v>
          </cell>
          <cell r="E4921">
            <v>46710</v>
          </cell>
          <cell r="F4921" t="str">
            <v>66642</v>
          </cell>
          <cell r="G4921" t="str">
            <v>群翊二</v>
          </cell>
          <cell r="H4921">
            <v>200000</v>
          </cell>
          <cell r="I4921">
            <v>3.75</v>
          </cell>
          <cell r="J4921">
            <v>46710</v>
          </cell>
          <cell r="K4921">
            <v>100</v>
          </cell>
          <cell r="L4921">
            <v>46692</v>
          </cell>
          <cell r="M4921">
            <v>-2342</v>
          </cell>
          <cell r="N4921">
            <v>197658</v>
          </cell>
        </row>
        <row r="4922">
          <cell r="A4922">
            <v>37022</v>
          </cell>
          <cell r="B4922">
            <v>4916</v>
          </cell>
          <cell r="C4922" t="str">
            <v>IASWD2501000244</v>
          </cell>
          <cell r="D4922">
            <v>45678</v>
          </cell>
          <cell r="E4922">
            <v>46702</v>
          </cell>
          <cell r="F4922" t="str">
            <v>37022</v>
          </cell>
          <cell r="G4922" t="str">
            <v>大聯大二</v>
          </cell>
          <cell r="H4922">
            <v>500000</v>
          </cell>
          <cell r="I4922">
            <v>2.7</v>
          </cell>
          <cell r="J4922">
            <v>46702</v>
          </cell>
          <cell r="K4922">
            <v>100</v>
          </cell>
          <cell r="L4922">
            <v>46682</v>
          </cell>
          <cell r="M4922">
            <v>-4216</v>
          </cell>
          <cell r="N4922">
            <v>495784</v>
          </cell>
        </row>
        <row r="4923">
          <cell r="A4923">
            <v>45663</v>
          </cell>
          <cell r="B4923">
            <v>4917</v>
          </cell>
          <cell r="C4923" t="str">
            <v>IASWD2501000245</v>
          </cell>
          <cell r="D4923">
            <v>45679</v>
          </cell>
          <cell r="E4923">
            <v>46353</v>
          </cell>
          <cell r="F4923" t="str">
            <v>45663</v>
          </cell>
          <cell r="G4923" t="str">
            <v>時碩工業三</v>
          </cell>
          <cell r="H4923">
            <v>1000000</v>
          </cell>
          <cell r="I4923">
            <v>3.25</v>
          </cell>
          <cell r="J4923">
            <v>46353</v>
          </cell>
          <cell r="K4923">
            <v>100</v>
          </cell>
          <cell r="L4923">
            <v>46335</v>
          </cell>
          <cell r="M4923">
            <v>-10062</v>
          </cell>
          <cell r="N4923">
            <v>989938</v>
          </cell>
        </row>
        <row r="4924">
          <cell r="A4924">
            <v>80914</v>
          </cell>
          <cell r="B4924">
            <v>4918</v>
          </cell>
          <cell r="C4924" t="str">
            <v>IASWD2501000246</v>
          </cell>
          <cell r="D4924">
            <v>45679</v>
          </cell>
          <cell r="E4924">
            <v>46249</v>
          </cell>
          <cell r="F4924" t="str">
            <v>80914</v>
          </cell>
          <cell r="G4924" t="str">
            <v>翔名四</v>
          </cell>
          <cell r="H4924">
            <v>100000</v>
          </cell>
          <cell r="I4924">
            <v>3</v>
          </cell>
          <cell r="J4924">
            <v>46249</v>
          </cell>
          <cell r="K4924">
            <v>100.25</v>
          </cell>
          <cell r="L4924">
            <v>46231</v>
          </cell>
          <cell r="M4924">
            <v>-929</v>
          </cell>
          <cell r="N4924">
            <v>99071</v>
          </cell>
        </row>
        <row r="4925">
          <cell r="A4925">
            <v>66642</v>
          </cell>
          <cell r="B4925">
            <v>4919</v>
          </cell>
          <cell r="C4925" t="str">
            <v>IASWD2501000247</v>
          </cell>
          <cell r="D4925">
            <v>45679</v>
          </cell>
          <cell r="E4925">
            <v>46710</v>
          </cell>
          <cell r="F4925" t="str">
            <v>66642</v>
          </cell>
          <cell r="G4925" t="str">
            <v>群翊二</v>
          </cell>
          <cell r="H4925">
            <v>100000</v>
          </cell>
          <cell r="I4925">
            <v>3.75</v>
          </cell>
          <cell r="J4925">
            <v>46710</v>
          </cell>
          <cell r="K4925">
            <v>100</v>
          </cell>
          <cell r="L4925">
            <v>46692</v>
          </cell>
          <cell r="M4925">
            <v>-1161</v>
          </cell>
          <cell r="N4925">
            <v>98839</v>
          </cell>
        </row>
        <row r="4926">
          <cell r="A4926">
            <v>37022</v>
          </cell>
          <cell r="B4926">
            <v>4920</v>
          </cell>
          <cell r="C4926" t="str">
            <v>IASWD2501000248</v>
          </cell>
          <cell r="D4926">
            <v>45679</v>
          </cell>
          <cell r="E4926">
            <v>46702</v>
          </cell>
          <cell r="F4926" t="str">
            <v>37022</v>
          </cell>
          <cell r="G4926" t="str">
            <v>大聯大二</v>
          </cell>
          <cell r="H4926">
            <v>200000</v>
          </cell>
          <cell r="I4926">
            <v>2.7</v>
          </cell>
          <cell r="J4926">
            <v>46702</v>
          </cell>
          <cell r="K4926">
            <v>100</v>
          </cell>
          <cell r="L4926">
            <v>46682</v>
          </cell>
          <cell r="M4926">
            <v>-1672</v>
          </cell>
          <cell r="N4926">
            <v>198328</v>
          </cell>
        </row>
        <row r="4927">
          <cell r="A4927">
            <v>61394</v>
          </cell>
          <cell r="B4927">
            <v>4921</v>
          </cell>
          <cell r="C4927" t="str">
            <v>IASWD2501000249</v>
          </cell>
          <cell r="D4927">
            <v>45679</v>
          </cell>
          <cell r="E4927">
            <v>46047</v>
          </cell>
          <cell r="F4927" t="str">
            <v>61394</v>
          </cell>
          <cell r="G4927" t="str">
            <v>亞翔四</v>
          </cell>
          <cell r="H4927">
            <v>400000</v>
          </cell>
          <cell r="I4927">
            <v>3</v>
          </cell>
          <cell r="J4927">
            <v>46047</v>
          </cell>
          <cell r="K4927">
            <v>101.0025</v>
          </cell>
          <cell r="L4927">
            <v>46028</v>
          </cell>
          <cell r="M4927">
            <v>-3715</v>
          </cell>
          <cell r="N4927">
            <v>396285</v>
          </cell>
        </row>
        <row r="4928">
          <cell r="A4928">
            <v>22013</v>
          </cell>
          <cell r="B4928">
            <v>4922</v>
          </cell>
          <cell r="C4928" t="str">
            <v>IASWD2501000250</v>
          </cell>
          <cell r="D4928">
            <v>45679</v>
          </cell>
          <cell r="E4928">
            <v>46167</v>
          </cell>
          <cell r="F4928" t="str">
            <v>22013</v>
          </cell>
          <cell r="G4928" t="str">
            <v>裕隆三</v>
          </cell>
          <cell r="H4928">
            <v>100000</v>
          </cell>
          <cell r="I4928">
            <v>3.5</v>
          </cell>
          <cell r="J4928">
            <v>46167</v>
          </cell>
          <cell r="K4928">
            <v>100.75190000000001</v>
          </cell>
          <cell r="L4928">
            <v>46147</v>
          </cell>
          <cell r="M4928">
            <v>-1084</v>
          </cell>
          <cell r="N4928">
            <v>98916</v>
          </cell>
        </row>
        <row r="4929">
          <cell r="A4929">
            <v>37022</v>
          </cell>
          <cell r="B4929">
            <v>4923</v>
          </cell>
          <cell r="C4929" t="str">
            <v>IASWD2501000251</v>
          </cell>
          <cell r="D4929">
            <v>45679</v>
          </cell>
          <cell r="E4929">
            <v>46702</v>
          </cell>
          <cell r="F4929" t="str">
            <v>37022</v>
          </cell>
          <cell r="G4929" t="str">
            <v>大聯大二</v>
          </cell>
          <cell r="H4929">
            <v>1800000</v>
          </cell>
          <cell r="I4929">
            <v>2.7</v>
          </cell>
          <cell r="J4929">
            <v>46702</v>
          </cell>
          <cell r="K4929">
            <v>100</v>
          </cell>
          <cell r="L4929">
            <v>46682</v>
          </cell>
          <cell r="M4929">
            <v>-15046</v>
          </cell>
          <cell r="N4929">
            <v>1784954</v>
          </cell>
        </row>
        <row r="4930">
          <cell r="A4930">
            <v>61843</v>
          </cell>
          <cell r="B4930">
            <v>4924</v>
          </cell>
          <cell r="C4930" t="str">
            <v>IASWD2501000252</v>
          </cell>
          <cell r="D4930">
            <v>45679</v>
          </cell>
          <cell r="E4930">
            <v>46452</v>
          </cell>
          <cell r="F4930" t="str">
            <v>61843</v>
          </cell>
          <cell r="G4930" t="str">
            <v>大豐電三</v>
          </cell>
          <cell r="H4930">
            <v>200000</v>
          </cell>
          <cell r="I4930">
            <v>3.75</v>
          </cell>
          <cell r="J4930">
            <v>46452</v>
          </cell>
          <cell r="K4930">
            <v>101.50749999999999</v>
          </cell>
          <cell r="L4930">
            <v>46434</v>
          </cell>
          <cell r="M4930">
            <v>-2322</v>
          </cell>
          <cell r="N4930">
            <v>197678</v>
          </cell>
        </row>
        <row r="4931">
          <cell r="A4931">
            <v>30882</v>
          </cell>
          <cell r="B4931">
            <v>4925</v>
          </cell>
          <cell r="C4931" t="str">
            <v>IASWD2501000253</v>
          </cell>
          <cell r="D4931">
            <v>45679</v>
          </cell>
          <cell r="E4931">
            <v>46262</v>
          </cell>
          <cell r="F4931" t="str">
            <v>30882</v>
          </cell>
          <cell r="G4931" t="str">
            <v>艾訊二</v>
          </cell>
          <cell r="H4931">
            <v>300000</v>
          </cell>
          <cell r="I4931">
            <v>3.25</v>
          </cell>
          <cell r="J4931">
            <v>46262</v>
          </cell>
          <cell r="K4931">
            <v>100</v>
          </cell>
          <cell r="L4931">
            <v>46244</v>
          </cell>
          <cell r="M4931">
            <v>-3018</v>
          </cell>
          <cell r="N4931">
            <v>296982</v>
          </cell>
        </row>
        <row r="4932">
          <cell r="A4932">
            <v>22013</v>
          </cell>
          <cell r="B4932">
            <v>4926</v>
          </cell>
          <cell r="C4932" t="str">
            <v>IASWD2501000254</v>
          </cell>
          <cell r="D4932">
            <v>45679</v>
          </cell>
          <cell r="E4932">
            <v>46167</v>
          </cell>
          <cell r="F4932" t="str">
            <v>22013</v>
          </cell>
          <cell r="G4932" t="str">
            <v>裕隆三</v>
          </cell>
          <cell r="H4932">
            <v>600000</v>
          </cell>
          <cell r="I4932">
            <v>3.5</v>
          </cell>
          <cell r="J4932">
            <v>46167</v>
          </cell>
          <cell r="K4932">
            <v>100.75190000000001</v>
          </cell>
          <cell r="L4932">
            <v>46147</v>
          </cell>
          <cell r="M4932">
            <v>-6501</v>
          </cell>
          <cell r="N4932">
            <v>593499</v>
          </cell>
        </row>
        <row r="4933">
          <cell r="A4933">
            <v>26417</v>
          </cell>
          <cell r="B4933">
            <v>4927</v>
          </cell>
          <cell r="C4933" t="str">
            <v>IASWD2502000002</v>
          </cell>
          <cell r="D4933">
            <v>45691</v>
          </cell>
          <cell r="E4933">
            <v>46594</v>
          </cell>
          <cell r="F4933" t="str">
            <v>26417</v>
          </cell>
          <cell r="G4933" t="str">
            <v>正德七</v>
          </cell>
          <cell r="H4933">
            <v>500000</v>
          </cell>
          <cell r="I4933">
            <v>4</v>
          </cell>
          <cell r="J4933">
            <v>46594</v>
          </cell>
          <cell r="K4933">
            <v>100</v>
          </cell>
          <cell r="L4933">
            <v>46574</v>
          </cell>
          <cell r="M4933">
            <v>-5534</v>
          </cell>
          <cell r="N4933">
            <v>494466</v>
          </cell>
        </row>
        <row r="4934">
          <cell r="A4934">
            <v>34912</v>
          </cell>
          <cell r="B4934">
            <v>4928</v>
          </cell>
          <cell r="C4934" t="str">
            <v>IASWD2502000003</v>
          </cell>
          <cell r="D4934">
            <v>45691</v>
          </cell>
          <cell r="E4934">
            <v>46627</v>
          </cell>
          <cell r="F4934" t="str">
            <v>34912</v>
          </cell>
          <cell r="G4934" t="str">
            <v>昇達科二</v>
          </cell>
          <cell r="H4934">
            <v>100000</v>
          </cell>
          <cell r="I4934">
            <v>3</v>
          </cell>
          <cell r="J4934">
            <v>46627</v>
          </cell>
          <cell r="K4934">
            <v>100</v>
          </cell>
          <cell r="L4934">
            <v>46609</v>
          </cell>
          <cell r="M4934">
            <v>-830</v>
          </cell>
          <cell r="N4934">
            <v>99170</v>
          </cell>
        </row>
        <row r="4935">
          <cell r="A4935">
            <v>68301</v>
          </cell>
          <cell r="B4935">
            <v>4929</v>
          </cell>
          <cell r="C4935" t="str">
            <v>IASWD2502000004</v>
          </cell>
          <cell r="D4935">
            <v>45691</v>
          </cell>
          <cell r="E4935">
            <v>46249</v>
          </cell>
          <cell r="F4935" t="str">
            <v>68301</v>
          </cell>
          <cell r="G4935" t="str">
            <v>汎銓一</v>
          </cell>
          <cell r="H4935">
            <v>100000</v>
          </cell>
          <cell r="I4935">
            <v>3</v>
          </cell>
          <cell r="J4935">
            <v>46249</v>
          </cell>
          <cell r="K4935">
            <v>100</v>
          </cell>
          <cell r="L4935">
            <v>46231</v>
          </cell>
          <cell r="M4935">
            <v>-830</v>
          </cell>
          <cell r="N4935">
            <v>99170</v>
          </cell>
        </row>
        <row r="4936">
          <cell r="A4936">
            <v>64145</v>
          </cell>
          <cell r="B4936">
            <v>4930</v>
          </cell>
          <cell r="C4936" t="str">
            <v>IASWD2502000005</v>
          </cell>
          <cell r="D4936">
            <v>45691</v>
          </cell>
          <cell r="E4936">
            <v>46250</v>
          </cell>
          <cell r="F4936" t="str">
            <v>64145</v>
          </cell>
          <cell r="G4936" t="str">
            <v>樺漢五</v>
          </cell>
          <cell r="H4936">
            <v>100000</v>
          </cell>
          <cell r="I4936">
            <v>3</v>
          </cell>
          <cell r="J4936">
            <v>46250</v>
          </cell>
          <cell r="K4936">
            <v>100</v>
          </cell>
          <cell r="L4936">
            <v>46231</v>
          </cell>
          <cell r="M4936">
            <v>-830</v>
          </cell>
          <cell r="N4936">
            <v>99170</v>
          </cell>
        </row>
        <row r="4937">
          <cell r="A4937">
            <v>37022</v>
          </cell>
          <cell r="B4937">
            <v>4931</v>
          </cell>
          <cell r="C4937" t="str">
            <v>IASWD2502000006</v>
          </cell>
          <cell r="D4937">
            <v>45691</v>
          </cell>
          <cell r="E4937">
            <v>46702</v>
          </cell>
          <cell r="F4937" t="str">
            <v>37022</v>
          </cell>
          <cell r="G4937" t="str">
            <v>大聯大二</v>
          </cell>
          <cell r="H4937">
            <v>300000</v>
          </cell>
          <cell r="I4937">
            <v>2.7</v>
          </cell>
          <cell r="J4937">
            <v>46702</v>
          </cell>
          <cell r="K4937">
            <v>100</v>
          </cell>
          <cell r="L4937">
            <v>46682</v>
          </cell>
          <cell r="M4937">
            <v>-2241</v>
          </cell>
          <cell r="N4937">
            <v>297759</v>
          </cell>
        </row>
        <row r="4938">
          <cell r="A4938">
            <v>34793</v>
          </cell>
          <cell r="B4938">
            <v>4932</v>
          </cell>
          <cell r="C4938" t="str">
            <v>IASWD2502000007</v>
          </cell>
          <cell r="D4938">
            <v>45691</v>
          </cell>
          <cell r="E4938">
            <v>46409</v>
          </cell>
          <cell r="F4938" t="str">
            <v>34793</v>
          </cell>
          <cell r="G4938" t="str">
            <v>安勤三</v>
          </cell>
          <cell r="H4938">
            <v>100000</v>
          </cell>
          <cell r="I4938">
            <v>3</v>
          </cell>
          <cell r="J4938">
            <v>46409</v>
          </cell>
          <cell r="K4938">
            <v>100</v>
          </cell>
          <cell r="L4938">
            <v>46391</v>
          </cell>
          <cell r="M4938">
            <v>-830</v>
          </cell>
          <cell r="N4938">
            <v>99170</v>
          </cell>
        </row>
        <row r="4939">
          <cell r="A4939">
            <v>27323</v>
          </cell>
          <cell r="B4939">
            <v>4933</v>
          </cell>
          <cell r="C4939" t="str">
            <v>IASWD2502000008</v>
          </cell>
          <cell r="D4939">
            <v>45691</v>
          </cell>
          <cell r="E4939">
            <v>46048</v>
          </cell>
          <cell r="F4939" t="str">
            <v>27323</v>
          </cell>
          <cell r="G4939" t="str">
            <v>六角三</v>
          </cell>
          <cell r="H4939">
            <v>100000</v>
          </cell>
          <cell r="I4939">
            <v>3</v>
          </cell>
          <cell r="J4939">
            <v>46048</v>
          </cell>
          <cell r="K4939">
            <v>101</v>
          </cell>
          <cell r="L4939">
            <v>46028</v>
          </cell>
          <cell r="M4939">
            <v>-830</v>
          </cell>
          <cell r="N4939">
            <v>99170</v>
          </cell>
        </row>
        <row r="4940">
          <cell r="A4940">
            <v>68301</v>
          </cell>
          <cell r="B4940">
            <v>4934</v>
          </cell>
          <cell r="C4940" t="str">
            <v>IASWD2502000010</v>
          </cell>
          <cell r="D4940">
            <v>45691</v>
          </cell>
          <cell r="E4940">
            <v>46249</v>
          </cell>
          <cell r="F4940" t="str">
            <v>68301</v>
          </cell>
          <cell r="G4940" t="str">
            <v>汎銓一</v>
          </cell>
          <cell r="H4940">
            <v>100000</v>
          </cell>
          <cell r="I4940">
            <v>3</v>
          </cell>
          <cell r="J4940">
            <v>46249</v>
          </cell>
          <cell r="K4940">
            <v>100</v>
          </cell>
          <cell r="L4940">
            <v>46231</v>
          </cell>
          <cell r="M4940">
            <v>-830</v>
          </cell>
          <cell r="N4940">
            <v>99170</v>
          </cell>
        </row>
        <row r="4941">
          <cell r="A4941">
            <v>64421</v>
          </cell>
          <cell r="B4941">
            <v>4935</v>
          </cell>
          <cell r="C4941" t="str">
            <v>IASWD2502000011</v>
          </cell>
          <cell r="D4941">
            <v>45691</v>
          </cell>
          <cell r="E4941">
            <v>46337</v>
          </cell>
          <cell r="F4941" t="str">
            <v>64421</v>
          </cell>
          <cell r="G4941" t="str">
            <v>光聖一</v>
          </cell>
          <cell r="H4941">
            <v>400000</v>
          </cell>
          <cell r="I4941">
            <v>3.75</v>
          </cell>
          <cell r="J4941">
            <v>46337</v>
          </cell>
          <cell r="K4941">
            <v>100</v>
          </cell>
          <cell r="L4941">
            <v>46317</v>
          </cell>
          <cell r="M4941">
            <v>-4151</v>
          </cell>
          <cell r="N4941">
            <v>395849</v>
          </cell>
        </row>
        <row r="4942">
          <cell r="A4942">
            <v>64145</v>
          </cell>
          <cell r="B4942">
            <v>4936</v>
          </cell>
          <cell r="C4942" t="str">
            <v>IASWD2502000012</v>
          </cell>
          <cell r="D4942">
            <v>45691</v>
          </cell>
          <cell r="E4942">
            <v>46250</v>
          </cell>
          <cell r="F4942" t="str">
            <v>64145</v>
          </cell>
          <cell r="G4942" t="str">
            <v>樺漢五</v>
          </cell>
          <cell r="H4942">
            <v>400000</v>
          </cell>
          <cell r="I4942">
            <v>3</v>
          </cell>
          <cell r="J4942">
            <v>46250</v>
          </cell>
          <cell r="K4942">
            <v>100</v>
          </cell>
          <cell r="L4942">
            <v>46231</v>
          </cell>
          <cell r="M4942">
            <v>-3321</v>
          </cell>
          <cell r="N4942">
            <v>396679</v>
          </cell>
        </row>
        <row r="4943">
          <cell r="A4943">
            <v>68631</v>
          </cell>
          <cell r="B4943">
            <v>4937</v>
          </cell>
          <cell r="C4943" t="str">
            <v>IASWD2502000013</v>
          </cell>
          <cell r="D4943">
            <v>45691</v>
          </cell>
          <cell r="E4943">
            <v>46675</v>
          </cell>
          <cell r="F4943" t="str">
            <v>68631</v>
          </cell>
          <cell r="G4943" t="str">
            <v>永道一KY</v>
          </cell>
          <cell r="H4943">
            <v>200000</v>
          </cell>
          <cell r="I4943">
            <v>4</v>
          </cell>
          <cell r="J4943">
            <v>46675</v>
          </cell>
          <cell r="K4943">
            <v>100</v>
          </cell>
          <cell r="L4943">
            <v>46657</v>
          </cell>
          <cell r="M4943">
            <v>-2214</v>
          </cell>
          <cell r="N4943">
            <v>197786</v>
          </cell>
        </row>
        <row r="4944">
          <cell r="A4944">
            <v>64145</v>
          </cell>
          <cell r="B4944">
            <v>4938</v>
          </cell>
          <cell r="C4944" t="str">
            <v>IASWD2502000014</v>
          </cell>
          <cell r="D4944">
            <v>45691</v>
          </cell>
          <cell r="E4944">
            <v>46250</v>
          </cell>
          <cell r="F4944" t="str">
            <v>64145</v>
          </cell>
          <cell r="G4944" t="str">
            <v>樺漢五</v>
          </cell>
          <cell r="H4944">
            <v>200000</v>
          </cell>
          <cell r="I4944">
            <v>3</v>
          </cell>
          <cell r="J4944">
            <v>46250</v>
          </cell>
          <cell r="K4944">
            <v>100</v>
          </cell>
          <cell r="L4944">
            <v>46231</v>
          </cell>
          <cell r="M4944">
            <v>-1660</v>
          </cell>
          <cell r="N4944">
            <v>198340</v>
          </cell>
        </row>
        <row r="4945">
          <cell r="A4945">
            <v>37023</v>
          </cell>
          <cell r="B4945">
            <v>4939</v>
          </cell>
          <cell r="C4945" t="str">
            <v>IASWD2502000015</v>
          </cell>
          <cell r="D4945">
            <v>45691</v>
          </cell>
          <cell r="E4945">
            <v>46712</v>
          </cell>
          <cell r="F4945" t="str">
            <v>37023</v>
          </cell>
          <cell r="G4945" t="str">
            <v>大聯大三</v>
          </cell>
          <cell r="H4945">
            <v>200000</v>
          </cell>
          <cell r="I4945">
            <v>2.7</v>
          </cell>
          <cell r="J4945">
            <v>46712</v>
          </cell>
          <cell r="K4945">
            <v>100</v>
          </cell>
          <cell r="L4945">
            <v>46693</v>
          </cell>
          <cell r="M4945">
            <v>-1494</v>
          </cell>
          <cell r="N4945">
            <v>198506</v>
          </cell>
        </row>
        <row r="4946">
          <cell r="A4946">
            <v>64145</v>
          </cell>
          <cell r="B4946">
            <v>4940</v>
          </cell>
          <cell r="C4946" t="str">
            <v>IASWD2502000016</v>
          </cell>
          <cell r="D4946">
            <v>45691</v>
          </cell>
          <cell r="E4946">
            <v>46250</v>
          </cell>
          <cell r="F4946" t="str">
            <v>64145</v>
          </cell>
          <cell r="G4946" t="str">
            <v>樺漢五</v>
          </cell>
          <cell r="H4946">
            <v>2200000</v>
          </cell>
          <cell r="I4946">
            <v>3</v>
          </cell>
          <cell r="J4946">
            <v>46250</v>
          </cell>
          <cell r="K4946">
            <v>100</v>
          </cell>
          <cell r="L4946">
            <v>46231</v>
          </cell>
          <cell r="M4946">
            <v>-18263</v>
          </cell>
          <cell r="N4946">
            <v>2181737</v>
          </cell>
        </row>
        <row r="4947">
          <cell r="A4947">
            <v>64145</v>
          </cell>
          <cell r="B4947">
            <v>4941</v>
          </cell>
          <cell r="C4947" t="str">
            <v>IASWD2502000017</v>
          </cell>
          <cell r="D4947">
            <v>45691</v>
          </cell>
          <cell r="E4947">
            <v>46250</v>
          </cell>
          <cell r="F4947" t="str">
            <v>64145</v>
          </cell>
          <cell r="G4947" t="str">
            <v>樺漢五</v>
          </cell>
          <cell r="H4947">
            <v>200000</v>
          </cell>
          <cell r="I4947">
            <v>3</v>
          </cell>
          <cell r="J4947">
            <v>46250</v>
          </cell>
          <cell r="K4947">
            <v>100</v>
          </cell>
          <cell r="L4947">
            <v>46231</v>
          </cell>
          <cell r="M4947">
            <v>-1660</v>
          </cell>
          <cell r="N4947">
            <v>198340</v>
          </cell>
        </row>
        <row r="4948">
          <cell r="A4948">
            <v>68631</v>
          </cell>
          <cell r="B4948">
            <v>4942</v>
          </cell>
          <cell r="C4948" t="str">
            <v>IASWD2502000018</v>
          </cell>
          <cell r="D4948">
            <v>45692</v>
          </cell>
          <cell r="E4948">
            <v>46675</v>
          </cell>
          <cell r="F4948" t="str">
            <v>68631</v>
          </cell>
          <cell r="G4948" t="str">
            <v>永道一KY</v>
          </cell>
          <cell r="H4948">
            <v>100000</v>
          </cell>
          <cell r="I4948">
            <v>4</v>
          </cell>
          <cell r="J4948">
            <v>46675</v>
          </cell>
          <cell r="K4948">
            <v>100</v>
          </cell>
          <cell r="L4948">
            <v>46657</v>
          </cell>
          <cell r="M4948">
            <v>-1096</v>
          </cell>
          <cell r="N4948">
            <v>98904</v>
          </cell>
        </row>
        <row r="4949">
          <cell r="A4949">
            <v>30882</v>
          </cell>
          <cell r="B4949">
            <v>4943</v>
          </cell>
          <cell r="C4949" t="str">
            <v>IASWD2502000019</v>
          </cell>
          <cell r="D4949">
            <v>45692</v>
          </cell>
          <cell r="E4949">
            <v>46262</v>
          </cell>
          <cell r="F4949" t="str">
            <v>30882</v>
          </cell>
          <cell r="G4949" t="str">
            <v>艾訊二</v>
          </cell>
          <cell r="H4949">
            <v>200000</v>
          </cell>
          <cell r="I4949">
            <v>3.25</v>
          </cell>
          <cell r="J4949">
            <v>46262</v>
          </cell>
          <cell r="K4949">
            <v>100</v>
          </cell>
          <cell r="L4949">
            <v>46244</v>
          </cell>
          <cell r="M4949">
            <v>-1781</v>
          </cell>
          <cell r="N4949">
            <v>198219</v>
          </cell>
        </row>
        <row r="4950">
          <cell r="A4950">
            <v>30882</v>
          </cell>
          <cell r="B4950">
            <v>4944</v>
          </cell>
          <cell r="C4950" t="str">
            <v>IASWD2502000020</v>
          </cell>
          <cell r="D4950">
            <v>45692</v>
          </cell>
          <cell r="E4950">
            <v>46262</v>
          </cell>
          <cell r="F4950" t="str">
            <v>30882</v>
          </cell>
          <cell r="G4950" t="str">
            <v>艾訊二</v>
          </cell>
          <cell r="H4950">
            <v>200000</v>
          </cell>
          <cell r="I4950">
            <v>3.25</v>
          </cell>
          <cell r="J4950">
            <v>46262</v>
          </cell>
          <cell r="K4950">
            <v>100</v>
          </cell>
          <cell r="L4950">
            <v>46244</v>
          </cell>
          <cell r="M4950">
            <v>-1781</v>
          </cell>
          <cell r="N4950">
            <v>198219</v>
          </cell>
        </row>
        <row r="4951">
          <cell r="A4951">
            <v>35831</v>
          </cell>
          <cell r="B4951">
            <v>4945</v>
          </cell>
          <cell r="C4951" t="str">
            <v>IASWD2502000021</v>
          </cell>
          <cell r="D4951">
            <v>45692</v>
          </cell>
          <cell r="E4951">
            <v>46180</v>
          </cell>
          <cell r="F4951" t="str">
            <v>35831</v>
          </cell>
          <cell r="G4951" t="str">
            <v>辛耘一</v>
          </cell>
          <cell r="H4951">
            <v>1000000</v>
          </cell>
          <cell r="I4951">
            <v>3</v>
          </cell>
          <cell r="J4951">
            <v>46180</v>
          </cell>
          <cell r="K4951">
            <v>100</v>
          </cell>
          <cell r="L4951">
            <v>46161</v>
          </cell>
          <cell r="M4951">
            <v>-8219</v>
          </cell>
          <cell r="N4951">
            <v>991781</v>
          </cell>
        </row>
        <row r="4952">
          <cell r="A4952">
            <v>64145</v>
          </cell>
          <cell r="B4952">
            <v>4946</v>
          </cell>
          <cell r="C4952" t="str">
            <v>IASWD2502000022</v>
          </cell>
          <cell r="D4952">
            <v>45692</v>
          </cell>
          <cell r="E4952">
            <v>46250</v>
          </cell>
          <cell r="F4952" t="str">
            <v>64145</v>
          </cell>
          <cell r="G4952" t="str">
            <v>樺漢五</v>
          </cell>
          <cell r="H4952">
            <v>500000</v>
          </cell>
          <cell r="I4952">
            <v>3</v>
          </cell>
          <cell r="J4952">
            <v>46250</v>
          </cell>
          <cell r="K4952">
            <v>100</v>
          </cell>
          <cell r="L4952">
            <v>46231</v>
          </cell>
          <cell r="M4952">
            <v>-4110</v>
          </cell>
          <cell r="N4952">
            <v>495890</v>
          </cell>
        </row>
        <row r="4953">
          <cell r="A4953">
            <v>64145</v>
          </cell>
          <cell r="B4953">
            <v>4947</v>
          </cell>
          <cell r="C4953" t="str">
            <v>IASWD2502000023</v>
          </cell>
          <cell r="D4953">
            <v>45692</v>
          </cell>
          <cell r="E4953">
            <v>46250</v>
          </cell>
          <cell r="F4953" t="str">
            <v>64145</v>
          </cell>
          <cell r="G4953" t="str">
            <v>樺漢五</v>
          </cell>
          <cell r="H4953">
            <v>100000</v>
          </cell>
          <cell r="I4953">
            <v>3</v>
          </cell>
          <cell r="J4953">
            <v>46250</v>
          </cell>
          <cell r="K4953">
            <v>100</v>
          </cell>
          <cell r="L4953">
            <v>46231</v>
          </cell>
          <cell r="M4953">
            <v>-822</v>
          </cell>
          <cell r="N4953">
            <v>99178</v>
          </cell>
        </row>
        <row r="4954">
          <cell r="A4954">
            <v>35831</v>
          </cell>
          <cell r="B4954">
            <v>4948</v>
          </cell>
          <cell r="C4954" t="str">
            <v>IASWD2502000024</v>
          </cell>
          <cell r="D4954">
            <v>45692</v>
          </cell>
          <cell r="E4954">
            <v>46180</v>
          </cell>
          <cell r="F4954" t="str">
            <v>35831</v>
          </cell>
          <cell r="G4954" t="str">
            <v>辛耘一</v>
          </cell>
          <cell r="H4954">
            <v>200000</v>
          </cell>
          <cell r="I4954">
            <v>3</v>
          </cell>
          <cell r="J4954">
            <v>46180</v>
          </cell>
          <cell r="K4954">
            <v>100</v>
          </cell>
          <cell r="L4954">
            <v>46161</v>
          </cell>
          <cell r="M4954">
            <v>-1644</v>
          </cell>
          <cell r="N4954">
            <v>198356</v>
          </cell>
        </row>
        <row r="4955">
          <cell r="A4955">
            <v>65096</v>
          </cell>
          <cell r="B4955">
            <v>4949</v>
          </cell>
          <cell r="C4955" t="str">
            <v>IASWD2502000025</v>
          </cell>
          <cell r="D4955">
            <v>45692</v>
          </cell>
          <cell r="E4955">
            <v>46206</v>
          </cell>
          <cell r="F4955" t="str">
            <v>65096</v>
          </cell>
          <cell r="G4955" t="str">
            <v>聚和六</v>
          </cell>
          <cell r="H4955">
            <v>100000</v>
          </cell>
          <cell r="I4955">
            <v>3.25</v>
          </cell>
          <cell r="J4955">
            <v>46206</v>
          </cell>
          <cell r="K4955">
            <v>100</v>
          </cell>
          <cell r="L4955">
            <v>46188</v>
          </cell>
          <cell r="M4955">
            <v>-890</v>
          </cell>
          <cell r="N4955">
            <v>99110</v>
          </cell>
        </row>
        <row r="4956">
          <cell r="A4956">
            <v>34834</v>
          </cell>
          <cell r="B4956">
            <v>4950</v>
          </cell>
          <cell r="C4956" t="str">
            <v>IASWD2502000026</v>
          </cell>
          <cell r="D4956">
            <v>45692</v>
          </cell>
          <cell r="E4956">
            <v>46529</v>
          </cell>
          <cell r="F4956" t="str">
            <v>34834</v>
          </cell>
          <cell r="G4956" t="str">
            <v>力致四</v>
          </cell>
          <cell r="H4956">
            <v>100000</v>
          </cell>
          <cell r="I4956">
            <v>3.75</v>
          </cell>
          <cell r="J4956">
            <v>46529</v>
          </cell>
          <cell r="K4956">
            <v>100</v>
          </cell>
          <cell r="L4956">
            <v>46511</v>
          </cell>
          <cell r="M4956">
            <v>-1027</v>
          </cell>
          <cell r="N4956">
            <v>98973</v>
          </cell>
        </row>
        <row r="4957">
          <cell r="A4957">
            <v>64421</v>
          </cell>
          <cell r="B4957">
            <v>4951</v>
          </cell>
          <cell r="C4957" t="str">
            <v>IASWD2502000027</v>
          </cell>
          <cell r="D4957">
            <v>45692</v>
          </cell>
          <cell r="E4957">
            <v>46337</v>
          </cell>
          <cell r="F4957" t="str">
            <v>64421</v>
          </cell>
          <cell r="G4957" t="str">
            <v>光聖一</v>
          </cell>
          <cell r="H4957">
            <v>100000</v>
          </cell>
          <cell r="I4957">
            <v>3.75</v>
          </cell>
          <cell r="J4957">
            <v>46337</v>
          </cell>
          <cell r="K4957">
            <v>100</v>
          </cell>
          <cell r="L4957">
            <v>46317</v>
          </cell>
          <cell r="M4957">
            <v>-1027</v>
          </cell>
          <cell r="N4957">
            <v>98973</v>
          </cell>
        </row>
        <row r="4958">
          <cell r="A4958">
            <v>61843</v>
          </cell>
          <cell r="B4958">
            <v>4952</v>
          </cell>
          <cell r="C4958" t="str">
            <v>IASWD2502000028</v>
          </cell>
          <cell r="D4958">
            <v>45692</v>
          </cell>
          <cell r="E4958">
            <v>46452</v>
          </cell>
          <cell r="F4958" t="str">
            <v>61843</v>
          </cell>
          <cell r="G4958" t="str">
            <v>大豐電三</v>
          </cell>
          <cell r="H4958">
            <v>100000</v>
          </cell>
          <cell r="I4958">
            <v>3.75</v>
          </cell>
          <cell r="J4958">
            <v>46452</v>
          </cell>
          <cell r="K4958">
            <v>101.50749999999999</v>
          </cell>
          <cell r="L4958">
            <v>46434</v>
          </cell>
          <cell r="M4958">
            <v>-1027</v>
          </cell>
          <cell r="N4958">
            <v>98973</v>
          </cell>
        </row>
        <row r="4959">
          <cell r="A4959">
            <v>64145</v>
          </cell>
          <cell r="B4959">
            <v>4953</v>
          </cell>
          <cell r="C4959" t="str">
            <v>IASWD2502000029</v>
          </cell>
          <cell r="D4959">
            <v>45692</v>
          </cell>
          <cell r="E4959">
            <v>46250</v>
          </cell>
          <cell r="F4959" t="str">
            <v>64145</v>
          </cell>
          <cell r="G4959" t="str">
            <v>樺漢五</v>
          </cell>
          <cell r="H4959">
            <v>100000</v>
          </cell>
          <cell r="I4959">
            <v>3</v>
          </cell>
          <cell r="J4959">
            <v>46250</v>
          </cell>
          <cell r="K4959">
            <v>100</v>
          </cell>
          <cell r="L4959">
            <v>46231</v>
          </cell>
          <cell r="M4959">
            <v>-822</v>
          </cell>
          <cell r="N4959">
            <v>99178</v>
          </cell>
        </row>
        <row r="4960">
          <cell r="A4960">
            <v>34834</v>
          </cell>
          <cell r="B4960">
            <v>4954</v>
          </cell>
          <cell r="C4960" t="str">
            <v>IASWD2502000030</v>
          </cell>
          <cell r="D4960">
            <v>45692</v>
          </cell>
          <cell r="E4960">
            <v>46529</v>
          </cell>
          <cell r="F4960" t="str">
            <v>34834</v>
          </cell>
          <cell r="G4960" t="str">
            <v>力致四</v>
          </cell>
          <cell r="H4960">
            <v>100000</v>
          </cell>
          <cell r="I4960">
            <v>3.75</v>
          </cell>
          <cell r="J4960">
            <v>46529</v>
          </cell>
          <cell r="K4960">
            <v>100</v>
          </cell>
          <cell r="L4960">
            <v>46511</v>
          </cell>
          <cell r="M4960">
            <v>-1027</v>
          </cell>
          <cell r="N4960">
            <v>98973</v>
          </cell>
        </row>
        <row r="4961">
          <cell r="A4961">
            <v>84673</v>
          </cell>
          <cell r="B4961">
            <v>4955</v>
          </cell>
          <cell r="C4961" t="str">
            <v>IASWD2502000031</v>
          </cell>
          <cell r="D4961">
            <v>45692</v>
          </cell>
          <cell r="E4961">
            <v>46538</v>
          </cell>
          <cell r="F4961" t="str">
            <v>84673</v>
          </cell>
          <cell r="G4961" t="str">
            <v>波力三KY</v>
          </cell>
          <cell r="H4961">
            <v>500000</v>
          </cell>
          <cell r="I4961">
            <v>4.2</v>
          </cell>
          <cell r="J4961">
            <v>46538</v>
          </cell>
          <cell r="K4961">
            <v>100</v>
          </cell>
          <cell r="L4961">
            <v>46518</v>
          </cell>
          <cell r="M4961">
            <v>-5753</v>
          </cell>
          <cell r="N4961">
            <v>494247</v>
          </cell>
        </row>
        <row r="4962">
          <cell r="A4962">
            <v>34834</v>
          </cell>
          <cell r="B4962">
            <v>4956</v>
          </cell>
          <cell r="C4962" t="str">
            <v>IASWD2502000032</v>
          </cell>
          <cell r="D4962">
            <v>45692</v>
          </cell>
          <cell r="E4962">
            <v>46529</v>
          </cell>
          <cell r="F4962" t="str">
            <v>34834</v>
          </cell>
          <cell r="G4962" t="str">
            <v>力致四</v>
          </cell>
          <cell r="H4962">
            <v>200000</v>
          </cell>
          <cell r="I4962">
            <v>3.75</v>
          </cell>
          <cell r="J4962">
            <v>46529</v>
          </cell>
          <cell r="K4962">
            <v>100</v>
          </cell>
          <cell r="L4962">
            <v>46511</v>
          </cell>
          <cell r="M4962">
            <v>-2055</v>
          </cell>
          <cell r="N4962">
            <v>197945</v>
          </cell>
        </row>
        <row r="4963">
          <cell r="A4963">
            <v>35832</v>
          </cell>
          <cell r="B4963">
            <v>4957</v>
          </cell>
          <cell r="C4963" t="str">
            <v>IASWD2502000033</v>
          </cell>
          <cell r="D4963">
            <v>45692</v>
          </cell>
          <cell r="E4963">
            <v>46192</v>
          </cell>
          <cell r="F4963" t="str">
            <v>35832</v>
          </cell>
          <cell r="G4963" t="str">
            <v>辛耘二</v>
          </cell>
          <cell r="H4963">
            <v>200000</v>
          </cell>
          <cell r="I4963">
            <v>3</v>
          </cell>
          <cell r="J4963">
            <v>46192</v>
          </cell>
          <cell r="K4963">
            <v>100</v>
          </cell>
          <cell r="L4963">
            <v>46174</v>
          </cell>
          <cell r="M4963">
            <v>-1644</v>
          </cell>
          <cell r="N4963">
            <v>198356</v>
          </cell>
        </row>
        <row r="4964">
          <cell r="A4964">
            <v>66642</v>
          </cell>
          <cell r="B4964">
            <v>4958</v>
          </cell>
          <cell r="C4964" t="str">
            <v>IASWD2502000034</v>
          </cell>
          <cell r="D4964">
            <v>45692</v>
          </cell>
          <cell r="E4964">
            <v>46710</v>
          </cell>
          <cell r="F4964" t="str">
            <v>66642</v>
          </cell>
          <cell r="G4964" t="str">
            <v>群翊二</v>
          </cell>
          <cell r="H4964">
            <v>100000</v>
          </cell>
          <cell r="I4964">
            <v>3.75</v>
          </cell>
          <cell r="J4964">
            <v>46710</v>
          </cell>
          <cell r="K4964">
            <v>100</v>
          </cell>
          <cell r="L4964">
            <v>46692</v>
          </cell>
          <cell r="M4964">
            <v>-1027</v>
          </cell>
          <cell r="N4964">
            <v>98973</v>
          </cell>
        </row>
        <row r="4965">
          <cell r="A4965">
            <v>68301</v>
          </cell>
          <cell r="B4965">
            <v>4959</v>
          </cell>
          <cell r="C4965" t="str">
            <v>IASWD2502000035</v>
          </cell>
          <cell r="D4965">
            <v>45692</v>
          </cell>
          <cell r="E4965">
            <v>46249</v>
          </cell>
          <cell r="F4965" t="str">
            <v>68301</v>
          </cell>
          <cell r="G4965" t="str">
            <v>汎銓一</v>
          </cell>
          <cell r="H4965">
            <v>100000</v>
          </cell>
          <cell r="I4965">
            <v>3</v>
          </cell>
          <cell r="J4965">
            <v>46249</v>
          </cell>
          <cell r="K4965">
            <v>100</v>
          </cell>
          <cell r="L4965">
            <v>46231</v>
          </cell>
          <cell r="M4965">
            <v>-822</v>
          </cell>
          <cell r="N4965">
            <v>99178</v>
          </cell>
        </row>
        <row r="4966">
          <cell r="A4966">
            <v>64145</v>
          </cell>
          <cell r="B4966">
            <v>4960</v>
          </cell>
          <cell r="C4966" t="str">
            <v>IASWD2502000036</v>
          </cell>
          <cell r="D4966">
            <v>45692</v>
          </cell>
          <cell r="E4966">
            <v>46250</v>
          </cell>
          <cell r="F4966" t="str">
            <v>64145</v>
          </cell>
          <cell r="G4966" t="str">
            <v>樺漢五</v>
          </cell>
          <cell r="H4966">
            <v>100000</v>
          </cell>
          <cell r="I4966">
            <v>3</v>
          </cell>
          <cell r="J4966">
            <v>46250</v>
          </cell>
          <cell r="K4966">
            <v>100</v>
          </cell>
          <cell r="L4966">
            <v>46231</v>
          </cell>
          <cell r="M4966">
            <v>-822</v>
          </cell>
          <cell r="N4966">
            <v>99178</v>
          </cell>
        </row>
        <row r="4967">
          <cell r="A4967">
            <v>24361</v>
          </cell>
          <cell r="B4967">
            <v>4961</v>
          </cell>
          <cell r="C4967" t="str">
            <v>IASWD2502000037</v>
          </cell>
          <cell r="D4967">
            <v>45692</v>
          </cell>
          <cell r="E4967">
            <v>45911</v>
          </cell>
          <cell r="F4967" t="str">
            <v>24361</v>
          </cell>
          <cell r="G4967" t="str">
            <v>偉詮電一</v>
          </cell>
          <cell r="H4967">
            <v>600000</v>
          </cell>
          <cell r="I4967">
            <v>3.75</v>
          </cell>
          <cell r="J4967">
            <v>45911</v>
          </cell>
          <cell r="K4967">
            <v>100.50060000000001</v>
          </cell>
          <cell r="L4967">
            <v>45891</v>
          </cell>
          <cell r="M4967">
            <v>-6164</v>
          </cell>
          <cell r="N4967">
            <v>593836</v>
          </cell>
        </row>
        <row r="4968">
          <cell r="A4968">
            <v>64421</v>
          </cell>
          <cell r="B4968">
            <v>4962</v>
          </cell>
          <cell r="C4968" t="str">
            <v>IASWD2502000038</v>
          </cell>
          <cell r="D4968">
            <v>45692</v>
          </cell>
          <cell r="E4968">
            <v>46337</v>
          </cell>
          <cell r="F4968" t="str">
            <v>64421</v>
          </cell>
          <cell r="G4968" t="str">
            <v>光聖一</v>
          </cell>
          <cell r="H4968">
            <v>1300000</v>
          </cell>
          <cell r="I4968">
            <v>3.75</v>
          </cell>
          <cell r="J4968">
            <v>46337</v>
          </cell>
          <cell r="K4968">
            <v>100</v>
          </cell>
          <cell r="L4968">
            <v>46317</v>
          </cell>
          <cell r="M4968">
            <v>-13356</v>
          </cell>
          <cell r="N4968">
            <v>1286644</v>
          </cell>
        </row>
        <row r="4969">
          <cell r="A4969">
            <v>24361</v>
          </cell>
          <cell r="B4969">
            <v>4963</v>
          </cell>
          <cell r="C4969" t="str">
            <v>IASWD2502000039</v>
          </cell>
          <cell r="D4969">
            <v>45693</v>
          </cell>
          <cell r="E4969">
            <v>45911</v>
          </cell>
          <cell r="F4969" t="str">
            <v>24361</v>
          </cell>
          <cell r="G4969" t="str">
            <v>偉詮電一</v>
          </cell>
          <cell r="H4969">
            <v>400000</v>
          </cell>
          <cell r="I4969">
            <v>3.75</v>
          </cell>
          <cell r="J4969">
            <v>45911</v>
          </cell>
          <cell r="K4969">
            <v>100.50060000000001</v>
          </cell>
          <cell r="L4969">
            <v>45891</v>
          </cell>
          <cell r="M4969">
            <v>-4068</v>
          </cell>
          <cell r="N4969">
            <v>395932</v>
          </cell>
        </row>
        <row r="4970">
          <cell r="A4970">
            <v>31413</v>
          </cell>
          <cell r="B4970">
            <v>4964</v>
          </cell>
          <cell r="C4970" t="str">
            <v>IASWD2502000040</v>
          </cell>
          <cell r="D4970">
            <v>45693</v>
          </cell>
          <cell r="E4970">
            <v>46162</v>
          </cell>
          <cell r="F4970" t="str">
            <v>31413</v>
          </cell>
          <cell r="G4970" t="str">
            <v>晶宏三</v>
          </cell>
          <cell r="H4970">
            <v>100000</v>
          </cell>
          <cell r="I4970">
            <v>4</v>
          </cell>
          <cell r="J4970">
            <v>46162</v>
          </cell>
          <cell r="K4970">
            <v>100</v>
          </cell>
          <cell r="L4970">
            <v>46142</v>
          </cell>
          <cell r="M4970">
            <v>-1085</v>
          </cell>
          <cell r="N4970">
            <v>98915</v>
          </cell>
        </row>
        <row r="4971">
          <cell r="A4971">
            <v>64145</v>
          </cell>
          <cell r="B4971">
            <v>4965</v>
          </cell>
          <cell r="C4971" t="str">
            <v>IASWD2502000041</v>
          </cell>
          <cell r="D4971">
            <v>45693</v>
          </cell>
          <cell r="E4971">
            <v>46250</v>
          </cell>
          <cell r="F4971" t="str">
            <v>64145</v>
          </cell>
          <cell r="G4971" t="str">
            <v>樺漢五</v>
          </cell>
          <cell r="H4971">
            <v>100000</v>
          </cell>
          <cell r="I4971">
            <v>3</v>
          </cell>
          <cell r="J4971">
            <v>46250</v>
          </cell>
          <cell r="K4971">
            <v>100</v>
          </cell>
          <cell r="L4971">
            <v>46231</v>
          </cell>
          <cell r="M4971">
            <v>-814</v>
          </cell>
          <cell r="N4971">
            <v>99186</v>
          </cell>
        </row>
        <row r="4972">
          <cell r="A4972">
            <v>64145</v>
          </cell>
          <cell r="B4972">
            <v>4966</v>
          </cell>
          <cell r="C4972" t="str">
            <v>IASWD2502000042</v>
          </cell>
          <cell r="D4972">
            <v>45693</v>
          </cell>
          <cell r="E4972">
            <v>46250</v>
          </cell>
          <cell r="F4972" t="str">
            <v>64145</v>
          </cell>
          <cell r="G4972" t="str">
            <v>樺漢五</v>
          </cell>
          <cell r="H4972">
            <v>100000</v>
          </cell>
          <cell r="I4972">
            <v>3</v>
          </cell>
          <cell r="J4972">
            <v>46250</v>
          </cell>
          <cell r="K4972">
            <v>100</v>
          </cell>
          <cell r="L4972">
            <v>46231</v>
          </cell>
          <cell r="M4972">
            <v>-814</v>
          </cell>
          <cell r="N4972">
            <v>99186</v>
          </cell>
        </row>
        <row r="4973">
          <cell r="A4973">
            <v>68301</v>
          </cell>
          <cell r="B4973">
            <v>4967</v>
          </cell>
          <cell r="C4973" t="str">
            <v>IASWD2502000043</v>
          </cell>
          <cell r="D4973">
            <v>45693</v>
          </cell>
          <cell r="E4973">
            <v>46249</v>
          </cell>
          <cell r="F4973" t="str">
            <v>68301</v>
          </cell>
          <cell r="G4973" t="str">
            <v>汎銓一</v>
          </cell>
          <cell r="H4973">
            <v>100000</v>
          </cell>
          <cell r="I4973">
            <v>3</v>
          </cell>
          <cell r="J4973">
            <v>46249</v>
          </cell>
          <cell r="K4973">
            <v>100</v>
          </cell>
          <cell r="L4973">
            <v>46231</v>
          </cell>
          <cell r="M4973">
            <v>-814</v>
          </cell>
          <cell r="N4973">
            <v>99186</v>
          </cell>
        </row>
        <row r="4974">
          <cell r="A4974">
            <v>36804</v>
          </cell>
          <cell r="B4974">
            <v>4968</v>
          </cell>
          <cell r="C4974" t="str">
            <v>IASWD2502000044</v>
          </cell>
          <cell r="D4974">
            <v>45693</v>
          </cell>
          <cell r="E4974">
            <v>45948</v>
          </cell>
          <cell r="F4974" t="str">
            <v>36804</v>
          </cell>
          <cell r="G4974" t="str">
            <v>家登四</v>
          </cell>
          <cell r="H4974">
            <v>100000</v>
          </cell>
          <cell r="I4974">
            <v>3.2</v>
          </cell>
          <cell r="J4974">
            <v>45948</v>
          </cell>
          <cell r="K4974">
            <v>100</v>
          </cell>
          <cell r="L4974">
            <v>45926</v>
          </cell>
          <cell r="M4974">
            <v>-868</v>
          </cell>
          <cell r="N4974">
            <v>99132</v>
          </cell>
        </row>
        <row r="4975">
          <cell r="A4975">
            <v>64145</v>
          </cell>
          <cell r="B4975">
            <v>4969</v>
          </cell>
          <cell r="C4975" t="str">
            <v>IASWD2502000045</v>
          </cell>
          <cell r="D4975">
            <v>45693</v>
          </cell>
          <cell r="E4975">
            <v>46250</v>
          </cell>
          <cell r="F4975" t="str">
            <v>64145</v>
          </cell>
          <cell r="G4975" t="str">
            <v>樺漢五</v>
          </cell>
          <cell r="H4975">
            <v>200000</v>
          </cell>
          <cell r="I4975">
            <v>3</v>
          </cell>
          <cell r="J4975">
            <v>46250</v>
          </cell>
          <cell r="K4975">
            <v>100</v>
          </cell>
          <cell r="L4975">
            <v>46231</v>
          </cell>
          <cell r="M4975">
            <v>-1627</v>
          </cell>
          <cell r="N4975">
            <v>198373</v>
          </cell>
        </row>
        <row r="4976">
          <cell r="A4976">
            <v>37023</v>
          </cell>
          <cell r="B4976">
            <v>4970</v>
          </cell>
          <cell r="C4976" t="str">
            <v>IASWD2502000046</v>
          </cell>
          <cell r="D4976">
            <v>45693</v>
          </cell>
          <cell r="E4976">
            <v>46712</v>
          </cell>
          <cell r="F4976" t="str">
            <v>37023</v>
          </cell>
          <cell r="G4976" t="str">
            <v>大聯大三</v>
          </cell>
          <cell r="H4976">
            <v>200000</v>
          </cell>
          <cell r="I4976">
            <v>2.7</v>
          </cell>
          <cell r="J4976">
            <v>46712</v>
          </cell>
          <cell r="K4976">
            <v>100</v>
          </cell>
          <cell r="L4976">
            <v>46693</v>
          </cell>
          <cell r="M4976">
            <v>-1465</v>
          </cell>
          <cell r="N4976">
            <v>198535</v>
          </cell>
        </row>
        <row r="4977">
          <cell r="A4977">
            <v>31413</v>
          </cell>
          <cell r="B4977">
            <v>4971</v>
          </cell>
          <cell r="C4977" t="str">
            <v>IASWD2502000047</v>
          </cell>
          <cell r="D4977">
            <v>45693</v>
          </cell>
          <cell r="E4977">
            <v>46162</v>
          </cell>
          <cell r="F4977" t="str">
            <v>31413</v>
          </cell>
          <cell r="G4977" t="str">
            <v>晶宏三</v>
          </cell>
          <cell r="H4977">
            <v>100000</v>
          </cell>
          <cell r="I4977">
            <v>4</v>
          </cell>
          <cell r="J4977">
            <v>46162</v>
          </cell>
          <cell r="K4977">
            <v>100</v>
          </cell>
          <cell r="L4977">
            <v>46142</v>
          </cell>
          <cell r="M4977">
            <v>-1085</v>
          </cell>
          <cell r="N4977">
            <v>98915</v>
          </cell>
        </row>
        <row r="4978">
          <cell r="A4978">
            <v>30882</v>
          </cell>
          <cell r="B4978">
            <v>4972</v>
          </cell>
          <cell r="C4978" t="str">
            <v>IASWD2502000048</v>
          </cell>
          <cell r="D4978">
            <v>45693</v>
          </cell>
          <cell r="E4978">
            <v>46262</v>
          </cell>
          <cell r="F4978" t="str">
            <v>30882</v>
          </cell>
          <cell r="G4978" t="str">
            <v>艾訊二</v>
          </cell>
          <cell r="H4978">
            <v>100000</v>
          </cell>
          <cell r="I4978">
            <v>3.25</v>
          </cell>
          <cell r="J4978">
            <v>46262</v>
          </cell>
          <cell r="K4978">
            <v>100</v>
          </cell>
          <cell r="L4978">
            <v>46244</v>
          </cell>
          <cell r="M4978">
            <v>-882</v>
          </cell>
          <cell r="N4978">
            <v>99118</v>
          </cell>
        </row>
        <row r="4979">
          <cell r="A4979">
            <v>64145</v>
          </cell>
          <cell r="B4979">
            <v>4973</v>
          </cell>
          <cell r="C4979" t="str">
            <v>IASWD2502000049</v>
          </cell>
          <cell r="D4979">
            <v>45693</v>
          </cell>
          <cell r="E4979">
            <v>46250</v>
          </cell>
          <cell r="F4979" t="str">
            <v>64145</v>
          </cell>
          <cell r="G4979" t="str">
            <v>樺漢五</v>
          </cell>
          <cell r="H4979">
            <v>100000</v>
          </cell>
          <cell r="I4979">
            <v>3</v>
          </cell>
          <cell r="J4979">
            <v>46250</v>
          </cell>
          <cell r="K4979">
            <v>100</v>
          </cell>
          <cell r="L4979">
            <v>46231</v>
          </cell>
          <cell r="M4979">
            <v>-814</v>
          </cell>
          <cell r="N4979">
            <v>99186</v>
          </cell>
        </row>
        <row r="4980">
          <cell r="A4980">
            <v>64145</v>
          </cell>
          <cell r="B4980">
            <v>4974</v>
          </cell>
          <cell r="C4980" t="str">
            <v>IASWD2502000050</v>
          </cell>
          <cell r="D4980">
            <v>45693</v>
          </cell>
          <cell r="E4980">
            <v>46250</v>
          </cell>
          <cell r="F4980" t="str">
            <v>64145</v>
          </cell>
          <cell r="G4980" t="str">
            <v>樺漢五</v>
          </cell>
          <cell r="H4980">
            <v>200000</v>
          </cell>
          <cell r="I4980">
            <v>3</v>
          </cell>
          <cell r="J4980">
            <v>46250</v>
          </cell>
          <cell r="K4980">
            <v>100</v>
          </cell>
          <cell r="L4980">
            <v>46231</v>
          </cell>
          <cell r="M4980">
            <v>-1627</v>
          </cell>
          <cell r="N4980">
            <v>198373</v>
          </cell>
        </row>
        <row r="4981">
          <cell r="A4981">
            <v>36894</v>
          </cell>
          <cell r="B4981">
            <v>4975</v>
          </cell>
          <cell r="C4981" t="str">
            <v>IASWD2502000051</v>
          </cell>
          <cell r="D4981">
            <v>45693</v>
          </cell>
          <cell r="E4981">
            <v>46086</v>
          </cell>
          <cell r="F4981" t="str">
            <v>36894</v>
          </cell>
          <cell r="G4981" t="str">
            <v>湧德四</v>
          </cell>
          <cell r="H4981">
            <v>200000</v>
          </cell>
          <cell r="I4981">
            <v>3.25</v>
          </cell>
          <cell r="J4981">
            <v>46086</v>
          </cell>
          <cell r="K4981">
            <v>100</v>
          </cell>
          <cell r="L4981">
            <v>46066</v>
          </cell>
          <cell r="M4981">
            <v>-1763</v>
          </cell>
          <cell r="N4981">
            <v>198237</v>
          </cell>
        </row>
        <row r="4982">
          <cell r="A4982">
            <v>64145</v>
          </cell>
          <cell r="B4982">
            <v>4976</v>
          </cell>
          <cell r="C4982" t="str">
            <v>IASWD2502000052</v>
          </cell>
          <cell r="D4982">
            <v>45693</v>
          </cell>
          <cell r="E4982">
            <v>46250</v>
          </cell>
          <cell r="F4982" t="str">
            <v>64145</v>
          </cell>
          <cell r="G4982" t="str">
            <v>樺漢五</v>
          </cell>
          <cell r="H4982">
            <v>500000</v>
          </cell>
          <cell r="I4982">
            <v>3</v>
          </cell>
          <cell r="J4982">
            <v>46250</v>
          </cell>
          <cell r="K4982">
            <v>100</v>
          </cell>
          <cell r="L4982">
            <v>46231</v>
          </cell>
          <cell r="M4982">
            <v>-4068</v>
          </cell>
          <cell r="N4982">
            <v>495932</v>
          </cell>
        </row>
        <row r="4983">
          <cell r="A4983">
            <v>68631</v>
          </cell>
          <cell r="B4983">
            <v>4977</v>
          </cell>
          <cell r="C4983" t="str">
            <v>IASWD2502000053</v>
          </cell>
          <cell r="D4983">
            <v>45693</v>
          </cell>
          <cell r="E4983">
            <v>46675</v>
          </cell>
          <cell r="F4983" t="str">
            <v>68631</v>
          </cell>
          <cell r="G4983" t="str">
            <v>永道一KY</v>
          </cell>
          <cell r="H4983">
            <v>100000</v>
          </cell>
          <cell r="I4983">
            <v>4</v>
          </cell>
          <cell r="J4983">
            <v>46675</v>
          </cell>
          <cell r="K4983">
            <v>100</v>
          </cell>
          <cell r="L4983">
            <v>46657</v>
          </cell>
          <cell r="M4983">
            <v>-1085</v>
          </cell>
          <cell r="N4983">
            <v>98915</v>
          </cell>
        </row>
        <row r="4984">
          <cell r="A4984">
            <v>37023</v>
          </cell>
          <cell r="B4984">
            <v>4978</v>
          </cell>
          <cell r="C4984" t="str">
            <v>IASWD2502000054</v>
          </cell>
          <cell r="D4984">
            <v>45693</v>
          </cell>
          <cell r="E4984">
            <v>46712</v>
          </cell>
          <cell r="F4984" t="str">
            <v>37023</v>
          </cell>
          <cell r="G4984" t="str">
            <v>大聯大三</v>
          </cell>
          <cell r="H4984">
            <v>500000</v>
          </cell>
          <cell r="I4984">
            <v>2.7</v>
          </cell>
          <cell r="J4984">
            <v>46712</v>
          </cell>
          <cell r="K4984">
            <v>100</v>
          </cell>
          <cell r="L4984">
            <v>46693</v>
          </cell>
          <cell r="M4984">
            <v>-3662</v>
          </cell>
          <cell r="N4984">
            <v>496338</v>
          </cell>
        </row>
        <row r="4985">
          <cell r="A4985">
            <v>64145</v>
          </cell>
          <cell r="B4985">
            <v>4979</v>
          </cell>
          <cell r="C4985" t="str">
            <v>IASWD2502000055</v>
          </cell>
          <cell r="D4985">
            <v>45693</v>
          </cell>
          <cell r="E4985">
            <v>46250</v>
          </cell>
          <cell r="F4985" t="str">
            <v>64145</v>
          </cell>
          <cell r="G4985" t="str">
            <v>樺漢五</v>
          </cell>
          <cell r="H4985">
            <v>200000</v>
          </cell>
          <cell r="I4985">
            <v>3</v>
          </cell>
          <cell r="J4985">
            <v>46250</v>
          </cell>
          <cell r="K4985">
            <v>100</v>
          </cell>
          <cell r="L4985">
            <v>46231</v>
          </cell>
          <cell r="M4985">
            <v>-1627</v>
          </cell>
          <cell r="N4985">
            <v>198373</v>
          </cell>
        </row>
        <row r="4986">
          <cell r="A4986">
            <v>64145</v>
          </cell>
          <cell r="B4986">
            <v>4980</v>
          </cell>
          <cell r="C4986" t="str">
            <v>IASWD2502000057</v>
          </cell>
          <cell r="D4986">
            <v>45694</v>
          </cell>
          <cell r="E4986">
            <v>46250</v>
          </cell>
          <cell r="F4986" t="str">
            <v>64145</v>
          </cell>
          <cell r="G4986" t="str">
            <v>樺漢五</v>
          </cell>
          <cell r="H4986">
            <v>200000</v>
          </cell>
          <cell r="I4986">
            <v>3</v>
          </cell>
          <cell r="J4986">
            <v>46250</v>
          </cell>
          <cell r="K4986">
            <v>100</v>
          </cell>
          <cell r="L4986">
            <v>46231</v>
          </cell>
          <cell r="M4986">
            <v>-1611</v>
          </cell>
          <cell r="N4986">
            <v>198389</v>
          </cell>
        </row>
        <row r="4987">
          <cell r="A4987">
            <v>64145</v>
          </cell>
          <cell r="B4987">
            <v>4981</v>
          </cell>
          <cell r="C4987" t="str">
            <v>IASWD2502000058</v>
          </cell>
          <cell r="D4987">
            <v>45694</v>
          </cell>
          <cell r="E4987">
            <v>46250</v>
          </cell>
          <cell r="F4987" t="str">
            <v>64145</v>
          </cell>
          <cell r="G4987" t="str">
            <v>樺漢五</v>
          </cell>
          <cell r="H4987">
            <v>500000</v>
          </cell>
          <cell r="I4987">
            <v>3</v>
          </cell>
          <cell r="J4987">
            <v>46250</v>
          </cell>
          <cell r="K4987">
            <v>100</v>
          </cell>
          <cell r="L4987">
            <v>46231</v>
          </cell>
          <cell r="M4987">
            <v>-4027</v>
          </cell>
          <cell r="N4987">
            <v>495973</v>
          </cell>
        </row>
        <row r="4988">
          <cell r="A4988">
            <v>64145</v>
          </cell>
          <cell r="B4988">
            <v>4982</v>
          </cell>
          <cell r="C4988" t="str">
            <v>IASWD2502000059</v>
          </cell>
          <cell r="D4988">
            <v>45694</v>
          </cell>
          <cell r="E4988">
            <v>46250</v>
          </cell>
          <cell r="F4988" t="str">
            <v>64145</v>
          </cell>
          <cell r="G4988" t="str">
            <v>樺漢五</v>
          </cell>
          <cell r="H4988">
            <v>100000</v>
          </cell>
          <cell r="I4988">
            <v>3</v>
          </cell>
          <cell r="J4988">
            <v>46250</v>
          </cell>
          <cell r="K4988">
            <v>100</v>
          </cell>
          <cell r="L4988">
            <v>46231</v>
          </cell>
          <cell r="M4988">
            <v>-805</v>
          </cell>
          <cell r="N4988">
            <v>99195</v>
          </cell>
        </row>
        <row r="4989">
          <cell r="A4989">
            <v>64145</v>
          </cell>
          <cell r="B4989">
            <v>4983</v>
          </cell>
          <cell r="C4989" t="str">
            <v>IASWD2502000060</v>
          </cell>
          <cell r="D4989">
            <v>45694</v>
          </cell>
          <cell r="E4989">
            <v>46250</v>
          </cell>
          <cell r="F4989" t="str">
            <v>64145</v>
          </cell>
          <cell r="G4989" t="str">
            <v>樺漢五</v>
          </cell>
          <cell r="H4989">
            <v>100000</v>
          </cell>
          <cell r="I4989">
            <v>3</v>
          </cell>
          <cell r="J4989">
            <v>46250</v>
          </cell>
          <cell r="K4989">
            <v>100</v>
          </cell>
          <cell r="L4989">
            <v>46231</v>
          </cell>
          <cell r="M4989">
            <v>-805</v>
          </cell>
          <cell r="N4989">
            <v>99195</v>
          </cell>
        </row>
        <row r="4990">
          <cell r="A4990">
            <v>64145</v>
          </cell>
          <cell r="B4990">
            <v>4984</v>
          </cell>
          <cell r="C4990" t="str">
            <v>IASWD2502000061</v>
          </cell>
          <cell r="D4990">
            <v>45694</v>
          </cell>
          <cell r="E4990">
            <v>46250</v>
          </cell>
          <cell r="F4990" t="str">
            <v>64145</v>
          </cell>
          <cell r="G4990" t="str">
            <v>樺漢五</v>
          </cell>
          <cell r="H4990">
            <v>200000</v>
          </cell>
          <cell r="I4990">
            <v>3</v>
          </cell>
          <cell r="J4990">
            <v>46250</v>
          </cell>
          <cell r="K4990">
            <v>100</v>
          </cell>
          <cell r="L4990">
            <v>46231</v>
          </cell>
          <cell r="M4990">
            <v>-1611</v>
          </cell>
          <cell r="N4990">
            <v>198389</v>
          </cell>
        </row>
        <row r="4991">
          <cell r="A4991">
            <v>61973</v>
          </cell>
          <cell r="B4991">
            <v>4985</v>
          </cell>
          <cell r="C4991" t="str">
            <v>IASWD2502000062</v>
          </cell>
          <cell r="D4991">
            <v>45694</v>
          </cell>
          <cell r="E4991">
            <v>46675</v>
          </cell>
          <cell r="F4991" t="str">
            <v>61973</v>
          </cell>
          <cell r="G4991" t="str">
            <v>佳必琪三</v>
          </cell>
          <cell r="H4991">
            <v>100000</v>
          </cell>
          <cell r="I4991">
            <v>3</v>
          </cell>
          <cell r="J4991">
            <v>46675</v>
          </cell>
          <cell r="K4991">
            <v>100</v>
          </cell>
          <cell r="L4991">
            <v>46657</v>
          </cell>
          <cell r="M4991">
            <v>-805</v>
          </cell>
          <cell r="N4991">
            <v>99195</v>
          </cell>
        </row>
        <row r="4992">
          <cell r="A4992">
            <v>64145</v>
          </cell>
          <cell r="B4992">
            <v>4986</v>
          </cell>
          <cell r="C4992" t="str">
            <v>IASWD2502000063</v>
          </cell>
          <cell r="D4992">
            <v>45694</v>
          </cell>
          <cell r="E4992">
            <v>46250</v>
          </cell>
          <cell r="F4992" t="str">
            <v>64145</v>
          </cell>
          <cell r="G4992" t="str">
            <v>樺漢五</v>
          </cell>
          <cell r="H4992">
            <v>100000</v>
          </cell>
          <cell r="I4992">
            <v>3</v>
          </cell>
          <cell r="J4992">
            <v>46250</v>
          </cell>
          <cell r="K4992">
            <v>100</v>
          </cell>
          <cell r="L4992">
            <v>46231</v>
          </cell>
          <cell r="M4992">
            <v>-805</v>
          </cell>
          <cell r="N4992">
            <v>99195</v>
          </cell>
        </row>
        <row r="4993">
          <cell r="A4993">
            <v>64145</v>
          </cell>
          <cell r="B4993">
            <v>4987</v>
          </cell>
          <cell r="C4993" t="str">
            <v>IASWD2502000064</v>
          </cell>
          <cell r="D4993">
            <v>45694</v>
          </cell>
          <cell r="E4993">
            <v>46250</v>
          </cell>
          <cell r="F4993" t="str">
            <v>64145</v>
          </cell>
          <cell r="G4993" t="str">
            <v>樺漢五</v>
          </cell>
          <cell r="H4993">
            <v>100000</v>
          </cell>
          <cell r="I4993">
            <v>3</v>
          </cell>
          <cell r="J4993">
            <v>46250</v>
          </cell>
          <cell r="K4993">
            <v>100</v>
          </cell>
          <cell r="L4993">
            <v>46231</v>
          </cell>
          <cell r="M4993">
            <v>-805</v>
          </cell>
          <cell r="N4993">
            <v>99195</v>
          </cell>
        </row>
        <row r="4994">
          <cell r="A4994">
            <v>35832</v>
          </cell>
          <cell r="B4994">
            <v>4988</v>
          </cell>
          <cell r="C4994" t="str">
            <v>IASWD2502000065</v>
          </cell>
          <cell r="D4994">
            <v>45694</v>
          </cell>
          <cell r="E4994">
            <v>46192</v>
          </cell>
          <cell r="F4994" t="str">
            <v>35832</v>
          </cell>
          <cell r="G4994" t="str">
            <v>辛耘二</v>
          </cell>
          <cell r="H4994">
            <v>100000</v>
          </cell>
          <cell r="I4994">
            <v>3</v>
          </cell>
          <cell r="J4994">
            <v>46192</v>
          </cell>
          <cell r="K4994">
            <v>100</v>
          </cell>
          <cell r="L4994">
            <v>46174</v>
          </cell>
          <cell r="M4994">
            <v>-805</v>
          </cell>
          <cell r="N4994">
            <v>99195</v>
          </cell>
        </row>
        <row r="4995">
          <cell r="A4995">
            <v>34912</v>
          </cell>
          <cell r="B4995">
            <v>4989</v>
          </cell>
          <cell r="C4995" t="str">
            <v>IASWD2502000066</v>
          </cell>
          <cell r="D4995">
            <v>45694</v>
          </cell>
          <cell r="E4995">
            <v>46627</v>
          </cell>
          <cell r="F4995" t="str">
            <v>34912</v>
          </cell>
          <cell r="G4995" t="str">
            <v>昇達科二</v>
          </cell>
          <cell r="H4995">
            <v>100000</v>
          </cell>
          <cell r="I4995">
            <v>3</v>
          </cell>
          <cell r="J4995">
            <v>46627</v>
          </cell>
          <cell r="K4995">
            <v>100</v>
          </cell>
          <cell r="L4995">
            <v>46609</v>
          </cell>
          <cell r="M4995">
            <v>-805</v>
          </cell>
          <cell r="N4995">
            <v>99195</v>
          </cell>
        </row>
        <row r="4996">
          <cell r="A4996">
            <v>64145</v>
          </cell>
          <cell r="B4996">
            <v>4990</v>
          </cell>
          <cell r="C4996" t="str">
            <v>IASWD2502000067</v>
          </cell>
          <cell r="D4996">
            <v>45694</v>
          </cell>
          <cell r="E4996">
            <v>46250</v>
          </cell>
          <cell r="F4996" t="str">
            <v>64145</v>
          </cell>
          <cell r="G4996" t="str">
            <v>樺漢五</v>
          </cell>
          <cell r="H4996">
            <v>200000</v>
          </cell>
          <cell r="I4996">
            <v>3</v>
          </cell>
          <cell r="J4996">
            <v>46250</v>
          </cell>
          <cell r="K4996">
            <v>100</v>
          </cell>
          <cell r="L4996">
            <v>46231</v>
          </cell>
          <cell r="M4996">
            <v>-1611</v>
          </cell>
          <cell r="N4996">
            <v>198389</v>
          </cell>
        </row>
        <row r="4997">
          <cell r="A4997">
            <v>64145</v>
          </cell>
          <cell r="B4997">
            <v>4991</v>
          </cell>
          <cell r="C4997" t="str">
            <v>IASWD2502000068</v>
          </cell>
          <cell r="D4997">
            <v>45694</v>
          </cell>
          <cell r="E4997">
            <v>46250</v>
          </cell>
          <cell r="F4997" t="str">
            <v>64145</v>
          </cell>
          <cell r="G4997" t="str">
            <v>樺漢五</v>
          </cell>
          <cell r="H4997">
            <v>100000</v>
          </cell>
          <cell r="I4997">
            <v>3</v>
          </cell>
          <cell r="J4997">
            <v>46250</v>
          </cell>
          <cell r="K4997">
            <v>100</v>
          </cell>
          <cell r="L4997">
            <v>46231</v>
          </cell>
          <cell r="M4997">
            <v>-805</v>
          </cell>
          <cell r="N4997">
            <v>99195</v>
          </cell>
        </row>
        <row r="4998">
          <cell r="A4998">
            <v>64145</v>
          </cell>
          <cell r="B4998">
            <v>4992</v>
          </cell>
          <cell r="C4998" t="str">
            <v>IASWD2502000069</v>
          </cell>
          <cell r="D4998">
            <v>45694</v>
          </cell>
          <cell r="E4998">
            <v>46250</v>
          </cell>
          <cell r="F4998" t="str">
            <v>64145</v>
          </cell>
          <cell r="G4998" t="str">
            <v>樺漢五</v>
          </cell>
          <cell r="H4998">
            <v>100000</v>
          </cell>
          <cell r="I4998">
            <v>3</v>
          </cell>
          <cell r="J4998">
            <v>46250</v>
          </cell>
          <cell r="K4998">
            <v>100</v>
          </cell>
          <cell r="L4998">
            <v>46231</v>
          </cell>
          <cell r="M4998">
            <v>-805</v>
          </cell>
          <cell r="N4998">
            <v>99195</v>
          </cell>
        </row>
        <row r="4999">
          <cell r="A4999">
            <v>24361</v>
          </cell>
          <cell r="B4999">
            <v>4993</v>
          </cell>
          <cell r="C4999" t="str">
            <v>IASWD2502000070</v>
          </cell>
          <cell r="D4999">
            <v>45694</v>
          </cell>
          <cell r="E4999">
            <v>45911</v>
          </cell>
          <cell r="F4999" t="str">
            <v>24361</v>
          </cell>
          <cell r="G4999" t="str">
            <v>偉詮電一</v>
          </cell>
          <cell r="H4999">
            <v>100000</v>
          </cell>
          <cell r="I4999">
            <v>3.75</v>
          </cell>
          <cell r="J4999">
            <v>45911</v>
          </cell>
          <cell r="K4999">
            <v>100.50060000000001</v>
          </cell>
          <cell r="L4999">
            <v>45891</v>
          </cell>
          <cell r="M4999">
            <v>-1007</v>
          </cell>
          <cell r="N4999">
            <v>98993</v>
          </cell>
        </row>
        <row r="5000">
          <cell r="A5000">
            <v>34912</v>
          </cell>
          <cell r="B5000">
            <v>4994</v>
          </cell>
          <cell r="C5000" t="str">
            <v>IASWD2502000071</v>
          </cell>
          <cell r="D5000">
            <v>45695</v>
          </cell>
          <cell r="E5000">
            <v>46627</v>
          </cell>
          <cell r="F5000" t="str">
            <v>34912</v>
          </cell>
          <cell r="G5000" t="str">
            <v>昇達科二</v>
          </cell>
          <cell r="H5000">
            <v>200000</v>
          </cell>
          <cell r="I5000">
            <v>3</v>
          </cell>
          <cell r="J5000">
            <v>46627</v>
          </cell>
          <cell r="K5000">
            <v>100</v>
          </cell>
          <cell r="L5000">
            <v>46609</v>
          </cell>
          <cell r="M5000">
            <v>-1595</v>
          </cell>
          <cell r="N5000">
            <v>198405</v>
          </cell>
        </row>
        <row r="5001">
          <cell r="A5001">
            <v>34912</v>
          </cell>
          <cell r="B5001">
            <v>4995</v>
          </cell>
          <cell r="C5001" t="str">
            <v>IASWD2502000072</v>
          </cell>
          <cell r="D5001">
            <v>45695</v>
          </cell>
          <cell r="E5001">
            <v>46627</v>
          </cell>
          <cell r="F5001" t="str">
            <v>34912</v>
          </cell>
          <cell r="G5001" t="str">
            <v>昇達科二</v>
          </cell>
          <cell r="H5001">
            <v>800000</v>
          </cell>
          <cell r="I5001">
            <v>3</v>
          </cell>
          <cell r="J5001">
            <v>46627</v>
          </cell>
          <cell r="K5001">
            <v>100</v>
          </cell>
          <cell r="L5001">
            <v>46609</v>
          </cell>
          <cell r="M5001">
            <v>-6378</v>
          </cell>
          <cell r="N5001">
            <v>793622</v>
          </cell>
        </row>
        <row r="5002">
          <cell r="A5002">
            <v>64145</v>
          </cell>
          <cell r="B5002">
            <v>4996</v>
          </cell>
          <cell r="C5002" t="str">
            <v>IASWD2502000073</v>
          </cell>
          <cell r="D5002">
            <v>45695</v>
          </cell>
          <cell r="E5002">
            <v>46250</v>
          </cell>
          <cell r="F5002" t="str">
            <v>64145</v>
          </cell>
          <cell r="G5002" t="str">
            <v>樺漢五</v>
          </cell>
          <cell r="H5002">
            <v>300000</v>
          </cell>
          <cell r="I5002">
            <v>3</v>
          </cell>
          <cell r="J5002">
            <v>46250</v>
          </cell>
          <cell r="K5002">
            <v>100</v>
          </cell>
          <cell r="L5002">
            <v>46231</v>
          </cell>
          <cell r="M5002">
            <v>-2392</v>
          </cell>
          <cell r="N5002">
            <v>297608</v>
          </cell>
        </row>
        <row r="5003">
          <cell r="A5003">
            <v>37022</v>
          </cell>
          <cell r="B5003">
            <v>4997</v>
          </cell>
          <cell r="C5003" t="str">
            <v>IASWD2502000074</v>
          </cell>
          <cell r="D5003">
            <v>45695</v>
          </cell>
          <cell r="E5003">
            <v>46702</v>
          </cell>
          <cell r="F5003" t="str">
            <v>37022</v>
          </cell>
          <cell r="G5003" t="str">
            <v>大聯大二</v>
          </cell>
          <cell r="H5003">
            <v>100000</v>
          </cell>
          <cell r="I5003">
            <v>2.7</v>
          </cell>
          <cell r="J5003">
            <v>46702</v>
          </cell>
          <cell r="K5003">
            <v>100</v>
          </cell>
          <cell r="L5003">
            <v>46682</v>
          </cell>
          <cell r="M5003">
            <v>-718</v>
          </cell>
          <cell r="N5003">
            <v>99282</v>
          </cell>
        </row>
        <row r="5004">
          <cell r="A5004">
            <v>64145</v>
          </cell>
          <cell r="B5004">
            <v>4998</v>
          </cell>
          <cell r="C5004" t="str">
            <v>IASWD2502000075</v>
          </cell>
          <cell r="D5004">
            <v>45695</v>
          </cell>
          <cell r="E5004">
            <v>46250</v>
          </cell>
          <cell r="F5004" t="str">
            <v>64145</v>
          </cell>
          <cell r="G5004" t="str">
            <v>樺漢五</v>
          </cell>
          <cell r="H5004">
            <v>100000</v>
          </cell>
          <cell r="I5004">
            <v>3</v>
          </cell>
          <cell r="J5004">
            <v>46250</v>
          </cell>
          <cell r="K5004">
            <v>100</v>
          </cell>
          <cell r="L5004">
            <v>46231</v>
          </cell>
          <cell r="M5004">
            <v>-797</v>
          </cell>
          <cell r="N5004">
            <v>99203</v>
          </cell>
        </row>
        <row r="5005">
          <cell r="A5005">
            <v>64145</v>
          </cell>
          <cell r="B5005">
            <v>4999</v>
          </cell>
          <cell r="C5005" t="str">
            <v>IASWD2502000076</v>
          </cell>
          <cell r="D5005">
            <v>45695</v>
          </cell>
          <cell r="E5005">
            <v>46250</v>
          </cell>
          <cell r="F5005" t="str">
            <v>64145</v>
          </cell>
          <cell r="G5005" t="str">
            <v>樺漢五</v>
          </cell>
          <cell r="H5005">
            <v>100000</v>
          </cell>
          <cell r="I5005">
            <v>3</v>
          </cell>
          <cell r="J5005">
            <v>46250</v>
          </cell>
          <cell r="K5005">
            <v>100</v>
          </cell>
          <cell r="L5005">
            <v>46231</v>
          </cell>
          <cell r="M5005">
            <v>-797</v>
          </cell>
          <cell r="N5005">
            <v>99203</v>
          </cell>
        </row>
        <row r="5006">
          <cell r="A5006">
            <v>34912</v>
          </cell>
          <cell r="B5006">
            <v>5000</v>
          </cell>
          <cell r="C5006" t="str">
            <v>IASWD2502000077</v>
          </cell>
          <cell r="D5006">
            <v>45695</v>
          </cell>
          <cell r="E5006">
            <v>46627</v>
          </cell>
          <cell r="F5006" t="str">
            <v>34912</v>
          </cell>
          <cell r="G5006" t="str">
            <v>昇達科二</v>
          </cell>
          <cell r="H5006">
            <v>100000</v>
          </cell>
          <cell r="I5006">
            <v>3</v>
          </cell>
          <cell r="J5006">
            <v>46627</v>
          </cell>
          <cell r="K5006">
            <v>100</v>
          </cell>
          <cell r="L5006">
            <v>46609</v>
          </cell>
          <cell r="M5006">
            <v>-797</v>
          </cell>
          <cell r="N5006">
            <v>99203</v>
          </cell>
        </row>
        <row r="5007">
          <cell r="A5007">
            <v>64145</v>
          </cell>
          <cell r="B5007">
            <v>5001</v>
          </cell>
          <cell r="C5007" t="str">
            <v>IASWD2502000078</v>
          </cell>
          <cell r="D5007">
            <v>45695</v>
          </cell>
          <cell r="E5007">
            <v>46250</v>
          </cell>
          <cell r="F5007" t="str">
            <v>64145</v>
          </cell>
          <cell r="G5007" t="str">
            <v>樺漢五</v>
          </cell>
          <cell r="H5007">
            <v>100000</v>
          </cell>
          <cell r="I5007">
            <v>3</v>
          </cell>
          <cell r="J5007">
            <v>46250</v>
          </cell>
          <cell r="K5007">
            <v>100</v>
          </cell>
          <cell r="L5007">
            <v>46231</v>
          </cell>
          <cell r="M5007">
            <v>-797</v>
          </cell>
          <cell r="N5007">
            <v>99203</v>
          </cell>
        </row>
        <row r="5008">
          <cell r="A5008">
            <v>61973</v>
          </cell>
          <cell r="B5008">
            <v>5002</v>
          </cell>
          <cell r="C5008" t="str">
            <v>IASWD2502000079</v>
          </cell>
          <cell r="D5008">
            <v>45695</v>
          </cell>
          <cell r="E5008">
            <v>46675</v>
          </cell>
          <cell r="F5008" t="str">
            <v>61973</v>
          </cell>
          <cell r="G5008" t="str">
            <v>佳必琪三</v>
          </cell>
          <cell r="H5008">
            <v>100000</v>
          </cell>
          <cell r="I5008">
            <v>3</v>
          </cell>
          <cell r="J5008">
            <v>46675</v>
          </cell>
          <cell r="K5008">
            <v>100</v>
          </cell>
          <cell r="L5008">
            <v>46657</v>
          </cell>
          <cell r="M5008">
            <v>-797</v>
          </cell>
          <cell r="N5008">
            <v>99203</v>
          </cell>
        </row>
        <row r="5009">
          <cell r="A5009">
            <v>24361</v>
          </cell>
          <cell r="B5009">
            <v>5003</v>
          </cell>
          <cell r="C5009" t="str">
            <v>IASWD2502000080</v>
          </cell>
          <cell r="D5009">
            <v>45695</v>
          </cell>
          <cell r="E5009">
            <v>45911</v>
          </cell>
          <cell r="F5009" t="str">
            <v>24361</v>
          </cell>
          <cell r="G5009" t="str">
            <v>偉詮電一</v>
          </cell>
          <cell r="H5009">
            <v>100000</v>
          </cell>
          <cell r="I5009">
            <v>3.75</v>
          </cell>
          <cell r="J5009">
            <v>45911</v>
          </cell>
          <cell r="K5009">
            <v>100.50060000000001</v>
          </cell>
          <cell r="L5009">
            <v>45891</v>
          </cell>
          <cell r="M5009">
            <v>-997</v>
          </cell>
          <cell r="N5009">
            <v>99003</v>
          </cell>
        </row>
        <row r="5010">
          <cell r="A5010">
            <v>68631</v>
          </cell>
          <cell r="B5010">
            <v>5004</v>
          </cell>
          <cell r="C5010" t="str">
            <v>IASWD2502000081</v>
          </cell>
          <cell r="D5010">
            <v>45695</v>
          </cell>
          <cell r="E5010">
            <v>46675</v>
          </cell>
          <cell r="F5010" t="str">
            <v>68631</v>
          </cell>
          <cell r="G5010" t="str">
            <v>永道一KY</v>
          </cell>
          <cell r="H5010">
            <v>200000</v>
          </cell>
          <cell r="I5010">
            <v>4</v>
          </cell>
          <cell r="J5010">
            <v>46675</v>
          </cell>
          <cell r="K5010">
            <v>100</v>
          </cell>
          <cell r="L5010">
            <v>46657</v>
          </cell>
          <cell r="M5010">
            <v>-2126</v>
          </cell>
          <cell r="N5010">
            <v>197874</v>
          </cell>
        </row>
        <row r="5011">
          <cell r="A5011">
            <v>34912</v>
          </cell>
          <cell r="B5011">
            <v>5005</v>
          </cell>
          <cell r="C5011" t="str">
            <v>IASWD2502000082</v>
          </cell>
          <cell r="D5011">
            <v>45695</v>
          </cell>
          <cell r="E5011">
            <v>46627</v>
          </cell>
          <cell r="F5011" t="str">
            <v>34912</v>
          </cell>
          <cell r="G5011" t="str">
            <v>昇達科二</v>
          </cell>
          <cell r="H5011">
            <v>100000</v>
          </cell>
          <cell r="I5011">
            <v>3</v>
          </cell>
          <cell r="J5011">
            <v>46627</v>
          </cell>
          <cell r="K5011">
            <v>100</v>
          </cell>
          <cell r="L5011">
            <v>46609</v>
          </cell>
          <cell r="M5011">
            <v>-797</v>
          </cell>
          <cell r="N5011">
            <v>99203</v>
          </cell>
        </row>
        <row r="5012">
          <cell r="A5012">
            <v>64145</v>
          </cell>
          <cell r="B5012">
            <v>5006</v>
          </cell>
          <cell r="C5012" t="str">
            <v>IASWD2502000083</v>
          </cell>
          <cell r="D5012">
            <v>45695</v>
          </cell>
          <cell r="E5012">
            <v>46250</v>
          </cell>
          <cell r="F5012" t="str">
            <v>64145</v>
          </cell>
          <cell r="G5012" t="str">
            <v>樺漢五</v>
          </cell>
          <cell r="H5012">
            <v>100000</v>
          </cell>
          <cell r="I5012">
            <v>3</v>
          </cell>
          <cell r="J5012">
            <v>46250</v>
          </cell>
          <cell r="K5012">
            <v>100</v>
          </cell>
          <cell r="L5012">
            <v>46231</v>
          </cell>
          <cell r="M5012">
            <v>-797</v>
          </cell>
          <cell r="N5012">
            <v>99203</v>
          </cell>
        </row>
        <row r="5013">
          <cell r="A5013">
            <v>64145</v>
          </cell>
          <cell r="B5013">
            <v>5007</v>
          </cell>
          <cell r="C5013" t="str">
            <v>IASWD2502000084</v>
          </cell>
          <cell r="D5013">
            <v>45695</v>
          </cell>
          <cell r="E5013">
            <v>46250</v>
          </cell>
          <cell r="F5013" t="str">
            <v>64145</v>
          </cell>
          <cell r="G5013" t="str">
            <v>樺漢五</v>
          </cell>
          <cell r="H5013">
            <v>100000</v>
          </cell>
          <cell r="I5013">
            <v>3</v>
          </cell>
          <cell r="J5013">
            <v>46250</v>
          </cell>
          <cell r="K5013">
            <v>100</v>
          </cell>
          <cell r="L5013">
            <v>46231</v>
          </cell>
          <cell r="M5013">
            <v>-797</v>
          </cell>
          <cell r="N5013">
            <v>99203</v>
          </cell>
        </row>
        <row r="5014">
          <cell r="A5014">
            <v>80506</v>
          </cell>
          <cell r="B5014">
            <v>5008</v>
          </cell>
          <cell r="C5014" t="str">
            <v>IASWD2502000085</v>
          </cell>
          <cell r="D5014">
            <v>45695</v>
          </cell>
          <cell r="E5014">
            <v>45983</v>
          </cell>
          <cell r="F5014" t="str">
            <v>80506</v>
          </cell>
          <cell r="G5014" t="str">
            <v>廣積六</v>
          </cell>
          <cell r="H5014">
            <v>100000</v>
          </cell>
          <cell r="I5014">
            <v>3.25</v>
          </cell>
          <cell r="J5014">
            <v>45983</v>
          </cell>
          <cell r="K5014">
            <v>100.75</v>
          </cell>
          <cell r="L5014">
            <v>45965</v>
          </cell>
          <cell r="M5014">
            <v>-864</v>
          </cell>
          <cell r="N5014">
            <v>99136</v>
          </cell>
        </row>
        <row r="5015">
          <cell r="A5015">
            <v>64145</v>
          </cell>
          <cell r="B5015">
            <v>5009</v>
          </cell>
          <cell r="C5015" t="str">
            <v>IASWD2502000086</v>
          </cell>
          <cell r="D5015">
            <v>45695</v>
          </cell>
          <cell r="E5015">
            <v>46250</v>
          </cell>
          <cell r="F5015" t="str">
            <v>64145</v>
          </cell>
          <cell r="G5015" t="str">
            <v>樺漢五</v>
          </cell>
          <cell r="H5015">
            <v>200000</v>
          </cell>
          <cell r="I5015">
            <v>3</v>
          </cell>
          <cell r="J5015">
            <v>46250</v>
          </cell>
          <cell r="K5015">
            <v>100</v>
          </cell>
          <cell r="L5015">
            <v>46231</v>
          </cell>
          <cell r="M5015">
            <v>-1595</v>
          </cell>
          <cell r="N5015">
            <v>198405</v>
          </cell>
        </row>
        <row r="5016">
          <cell r="A5016">
            <v>80506</v>
          </cell>
          <cell r="B5016">
            <v>5010</v>
          </cell>
          <cell r="C5016" t="str">
            <v>IASWD2502000087</v>
          </cell>
          <cell r="D5016">
            <v>45698</v>
          </cell>
          <cell r="E5016">
            <v>45983</v>
          </cell>
          <cell r="F5016" t="str">
            <v>80506</v>
          </cell>
          <cell r="G5016" t="str">
            <v>廣積六</v>
          </cell>
          <cell r="H5016">
            <v>100000</v>
          </cell>
          <cell r="I5016">
            <v>3.25</v>
          </cell>
          <cell r="J5016">
            <v>45983</v>
          </cell>
          <cell r="K5016">
            <v>100.75</v>
          </cell>
          <cell r="L5016">
            <v>45965</v>
          </cell>
          <cell r="M5016">
            <v>-837</v>
          </cell>
          <cell r="N5016">
            <v>99163</v>
          </cell>
        </row>
        <row r="5017">
          <cell r="A5017">
            <v>24361</v>
          </cell>
          <cell r="B5017">
            <v>5011</v>
          </cell>
          <cell r="C5017" t="str">
            <v>IASWD2502000088</v>
          </cell>
          <cell r="D5017">
            <v>45698</v>
          </cell>
          <cell r="E5017">
            <v>45911</v>
          </cell>
          <cell r="F5017" t="str">
            <v>24361</v>
          </cell>
          <cell r="G5017" t="str">
            <v>偉詮電一</v>
          </cell>
          <cell r="H5017">
            <v>700000</v>
          </cell>
          <cell r="I5017">
            <v>3.75</v>
          </cell>
          <cell r="J5017">
            <v>45911</v>
          </cell>
          <cell r="K5017">
            <v>100.50060000000001</v>
          </cell>
          <cell r="L5017">
            <v>45891</v>
          </cell>
          <cell r="M5017">
            <v>-6760</v>
          </cell>
          <cell r="N5017">
            <v>693240</v>
          </cell>
        </row>
        <row r="5018">
          <cell r="A5018">
            <v>68631</v>
          </cell>
          <cell r="B5018">
            <v>5012</v>
          </cell>
          <cell r="C5018" t="str">
            <v>IASWD2502000089</v>
          </cell>
          <cell r="D5018">
            <v>45698</v>
          </cell>
          <cell r="E5018">
            <v>46675</v>
          </cell>
          <cell r="F5018" t="str">
            <v>68631</v>
          </cell>
          <cell r="G5018" t="str">
            <v>永道一KY</v>
          </cell>
          <cell r="H5018">
            <v>400000</v>
          </cell>
          <cell r="I5018">
            <v>4</v>
          </cell>
          <cell r="J5018">
            <v>46675</v>
          </cell>
          <cell r="K5018">
            <v>100</v>
          </cell>
          <cell r="L5018">
            <v>46657</v>
          </cell>
          <cell r="M5018">
            <v>-4121</v>
          </cell>
          <cell r="N5018">
            <v>395879</v>
          </cell>
        </row>
        <row r="5019">
          <cell r="A5019">
            <v>64145</v>
          </cell>
          <cell r="B5019">
            <v>5013</v>
          </cell>
          <cell r="C5019" t="str">
            <v>IASWD2502000090</v>
          </cell>
          <cell r="D5019">
            <v>45698</v>
          </cell>
          <cell r="E5019">
            <v>46250</v>
          </cell>
          <cell r="F5019" t="str">
            <v>64145</v>
          </cell>
          <cell r="G5019" t="str">
            <v>樺漢五</v>
          </cell>
          <cell r="H5019">
            <v>200000</v>
          </cell>
          <cell r="I5019">
            <v>3</v>
          </cell>
          <cell r="J5019">
            <v>46250</v>
          </cell>
          <cell r="K5019">
            <v>100</v>
          </cell>
          <cell r="L5019">
            <v>46231</v>
          </cell>
          <cell r="M5019">
            <v>-1545</v>
          </cell>
          <cell r="N5019">
            <v>198455</v>
          </cell>
        </row>
        <row r="5020">
          <cell r="A5020">
            <v>64145</v>
          </cell>
          <cell r="B5020">
            <v>5014</v>
          </cell>
          <cell r="C5020" t="str">
            <v>IASWD2502000091</v>
          </cell>
          <cell r="D5020">
            <v>45698</v>
          </cell>
          <cell r="E5020">
            <v>46250</v>
          </cell>
          <cell r="F5020" t="str">
            <v>64145</v>
          </cell>
          <cell r="G5020" t="str">
            <v>樺漢五</v>
          </cell>
          <cell r="H5020">
            <v>200000</v>
          </cell>
          <cell r="I5020">
            <v>3</v>
          </cell>
          <cell r="J5020">
            <v>46250</v>
          </cell>
          <cell r="K5020">
            <v>100</v>
          </cell>
          <cell r="L5020">
            <v>46231</v>
          </cell>
          <cell r="M5020">
            <v>-1545</v>
          </cell>
          <cell r="N5020">
            <v>198455</v>
          </cell>
        </row>
        <row r="5021">
          <cell r="A5021">
            <v>37022</v>
          </cell>
          <cell r="B5021">
            <v>5015</v>
          </cell>
          <cell r="C5021" t="str">
            <v>IASWD2502000092</v>
          </cell>
          <cell r="D5021">
            <v>45698</v>
          </cell>
          <cell r="E5021">
            <v>46702</v>
          </cell>
          <cell r="F5021" t="str">
            <v>37022</v>
          </cell>
          <cell r="G5021" t="str">
            <v>大聯大二</v>
          </cell>
          <cell r="H5021">
            <v>200000</v>
          </cell>
          <cell r="I5021">
            <v>2.7</v>
          </cell>
          <cell r="J5021">
            <v>46702</v>
          </cell>
          <cell r="K5021">
            <v>100</v>
          </cell>
          <cell r="L5021">
            <v>46682</v>
          </cell>
          <cell r="M5021">
            <v>-1391</v>
          </cell>
          <cell r="N5021">
            <v>198609</v>
          </cell>
        </row>
        <row r="5022">
          <cell r="A5022">
            <v>80506</v>
          </cell>
          <cell r="B5022">
            <v>5016</v>
          </cell>
          <cell r="C5022" t="str">
            <v>IASWD2502000093</v>
          </cell>
          <cell r="D5022">
            <v>45698</v>
          </cell>
          <cell r="E5022">
            <v>45983</v>
          </cell>
          <cell r="F5022" t="str">
            <v>80506</v>
          </cell>
          <cell r="G5022" t="str">
            <v>廣積六</v>
          </cell>
          <cell r="H5022">
            <v>100000</v>
          </cell>
          <cell r="I5022">
            <v>3.25</v>
          </cell>
          <cell r="J5022">
            <v>45983</v>
          </cell>
          <cell r="K5022">
            <v>100.75</v>
          </cell>
          <cell r="L5022">
            <v>45965</v>
          </cell>
          <cell r="M5022">
            <v>-837</v>
          </cell>
          <cell r="N5022">
            <v>99163</v>
          </cell>
        </row>
        <row r="5023">
          <cell r="A5023">
            <v>64145</v>
          </cell>
          <cell r="B5023">
            <v>5017</v>
          </cell>
          <cell r="C5023" t="str">
            <v>IASWD2502000094</v>
          </cell>
          <cell r="D5023">
            <v>45698</v>
          </cell>
          <cell r="E5023">
            <v>46250</v>
          </cell>
          <cell r="F5023" t="str">
            <v>64145</v>
          </cell>
          <cell r="G5023" t="str">
            <v>樺漢五</v>
          </cell>
          <cell r="H5023">
            <v>100000</v>
          </cell>
          <cell r="I5023">
            <v>3</v>
          </cell>
          <cell r="J5023">
            <v>46250</v>
          </cell>
          <cell r="K5023">
            <v>100</v>
          </cell>
          <cell r="L5023">
            <v>46231</v>
          </cell>
          <cell r="M5023">
            <v>-773</v>
          </cell>
          <cell r="N5023">
            <v>99227</v>
          </cell>
        </row>
        <row r="5024">
          <cell r="A5024">
            <v>64145</v>
          </cell>
          <cell r="B5024">
            <v>5018</v>
          </cell>
          <cell r="C5024" t="str">
            <v>IASWD2502000095</v>
          </cell>
          <cell r="D5024">
            <v>45698</v>
          </cell>
          <cell r="E5024">
            <v>46250</v>
          </cell>
          <cell r="F5024" t="str">
            <v>64145</v>
          </cell>
          <cell r="G5024" t="str">
            <v>樺漢五</v>
          </cell>
          <cell r="H5024">
            <v>100000</v>
          </cell>
          <cell r="I5024">
            <v>3</v>
          </cell>
          <cell r="J5024">
            <v>46250</v>
          </cell>
          <cell r="K5024">
            <v>100</v>
          </cell>
          <cell r="L5024">
            <v>46231</v>
          </cell>
          <cell r="M5024">
            <v>-773</v>
          </cell>
          <cell r="N5024">
            <v>99227</v>
          </cell>
        </row>
        <row r="5025">
          <cell r="A5025">
            <v>64145</v>
          </cell>
          <cell r="B5025">
            <v>5019</v>
          </cell>
          <cell r="C5025" t="str">
            <v>IASWD2502000096</v>
          </cell>
          <cell r="D5025">
            <v>45698</v>
          </cell>
          <cell r="E5025">
            <v>46250</v>
          </cell>
          <cell r="F5025" t="str">
            <v>64145</v>
          </cell>
          <cell r="G5025" t="str">
            <v>樺漢五</v>
          </cell>
          <cell r="H5025">
            <v>300000</v>
          </cell>
          <cell r="I5025">
            <v>3</v>
          </cell>
          <cell r="J5025">
            <v>46250</v>
          </cell>
          <cell r="K5025">
            <v>100</v>
          </cell>
          <cell r="L5025">
            <v>46231</v>
          </cell>
          <cell r="M5025">
            <v>-2318</v>
          </cell>
          <cell r="N5025">
            <v>297682</v>
          </cell>
        </row>
        <row r="5026">
          <cell r="A5026">
            <v>35832</v>
          </cell>
          <cell r="B5026">
            <v>5020</v>
          </cell>
          <cell r="C5026" t="str">
            <v>IASWD2502000097</v>
          </cell>
          <cell r="D5026">
            <v>45698</v>
          </cell>
          <cell r="E5026">
            <v>46192</v>
          </cell>
          <cell r="F5026" t="str">
            <v>35832</v>
          </cell>
          <cell r="G5026" t="str">
            <v>辛耘二</v>
          </cell>
          <cell r="H5026">
            <v>200000</v>
          </cell>
          <cell r="I5026">
            <v>3</v>
          </cell>
          <cell r="J5026">
            <v>46192</v>
          </cell>
          <cell r="K5026">
            <v>100</v>
          </cell>
          <cell r="L5026">
            <v>46174</v>
          </cell>
          <cell r="M5026">
            <v>-1545</v>
          </cell>
          <cell r="N5026">
            <v>198455</v>
          </cell>
        </row>
        <row r="5027">
          <cell r="A5027">
            <v>64145</v>
          </cell>
          <cell r="B5027">
            <v>5021</v>
          </cell>
          <cell r="C5027" t="str">
            <v>IASWD2502000098</v>
          </cell>
          <cell r="D5027">
            <v>45698</v>
          </cell>
          <cell r="E5027">
            <v>46250</v>
          </cell>
          <cell r="F5027" t="str">
            <v>64145</v>
          </cell>
          <cell r="G5027" t="str">
            <v>樺漢五</v>
          </cell>
          <cell r="H5027">
            <v>100000</v>
          </cell>
          <cell r="I5027">
            <v>3</v>
          </cell>
          <cell r="J5027">
            <v>46250</v>
          </cell>
          <cell r="K5027">
            <v>100</v>
          </cell>
          <cell r="L5027">
            <v>46231</v>
          </cell>
          <cell r="M5027">
            <v>-773</v>
          </cell>
          <cell r="N5027">
            <v>99227</v>
          </cell>
        </row>
        <row r="5028">
          <cell r="A5028">
            <v>64145</v>
          </cell>
          <cell r="B5028">
            <v>5022</v>
          </cell>
          <cell r="C5028" t="str">
            <v>IASWD2502000099</v>
          </cell>
          <cell r="D5028">
            <v>45698</v>
          </cell>
          <cell r="E5028">
            <v>46250</v>
          </cell>
          <cell r="F5028" t="str">
            <v>64145</v>
          </cell>
          <cell r="G5028" t="str">
            <v>樺漢五</v>
          </cell>
          <cell r="H5028">
            <v>100000</v>
          </cell>
          <cell r="I5028">
            <v>3</v>
          </cell>
          <cell r="J5028">
            <v>46250</v>
          </cell>
          <cell r="K5028">
            <v>100</v>
          </cell>
          <cell r="L5028">
            <v>46231</v>
          </cell>
          <cell r="M5028">
            <v>-773</v>
          </cell>
          <cell r="N5028">
            <v>99227</v>
          </cell>
        </row>
        <row r="5029">
          <cell r="A5029">
            <v>34793</v>
          </cell>
          <cell r="B5029">
            <v>5023</v>
          </cell>
          <cell r="C5029" t="str">
            <v>IASWD2502000100</v>
          </cell>
          <cell r="D5029">
            <v>45698</v>
          </cell>
          <cell r="E5029">
            <v>46409</v>
          </cell>
          <cell r="F5029" t="str">
            <v>34793</v>
          </cell>
          <cell r="G5029" t="str">
            <v>安勤三</v>
          </cell>
          <cell r="H5029">
            <v>100000</v>
          </cell>
          <cell r="I5029">
            <v>3</v>
          </cell>
          <cell r="J5029">
            <v>46409</v>
          </cell>
          <cell r="K5029">
            <v>100</v>
          </cell>
          <cell r="L5029">
            <v>46391</v>
          </cell>
          <cell r="M5029">
            <v>-773</v>
          </cell>
          <cell r="N5029">
            <v>99227</v>
          </cell>
        </row>
        <row r="5030">
          <cell r="A5030">
            <v>34912</v>
          </cell>
          <cell r="B5030">
            <v>5024</v>
          </cell>
          <cell r="C5030" t="str">
            <v>IASWD2502000101</v>
          </cell>
          <cell r="D5030">
            <v>45698</v>
          </cell>
          <cell r="E5030">
            <v>46627</v>
          </cell>
          <cell r="F5030" t="str">
            <v>34912</v>
          </cell>
          <cell r="G5030" t="str">
            <v>昇達科二</v>
          </cell>
          <cell r="H5030">
            <v>200000</v>
          </cell>
          <cell r="I5030">
            <v>3</v>
          </cell>
          <cell r="J5030">
            <v>46627</v>
          </cell>
          <cell r="K5030">
            <v>100</v>
          </cell>
          <cell r="L5030">
            <v>46609</v>
          </cell>
          <cell r="M5030">
            <v>-1545</v>
          </cell>
          <cell r="N5030">
            <v>198455</v>
          </cell>
        </row>
        <row r="5031">
          <cell r="A5031">
            <v>64145</v>
          </cell>
          <cell r="B5031">
            <v>5025</v>
          </cell>
          <cell r="C5031" t="str">
            <v>IASWD2502000102</v>
          </cell>
          <cell r="D5031">
            <v>45698</v>
          </cell>
          <cell r="E5031">
            <v>46250</v>
          </cell>
          <cell r="F5031" t="str">
            <v>64145</v>
          </cell>
          <cell r="G5031" t="str">
            <v>樺漢五</v>
          </cell>
          <cell r="H5031">
            <v>100000</v>
          </cell>
          <cell r="I5031">
            <v>3</v>
          </cell>
          <cell r="J5031">
            <v>46250</v>
          </cell>
          <cell r="K5031">
            <v>100</v>
          </cell>
          <cell r="L5031">
            <v>46231</v>
          </cell>
          <cell r="M5031">
            <v>-773</v>
          </cell>
          <cell r="N5031">
            <v>99227</v>
          </cell>
        </row>
        <row r="5032">
          <cell r="A5032">
            <v>84673</v>
          </cell>
          <cell r="B5032">
            <v>5026</v>
          </cell>
          <cell r="C5032" t="str">
            <v>IASWD2502000103</v>
          </cell>
          <cell r="D5032">
            <v>45698</v>
          </cell>
          <cell r="E5032">
            <v>46538</v>
          </cell>
          <cell r="F5032" t="str">
            <v>84673</v>
          </cell>
          <cell r="G5032" t="str">
            <v>波力三KY</v>
          </cell>
          <cell r="H5032">
            <v>300000</v>
          </cell>
          <cell r="I5032">
            <v>4.2</v>
          </cell>
          <cell r="J5032">
            <v>46538</v>
          </cell>
          <cell r="K5032">
            <v>100</v>
          </cell>
          <cell r="L5032">
            <v>46518</v>
          </cell>
          <cell r="M5032">
            <v>-3245</v>
          </cell>
          <cell r="N5032">
            <v>296755</v>
          </cell>
        </row>
        <row r="5033">
          <cell r="A5033">
            <v>64145</v>
          </cell>
          <cell r="B5033">
            <v>5027</v>
          </cell>
          <cell r="C5033" t="str">
            <v>IASWD2502000104</v>
          </cell>
          <cell r="D5033">
            <v>45698</v>
          </cell>
          <cell r="E5033">
            <v>46250</v>
          </cell>
          <cell r="F5033" t="str">
            <v>64145</v>
          </cell>
          <cell r="G5033" t="str">
            <v>樺漢五</v>
          </cell>
          <cell r="H5033">
            <v>300000</v>
          </cell>
          <cell r="I5033">
            <v>3</v>
          </cell>
          <cell r="J5033">
            <v>46250</v>
          </cell>
          <cell r="K5033">
            <v>100</v>
          </cell>
          <cell r="L5033">
            <v>46231</v>
          </cell>
          <cell r="M5033">
            <v>-2318</v>
          </cell>
          <cell r="N5033">
            <v>297682</v>
          </cell>
        </row>
        <row r="5034">
          <cell r="A5034">
            <v>37022</v>
          </cell>
          <cell r="B5034">
            <v>5028</v>
          </cell>
          <cell r="C5034" t="str">
            <v>IASWD2502000105</v>
          </cell>
          <cell r="D5034">
            <v>45698</v>
          </cell>
          <cell r="E5034">
            <v>46702</v>
          </cell>
          <cell r="F5034" t="str">
            <v>37022</v>
          </cell>
          <cell r="G5034" t="str">
            <v>大聯大二</v>
          </cell>
          <cell r="H5034">
            <v>300000</v>
          </cell>
          <cell r="I5034">
            <v>2.7</v>
          </cell>
          <cell r="J5034">
            <v>46702</v>
          </cell>
          <cell r="K5034">
            <v>100</v>
          </cell>
          <cell r="L5034">
            <v>46682</v>
          </cell>
          <cell r="M5034">
            <v>-2086</v>
          </cell>
          <cell r="N5034">
            <v>297914</v>
          </cell>
        </row>
        <row r="5035">
          <cell r="A5035">
            <v>30882</v>
          </cell>
          <cell r="B5035">
            <v>5029</v>
          </cell>
          <cell r="C5035" t="str">
            <v>IASWD2502000106</v>
          </cell>
          <cell r="D5035">
            <v>45698</v>
          </cell>
          <cell r="E5035">
            <v>46262</v>
          </cell>
          <cell r="F5035" t="str">
            <v>30882</v>
          </cell>
          <cell r="G5035" t="str">
            <v>艾訊二</v>
          </cell>
          <cell r="H5035">
            <v>100000</v>
          </cell>
          <cell r="I5035">
            <v>3.25</v>
          </cell>
          <cell r="J5035">
            <v>46262</v>
          </cell>
          <cell r="K5035">
            <v>100</v>
          </cell>
          <cell r="L5035">
            <v>46244</v>
          </cell>
          <cell r="M5035">
            <v>-837</v>
          </cell>
          <cell r="N5035">
            <v>99163</v>
          </cell>
        </row>
        <row r="5036">
          <cell r="A5036">
            <v>34163</v>
          </cell>
          <cell r="B5036">
            <v>5030</v>
          </cell>
          <cell r="C5036" t="str">
            <v>IASWD2502000107</v>
          </cell>
          <cell r="D5036">
            <v>45698</v>
          </cell>
          <cell r="E5036">
            <v>46047</v>
          </cell>
          <cell r="F5036" t="str">
            <v>34163</v>
          </cell>
          <cell r="G5036" t="str">
            <v>融程電三</v>
          </cell>
          <cell r="H5036">
            <v>2300000</v>
          </cell>
          <cell r="I5036">
            <v>3</v>
          </cell>
          <cell r="J5036">
            <v>46047</v>
          </cell>
          <cell r="K5036">
            <v>100.5</v>
          </cell>
          <cell r="L5036">
            <v>46028</v>
          </cell>
          <cell r="M5036">
            <v>-17770</v>
          </cell>
          <cell r="N5036">
            <v>2282230</v>
          </cell>
        </row>
        <row r="5037">
          <cell r="A5037">
            <v>80506</v>
          </cell>
          <cell r="B5037">
            <v>5031</v>
          </cell>
          <cell r="C5037" t="str">
            <v>IASWD2502000108</v>
          </cell>
          <cell r="D5037">
            <v>45698</v>
          </cell>
          <cell r="E5037">
            <v>45983</v>
          </cell>
          <cell r="F5037" t="str">
            <v>80506</v>
          </cell>
          <cell r="G5037" t="str">
            <v>廣積六</v>
          </cell>
          <cell r="H5037">
            <v>300000</v>
          </cell>
          <cell r="I5037">
            <v>3.25</v>
          </cell>
          <cell r="J5037">
            <v>45983</v>
          </cell>
          <cell r="K5037">
            <v>100.75</v>
          </cell>
          <cell r="L5037">
            <v>45965</v>
          </cell>
          <cell r="M5037">
            <v>-2511</v>
          </cell>
          <cell r="N5037">
            <v>297489</v>
          </cell>
        </row>
        <row r="5038">
          <cell r="A5038">
            <v>45491</v>
          </cell>
          <cell r="B5038">
            <v>5032</v>
          </cell>
          <cell r="C5038" t="str">
            <v>IASWD2502000109</v>
          </cell>
          <cell r="D5038">
            <v>45698</v>
          </cell>
          <cell r="E5038">
            <v>46698</v>
          </cell>
          <cell r="F5038" t="str">
            <v>45491</v>
          </cell>
          <cell r="G5038" t="str">
            <v>桓達一</v>
          </cell>
          <cell r="H5038">
            <v>100000</v>
          </cell>
          <cell r="I5038">
            <v>4</v>
          </cell>
          <cell r="J5038">
            <v>46698</v>
          </cell>
          <cell r="K5038">
            <v>100</v>
          </cell>
          <cell r="L5038">
            <v>46679</v>
          </cell>
          <cell r="M5038">
            <v>-1030</v>
          </cell>
          <cell r="N5038">
            <v>98970</v>
          </cell>
        </row>
        <row r="5039">
          <cell r="A5039">
            <v>45491</v>
          </cell>
          <cell r="B5039">
            <v>5033</v>
          </cell>
          <cell r="C5039" t="str">
            <v>IASWD2502000110</v>
          </cell>
          <cell r="D5039">
            <v>45699</v>
          </cell>
          <cell r="E5039">
            <v>46698</v>
          </cell>
          <cell r="F5039" t="str">
            <v>45491</v>
          </cell>
          <cell r="G5039" t="str">
            <v>桓達一</v>
          </cell>
          <cell r="H5039">
            <v>100000</v>
          </cell>
          <cell r="I5039">
            <v>4</v>
          </cell>
          <cell r="J5039">
            <v>46698</v>
          </cell>
          <cell r="K5039">
            <v>100</v>
          </cell>
          <cell r="L5039">
            <v>46679</v>
          </cell>
          <cell r="M5039">
            <v>-1019</v>
          </cell>
          <cell r="N5039">
            <v>98981</v>
          </cell>
        </row>
        <row r="5040">
          <cell r="A5040">
            <v>30882</v>
          </cell>
          <cell r="B5040">
            <v>5034</v>
          </cell>
          <cell r="C5040" t="str">
            <v>IASWD2502000111</v>
          </cell>
          <cell r="D5040">
            <v>45699</v>
          </cell>
          <cell r="E5040">
            <v>46262</v>
          </cell>
          <cell r="F5040" t="str">
            <v>30882</v>
          </cell>
          <cell r="G5040" t="str">
            <v>艾訊二</v>
          </cell>
          <cell r="H5040">
            <v>100000</v>
          </cell>
          <cell r="I5040">
            <v>3.25</v>
          </cell>
          <cell r="J5040">
            <v>46262</v>
          </cell>
          <cell r="K5040">
            <v>100</v>
          </cell>
          <cell r="L5040">
            <v>46244</v>
          </cell>
          <cell r="M5040">
            <v>-828</v>
          </cell>
          <cell r="N5040">
            <v>99172</v>
          </cell>
        </row>
        <row r="5041">
          <cell r="A5041">
            <v>35832</v>
          </cell>
          <cell r="B5041">
            <v>5035</v>
          </cell>
          <cell r="C5041" t="str">
            <v>IASWD2502000112</v>
          </cell>
          <cell r="D5041">
            <v>45699</v>
          </cell>
          <cell r="E5041">
            <v>46192</v>
          </cell>
          <cell r="F5041" t="str">
            <v>35832</v>
          </cell>
          <cell r="G5041" t="str">
            <v>辛耘二</v>
          </cell>
          <cell r="H5041">
            <v>100000</v>
          </cell>
          <cell r="I5041">
            <v>3</v>
          </cell>
          <cell r="J5041">
            <v>46192</v>
          </cell>
          <cell r="K5041">
            <v>100</v>
          </cell>
          <cell r="L5041">
            <v>46174</v>
          </cell>
          <cell r="M5041">
            <v>-764</v>
          </cell>
          <cell r="N5041">
            <v>99236</v>
          </cell>
        </row>
        <row r="5042">
          <cell r="A5042">
            <v>34163</v>
          </cell>
          <cell r="B5042">
            <v>5036</v>
          </cell>
          <cell r="C5042" t="str">
            <v>IASWD2502000114</v>
          </cell>
          <cell r="D5042">
            <v>45699</v>
          </cell>
          <cell r="E5042">
            <v>46047</v>
          </cell>
          <cell r="F5042" t="str">
            <v>34163</v>
          </cell>
          <cell r="G5042" t="str">
            <v>融程電三</v>
          </cell>
          <cell r="H5042">
            <v>400000</v>
          </cell>
          <cell r="I5042">
            <v>3</v>
          </cell>
          <cell r="J5042">
            <v>46047</v>
          </cell>
          <cell r="K5042">
            <v>100.5</v>
          </cell>
          <cell r="L5042">
            <v>46028</v>
          </cell>
          <cell r="M5042">
            <v>-3058</v>
          </cell>
          <cell r="N5042">
            <v>396942</v>
          </cell>
        </row>
        <row r="5043">
          <cell r="A5043">
            <v>64145</v>
          </cell>
          <cell r="B5043">
            <v>5037</v>
          </cell>
          <cell r="C5043" t="str">
            <v>IASWD2502000115</v>
          </cell>
          <cell r="D5043">
            <v>45699</v>
          </cell>
          <cell r="E5043">
            <v>46250</v>
          </cell>
          <cell r="F5043" t="str">
            <v>64145</v>
          </cell>
          <cell r="G5043" t="str">
            <v>樺漢五</v>
          </cell>
          <cell r="H5043">
            <v>300000</v>
          </cell>
          <cell r="I5043">
            <v>3</v>
          </cell>
          <cell r="J5043">
            <v>46250</v>
          </cell>
          <cell r="K5043">
            <v>100</v>
          </cell>
          <cell r="L5043">
            <v>46231</v>
          </cell>
          <cell r="M5043">
            <v>-2293</v>
          </cell>
          <cell r="N5043">
            <v>297707</v>
          </cell>
        </row>
        <row r="5044">
          <cell r="A5044">
            <v>80506</v>
          </cell>
          <cell r="B5044">
            <v>5038</v>
          </cell>
          <cell r="C5044" t="str">
            <v>IASWD2502000116</v>
          </cell>
          <cell r="D5044">
            <v>45699</v>
          </cell>
          <cell r="E5044">
            <v>45983</v>
          </cell>
          <cell r="F5044" t="str">
            <v>80506</v>
          </cell>
          <cell r="G5044" t="str">
            <v>廣積六</v>
          </cell>
          <cell r="H5044">
            <v>100000</v>
          </cell>
          <cell r="I5044">
            <v>3.25</v>
          </cell>
          <cell r="J5044">
            <v>45983</v>
          </cell>
          <cell r="K5044">
            <v>100.75</v>
          </cell>
          <cell r="L5044">
            <v>45965</v>
          </cell>
          <cell r="M5044">
            <v>-828</v>
          </cell>
          <cell r="N5044">
            <v>99172</v>
          </cell>
        </row>
        <row r="5045">
          <cell r="A5045">
            <v>22283</v>
          </cell>
          <cell r="B5045">
            <v>5039</v>
          </cell>
          <cell r="C5045" t="str">
            <v>IASWD2502000117</v>
          </cell>
          <cell r="D5045">
            <v>45699</v>
          </cell>
          <cell r="E5045">
            <v>46628</v>
          </cell>
          <cell r="F5045" t="str">
            <v>22283</v>
          </cell>
          <cell r="G5045" t="str">
            <v>劍麟三</v>
          </cell>
          <cell r="H5045">
            <v>500000</v>
          </cell>
          <cell r="I5045">
            <v>3</v>
          </cell>
          <cell r="J5045">
            <v>46628</v>
          </cell>
          <cell r="K5045">
            <v>100</v>
          </cell>
          <cell r="L5045">
            <v>46609</v>
          </cell>
          <cell r="M5045">
            <v>-3822</v>
          </cell>
          <cell r="N5045">
            <v>496178</v>
          </cell>
        </row>
        <row r="5046">
          <cell r="A5046">
            <v>34912</v>
          </cell>
          <cell r="B5046">
            <v>5040</v>
          </cell>
          <cell r="C5046" t="str">
            <v>IASWD2502000118</v>
          </cell>
          <cell r="D5046">
            <v>45699</v>
          </cell>
          <cell r="E5046">
            <v>46627</v>
          </cell>
          <cell r="F5046" t="str">
            <v>34912</v>
          </cell>
          <cell r="G5046" t="str">
            <v>昇達科二</v>
          </cell>
          <cell r="H5046">
            <v>200000</v>
          </cell>
          <cell r="I5046">
            <v>3</v>
          </cell>
          <cell r="J5046">
            <v>46627</v>
          </cell>
          <cell r="K5046">
            <v>100</v>
          </cell>
          <cell r="L5046">
            <v>46609</v>
          </cell>
          <cell r="M5046">
            <v>-1529</v>
          </cell>
          <cell r="N5046">
            <v>198471</v>
          </cell>
        </row>
        <row r="5047">
          <cell r="A5047">
            <v>37022</v>
          </cell>
          <cell r="B5047">
            <v>5041</v>
          </cell>
          <cell r="C5047" t="str">
            <v>IASWD2502000119</v>
          </cell>
          <cell r="D5047">
            <v>45699</v>
          </cell>
          <cell r="E5047">
            <v>46702</v>
          </cell>
          <cell r="F5047" t="str">
            <v>37022</v>
          </cell>
          <cell r="G5047" t="str">
            <v>大聯大二</v>
          </cell>
          <cell r="H5047">
            <v>200000</v>
          </cell>
          <cell r="I5047">
            <v>2.7</v>
          </cell>
          <cell r="J5047">
            <v>46702</v>
          </cell>
          <cell r="K5047">
            <v>100</v>
          </cell>
          <cell r="L5047">
            <v>46682</v>
          </cell>
          <cell r="M5047">
            <v>-1376</v>
          </cell>
          <cell r="N5047">
            <v>198624</v>
          </cell>
        </row>
        <row r="5048">
          <cell r="A5048">
            <v>34793</v>
          </cell>
          <cell r="B5048">
            <v>5042</v>
          </cell>
          <cell r="C5048" t="str">
            <v>IASWD2502000120</v>
          </cell>
          <cell r="D5048">
            <v>45699</v>
          </cell>
          <cell r="E5048">
            <v>46409</v>
          </cell>
          <cell r="F5048" t="str">
            <v>34793</v>
          </cell>
          <cell r="G5048" t="str">
            <v>安勤三</v>
          </cell>
          <cell r="H5048">
            <v>1000000</v>
          </cell>
          <cell r="I5048">
            <v>3</v>
          </cell>
          <cell r="J5048">
            <v>46409</v>
          </cell>
          <cell r="K5048">
            <v>100</v>
          </cell>
          <cell r="L5048">
            <v>46391</v>
          </cell>
          <cell r="M5048">
            <v>-7644</v>
          </cell>
          <cell r="N5048">
            <v>992356</v>
          </cell>
        </row>
        <row r="5049">
          <cell r="A5049">
            <v>68631</v>
          </cell>
          <cell r="B5049">
            <v>5043</v>
          </cell>
          <cell r="C5049" t="str">
            <v>IASWD2502000121</v>
          </cell>
          <cell r="D5049">
            <v>45699</v>
          </cell>
          <cell r="E5049">
            <v>46675</v>
          </cell>
          <cell r="F5049" t="str">
            <v>68631</v>
          </cell>
          <cell r="G5049" t="str">
            <v>永道一KY</v>
          </cell>
          <cell r="H5049">
            <v>200000</v>
          </cell>
          <cell r="I5049">
            <v>4</v>
          </cell>
          <cell r="J5049">
            <v>46675</v>
          </cell>
          <cell r="K5049">
            <v>100</v>
          </cell>
          <cell r="L5049">
            <v>46657</v>
          </cell>
          <cell r="M5049">
            <v>-2038</v>
          </cell>
          <cell r="N5049">
            <v>197962</v>
          </cell>
        </row>
        <row r="5050">
          <cell r="A5050">
            <v>34793</v>
          </cell>
          <cell r="B5050">
            <v>5044</v>
          </cell>
          <cell r="C5050" t="str">
            <v>IASWD2502000122</v>
          </cell>
          <cell r="D5050">
            <v>45699</v>
          </cell>
          <cell r="E5050">
            <v>46409</v>
          </cell>
          <cell r="F5050" t="str">
            <v>34793</v>
          </cell>
          <cell r="G5050" t="str">
            <v>安勤三</v>
          </cell>
          <cell r="H5050">
            <v>100000</v>
          </cell>
          <cell r="I5050">
            <v>3</v>
          </cell>
          <cell r="J5050">
            <v>46409</v>
          </cell>
          <cell r="K5050">
            <v>100</v>
          </cell>
          <cell r="L5050">
            <v>46391</v>
          </cell>
          <cell r="M5050">
            <v>-764</v>
          </cell>
          <cell r="N5050">
            <v>99236</v>
          </cell>
        </row>
        <row r="5051">
          <cell r="A5051">
            <v>64145</v>
          </cell>
          <cell r="B5051">
            <v>5045</v>
          </cell>
          <cell r="C5051" t="str">
            <v>IASWD2502000123</v>
          </cell>
          <cell r="D5051">
            <v>45699</v>
          </cell>
          <cell r="E5051">
            <v>46250</v>
          </cell>
          <cell r="F5051" t="str">
            <v>64145</v>
          </cell>
          <cell r="G5051" t="str">
            <v>樺漢五</v>
          </cell>
          <cell r="H5051">
            <v>100000</v>
          </cell>
          <cell r="I5051">
            <v>3</v>
          </cell>
          <cell r="J5051">
            <v>46250</v>
          </cell>
          <cell r="K5051">
            <v>100</v>
          </cell>
          <cell r="L5051">
            <v>46231</v>
          </cell>
          <cell r="M5051">
            <v>-764</v>
          </cell>
          <cell r="N5051">
            <v>99236</v>
          </cell>
        </row>
        <row r="5052">
          <cell r="A5052">
            <v>24361</v>
          </cell>
          <cell r="B5052">
            <v>5046</v>
          </cell>
          <cell r="C5052" t="str">
            <v>IASWD2502000124</v>
          </cell>
          <cell r="D5052">
            <v>45699</v>
          </cell>
          <cell r="E5052">
            <v>45911</v>
          </cell>
          <cell r="F5052" t="str">
            <v>24361</v>
          </cell>
          <cell r="G5052" t="str">
            <v>偉詮電一</v>
          </cell>
          <cell r="H5052">
            <v>100000</v>
          </cell>
          <cell r="I5052">
            <v>3.75</v>
          </cell>
          <cell r="J5052">
            <v>45911</v>
          </cell>
          <cell r="K5052">
            <v>100.50060000000001</v>
          </cell>
          <cell r="L5052">
            <v>45891</v>
          </cell>
          <cell r="M5052">
            <v>-955</v>
          </cell>
          <cell r="N5052">
            <v>99045</v>
          </cell>
        </row>
        <row r="5053">
          <cell r="A5053">
            <v>61843</v>
          </cell>
          <cell r="B5053">
            <v>5047</v>
          </cell>
          <cell r="C5053" t="str">
            <v>IASWD2502000125</v>
          </cell>
          <cell r="D5053">
            <v>45699</v>
          </cell>
          <cell r="E5053">
            <v>46452</v>
          </cell>
          <cell r="F5053" t="str">
            <v>61843</v>
          </cell>
          <cell r="G5053" t="str">
            <v>大豐電三</v>
          </cell>
          <cell r="H5053">
            <v>200000</v>
          </cell>
          <cell r="I5053">
            <v>3.75</v>
          </cell>
          <cell r="J5053">
            <v>46452</v>
          </cell>
          <cell r="K5053">
            <v>101.50749999999999</v>
          </cell>
          <cell r="L5053">
            <v>46434</v>
          </cell>
          <cell r="M5053">
            <v>-1911</v>
          </cell>
          <cell r="N5053">
            <v>198089</v>
          </cell>
        </row>
        <row r="5054">
          <cell r="A5054">
            <v>68631</v>
          </cell>
          <cell r="B5054">
            <v>5048</v>
          </cell>
          <cell r="C5054" t="str">
            <v>IASWD2502000126</v>
          </cell>
          <cell r="D5054">
            <v>45699</v>
          </cell>
          <cell r="E5054">
            <v>46675</v>
          </cell>
          <cell r="F5054" t="str">
            <v>68631</v>
          </cell>
          <cell r="G5054" t="str">
            <v>永道一KY</v>
          </cell>
          <cell r="H5054">
            <v>200000</v>
          </cell>
          <cell r="I5054">
            <v>4</v>
          </cell>
          <cell r="J5054">
            <v>46675</v>
          </cell>
          <cell r="K5054">
            <v>100</v>
          </cell>
          <cell r="L5054">
            <v>46657</v>
          </cell>
          <cell r="M5054">
            <v>-2038</v>
          </cell>
          <cell r="N5054">
            <v>197962</v>
          </cell>
        </row>
        <row r="5055">
          <cell r="A5055">
            <v>64145</v>
          </cell>
          <cell r="B5055">
            <v>5049</v>
          </cell>
          <cell r="C5055" t="str">
            <v>IASWD2502000127</v>
          </cell>
          <cell r="D5055">
            <v>45699</v>
          </cell>
          <cell r="E5055">
            <v>46250</v>
          </cell>
          <cell r="F5055" t="str">
            <v>64145</v>
          </cell>
          <cell r="G5055" t="str">
            <v>樺漢五</v>
          </cell>
          <cell r="H5055">
            <v>100000</v>
          </cell>
          <cell r="I5055">
            <v>3</v>
          </cell>
          <cell r="J5055">
            <v>46250</v>
          </cell>
          <cell r="K5055">
            <v>100</v>
          </cell>
          <cell r="L5055">
            <v>46231</v>
          </cell>
          <cell r="M5055">
            <v>-764</v>
          </cell>
          <cell r="N5055">
            <v>99236</v>
          </cell>
        </row>
        <row r="5056">
          <cell r="A5056">
            <v>34163</v>
          </cell>
          <cell r="B5056">
            <v>5050</v>
          </cell>
          <cell r="C5056" t="str">
            <v>IASWD2502000128</v>
          </cell>
          <cell r="D5056">
            <v>45700</v>
          </cell>
          <cell r="E5056">
            <v>46047</v>
          </cell>
          <cell r="F5056" t="str">
            <v>34163</v>
          </cell>
          <cell r="G5056" t="str">
            <v>融程電三</v>
          </cell>
          <cell r="H5056">
            <v>300000</v>
          </cell>
          <cell r="I5056">
            <v>3</v>
          </cell>
          <cell r="J5056">
            <v>46047</v>
          </cell>
          <cell r="K5056">
            <v>100.5</v>
          </cell>
          <cell r="L5056">
            <v>46028</v>
          </cell>
          <cell r="M5056">
            <v>-2268</v>
          </cell>
          <cell r="N5056">
            <v>297732</v>
          </cell>
        </row>
        <row r="5057">
          <cell r="A5057">
            <v>21043</v>
          </cell>
          <cell r="B5057">
            <v>5051</v>
          </cell>
          <cell r="C5057" t="str">
            <v>IASWD2502000129</v>
          </cell>
          <cell r="D5057">
            <v>45700</v>
          </cell>
          <cell r="E5057">
            <v>46308</v>
          </cell>
          <cell r="F5057" t="str">
            <v>21043</v>
          </cell>
          <cell r="G5057" t="str">
            <v>國際中橡三</v>
          </cell>
          <cell r="H5057">
            <v>1300000</v>
          </cell>
          <cell r="I5057">
            <v>2.8</v>
          </cell>
          <cell r="J5057">
            <v>46308</v>
          </cell>
          <cell r="K5057">
            <v>100.9</v>
          </cell>
          <cell r="L5057">
            <v>46288</v>
          </cell>
          <cell r="M5057">
            <v>-9175</v>
          </cell>
          <cell r="N5057">
            <v>1290825</v>
          </cell>
        </row>
        <row r="5058">
          <cell r="A5058">
            <v>64145</v>
          </cell>
          <cell r="B5058">
            <v>5052</v>
          </cell>
          <cell r="C5058" t="str">
            <v>IASWD2502000130</v>
          </cell>
          <cell r="D5058">
            <v>45700</v>
          </cell>
          <cell r="E5058">
            <v>46250</v>
          </cell>
          <cell r="F5058" t="str">
            <v>64145</v>
          </cell>
          <cell r="G5058" t="str">
            <v>樺漢五</v>
          </cell>
          <cell r="H5058">
            <v>100000</v>
          </cell>
          <cell r="I5058">
            <v>3</v>
          </cell>
          <cell r="J5058">
            <v>46250</v>
          </cell>
          <cell r="K5058">
            <v>100</v>
          </cell>
          <cell r="L5058">
            <v>46231</v>
          </cell>
          <cell r="M5058">
            <v>-756</v>
          </cell>
          <cell r="N5058">
            <v>99244</v>
          </cell>
        </row>
        <row r="5059">
          <cell r="A5059">
            <v>61843</v>
          </cell>
          <cell r="B5059">
            <v>5053</v>
          </cell>
          <cell r="C5059" t="str">
            <v>IASWD2502000131</v>
          </cell>
          <cell r="D5059">
            <v>45700</v>
          </cell>
          <cell r="E5059">
            <v>46452</v>
          </cell>
          <cell r="F5059" t="str">
            <v>61843</v>
          </cell>
          <cell r="G5059" t="str">
            <v>大豐電三</v>
          </cell>
          <cell r="H5059">
            <v>200000</v>
          </cell>
          <cell r="I5059">
            <v>3.75</v>
          </cell>
          <cell r="J5059">
            <v>46452</v>
          </cell>
          <cell r="K5059">
            <v>101.50749999999999</v>
          </cell>
          <cell r="L5059">
            <v>46434</v>
          </cell>
          <cell r="M5059">
            <v>-1890</v>
          </cell>
          <cell r="N5059">
            <v>198110</v>
          </cell>
        </row>
        <row r="5060">
          <cell r="A5060">
            <v>34793</v>
          </cell>
          <cell r="B5060">
            <v>5054</v>
          </cell>
          <cell r="C5060" t="str">
            <v>IASWD2502000132</v>
          </cell>
          <cell r="D5060">
            <v>45700</v>
          </cell>
          <cell r="E5060">
            <v>46409</v>
          </cell>
          <cell r="F5060" t="str">
            <v>34793</v>
          </cell>
          <cell r="G5060" t="str">
            <v>安勤三</v>
          </cell>
          <cell r="H5060">
            <v>200000</v>
          </cell>
          <cell r="I5060">
            <v>3</v>
          </cell>
          <cell r="J5060">
            <v>46409</v>
          </cell>
          <cell r="K5060">
            <v>100</v>
          </cell>
          <cell r="L5060">
            <v>46391</v>
          </cell>
          <cell r="M5060">
            <v>-1512</v>
          </cell>
          <cell r="N5060">
            <v>198488</v>
          </cell>
        </row>
        <row r="5061">
          <cell r="A5061">
            <v>24361</v>
          </cell>
          <cell r="B5061">
            <v>5055</v>
          </cell>
          <cell r="C5061" t="str">
            <v>IASWD2502000133</v>
          </cell>
          <cell r="D5061">
            <v>45700</v>
          </cell>
          <cell r="E5061">
            <v>45911</v>
          </cell>
          <cell r="F5061" t="str">
            <v>24361</v>
          </cell>
          <cell r="G5061" t="str">
            <v>偉詮電一</v>
          </cell>
          <cell r="H5061">
            <v>200000</v>
          </cell>
          <cell r="I5061">
            <v>3.75</v>
          </cell>
          <cell r="J5061">
            <v>45911</v>
          </cell>
          <cell r="K5061">
            <v>100.50060000000001</v>
          </cell>
          <cell r="L5061">
            <v>45891</v>
          </cell>
          <cell r="M5061">
            <v>-1890</v>
          </cell>
          <cell r="N5061">
            <v>198110</v>
          </cell>
        </row>
        <row r="5062">
          <cell r="A5062">
            <v>61843</v>
          </cell>
          <cell r="B5062">
            <v>5056</v>
          </cell>
          <cell r="C5062" t="str">
            <v>IASWD2502000134</v>
          </cell>
          <cell r="D5062">
            <v>45700</v>
          </cell>
          <cell r="E5062">
            <v>46452</v>
          </cell>
          <cell r="F5062" t="str">
            <v>61843</v>
          </cell>
          <cell r="G5062" t="str">
            <v>大豐電三</v>
          </cell>
          <cell r="H5062">
            <v>200000</v>
          </cell>
          <cell r="I5062">
            <v>3.75</v>
          </cell>
          <cell r="J5062">
            <v>46452</v>
          </cell>
          <cell r="K5062">
            <v>101.50749999999999</v>
          </cell>
          <cell r="L5062">
            <v>46434</v>
          </cell>
          <cell r="M5062">
            <v>-1890</v>
          </cell>
          <cell r="N5062">
            <v>198110</v>
          </cell>
        </row>
        <row r="5063">
          <cell r="A5063">
            <v>64145</v>
          </cell>
          <cell r="B5063">
            <v>5057</v>
          </cell>
          <cell r="C5063" t="str">
            <v>IASWD2502000135</v>
          </cell>
          <cell r="D5063">
            <v>45700</v>
          </cell>
          <cell r="E5063">
            <v>46250</v>
          </cell>
          <cell r="F5063" t="str">
            <v>64145</v>
          </cell>
          <cell r="G5063" t="str">
            <v>樺漢五</v>
          </cell>
          <cell r="H5063">
            <v>100000</v>
          </cell>
          <cell r="I5063">
            <v>3</v>
          </cell>
          <cell r="J5063">
            <v>46250</v>
          </cell>
          <cell r="K5063">
            <v>100</v>
          </cell>
          <cell r="L5063">
            <v>46231</v>
          </cell>
          <cell r="M5063">
            <v>-756</v>
          </cell>
          <cell r="N5063">
            <v>99244</v>
          </cell>
        </row>
        <row r="5064">
          <cell r="A5064">
            <v>34912</v>
          </cell>
          <cell r="B5064">
            <v>5058</v>
          </cell>
          <cell r="C5064" t="str">
            <v>IASWD2502000136</v>
          </cell>
          <cell r="D5064">
            <v>45700</v>
          </cell>
          <cell r="E5064">
            <v>46627</v>
          </cell>
          <cell r="F5064" t="str">
            <v>34912</v>
          </cell>
          <cell r="G5064" t="str">
            <v>昇達科二</v>
          </cell>
          <cell r="H5064">
            <v>200000</v>
          </cell>
          <cell r="I5064">
            <v>3</v>
          </cell>
          <cell r="J5064">
            <v>46627</v>
          </cell>
          <cell r="K5064">
            <v>100</v>
          </cell>
          <cell r="L5064">
            <v>46609</v>
          </cell>
          <cell r="M5064">
            <v>-1512</v>
          </cell>
          <cell r="N5064">
            <v>198488</v>
          </cell>
        </row>
        <row r="5065">
          <cell r="A5065">
            <v>64145</v>
          </cell>
          <cell r="B5065">
            <v>5059</v>
          </cell>
          <cell r="C5065" t="str">
            <v>IASWD2502000137</v>
          </cell>
          <cell r="D5065">
            <v>45700</v>
          </cell>
          <cell r="E5065">
            <v>46250</v>
          </cell>
          <cell r="F5065" t="str">
            <v>64145</v>
          </cell>
          <cell r="G5065" t="str">
            <v>樺漢五</v>
          </cell>
          <cell r="H5065">
            <v>300000</v>
          </cell>
          <cell r="I5065">
            <v>3</v>
          </cell>
          <cell r="J5065">
            <v>46250</v>
          </cell>
          <cell r="K5065">
            <v>100</v>
          </cell>
          <cell r="L5065">
            <v>46231</v>
          </cell>
          <cell r="M5065">
            <v>-2268</v>
          </cell>
          <cell r="N5065">
            <v>297732</v>
          </cell>
        </row>
        <row r="5066">
          <cell r="A5066">
            <v>26417</v>
          </cell>
          <cell r="B5066">
            <v>5060</v>
          </cell>
          <cell r="C5066" t="str">
            <v>IASWD2502000138</v>
          </cell>
          <cell r="D5066">
            <v>45700</v>
          </cell>
          <cell r="E5066">
            <v>46594</v>
          </cell>
          <cell r="F5066" t="str">
            <v>26417</v>
          </cell>
          <cell r="G5066" t="str">
            <v>正德七</v>
          </cell>
          <cell r="H5066">
            <v>200000</v>
          </cell>
          <cell r="I5066">
            <v>4</v>
          </cell>
          <cell r="J5066">
            <v>46594</v>
          </cell>
          <cell r="K5066">
            <v>100</v>
          </cell>
          <cell r="L5066">
            <v>46574</v>
          </cell>
          <cell r="M5066">
            <v>-2016</v>
          </cell>
          <cell r="N5066">
            <v>197984</v>
          </cell>
        </row>
        <row r="5067">
          <cell r="A5067">
            <v>61843</v>
          </cell>
          <cell r="B5067">
            <v>5061</v>
          </cell>
          <cell r="C5067" t="str">
            <v>IASWD2502000139</v>
          </cell>
          <cell r="D5067">
            <v>45700</v>
          </cell>
          <cell r="E5067">
            <v>46452</v>
          </cell>
          <cell r="F5067" t="str">
            <v>61843</v>
          </cell>
          <cell r="G5067" t="str">
            <v>大豐電三</v>
          </cell>
          <cell r="H5067">
            <v>100000</v>
          </cell>
          <cell r="I5067">
            <v>3.75</v>
          </cell>
          <cell r="J5067">
            <v>46452</v>
          </cell>
          <cell r="K5067">
            <v>101.50749999999999</v>
          </cell>
          <cell r="L5067">
            <v>46434</v>
          </cell>
          <cell r="M5067">
            <v>-945</v>
          </cell>
          <cell r="N5067">
            <v>99055</v>
          </cell>
        </row>
        <row r="5068">
          <cell r="A5068">
            <v>35832</v>
          </cell>
          <cell r="B5068">
            <v>5062</v>
          </cell>
          <cell r="C5068" t="str">
            <v>IASWD2502000140</v>
          </cell>
          <cell r="D5068">
            <v>45700</v>
          </cell>
          <cell r="E5068">
            <v>46192</v>
          </cell>
          <cell r="F5068" t="str">
            <v>35832</v>
          </cell>
          <cell r="G5068" t="str">
            <v>辛耘二</v>
          </cell>
          <cell r="H5068">
            <v>100000</v>
          </cell>
          <cell r="I5068">
            <v>3</v>
          </cell>
          <cell r="J5068">
            <v>46192</v>
          </cell>
          <cell r="K5068">
            <v>100</v>
          </cell>
          <cell r="L5068">
            <v>46174</v>
          </cell>
          <cell r="M5068">
            <v>-756</v>
          </cell>
          <cell r="N5068">
            <v>99244</v>
          </cell>
        </row>
        <row r="5069">
          <cell r="A5069">
            <v>34793</v>
          </cell>
          <cell r="B5069">
            <v>5063</v>
          </cell>
          <cell r="C5069" t="str">
            <v>IASWD2502000141</v>
          </cell>
          <cell r="D5069">
            <v>45700</v>
          </cell>
          <cell r="E5069">
            <v>46409</v>
          </cell>
          <cell r="F5069" t="str">
            <v>34793</v>
          </cell>
          <cell r="G5069" t="str">
            <v>安勤三</v>
          </cell>
          <cell r="H5069">
            <v>500000</v>
          </cell>
          <cell r="I5069">
            <v>3</v>
          </cell>
          <cell r="J5069">
            <v>46409</v>
          </cell>
          <cell r="K5069">
            <v>100</v>
          </cell>
          <cell r="L5069">
            <v>46391</v>
          </cell>
          <cell r="M5069">
            <v>-3781</v>
          </cell>
          <cell r="N5069">
            <v>496219</v>
          </cell>
        </row>
        <row r="5070">
          <cell r="A5070">
            <v>37022</v>
          </cell>
          <cell r="B5070">
            <v>5064</v>
          </cell>
          <cell r="C5070" t="str">
            <v>IASWD2502000142</v>
          </cell>
          <cell r="D5070">
            <v>45700</v>
          </cell>
          <cell r="E5070">
            <v>46702</v>
          </cell>
          <cell r="F5070" t="str">
            <v>37022</v>
          </cell>
          <cell r="G5070" t="str">
            <v>大聯大二</v>
          </cell>
          <cell r="H5070">
            <v>500000</v>
          </cell>
          <cell r="I5070">
            <v>2.7</v>
          </cell>
          <cell r="J5070">
            <v>46702</v>
          </cell>
          <cell r="K5070">
            <v>100</v>
          </cell>
          <cell r="L5070">
            <v>46682</v>
          </cell>
          <cell r="M5070">
            <v>-3403</v>
          </cell>
          <cell r="N5070">
            <v>496597</v>
          </cell>
        </row>
        <row r="5071">
          <cell r="A5071">
            <v>37022</v>
          </cell>
          <cell r="B5071">
            <v>5065</v>
          </cell>
          <cell r="C5071" t="str">
            <v>IASWD2502000143</v>
          </cell>
          <cell r="D5071">
            <v>45700</v>
          </cell>
          <cell r="E5071">
            <v>46702</v>
          </cell>
          <cell r="F5071" t="str">
            <v>37022</v>
          </cell>
          <cell r="G5071" t="str">
            <v>大聯大二</v>
          </cell>
          <cell r="H5071">
            <v>200000</v>
          </cell>
          <cell r="I5071">
            <v>2.7</v>
          </cell>
          <cell r="J5071">
            <v>46702</v>
          </cell>
          <cell r="K5071">
            <v>100</v>
          </cell>
          <cell r="L5071">
            <v>46682</v>
          </cell>
          <cell r="M5071">
            <v>-1361</v>
          </cell>
          <cell r="N5071">
            <v>198639</v>
          </cell>
        </row>
        <row r="5072">
          <cell r="A5072">
            <v>66451</v>
          </cell>
          <cell r="B5072">
            <v>5066</v>
          </cell>
          <cell r="C5072" t="str">
            <v>IASWD2502000144</v>
          </cell>
          <cell r="D5072">
            <v>45700</v>
          </cell>
          <cell r="E5072">
            <v>46360</v>
          </cell>
          <cell r="F5072" t="str">
            <v>66451</v>
          </cell>
          <cell r="G5072" t="str">
            <v>金萬林一創</v>
          </cell>
          <cell r="H5072">
            <v>100000</v>
          </cell>
          <cell r="I5072">
            <v>2.2999999999999998</v>
          </cell>
          <cell r="J5072">
            <v>46360</v>
          </cell>
          <cell r="K5072">
            <v>102</v>
          </cell>
          <cell r="L5072">
            <v>46342</v>
          </cell>
          <cell r="M5072">
            <v>-580</v>
          </cell>
          <cell r="N5072">
            <v>99420</v>
          </cell>
        </row>
        <row r="5073">
          <cell r="A5073">
            <v>34912</v>
          </cell>
          <cell r="B5073">
            <v>5067</v>
          </cell>
          <cell r="C5073" t="str">
            <v>IASWD2502000145</v>
          </cell>
          <cell r="D5073">
            <v>45700</v>
          </cell>
          <cell r="E5073">
            <v>46627</v>
          </cell>
          <cell r="F5073" t="str">
            <v>34912</v>
          </cell>
          <cell r="G5073" t="str">
            <v>昇達科二</v>
          </cell>
          <cell r="H5073">
            <v>200000</v>
          </cell>
          <cell r="I5073">
            <v>3</v>
          </cell>
          <cell r="J5073">
            <v>46627</v>
          </cell>
          <cell r="K5073">
            <v>100</v>
          </cell>
          <cell r="L5073">
            <v>46609</v>
          </cell>
          <cell r="M5073">
            <v>-1512</v>
          </cell>
          <cell r="N5073">
            <v>198488</v>
          </cell>
        </row>
        <row r="5074">
          <cell r="A5074">
            <v>34912</v>
          </cell>
          <cell r="B5074">
            <v>5068</v>
          </cell>
          <cell r="C5074" t="str">
            <v>IASWD2502000146</v>
          </cell>
          <cell r="D5074">
            <v>45700</v>
          </cell>
          <cell r="E5074">
            <v>46627</v>
          </cell>
          <cell r="F5074" t="str">
            <v>34912</v>
          </cell>
          <cell r="G5074" t="str">
            <v>昇達科二</v>
          </cell>
          <cell r="H5074">
            <v>100000</v>
          </cell>
          <cell r="I5074">
            <v>3</v>
          </cell>
          <cell r="J5074">
            <v>46627</v>
          </cell>
          <cell r="K5074">
            <v>100</v>
          </cell>
          <cell r="L5074">
            <v>46609</v>
          </cell>
          <cell r="M5074">
            <v>-756</v>
          </cell>
          <cell r="N5074">
            <v>99244</v>
          </cell>
        </row>
        <row r="5075">
          <cell r="A5075">
            <v>64145</v>
          </cell>
          <cell r="B5075">
            <v>5069</v>
          </cell>
          <cell r="C5075" t="str">
            <v>IASWD2502000147</v>
          </cell>
          <cell r="D5075">
            <v>45700</v>
          </cell>
          <cell r="E5075">
            <v>46250</v>
          </cell>
          <cell r="F5075" t="str">
            <v>64145</v>
          </cell>
          <cell r="G5075" t="str">
            <v>樺漢五</v>
          </cell>
          <cell r="H5075">
            <v>200000</v>
          </cell>
          <cell r="I5075">
            <v>3</v>
          </cell>
          <cell r="J5075">
            <v>46250</v>
          </cell>
          <cell r="K5075">
            <v>100</v>
          </cell>
          <cell r="L5075">
            <v>46231</v>
          </cell>
          <cell r="M5075">
            <v>-1512</v>
          </cell>
          <cell r="N5075">
            <v>198488</v>
          </cell>
        </row>
        <row r="5076">
          <cell r="A5076">
            <v>21043</v>
          </cell>
          <cell r="B5076">
            <v>5070</v>
          </cell>
          <cell r="C5076" t="str">
            <v>IASWD2502000149</v>
          </cell>
          <cell r="D5076">
            <v>45701</v>
          </cell>
          <cell r="E5076">
            <v>46308</v>
          </cell>
          <cell r="F5076" t="str">
            <v>21043</v>
          </cell>
          <cell r="G5076" t="str">
            <v>國際中橡三</v>
          </cell>
          <cell r="H5076">
            <v>100000</v>
          </cell>
          <cell r="I5076">
            <v>2.8</v>
          </cell>
          <cell r="J5076">
            <v>46308</v>
          </cell>
          <cell r="K5076">
            <v>100.9</v>
          </cell>
          <cell r="L5076">
            <v>46288</v>
          </cell>
          <cell r="M5076">
            <v>-698</v>
          </cell>
          <cell r="N5076">
            <v>99302</v>
          </cell>
        </row>
        <row r="5077">
          <cell r="A5077">
            <v>35832</v>
          </cell>
          <cell r="B5077">
            <v>5071</v>
          </cell>
          <cell r="C5077" t="str">
            <v>IASWD2502000150</v>
          </cell>
          <cell r="D5077">
            <v>45701</v>
          </cell>
          <cell r="E5077">
            <v>46192</v>
          </cell>
          <cell r="F5077" t="str">
            <v>35832</v>
          </cell>
          <cell r="G5077" t="str">
            <v>辛耘二</v>
          </cell>
          <cell r="H5077">
            <v>300000</v>
          </cell>
          <cell r="I5077">
            <v>3</v>
          </cell>
          <cell r="J5077">
            <v>46192</v>
          </cell>
          <cell r="K5077">
            <v>100</v>
          </cell>
          <cell r="L5077">
            <v>46174</v>
          </cell>
          <cell r="M5077">
            <v>-2244</v>
          </cell>
          <cell r="N5077">
            <v>297756</v>
          </cell>
        </row>
        <row r="5078">
          <cell r="A5078">
            <v>37022</v>
          </cell>
          <cell r="B5078">
            <v>5072</v>
          </cell>
          <cell r="C5078" t="str">
            <v>IASWD2502000152</v>
          </cell>
          <cell r="D5078">
            <v>45701</v>
          </cell>
          <cell r="E5078">
            <v>46702</v>
          </cell>
          <cell r="F5078" t="str">
            <v>37022</v>
          </cell>
          <cell r="G5078" t="str">
            <v>大聯大二</v>
          </cell>
          <cell r="H5078">
            <v>100000</v>
          </cell>
          <cell r="I5078">
            <v>2.7</v>
          </cell>
          <cell r="J5078">
            <v>46702</v>
          </cell>
          <cell r="K5078">
            <v>100</v>
          </cell>
          <cell r="L5078">
            <v>46682</v>
          </cell>
          <cell r="M5078">
            <v>-673</v>
          </cell>
          <cell r="N5078">
            <v>99327</v>
          </cell>
        </row>
        <row r="5079">
          <cell r="A5079">
            <v>35831</v>
          </cell>
          <cell r="B5079">
            <v>5073</v>
          </cell>
          <cell r="C5079" t="str">
            <v>IASWD2502000153</v>
          </cell>
          <cell r="D5079">
            <v>45701</v>
          </cell>
          <cell r="E5079">
            <v>46180</v>
          </cell>
          <cell r="F5079" t="str">
            <v>35831</v>
          </cell>
          <cell r="G5079" t="str">
            <v>辛耘一</v>
          </cell>
          <cell r="H5079">
            <v>1000000</v>
          </cell>
          <cell r="I5079">
            <v>3</v>
          </cell>
          <cell r="J5079">
            <v>46180</v>
          </cell>
          <cell r="K5079">
            <v>100</v>
          </cell>
          <cell r="L5079">
            <v>46161</v>
          </cell>
          <cell r="M5079">
            <v>-7479</v>
          </cell>
          <cell r="N5079">
            <v>992521</v>
          </cell>
        </row>
        <row r="5080">
          <cell r="A5080">
            <v>35832</v>
          </cell>
          <cell r="B5080">
            <v>5074</v>
          </cell>
          <cell r="C5080" t="str">
            <v>IASWD2502000154</v>
          </cell>
          <cell r="D5080">
            <v>45701</v>
          </cell>
          <cell r="E5080">
            <v>46192</v>
          </cell>
          <cell r="F5080" t="str">
            <v>35832</v>
          </cell>
          <cell r="G5080" t="str">
            <v>辛耘二</v>
          </cell>
          <cell r="H5080">
            <v>500000</v>
          </cell>
          <cell r="I5080">
            <v>3</v>
          </cell>
          <cell r="J5080">
            <v>46192</v>
          </cell>
          <cell r="K5080">
            <v>100</v>
          </cell>
          <cell r="L5080">
            <v>46174</v>
          </cell>
          <cell r="M5080">
            <v>-3740</v>
          </cell>
          <cell r="N5080">
            <v>496260</v>
          </cell>
        </row>
        <row r="5081">
          <cell r="A5081">
            <v>64145</v>
          </cell>
          <cell r="B5081">
            <v>5075</v>
          </cell>
          <cell r="C5081" t="str">
            <v>IASWD2502000155</v>
          </cell>
          <cell r="D5081">
            <v>45701</v>
          </cell>
          <cell r="E5081">
            <v>46250</v>
          </cell>
          <cell r="F5081" t="str">
            <v>64145</v>
          </cell>
          <cell r="G5081" t="str">
            <v>樺漢五</v>
          </cell>
          <cell r="H5081">
            <v>100000</v>
          </cell>
          <cell r="I5081">
            <v>3</v>
          </cell>
          <cell r="J5081">
            <v>46250</v>
          </cell>
          <cell r="K5081">
            <v>100</v>
          </cell>
          <cell r="L5081">
            <v>46231</v>
          </cell>
          <cell r="M5081">
            <v>-748</v>
          </cell>
          <cell r="N5081">
            <v>99252</v>
          </cell>
        </row>
        <row r="5082">
          <cell r="A5082">
            <v>33035</v>
          </cell>
          <cell r="B5082">
            <v>5076</v>
          </cell>
          <cell r="C5082" t="str">
            <v>IASWD2502000156</v>
          </cell>
          <cell r="D5082">
            <v>45701</v>
          </cell>
          <cell r="E5082">
            <v>46717</v>
          </cell>
          <cell r="F5082" t="str">
            <v>33035</v>
          </cell>
          <cell r="G5082" t="str">
            <v>岱稜五</v>
          </cell>
          <cell r="H5082">
            <v>100000</v>
          </cell>
          <cell r="I5082">
            <v>4.25</v>
          </cell>
          <cell r="J5082">
            <v>46717</v>
          </cell>
          <cell r="K5082">
            <v>101.50749999999999</v>
          </cell>
          <cell r="L5082">
            <v>46699</v>
          </cell>
          <cell r="M5082">
            <v>-1060</v>
          </cell>
          <cell r="N5082">
            <v>98940</v>
          </cell>
        </row>
        <row r="5083">
          <cell r="A5083">
            <v>61965</v>
          </cell>
          <cell r="B5083">
            <v>5077</v>
          </cell>
          <cell r="C5083" t="str">
            <v>IASWD2502000157</v>
          </cell>
          <cell r="D5083">
            <v>45701</v>
          </cell>
          <cell r="E5083">
            <v>46200</v>
          </cell>
          <cell r="F5083" t="str">
            <v>61965</v>
          </cell>
          <cell r="G5083" t="str">
            <v>帆宣五</v>
          </cell>
          <cell r="H5083">
            <v>100000</v>
          </cell>
          <cell r="I5083">
            <v>3</v>
          </cell>
          <cell r="J5083">
            <v>46200</v>
          </cell>
          <cell r="K5083">
            <v>100</v>
          </cell>
          <cell r="L5083">
            <v>46182</v>
          </cell>
          <cell r="M5083">
            <v>-748</v>
          </cell>
          <cell r="N5083">
            <v>99252</v>
          </cell>
        </row>
        <row r="5084">
          <cell r="A5084">
            <v>34163</v>
          </cell>
          <cell r="B5084">
            <v>5078</v>
          </cell>
          <cell r="C5084" t="str">
            <v>IASWD2502000158</v>
          </cell>
          <cell r="D5084">
            <v>45701</v>
          </cell>
          <cell r="E5084">
            <v>46047</v>
          </cell>
          <cell r="F5084" t="str">
            <v>34163</v>
          </cell>
          <cell r="G5084" t="str">
            <v>融程電三</v>
          </cell>
          <cell r="H5084">
            <v>300000</v>
          </cell>
          <cell r="I5084">
            <v>3</v>
          </cell>
          <cell r="J5084">
            <v>46047</v>
          </cell>
          <cell r="K5084">
            <v>100.5</v>
          </cell>
          <cell r="L5084">
            <v>46028</v>
          </cell>
          <cell r="M5084">
            <v>-2244</v>
          </cell>
          <cell r="N5084">
            <v>297756</v>
          </cell>
        </row>
        <row r="5085">
          <cell r="A5085">
            <v>35832</v>
          </cell>
          <cell r="B5085">
            <v>5079</v>
          </cell>
          <cell r="C5085" t="str">
            <v>IASWD2502000159</v>
          </cell>
          <cell r="D5085">
            <v>45701</v>
          </cell>
          <cell r="E5085">
            <v>46192</v>
          </cell>
          <cell r="F5085" t="str">
            <v>35832</v>
          </cell>
          <cell r="G5085" t="str">
            <v>辛耘二</v>
          </cell>
          <cell r="H5085">
            <v>100000</v>
          </cell>
          <cell r="I5085">
            <v>3</v>
          </cell>
          <cell r="J5085">
            <v>46192</v>
          </cell>
          <cell r="K5085">
            <v>100</v>
          </cell>
          <cell r="L5085">
            <v>46174</v>
          </cell>
          <cell r="M5085">
            <v>-748</v>
          </cell>
          <cell r="N5085">
            <v>99252</v>
          </cell>
        </row>
        <row r="5086">
          <cell r="A5086">
            <v>64145</v>
          </cell>
          <cell r="B5086">
            <v>5080</v>
          </cell>
          <cell r="C5086" t="str">
            <v>IASWD2502000160</v>
          </cell>
          <cell r="D5086">
            <v>45701</v>
          </cell>
          <cell r="E5086">
            <v>46250</v>
          </cell>
          <cell r="F5086" t="str">
            <v>64145</v>
          </cell>
          <cell r="G5086" t="str">
            <v>樺漢五</v>
          </cell>
          <cell r="H5086">
            <v>100000</v>
          </cell>
          <cell r="I5086">
            <v>3</v>
          </cell>
          <cell r="J5086">
            <v>46250</v>
          </cell>
          <cell r="K5086">
            <v>100</v>
          </cell>
          <cell r="L5086">
            <v>46231</v>
          </cell>
          <cell r="M5086">
            <v>-748</v>
          </cell>
          <cell r="N5086">
            <v>99252</v>
          </cell>
        </row>
        <row r="5087">
          <cell r="A5087">
            <v>66451</v>
          </cell>
          <cell r="B5087">
            <v>5081</v>
          </cell>
          <cell r="C5087" t="str">
            <v>IASWD2502000161</v>
          </cell>
          <cell r="D5087">
            <v>45701</v>
          </cell>
          <cell r="E5087">
            <v>46360</v>
          </cell>
          <cell r="F5087" t="str">
            <v>66451</v>
          </cell>
          <cell r="G5087" t="str">
            <v>金萬林一創</v>
          </cell>
          <cell r="H5087">
            <v>400000</v>
          </cell>
          <cell r="I5087">
            <v>2.2999999999999998</v>
          </cell>
          <cell r="J5087">
            <v>46360</v>
          </cell>
          <cell r="K5087">
            <v>102</v>
          </cell>
          <cell r="L5087">
            <v>46342</v>
          </cell>
          <cell r="M5087">
            <v>-2294</v>
          </cell>
          <cell r="N5087">
            <v>397706</v>
          </cell>
        </row>
        <row r="5088">
          <cell r="A5088">
            <v>37022</v>
          </cell>
          <cell r="B5088">
            <v>5082</v>
          </cell>
          <cell r="C5088" t="str">
            <v>IASWD2502000162</v>
          </cell>
          <cell r="D5088">
            <v>45701</v>
          </cell>
          <cell r="E5088">
            <v>46702</v>
          </cell>
          <cell r="F5088" t="str">
            <v>37022</v>
          </cell>
          <cell r="G5088" t="str">
            <v>大聯大二</v>
          </cell>
          <cell r="H5088">
            <v>200000</v>
          </cell>
          <cell r="I5088">
            <v>2.7</v>
          </cell>
          <cell r="J5088">
            <v>46702</v>
          </cell>
          <cell r="K5088">
            <v>100</v>
          </cell>
          <cell r="L5088">
            <v>46682</v>
          </cell>
          <cell r="M5088">
            <v>-1346</v>
          </cell>
          <cell r="N5088">
            <v>198654</v>
          </cell>
        </row>
        <row r="5089">
          <cell r="A5089">
            <v>64145</v>
          </cell>
          <cell r="B5089">
            <v>5083</v>
          </cell>
          <cell r="C5089" t="str">
            <v>IASWD2502000163</v>
          </cell>
          <cell r="D5089">
            <v>45701</v>
          </cell>
          <cell r="E5089">
            <v>46250</v>
          </cell>
          <cell r="F5089" t="str">
            <v>64145</v>
          </cell>
          <cell r="G5089" t="str">
            <v>樺漢五</v>
          </cell>
          <cell r="H5089">
            <v>200000</v>
          </cell>
          <cell r="I5089">
            <v>3</v>
          </cell>
          <cell r="J5089">
            <v>46250</v>
          </cell>
          <cell r="K5089">
            <v>100</v>
          </cell>
          <cell r="L5089">
            <v>46231</v>
          </cell>
          <cell r="M5089">
            <v>-1496</v>
          </cell>
          <cell r="N5089">
            <v>198504</v>
          </cell>
        </row>
        <row r="5090">
          <cell r="A5090">
            <v>66642</v>
          </cell>
          <cell r="B5090">
            <v>5084</v>
          </cell>
          <cell r="C5090" t="str">
            <v>IASWD2502000164</v>
          </cell>
          <cell r="D5090">
            <v>45701</v>
          </cell>
          <cell r="E5090">
            <v>46710</v>
          </cell>
          <cell r="F5090" t="str">
            <v>66642</v>
          </cell>
          <cell r="G5090" t="str">
            <v>群翊二</v>
          </cell>
          <cell r="H5090">
            <v>100000</v>
          </cell>
          <cell r="I5090">
            <v>3.75</v>
          </cell>
          <cell r="J5090">
            <v>46710</v>
          </cell>
          <cell r="K5090">
            <v>100</v>
          </cell>
          <cell r="L5090">
            <v>46692</v>
          </cell>
          <cell r="M5090">
            <v>-935</v>
          </cell>
          <cell r="N5090">
            <v>99065</v>
          </cell>
        </row>
        <row r="5091">
          <cell r="A5091">
            <v>24361</v>
          </cell>
          <cell r="B5091">
            <v>5085</v>
          </cell>
          <cell r="C5091" t="str">
            <v>IASWD2502000165</v>
          </cell>
          <cell r="D5091">
            <v>45701</v>
          </cell>
          <cell r="E5091">
            <v>45911</v>
          </cell>
          <cell r="F5091" t="str">
            <v>24361</v>
          </cell>
          <cell r="G5091" t="str">
            <v>偉詮電一</v>
          </cell>
          <cell r="H5091">
            <v>200000</v>
          </cell>
          <cell r="I5091">
            <v>3.75</v>
          </cell>
          <cell r="J5091">
            <v>45911</v>
          </cell>
          <cell r="K5091">
            <v>100.50060000000001</v>
          </cell>
          <cell r="L5091">
            <v>45891</v>
          </cell>
          <cell r="M5091">
            <v>-1870</v>
          </cell>
          <cell r="N5091">
            <v>198130</v>
          </cell>
        </row>
        <row r="5092">
          <cell r="A5092">
            <v>27323</v>
          </cell>
          <cell r="B5092">
            <v>5086</v>
          </cell>
          <cell r="C5092" t="str">
            <v>IASWD2502000166</v>
          </cell>
          <cell r="D5092">
            <v>45701</v>
          </cell>
          <cell r="E5092">
            <v>46048</v>
          </cell>
          <cell r="F5092" t="str">
            <v>27323</v>
          </cell>
          <cell r="G5092" t="str">
            <v>六角三</v>
          </cell>
          <cell r="H5092">
            <v>100000</v>
          </cell>
          <cell r="I5092">
            <v>3</v>
          </cell>
          <cell r="J5092">
            <v>46048</v>
          </cell>
          <cell r="K5092">
            <v>101</v>
          </cell>
          <cell r="L5092">
            <v>46028</v>
          </cell>
          <cell r="M5092">
            <v>-748</v>
          </cell>
          <cell r="N5092">
            <v>99252</v>
          </cell>
        </row>
        <row r="5093">
          <cell r="A5093">
            <v>26417</v>
          </cell>
          <cell r="B5093">
            <v>5087</v>
          </cell>
          <cell r="C5093" t="str">
            <v>IASWD2502000167</v>
          </cell>
          <cell r="D5093">
            <v>45701</v>
          </cell>
          <cell r="E5093">
            <v>46594</v>
          </cell>
          <cell r="F5093" t="str">
            <v>26417</v>
          </cell>
          <cell r="G5093" t="str">
            <v>正德七</v>
          </cell>
          <cell r="H5093">
            <v>200000</v>
          </cell>
          <cell r="I5093">
            <v>4</v>
          </cell>
          <cell r="J5093">
            <v>46594</v>
          </cell>
          <cell r="K5093">
            <v>100</v>
          </cell>
          <cell r="L5093">
            <v>46574</v>
          </cell>
          <cell r="M5093">
            <v>-1995</v>
          </cell>
          <cell r="N5093">
            <v>198005</v>
          </cell>
        </row>
        <row r="5094">
          <cell r="A5094">
            <v>68301</v>
          </cell>
          <cell r="B5094">
            <v>5088</v>
          </cell>
          <cell r="C5094" t="str">
            <v>IASWD2502000168</v>
          </cell>
          <cell r="D5094">
            <v>45702</v>
          </cell>
          <cell r="E5094">
            <v>46249</v>
          </cell>
          <cell r="F5094" t="str">
            <v>68301</v>
          </cell>
          <cell r="G5094" t="str">
            <v>汎銓一</v>
          </cell>
          <cell r="H5094">
            <v>100000</v>
          </cell>
          <cell r="I5094">
            <v>3</v>
          </cell>
          <cell r="J5094">
            <v>46249</v>
          </cell>
          <cell r="K5094">
            <v>100</v>
          </cell>
          <cell r="L5094">
            <v>46231</v>
          </cell>
          <cell r="M5094">
            <v>-740</v>
          </cell>
          <cell r="N5094">
            <v>99260</v>
          </cell>
        </row>
        <row r="5095">
          <cell r="A5095">
            <v>35832</v>
          </cell>
          <cell r="B5095">
            <v>5089</v>
          </cell>
          <cell r="C5095" t="str">
            <v>IASWD2502000169</v>
          </cell>
          <cell r="D5095">
            <v>45702</v>
          </cell>
          <cell r="E5095">
            <v>46192</v>
          </cell>
          <cell r="F5095" t="str">
            <v>35832</v>
          </cell>
          <cell r="G5095" t="str">
            <v>辛耘二</v>
          </cell>
          <cell r="H5095">
            <v>200000</v>
          </cell>
          <cell r="I5095">
            <v>3</v>
          </cell>
          <cell r="J5095">
            <v>46192</v>
          </cell>
          <cell r="K5095">
            <v>100</v>
          </cell>
          <cell r="L5095">
            <v>46174</v>
          </cell>
          <cell r="M5095">
            <v>-1479</v>
          </cell>
          <cell r="N5095">
            <v>198521</v>
          </cell>
        </row>
        <row r="5096">
          <cell r="A5096">
            <v>37023</v>
          </cell>
          <cell r="B5096">
            <v>5090</v>
          </cell>
          <cell r="C5096" t="str">
            <v>IASWD2502000170</v>
          </cell>
          <cell r="D5096">
            <v>45702</v>
          </cell>
          <cell r="E5096">
            <v>46712</v>
          </cell>
          <cell r="F5096" t="str">
            <v>37023</v>
          </cell>
          <cell r="G5096" t="str">
            <v>大聯大三</v>
          </cell>
          <cell r="H5096">
            <v>300000</v>
          </cell>
          <cell r="I5096">
            <v>2.7</v>
          </cell>
          <cell r="J5096">
            <v>46712</v>
          </cell>
          <cell r="K5096">
            <v>100</v>
          </cell>
          <cell r="L5096">
            <v>46693</v>
          </cell>
          <cell r="M5096">
            <v>-1997</v>
          </cell>
          <cell r="N5096">
            <v>298003</v>
          </cell>
        </row>
        <row r="5097">
          <cell r="A5097">
            <v>24361</v>
          </cell>
          <cell r="B5097">
            <v>5091</v>
          </cell>
          <cell r="C5097" t="str">
            <v>IASWD2502000171</v>
          </cell>
          <cell r="D5097">
            <v>45702</v>
          </cell>
          <cell r="E5097">
            <v>45911</v>
          </cell>
          <cell r="F5097" t="str">
            <v>24361</v>
          </cell>
          <cell r="G5097" t="str">
            <v>偉詮電一</v>
          </cell>
          <cell r="H5097">
            <v>100000</v>
          </cell>
          <cell r="I5097">
            <v>3.75</v>
          </cell>
          <cell r="J5097">
            <v>45911</v>
          </cell>
          <cell r="K5097">
            <v>100.50060000000001</v>
          </cell>
          <cell r="L5097">
            <v>45891</v>
          </cell>
          <cell r="M5097">
            <v>-925</v>
          </cell>
          <cell r="N5097">
            <v>99075</v>
          </cell>
        </row>
        <row r="5098">
          <cell r="A5098">
            <v>66451</v>
          </cell>
          <cell r="B5098">
            <v>5092</v>
          </cell>
          <cell r="C5098" t="str">
            <v>IASWD2502000172</v>
          </cell>
          <cell r="D5098">
            <v>45702</v>
          </cell>
          <cell r="E5098">
            <v>46360</v>
          </cell>
          <cell r="F5098" t="str">
            <v>66451</v>
          </cell>
          <cell r="G5098" t="str">
            <v>金萬林一創</v>
          </cell>
          <cell r="H5098">
            <v>1000000</v>
          </cell>
          <cell r="I5098">
            <v>2.2999999999999998</v>
          </cell>
          <cell r="J5098">
            <v>46360</v>
          </cell>
          <cell r="K5098">
            <v>102</v>
          </cell>
          <cell r="L5098">
            <v>46342</v>
          </cell>
          <cell r="M5098">
            <v>-5671</v>
          </cell>
          <cell r="N5098">
            <v>994329</v>
          </cell>
        </row>
        <row r="5099">
          <cell r="A5099">
            <v>33121</v>
          </cell>
          <cell r="B5099">
            <v>5093</v>
          </cell>
          <cell r="C5099" t="str">
            <v>IASWD2502000173</v>
          </cell>
          <cell r="D5099">
            <v>45702</v>
          </cell>
          <cell r="E5099">
            <v>46563</v>
          </cell>
          <cell r="F5099" t="str">
            <v>33121</v>
          </cell>
          <cell r="G5099" t="str">
            <v>弘憶股一</v>
          </cell>
          <cell r="H5099">
            <v>200000</v>
          </cell>
          <cell r="I5099">
            <v>3.35</v>
          </cell>
          <cell r="J5099">
            <v>46563</v>
          </cell>
          <cell r="K5099">
            <v>100</v>
          </cell>
          <cell r="L5099">
            <v>46545</v>
          </cell>
          <cell r="M5099">
            <v>-1652</v>
          </cell>
          <cell r="N5099">
            <v>198348</v>
          </cell>
        </row>
        <row r="5100">
          <cell r="A5100">
            <v>37022</v>
          </cell>
          <cell r="B5100">
            <v>5094</v>
          </cell>
          <cell r="C5100" t="str">
            <v>IASWD2502000174</v>
          </cell>
          <cell r="D5100">
            <v>45702</v>
          </cell>
          <cell r="E5100">
            <v>46702</v>
          </cell>
          <cell r="F5100" t="str">
            <v>37022</v>
          </cell>
          <cell r="G5100" t="str">
            <v>大聯大二</v>
          </cell>
          <cell r="H5100">
            <v>300000</v>
          </cell>
          <cell r="I5100">
            <v>2.7</v>
          </cell>
          <cell r="J5100">
            <v>46702</v>
          </cell>
          <cell r="K5100">
            <v>100</v>
          </cell>
          <cell r="L5100">
            <v>46682</v>
          </cell>
          <cell r="M5100">
            <v>-1997</v>
          </cell>
          <cell r="N5100">
            <v>298003</v>
          </cell>
        </row>
        <row r="5101">
          <cell r="A5101">
            <v>64145</v>
          </cell>
          <cell r="B5101">
            <v>5095</v>
          </cell>
          <cell r="C5101" t="str">
            <v>IASWD2502000175</v>
          </cell>
          <cell r="D5101">
            <v>45702</v>
          </cell>
          <cell r="E5101">
            <v>46250</v>
          </cell>
          <cell r="F5101" t="str">
            <v>64145</v>
          </cell>
          <cell r="G5101" t="str">
            <v>樺漢五</v>
          </cell>
          <cell r="H5101">
            <v>200000</v>
          </cell>
          <cell r="I5101">
            <v>3</v>
          </cell>
          <cell r="J5101">
            <v>46250</v>
          </cell>
          <cell r="K5101">
            <v>100</v>
          </cell>
          <cell r="L5101">
            <v>46231</v>
          </cell>
          <cell r="M5101">
            <v>-1479</v>
          </cell>
          <cell r="N5101">
            <v>198521</v>
          </cell>
        </row>
        <row r="5102">
          <cell r="A5102">
            <v>45721</v>
          </cell>
          <cell r="B5102">
            <v>5096</v>
          </cell>
          <cell r="C5102" t="str">
            <v>IASWD2502000176</v>
          </cell>
          <cell r="D5102">
            <v>45702</v>
          </cell>
          <cell r="E5102">
            <v>46219</v>
          </cell>
          <cell r="F5102" t="str">
            <v>45721</v>
          </cell>
          <cell r="G5102" t="str">
            <v>駐龍一</v>
          </cell>
          <cell r="H5102">
            <v>100000</v>
          </cell>
          <cell r="I5102">
            <v>3.5</v>
          </cell>
          <cell r="J5102">
            <v>46219</v>
          </cell>
          <cell r="K5102">
            <v>100</v>
          </cell>
          <cell r="L5102">
            <v>46199</v>
          </cell>
          <cell r="M5102">
            <v>-863</v>
          </cell>
          <cell r="N5102">
            <v>99137</v>
          </cell>
        </row>
        <row r="5103">
          <cell r="A5103">
            <v>34912</v>
          </cell>
          <cell r="B5103">
            <v>5097</v>
          </cell>
          <cell r="C5103" t="str">
            <v>IASWD2502000177</v>
          </cell>
          <cell r="D5103">
            <v>45702</v>
          </cell>
          <cell r="E5103">
            <v>46627</v>
          </cell>
          <cell r="F5103" t="str">
            <v>34912</v>
          </cell>
          <cell r="G5103" t="str">
            <v>昇達科二</v>
          </cell>
          <cell r="H5103">
            <v>200000</v>
          </cell>
          <cell r="I5103">
            <v>3</v>
          </cell>
          <cell r="J5103">
            <v>46627</v>
          </cell>
          <cell r="K5103">
            <v>100</v>
          </cell>
          <cell r="L5103">
            <v>46609</v>
          </cell>
          <cell r="M5103">
            <v>-1479</v>
          </cell>
          <cell r="N5103">
            <v>198521</v>
          </cell>
        </row>
        <row r="5104">
          <cell r="A5104">
            <v>35832</v>
          </cell>
          <cell r="B5104">
            <v>5098</v>
          </cell>
          <cell r="C5104" t="str">
            <v>IASWD2502000178</v>
          </cell>
          <cell r="D5104">
            <v>45702</v>
          </cell>
          <cell r="E5104">
            <v>46192</v>
          </cell>
          <cell r="F5104" t="str">
            <v>35832</v>
          </cell>
          <cell r="G5104" t="str">
            <v>辛耘二</v>
          </cell>
          <cell r="H5104">
            <v>100000</v>
          </cell>
          <cell r="I5104">
            <v>3</v>
          </cell>
          <cell r="J5104">
            <v>46192</v>
          </cell>
          <cell r="K5104">
            <v>100</v>
          </cell>
          <cell r="L5104">
            <v>46174</v>
          </cell>
          <cell r="M5104">
            <v>-740</v>
          </cell>
          <cell r="N5104">
            <v>99260</v>
          </cell>
        </row>
        <row r="5105">
          <cell r="A5105">
            <v>34912</v>
          </cell>
          <cell r="B5105">
            <v>5099</v>
          </cell>
          <cell r="C5105" t="str">
            <v>IASWD2502000179</v>
          </cell>
          <cell r="D5105">
            <v>45702</v>
          </cell>
          <cell r="E5105">
            <v>46627</v>
          </cell>
          <cell r="F5105" t="str">
            <v>34912</v>
          </cell>
          <cell r="G5105" t="str">
            <v>昇達科二</v>
          </cell>
          <cell r="H5105">
            <v>200000</v>
          </cell>
          <cell r="I5105">
            <v>3</v>
          </cell>
          <cell r="J5105">
            <v>46627</v>
          </cell>
          <cell r="K5105">
            <v>100</v>
          </cell>
          <cell r="L5105">
            <v>46609</v>
          </cell>
          <cell r="M5105">
            <v>-1479</v>
          </cell>
          <cell r="N5105">
            <v>198521</v>
          </cell>
        </row>
        <row r="5106">
          <cell r="A5106">
            <v>31413</v>
          </cell>
          <cell r="B5106">
            <v>5100</v>
          </cell>
          <cell r="C5106" t="str">
            <v>IASWD2502000180</v>
          </cell>
          <cell r="D5106">
            <v>45702</v>
          </cell>
          <cell r="E5106">
            <v>46162</v>
          </cell>
          <cell r="F5106" t="str">
            <v>31413</v>
          </cell>
          <cell r="G5106" t="str">
            <v>晶宏三</v>
          </cell>
          <cell r="H5106">
            <v>300000</v>
          </cell>
          <cell r="I5106">
            <v>4</v>
          </cell>
          <cell r="J5106">
            <v>46162</v>
          </cell>
          <cell r="K5106">
            <v>100</v>
          </cell>
          <cell r="L5106">
            <v>46142</v>
          </cell>
          <cell r="M5106">
            <v>-2959</v>
          </cell>
          <cell r="N5106">
            <v>297041</v>
          </cell>
        </row>
        <row r="5107">
          <cell r="A5107">
            <v>80506</v>
          </cell>
          <cell r="B5107">
            <v>5101</v>
          </cell>
          <cell r="C5107" t="str">
            <v>IASWD2502000181</v>
          </cell>
          <cell r="D5107">
            <v>45705</v>
          </cell>
          <cell r="E5107">
            <v>45983</v>
          </cell>
          <cell r="F5107" t="str">
            <v>80506</v>
          </cell>
          <cell r="G5107" t="str">
            <v>廣積六</v>
          </cell>
          <cell r="H5107">
            <v>1000000</v>
          </cell>
          <cell r="I5107">
            <v>3.25</v>
          </cell>
          <cell r="J5107">
            <v>45983</v>
          </cell>
          <cell r="K5107">
            <v>100.75</v>
          </cell>
          <cell r="L5107">
            <v>45965</v>
          </cell>
          <cell r="M5107">
            <v>-7747</v>
          </cell>
          <cell r="N5107">
            <v>992253</v>
          </cell>
        </row>
        <row r="5108">
          <cell r="A5108">
            <v>37022</v>
          </cell>
          <cell r="B5108">
            <v>5102</v>
          </cell>
          <cell r="C5108" t="str">
            <v>IASWD2502000182</v>
          </cell>
          <cell r="D5108">
            <v>45705</v>
          </cell>
          <cell r="E5108">
            <v>46702</v>
          </cell>
          <cell r="F5108" t="str">
            <v>37022</v>
          </cell>
          <cell r="G5108" t="str">
            <v>大聯大二</v>
          </cell>
          <cell r="H5108">
            <v>100000</v>
          </cell>
          <cell r="I5108">
            <v>2.7</v>
          </cell>
          <cell r="J5108">
            <v>46702</v>
          </cell>
          <cell r="K5108">
            <v>100</v>
          </cell>
          <cell r="L5108">
            <v>46682</v>
          </cell>
          <cell r="M5108">
            <v>-644</v>
          </cell>
          <cell r="N5108">
            <v>99356</v>
          </cell>
        </row>
        <row r="5109">
          <cell r="A5109">
            <v>31413</v>
          </cell>
          <cell r="B5109">
            <v>5103</v>
          </cell>
          <cell r="C5109" t="str">
            <v>IASWD2502000183</v>
          </cell>
          <cell r="D5109">
            <v>45705</v>
          </cell>
          <cell r="E5109">
            <v>46162</v>
          </cell>
          <cell r="F5109" t="str">
            <v>31413</v>
          </cell>
          <cell r="G5109" t="str">
            <v>晶宏三</v>
          </cell>
          <cell r="H5109">
            <v>100000</v>
          </cell>
          <cell r="I5109">
            <v>4</v>
          </cell>
          <cell r="J5109">
            <v>46162</v>
          </cell>
          <cell r="K5109">
            <v>100</v>
          </cell>
          <cell r="L5109">
            <v>46142</v>
          </cell>
          <cell r="M5109">
            <v>-953</v>
          </cell>
          <cell r="N5109">
            <v>99047</v>
          </cell>
        </row>
        <row r="5110">
          <cell r="A5110">
            <v>24361</v>
          </cell>
          <cell r="B5110">
            <v>5104</v>
          </cell>
          <cell r="C5110" t="str">
            <v>IASWD2502000184</v>
          </cell>
          <cell r="D5110">
            <v>45705</v>
          </cell>
          <cell r="E5110">
            <v>45911</v>
          </cell>
          <cell r="F5110" t="str">
            <v>24361</v>
          </cell>
          <cell r="G5110" t="str">
            <v>偉詮電一</v>
          </cell>
          <cell r="H5110">
            <v>600000</v>
          </cell>
          <cell r="I5110">
            <v>3.75</v>
          </cell>
          <cell r="J5110">
            <v>45911</v>
          </cell>
          <cell r="K5110">
            <v>100.50060000000001</v>
          </cell>
          <cell r="L5110">
            <v>45891</v>
          </cell>
          <cell r="M5110">
            <v>-5363</v>
          </cell>
          <cell r="N5110">
            <v>594637</v>
          </cell>
        </row>
        <row r="5111">
          <cell r="A5111">
            <v>64145</v>
          </cell>
          <cell r="B5111">
            <v>5105</v>
          </cell>
          <cell r="C5111" t="str">
            <v>IASWD2502000185</v>
          </cell>
          <cell r="D5111">
            <v>45705</v>
          </cell>
          <cell r="E5111">
            <v>46250</v>
          </cell>
          <cell r="F5111" t="str">
            <v>64145</v>
          </cell>
          <cell r="G5111" t="str">
            <v>樺漢五</v>
          </cell>
          <cell r="H5111">
            <v>500000</v>
          </cell>
          <cell r="I5111">
            <v>3</v>
          </cell>
          <cell r="J5111">
            <v>46250</v>
          </cell>
          <cell r="K5111">
            <v>100</v>
          </cell>
          <cell r="L5111">
            <v>46231</v>
          </cell>
          <cell r="M5111">
            <v>-3575</v>
          </cell>
          <cell r="N5111">
            <v>496425</v>
          </cell>
        </row>
        <row r="5112">
          <cell r="A5112">
            <v>64145</v>
          </cell>
          <cell r="B5112">
            <v>5106</v>
          </cell>
          <cell r="C5112" t="str">
            <v>IASWD2502000186</v>
          </cell>
          <cell r="D5112">
            <v>45705</v>
          </cell>
          <cell r="E5112">
            <v>46250</v>
          </cell>
          <cell r="F5112" t="str">
            <v>64145</v>
          </cell>
          <cell r="G5112" t="str">
            <v>樺漢五</v>
          </cell>
          <cell r="H5112">
            <v>100000</v>
          </cell>
          <cell r="I5112">
            <v>3</v>
          </cell>
          <cell r="J5112">
            <v>46250</v>
          </cell>
          <cell r="K5112">
            <v>100</v>
          </cell>
          <cell r="L5112">
            <v>46231</v>
          </cell>
          <cell r="M5112">
            <v>-715</v>
          </cell>
          <cell r="N5112">
            <v>99285</v>
          </cell>
        </row>
        <row r="5113">
          <cell r="A5113">
            <v>24361</v>
          </cell>
          <cell r="B5113">
            <v>5107</v>
          </cell>
          <cell r="C5113" t="str">
            <v>IASWD2502000187</v>
          </cell>
          <cell r="D5113">
            <v>45705</v>
          </cell>
          <cell r="E5113">
            <v>45911</v>
          </cell>
          <cell r="F5113" t="str">
            <v>24361</v>
          </cell>
          <cell r="G5113" t="str">
            <v>偉詮電一</v>
          </cell>
          <cell r="H5113">
            <v>500000</v>
          </cell>
          <cell r="I5113">
            <v>3.75</v>
          </cell>
          <cell r="J5113">
            <v>45911</v>
          </cell>
          <cell r="K5113">
            <v>100.50060000000001</v>
          </cell>
          <cell r="L5113">
            <v>45891</v>
          </cell>
          <cell r="M5113">
            <v>-4469</v>
          </cell>
          <cell r="N5113">
            <v>495531</v>
          </cell>
        </row>
        <row r="5114">
          <cell r="A5114">
            <v>45721</v>
          </cell>
          <cell r="B5114">
            <v>5108</v>
          </cell>
          <cell r="C5114" t="str">
            <v>IASWD2502000188</v>
          </cell>
          <cell r="D5114">
            <v>45705</v>
          </cell>
          <cell r="E5114">
            <v>46219</v>
          </cell>
          <cell r="F5114" t="str">
            <v>45721</v>
          </cell>
          <cell r="G5114" t="str">
            <v>駐龍一</v>
          </cell>
          <cell r="H5114">
            <v>100000</v>
          </cell>
          <cell r="I5114">
            <v>3.5</v>
          </cell>
          <cell r="J5114">
            <v>46219</v>
          </cell>
          <cell r="K5114">
            <v>100</v>
          </cell>
          <cell r="L5114">
            <v>46199</v>
          </cell>
          <cell r="M5114">
            <v>-834</v>
          </cell>
          <cell r="N5114">
            <v>99166</v>
          </cell>
        </row>
        <row r="5115">
          <cell r="A5115">
            <v>24361</v>
          </cell>
          <cell r="B5115">
            <v>5109</v>
          </cell>
          <cell r="C5115" t="str">
            <v>IASWD2502000189</v>
          </cell>
          <cell r="D5115">
            <v>45705</v>
          </cell>
          <cell r="E5115">
            <v>45911</v>
          </cell>
          <cell r="F5115" t="str">
            <v>24361</v>
          </cell>
          <cell r="G5115" t="str">
            <v>偉詮電一</v>
          </cell>
          <cell r="H5115">
            <v>200000</v>
          </cell>
          <cell r="I5115">
            <v>3.75</v>
          </cell>
          <cell r="J5115">
            <v>45911</v>
          </cell>
          <cell r="K5115">
            <v>100.50060000000001</v>
          </cell>
          <cell r="L5115">
            <v>45891</v>
          </cell>
          <cell r="M5115">
            <v>-1788</v>
          </cell>
          <cell r="N5115">
            <v>198212</v>
          </cell>
        </row>
        <row r="5116">
          <cell r="A5116">
            <v>64145</v>
          </cell>
          <cell r="B5116">
            <v>5110</v>
          </cell>
          <cell r="C5116" t="str">
            <v>IASWD2502000190</v>
          </cell>
          <cell r="D5116">
            <v>45705</v>
          </cell>
          <cell r="E5116">
            <v>46250</v>
          </cell>
          <cell r="F5116" t="str">
            <v>64145</v>
          </cell>
          <cell r="G5116" t="str">
            <v>樺漢五</v>
          </cell>
          <cell r="H5116">
            <v>100000</v>
          </cell>
          <cell r="I5116">
            <v>3</v>
          </cell>
          <cell r="J5116">
            <v>46250</v>
          </cell>
          <cell r="K5116">
            <v>100</v>
          </cell>
          <cell r="L5116">
            <v>46231</v>
          </cell>
          <cell r="M5116">
            <v>-715</v>
          </cell>
          <cell r="N5116">
            <v>99285</v>
          </cell>
        </row>
        <row r="5117">
          <cell r="A5117">
            <v>45721</v>
          </cell>
          <cell r="B5117">
            <v>5111</v>
          </cell>
          <cell r="C5117" t="str">
            <v>IASWD2502000191</v>
          </cell>
          <cell r="D5117">
            <v>45705</v>
          </cell>
          <cell r="E5117">
            <v>46219</v>
          </cell>
          <cell r="F5117" t="str">
            <v>45721</v>
          </cell>
          <cell r="G5117" t="str">
            <v>駐龍一</v>
          </cell>
          <cell r="H5117">
            <v>100000</v>
          </cell>
          <cell r="I5117">
            <v>3.5</v>
          </cell>
          <cell r="J5117">
            <v>46219</v>
          </cell>
          <cell r="K5117">
            <v>100</v>
          </cell>
          <cell r="L5117">
            <v>46199</v>
          </cell>
          <cell r="M5117">
            <v>-834</v>
          </cell>
          <cell r="N5117">
            <v>99166</v>
          </cell>
        </row>
        <row r="5118">
          <cell r="A5118">
            <v>67152</v>
          </cell>
          <cell r="B5118">
            <v>5112</v>
          </cell>
          <cell r="C5118" t="str">
            <v>IASWD2502000192</v>
          </cell>
          <cell r="D5118">
            <v>45705</v>
          </cell>
          <cell r="E5118">
            <v>46405</v>
          </cell>
          <cell r="F5118" t="str">
            <v>67152</v>
          </cell>
          <cell r="G5118" t="str">
            <v>嘉基二</v>
          </cell>
          <cell r="H5118">
            <v>100000</v>
          </cell>
          <cell r="I5118">
            <v>3</v>
          </cell>
          <cell r="J5118">
            <v>46405</v>
          </cell>
          <cell r="K5118">
            <v>100</v>
          </cell>
          <cell r="L5118">
            <v>46385</v>
          </cell>
          <cell r="M5118">
            <v>-715</v>
          </cell>
          <cell r="N5118">
            <v>99285</v>
          </cell>
        </row>
        <row r="5119">
          <cell r="A5119">
            <v>37022</v>
          </cell>
          <cell r="B5119">
            <v>5113</v>
          </cell>
          <cell r="C5119" t="str">
            <v>IASWD2502000193</v>
          </cell>
          <cell r="D5119">
            <v>45706</v>
          </cell>
          <cell r="E5119">
            <v>46702</v>
          </cell>
          <cell r="F5119" t="str">
            <v>37022</v>
          </cell>
          <cell r="G5119" t="str">
            <v>大聯大二</v>
          </cell>
          <cell r="H5119">
            <v>200000</v>
          </cell>
          <cell r="I5119">
            <v>2.7</v>
          </cell>
          <cell r="J5119">
            <v>46702</v>
          </cell>
          <cell r="K5119">
            <v>100</v>
          </cell>
          <cell r="L5119">
            <v>46682</v>
          </cell>
          <cell r="M5119">
            <v>-1272</v>
          </cell>
          <cell r="N5119">
            <v>198728</v>
          </cell>
        </row>
        <row r="5120">
          <cell r="A5120">
            <v>61843</v>
          </cell>
          <cell r="B5120">
            <v>5114</v>
          </cell>
          <cell r="C5120" t="str">
            <v>IASWD2502000194</v>
          </cell>
          <cell r="D5120">
            <v>45706</v>
          </cell>
          <cell r="E5120">
            <v>46452</v>
          </cell>
          <cell r="F5120" t="str">
            <v>61843</v>
          </cell>
          <cell r="G5120" t="str">
            <v>大豐電三</v>
          </cell>
          <cell r="H5120">
            <v>100000</v>
          </cell>
          <cell r="I5120">
            <v>3.75</v>
          </cell>
          <cell r="J5120">
            <v>46452</v>
          </cell>
          <cell r="K5120">
            <v>101.50749999999999</v>
          </cell>
          <cell r="L5120">
            <v>46434</v>
          </cell>
          <cell r="M5120">
            <v>-884</v>
          </cell>
          <cell r="N5120">
            <v>99116</v>
          </cell>
        </row>
        <row r="5121">
          <cell r="A5121">
            <v>37023</v>
          </cell>
          <cell r="B5121">
            <v>5115</v>
          </cell>
          <cell r="C5121" t="str">
            <v>IASWD2502000195</v>
          </cell>
          <cell r="D5121">
            <v>45706</v>
          </cell>
          <cell r="E5121">
            <v>46712</v>
          </cell>
          <cell r="F5121" t="str">
            <v>37023</v>
          </cell>
          <cell r="G5121" t="str">
            <v>大聯大三</v>
          </cell>
          <cell r="H5121">
            <v>600000</v>
          </cell>
          <cell r="I5121">
            <v>2.7</v>
          </cell>
          <cell r="J5121">
            <v>46712</v>
          </cell>
          <cell r="K5121">
            <v>100</v>
          </cell>
          <cell r="L5121">
            <v>46693</v>
          </cell>
          <cell r="M5121">
            <v>-3817</v>
          </cell>
          <cell r="N5121">
            <v>596183</v>
          </cell>
        </row>
        <row r="5122">
          <cell r="A5122">
            <v>24361</v>
          </cell>
          <cell r="B5122">
            <v>5116</v>
          </cell>
          <cell r="C5122" t="str">
            <v>IASWD2502000196</v>
          </cell>
          <cell r="D5122">
            <v>45706</v>
          </cell>
          <cell r="E5122">
            <v>45911</v>
          </cell>
          <cell r="F5122" t="str">
            <v>24361</v>
          </cell>
          <cell r="G5122" t="str">
            <v>偉詮電一</v>
          </cell>
          <cell r="H5122">
            <v>100000</v>
          </cell>
          <cell r="I5122">
            <v>3.75</v>
          </cell>
          <cell r="J5122">
            <v>45911</v>
          </cell>
          <cell r="K5122">
            <v>100.50060000000001</v>
          </cell>
          <cell r="L5122">
            <v>45891</v>
          </cell>
          <cell r="M5122">
            <v>-884</v>
          </cell>
          <cell r="N5122">
            <v>99116</v>
          </cell>
        </row>
        <row r="5123">
          <cell r="A5123">
            <v>21043</v>
          </cell>
          <cell r="B5123">
            <v>5117</v>
          </cell>
          <cell r="C5123" t="str">
            <v>IASWD2502000198</v>
          </cell>
          <cell r="D5123">
            <v>45706</v>
          </cell>
          <cell r="E5123">
            <v>46308</v>
          </cell>
          <cell r="F5123" t="str">
            <v>21043</v>
          </cell>
          <cell r="G5123" t="str">
            <v>國際中橡三</v>
          </cell>
          <cell r="H5123">
            <v>1000000</v>
          </cell>
          <cell r="I5123">
            <v>2.8</v>
          </cell>
          <cell r="J5123">
            <v>46308</v>
          </cell>
          <cell r="K5123">
            <v>100.9</v>
          </cell>
          <cell r="L5123">
            <v>46288</v>
          </cell>
          <cell r="M5123">
            <v>-6597</v>
          </cell>
          <cell r="N5123">
            <v>993403</v>
          </cell>
        </row>
        <row r="5124">
          <cell r="A5124">
            <v>61843</v>
          </cell>
          <cell r="B5124">
            <v>5118</v>
          </cell>
          <cell r="C5124" t="str">
            <v>IASWD2502000199</v>
          </cell>
          <cell r="D5124">
            <v>45706</v>
          </cell>
          <cell r="E5124">
            <v>46452</v>
          </cell>
          <cell r="F5124" t="str">
            <v>61843</v>
          </cell>
          <cell r="G5124" t="str">
            <v>大豐電三</v>
          </cell>
          <cell r="H5124">
            <v>100000</v>
          </cell>
          <cell r="I5124">
            <v>3.75</v>
          </cell>
          <cell r="J5124">
            <v>46452</v>
          </cell>
          <cell r="K5124">
            <v>101.50749999999999</v>
          </cell>
          <cell r="L5124">
            <v>46434</v>
          </cell>
          <cell r="M5124">
            <v>-884</v>
          </cell>
          <cell r="N5124">
            <v>99116</v>
          </cell>
        </row>
        <row r="5125">
          <cell r="A5125">
            <v>80914</v>
          </cell>
          <cell r="B5125">
            <v>5119</v>
          </cell>
          <cell r="C5125" t="str">
            <v>IASWD2502000200</v>
          </cell>
          <cell r="D5125">
            <v>45706</v>
          </cell>
          <cell r="E5125">
            <v>46249</v>
          </cell>
          <cell r="F5125" t="str">
            <v>80914</v>
          </cell>
          <cell r="G5125" t="str">
            <v>翔名四</v>
          </cell>
          <cell r="H5125">
            <v>100000</v>
          </cell>
          <cell r="I5125">
            <v>3</v>
          </cell>
          <cell r="J5125">
            <v>46249</v>
          </cell>
          <cell r="K5125">
            <v>100.25</v>
          </cell>
          <cell r="L5125">
            <v>46231</v>
          </cell>
          <cell r="M5125">
            <v>-707</v>
          </cell>
          <cell r="N5125">
            <v>99293</v>
          </cell>
        </row>
        <row r="5126">
          <cell r="A5126">
            <v>31413</v>
          </cell>
          <cell r="B5126">
            <v>5120</v>
          </cell>
          <cell r="C5126" t="str">
            <v>IASWD2502000201</v>
          </cell>
          <cell r="D5126">
            <v>45706</v>
          </cell>
          <cell r="E5126">
            <v>46162</v>
          </cell>
          <cell r="F5126" t="str">
            <v>31413</v>
          </cell>
          <cell r="G5126" t="str">
            <v>晶宏三</v>
          </cell>
          <cell r="H5126">
            <v>100000</v>
          </cell>
          <cell r="I5126">
            <v>4</v>
          </cell>
          <cell r="J5126">
            <v>46162</v>
          </cell>
          <cell r="K5126">
            <v>100</v>
          </cell>
          <cell r="L5126">
            <v>46142</v>
          </cell>
          <cell r="M5126">
            <v>-942</v>
          </cell>
          <cell r="N5126">
            <v>99058</v>
          </cell>
        </row>
        <row r="5127">
          <cell r="A5127">
            <v>66642</v>
          </cell>
          <cell r="B5127">
            <v>5121</v>
          </cell>
          <cell r="C5127" t="str">
            <v>IASWD2502000202</v>
          </cell>
          <cell r="D5127">
            <v>45706</v>
          </cell>
          <cell r="E5127">
            <v>46710</v>
          </cell>
          <cell r="F5127" t="str">
            <v>66642</v>
          </cell>
          <cell r="G5127" t="str">
            <v>群翊二</v>
          </cell>
          <cell r="H5127">
            <v>300000</v>
          </cell>
          <cell r="I5127">
            <v>3.75</v>
          </cell>
          <cell r="J5127">
            <v>46710</v>
          </cell>
          <cell r="K5127">
            <v>100</v>
          </cell>
          <cell r="L5127">
            <v>46692</v>
          </cell>
          <cell r="M5127">
            <v>-2651</v>
          </cell>
          <cell r="N5127">
            <v>297349</v>
          </cell>
        </row>
        <row r="5128">
          <cell r="A5128">
            <v>35832</v>
          </cell>
          <cell r="B5128">
            <v>5122</v>
          </cell>
          <cell r="C5128" t="str">
            <v>IASWD2502000203</v>
          </cell>
          <cell r="D5128">
            <v>45706</v>
          </cell>
          <cell r="E5128">
            <v>46192</v>
          </cell>
          <cell r="F5128" t="str">
            <v>35832</v>
          </cell>
          <cell r="G5128" t="str">
            <v>辛耘二</v>
          </cell>
          <cell r="H5128">
            <v>100000</v>
          </cell>
          <cell r="I5128">
            <v>3</v>
          </cell>
          <cell r="J5128">
            <v>46192</v>
          </cell>
          <cell r="K5128">
            <v>100</v>
          </cell>
          <cell r="L5128">
            <v>46174</v>
          </cell>
          <cell r="M5128">
            <v>-707</v>
          </cell>
          <cell r="N5128">
            <v>99293</v>
          </cell>
        </row>
        <row r="5129">
          <cell r="A5129">
            <v>80914</v>
          </cell>
          <cell r="B5129">
            <v>5123</v>
          </cell>
          <cell r="C5129" t="str">
            <v>IASWD2502000204</v>
          </cell>
          <cell r="D5129">
            <v>45706</v>
          </cell>
          <cell r="E5129">
            <v>46249</v>
          </cell>
          <cell r="F5129" t="str">
            <v>80914</v>
          </cell>
          <cell r="G5129" t="str">
            <v>翔名四</v>
          </cell>
          <cell r="H5129">
            <v>100000</v>
          </cell>
          <cell r="I5129">
            <v>3</v>
          </cell>
          <cell r="J5129">
            <v>46249</v>
          </cell>
          <cell r="K5129">
            <v>100.25</v>
          </cell>
          <cell r="L5129">
            <v>46231</v>
          </cell>
          <cell r="M5129">
            <v>-707</v>
          </cell>
          <cell r="N5129">
            <v>99293</v>
          </cell>
        </row>
        <row r="5130">
          <cell r="A5130">
            <v>24361</v>
          </cell>
          <cell r="B5130">
            <v>5124</v>
          </cell>
          <cell r="C5130" t="str">
            <v>IASWD2502000205</v>
          </cell>
          <cell r="D5130">
            <v>45706</v>
          </cell>
          <cell r="E5130">
            <v>45911</v>
          </cell>
          <cell r="F5130" t="str">
            <v>24361</v>
          </cell>
          <cell r="G5130" t="str">
            <v>偉詮電一</v>
          </cell>
          <cell r="H5130">
            <v>200000</v>
          </cell>
          <cell r="I5130">
            <v>3.75</v>
          </cell>
          <cell r="J5130">
            <v>45911</v>
          </cell>
          <cell r="K5130">
            <v>100.50060000000001</v>
          </cell>
          <cell r="L5130">
            <v>45891</v>
          </cell>
          <cell r="M5130">
            <v>-1767</v>
          </cell>
          <cell r="N5130">
            <v>198233</v>
          </cell>
        </row>
        <row r="5131">
          <cell r="A5131">
            <v>35832</v>
          </cell>
          <cell r="B5131">
            <v>5125</v>
          </cell>
          <cell r="C5131" t="str">
            <v>IASWD2502000206</v>
          </cell>
          <cell r="D5131">
            <v>45706</v>
          </cell>
          <cell r="E5131">
            <v>46192</v>
          </cell>
          <cell r="F5131" t="str">
            <v>35832</v>
          </cell>
          <cell r="G5131" t="str">
            <v>辛耘二</v>
          </cell>
          <cell r="H5131">
            <v>200000</v>
          </cell>
          <cell r="I5131">
            <v>3</v>
          </cell>
          <cell r="J5131">
            <v>46192</v>
          </cell>
          <cell r="K5131">
            <v>100</v>
          </cell>
          <cell r="L5131">
            <v>46174</v>
          </cell>
          <cell r="M5131">
            <v>-1414</v>
          </cell>
          <cell r="N5131">
            <v>198586</v>
          </cell>
        </row>
        <row r="5132">
          <cell r="A5132">
            <v>61965</v>
          </cell>
          <cell r="B5132">
            <v>5126</v>
          </cell>
          <cell r="C5132" t="str">
            <v>IASWD2502000207</v>
          </cell>
          <cell r="D5132">
            <v>45706</v>
          </cell>
          <cell r="E5132">
            <v>46200</v>
          </cell>
          <cell r="F5132" t="str">
            <v>61965</v>
          </cell>
          <cell r="G5132" t="str">
            <v>帆宣五</v>
          </cell>
          <cell r="H5132">
            <v>200000</v>
          </cell>
          <cell r="I5132">
            <v>3</v>
          </cell>
          <cell r="J5132">
            <v>46200</v>
          </cell>
          <cell r="K5132">
            <v>100</v>
          </cell>
          <cell r="L5132">
            <v>46182</v>
          </cell>
          <cell r="M5132">
            <v>-1414</v>
          </cell>
          <cell r="N5132">
            <v>198586</v>
          </cell>
        </row>
        <row r="5133">
          <cell r="A5133">
            <v>45721</v>
          </cell>
          <cell r="B5133">
            <v>5127</v>
          </cell>
          <cell r="C5133" t="str">
            <v>IASWD2502000208</v>
          </cell>
          <cell r="D5133">
            <v>45706</v>
          </cell>
          <cell r="E5133">
            <v>46219</v>
          </cell>
          <cell r="F5133" t="str">
            <v>45721</v>
          </cell>
          <cell r="G5133" t="str">
            <v>駐龍一</v>
          </cell>
          <cell r="H5133">
            <v>100000</v>
          </cell>
          <cell r="I5133">
            <v>3.5</v>
          </cell>
          <cell r="J5133">
            <v>46219</v>
          </cell>
          <cell r="K5133">
            <v>100</v>
          </cell>
          <cell r="L5133">
            <v>46199</v>
          </cell>
          <cell r="M5133">
            <v>-825</v>
          </cell>
          <cell r="N5133">
            <v>99175</v>
          </cell>
        </row>
        <row r="5134">
          <cell r="A5134">
            <v>61965</v>
          </cell>
          <cell r="B5134">
            <v>5128</v>
          </cell>
          <cell r="C5134" t="str">
            <v>IASWD2502000209</v>
          </cell>
          <cell r="D5134">
            <v>45706</v>
          </cell>
          <cell r="E5134">
            <v>46200</v>
          </cell>
          <cell r="F5134" t="str">
            <v>61965</v>
          </cell>
          <cell r="G5134" t="str">
            <v>帆宣五</v>
          </cell>
          <cell r="H5134">
            <v>100000</v>
          </cell>
          <cell r="I5134">
            <v>3</v>
          </cell>
          <cell r="J5134">
            <v>46200</v>
          </cell>
          <cell r="K5134">
            <v>100</v>
          </cell>
          <cell r="L5134">
            <v>46182</v>
          </cell>
          <cell r="M5134">
            <v>-707</v>
          </cell>
          <cell r="N5134">
            <v>99293</v>
          </cell>
        </row>
        <row r="5135">
          <cell r="A5135">
            <v>61973</v>
          </cell>
          <cell r="B5135">
            <v>5129</v>
          </cell>
          <cell r="C5135" t="str">
            <v>IASWD2502000210</v>
          </cell>
          <cell r="D5135">
            <v>45706</v>
          </cell>
          <cell r="E5135">
            <v>46675</v>
          </cell>
          <cell r="F5135" t="str">
            <v>61973</v>
          </cell>
          <cell r="G5135" t="str">
            <v>佳必琪三</v>
          </cell>
          <cell r="H5135">
            <v>300000</v>
          </cell>
          <cell r="I5135">
            <v>3</v>
          </cell>
          <cell r="J5135">
            <v>46675</v>
          </cell>
          <cell r="K5135">
            <v>100</v>
          </cell>
          <cell r="L5135">
            <v>46657</v>
          </cell>
          <cell r="M5135">
            <v>-2121</v>
          </cell>
          <cell r="N5135">
            <v>297879</v>
          </cell>
        </row>
        <row r="5136">
          <cell r="A5136">
            <v>61965</v>
          </cell>
          <cell r="B5136">
            <v>5130</v>
          </cell>
          <cell r="C5136" t="str">
            <v>IASWD2502000211</v>
          </cell>
          <cell r="D5136">
            <v>45706</v>
          </cell>
          <cell r="E5136">
            <v>46200</v>
          </cell>
          <cell r="F5136" t="str">
            <v>61965</v>
          </cell>
          <cell r="G5136" t="str">
            <v>帆宣五</v>
          </cell>
          <cell r="H5136">
            <v>100000</v>
          </cell>
          <cell r="I5136">
            <v>3</v>
          </cell>
          <cell r="J5136">
            <v>46200</v>
          </cell>
          <cell r="K5136">
            <v>100</v>
          </cell>
          <cell r="L5136">
            <v>46182</v>
          </cell>
          <cell r="M5136">
            <v>-707</v>
          </cell>
          <cell r="N5136">
            <v>99293</v>
          </cell>
        </row>
        <row r="5137">
          <cell r="A5137">
            <v>45721</v>
          </cell>
          <cell r="B5137">
            <v>5131</v>
          </cell>
          <cell r="C5137" t="str">
            <v>IASWD2502000212</v>
          </cell>
          <cell r="D5137">
            <v>45707</v>
          </cell>
          <cell r="E5137">
            <v>46219</v>
          </cell>
          <cell r="F5137" t="str">
            <v>45721</v>
          </cell>
          <cell r="G5137" t="str">
            <v>駐龍一</v>
          </cell>
          <cell r="H5137">
            <v>400000</v>
          </cell>
          <cell r="I5137">
            <v>3.5</v>
          </cell>
          <cell r="J5137">
            <v>46219</v>
          </cell>
          <cell r="K5137">
            <v>100</v>
          </cell>
          <cell r="L5137">
            <v>46199</v>
          </cell>
          <cell r="M5137">
            <v>-3260</v>
          </cell>
          <cell r="N5137">
            <v>396740</v>
          </cell>
        </row>
        <row r="5138">
          <cell r="A5138">
            <v>66642</v>
          </cell>
          <cell r="B5138">
            <v>5132</v>
          </cell>
          <cell r="C5138" t="str">
            <v>IASWD2502000213</v>
          </cell>
          <cell r="D5138">
            <v>45707</v>
          </cell>
          <cell r="E5138">
            <v>46710</v>
          </cell>
          <cell r="F5138" t="str">
            <v>66642</v>
          </cell>
          <cell r="G5138" t="str">
            <v>群翊二</v>
          </cell>
          <cell r="H5138">
            <v>100000</v>
          </cell>
          <cell r="I5138">
            <v>3.75</v>
          </cell>
          <cell r="J5138">
            <v>46710</v>
          </cell>
          <cell r="K5138">
            <v>100</v>
          </cell>
          <cell r="L5138">
            <v>46692</v>
          </cell>
          <cell r="M5138">
            <v>-873</v>
          </cell>
          <cell r="N5138">
            <v>99127</v>
          </cell>
        </row>
        <row r="5139">
          <cell r="A5139">
            <v>66642</v>
          </cell>
          <cell r="B5139">
            <v>5133</v>
          </cell>
          <cell r="C5139" t="str">
            <v>IASWD2502000214</v>
          </cell>
          <cell r="D5139">
            <v>45707</v>
          </cell>
          <cell r="E5139">
            <v>46710</v>
          </cell>
          <cell r="F5139" t="str">
            <v>66642</v>
          </cell>
          <cell r="G5139" t="str">
            <v>群翊二</v>
          </cell>
          <cell r="H5139">
            <v>100000</v>
          </cell>
          <cell r="I5139">
            <v>3.75</v>
          </cell>
          <cell r="J5139">
            <v>46710</v>
          </cell>
          <cell r="K5139">
            <v>100</v>
          </cell>
          <cell r="L5139">
            <v>46692</v>
          </cell>
          <cell r="M5139">
            <v>-873</v>
          </cell>
          <cell r="N5139">
            <v>99127</v>
          </cell>
        </row>
        <row r="5140">
          <cell r="A5140">
            <v>33121</v>
          </cell>
          <cell r="B5140">
            <v>5134</v>
          </cell>
          <cell r="C5140" t="str">
            <v>IASWD2502000215</v>
          </cell>
          <cell r="D5140">
            <v>45707</v>
          </cell>
          <cell r="E5140">
            <v>46563</v>
          </cell>
          <cell r="F5140" t="str">
            <v>33121</v>
          </cell>
          <cell r="G5140" t="str">
            <v>弘憶股一</v>
          </cell>
          <cell r="H5140">
            <v>100000</v>
          </cell>
          <cell r="I5140">
            <v>3.35</v>
          </cell>
          <cell r="J5140">
            <v>46563</v>
          </cell>
          <cell r="K5140">
            <v>100</v>
          </cell>
          <cell r="L5140">
            <v>46545</v>
          </cell>
          <cell r="M5140">
            <v>-780</v>
          </cell>
          <cell r="N5140">
            <v>99220</v>
          </cell>
        </row>
        <row r="5141">
          <cell r="A5141">
            <v>35832</v>
          </cell>
          <cell r="B5141">
            <v>5135</v>
          </cell>
          <cell r="C5141" t="str">
            <v>IASWD2502000216</v>
          </cell>
          <cell r="D5141">
            <v>45707</v>
          </cell>
          <cell r="E5141">
            <v>46192</v>
          </cell>
          <cell r="F5141" t="str">
            <v>35832</v>
          </cell>
          <cell r="G5141" t="str">
            <v>辛耘二</v>
          </cell>
          <cell r="H5141">
            <v>300000</v>
          </cell>
          <cell r="I5141">
            <v>3</v>
          </cell>
          <cell r="J5141">
            <v>46192</v>
          </cell>
          <cell r="K5141">
            <v>100</v>
          </cell>
          <cell r="L5141">
            <v>46174</v>
          </cell>
          <cell r="M5141">
            <v>-2096</v>
          </cell>
          <cell r="N5141">
            <v>297904</v>
          </cell>
        </row>
        <row r="5142">
          <cell r="A5142">
            <v>65096</v>
          </cell>
          <cell r="B5142">
            <v>5136</v>
          </cell>
          <cell r="C5142" t="str">
            <v>IASWD2502000217</v>
          </cell>
          <cell r="D5142">
            <v>45707</v>
          </cell>
          <cell r="E5142">
            <v>46206</v>
          </cell>
          <cell r="F5142" t="str">
            <v>65096</v>
          </cell>
          <cell r="G5142" t="str">
            <v>聚和六</v>
          </cell>
          <cell r="H5142">
            <v>100000</v>
          </cell>
          <cell r="I5142">
            <v>3.25</v>
          </cell>
          <cell r="J5142">
            <v>46206</v>
          </cell>
          <cell r="K5142">
            <v>100</v>
          </cell>
          <cell r="L5142">
            <v>46188</v>
          </cell>
          <cell r="M5142">
            <v>-757</v>
          </cell>
          <cell r="N5142">
            <v>99243</v>
          </cell>
        </row>
        <row r="5143">
          <cell r="A5143">
            <v>24361</v>
          </cell>
          <cell r="B5143">
            <v>5137</v>
          </cell>
          <cell r="C5143" t="str">
            <v>IASWD2502000218</v>
          </cell>
          <cell r="D5143">
            <v>45707</v>
          </cell>
          <cell r="E5143">
            <v>45911</v>
          </cell>
          <cell r="F5143" t="str">
            <v>24361</v>
          </cell>
          <cell r="G5143" t="str">
            <v>偉詮電一</v>
          </cell>
          <cell r="H5143">
            <v>100000</v>
          </cell>
          <cell r="I5143">
            <v>3.75</v>
          </cell>
          <cell r="J5143">
            <v>45911</v>
          </cell>
          <cell r="K5143">
            <v>100.50060000000001</v>
          </cell>
          <cell r="L5143">
            <v>45891</v>
          </cell>
          <cell r="M5143">
            <v>-873</v>
          </cell>
          <cell r="N5143">
            <v>99127</v>
          </cell>
        </row>
        <row r="5144">
          <cell r="A5144">
            <v>64145</v>
          </cell>
          <cell r="B5144">
            <v>5138</v>
          </cell>
          <cell r="C5144" t="str">
            <v>IASWD2502000219</v>
          </cell>
          <cell r="D5144">
            <v>45707</v>
          </cell>
          <cell r="E5144">
            <v>46250</v>
          </cell>
          <cell r="F5144" t="str">
            <v>64145</v>
          </cell>
          <cell r="G5144" t="str">
            <v>樺漢五</v>
          </cell>
          <cell r="H5144">
            <v>200000</v>
          </cell>
          <cell r="I5144">
            <v>3</v>
          </cell>
          <cell r="J5144">
            <v>46250</v>
          </cell>
          <cell r="K5144">
            <v>100</v>
          </cell>
          <cell r="L5144">
            <v>46231</v>
          </cell>
          <cell r="M5144">
            <v>-1397</v>
          </cell>
          <cell r="N5144">
            <v>198603</v>
          </cell>
        </row>
        <row r="5145">
          <cell r="A5145">
            <v>35832</v>
          </cell>
          <cell r="B5145">
            <v>5139</v>
          </cell>
          <cell r="C5145" t="str">
            <v>IASWD2502000220</v>
          </cell>
          <cell r="D5145">
            <v>45707</v>
          </cell>
          <cell r="E5145">
            <v>46192</v>
          </cell>
          <cell r="F5145" t="str">
            <v>35832</v>
          </cell>
          <cell r="G5145" t="str">
            <v>辛耘二</v>
          </cell>
          <cell r="H5145">
            <v>300000</v>
          </cell>
          <cell r="I5145">
            <v>3</v>
          </cell>
          <cell r="J5145">
            <v>46192</v>
          </cell>
          <cell r="K5145">
            <v>100</v>
          </cell>
          <cell r="L5145">
            <v>46174</v>
          </cell>
          <cell r="M5145">
            <v>-2096</v>
          </cell>
          <cell r="N5145">
            <v>297904</v>
          </cell>
        </row>
        <row r="5146">
          <cell r="A5146">
            <v>24361</v>
          </cell>
          <cell r="B5146">
            <v>5140</v>
          </cell>
          <cell r="C5146" t="str">
            <v>IASWD2502000221</v>
          </cell>
          <cell r="D5146">
            <v>45707</v>
          </cell>
          <cell r="E5146">
            <v>45911</v>
          </cell>
          <cell r="F5146" t="str">
            <v>24361</v>
          </cell>
          <cell r="G5146" t="str">
            <v>偉詮電一</v>
          </cell>
          <cell r="H5146">
            <v>100000</v>
          </cell>
          <cell r="I5146">
            <v>3.75</v>
          </cell>
          <cell r="J5146">
            <v>45911</v>
          </cell>
          <cell r="K5146">
            <v>100.50060000000001</v>
          </cell>
          <cell r="L5146">
            <v>45891</v>
          </cell>
          <cell r="M5146">
            <v>-873</v>
          </cell>
          <cell r="N5146">
            <v>99127</v>
          </cell>
        </row>
        <row r="5147">
          <cell r="A5147">
            <v>66642</v>
          </cell>
          <cell r="B5147">
            <v>5141</v>
          </cell>
          <cell r="C5147" t="str">
            <v>IASWD2502000222</v>
          </cell>
          <cell r="D5147">
            <v>45707</v>
          </cell>
          <cell r="E5147">
            <v>46710</v>
          </cell>
          <cell r="F5147" t="str">
            <v>66642</v>
          </cell>
          <cell r="G5147" t="str">
            <v>群翊二</v>
          </cell>
          <cell r="H5147">
            <v>100000</v>
          </cell>
          <cell r="I5147">
            <v>3.75</v>
          </cell>
          <cell r="J5147">
            <v>46710</v>
          </cell>
          <cell r="K5147">
            <v>100</v>
          </cell>
          <cell r="L5147">
            <v>46692</v>
          </cell>
          <cell r="M5147">
            <v>-873</v>
          </cell>
          <cell r="N5147">
            <v>99127</v>
          </cell>
        </row>
        <row r="5148">
          <cell r="A5148">
            <v>64145</v>
          </cell>
          <cell r="B5148">
            <v>5142</v>
          </cell>
          <cell r="C5148" t="str">
            <v>IASWD2502000223</v>
          </cell>
          <cell r="D5148">
            <v>45707</v>
          </cell>
          <cell r="E5148">
            <v>46250</v>
          </cell>
          <cell r="F5148" t="str">
            <v>64145</v>
          </cell>
          <cell r="G5148" t="str">
            <v>樺漢五</v>
          </cell>
          <cell r="H5148">
            <v>100000</v>
          </cell>
          <cell r="I5148">
            <v>3</v>
          </cell>
          <cell r="J5148">
            <v>46250</v>
          </cell>
          <cell r="K5148">
            <v>100</v>
          </cell>
          <cell r="L5148">
            <v>46231</v>
          </cell>
          <cell r="M5148">
            <v>-699</v>
          </cell>
          <cell r="N5148">
            <v>99301</v>
          </cell>
        </row>
        <row r="5149">
          <cell r="A5149">
            <v>34793</v>
          </cell>
          <cell r="B5149">
            <v>5143</v>
          </cell>
          <cell r="C5149" t="str">
            <v>IASWD2502000224</v>
          </cell>
          <cell r="D5149">
            <v>45707</v>
          </cell>
          <cell r="E5149">
            <v>46409</v>
          </cell>
          <cell r="F5149" t="str">
            <v>34793</v>
          </cell>
          <cell r="G5149" t="str">
            <v>安勤三</v>
          </cell>
          <cell r="H5149">
            <v>400000</v>
          </cell>
          <cell r="I5149">
            <v>3</v>
          </cell>
          <cell r="J5149">
            <v>46409</v>
          </cell>
          <cell r="K5149">
            <v>100</v>
          </cell>
          <cell r="L5149">
            <v>46391</v>
          </cell>
          <cell r="M5149">
            <v>-2795</v>
          </cell>
          <cell r="N5149">
            <v>397205</v>
          </cell>
        </row>
        <row r="5150">
          <cell r="A5150">
            <v>64145</v>
          </cell>
          <cell r="B5150">
            <v>5144</v>
          </cell>
          <cell r="C5150" t="str">
            <v>IASWD2502000225</v>
          </cell>
          <cell r="D5150">
            <v>45707</v>
          </cell>
          <cell r="E5150">
            <v>46250</v>
          </cell>
          <cell r="F5150" t="str">
            <v>64145</v>
          </cell>
          <cell r="G5150" t="str">
            <v>樺漢五</v>
          </cell>
          <cell r="H5150">
            <v>100000</v>
          </cell>
          <cell r="I5150">
            <v>3</v>
          </cell>
          <cell r="J5150">
            <v>46250</v>
          </cell>
          <cell r="K5150">
            <v>100</v>
          </cell>
          <cell r="L5150">
            <v>46231</v>
          </cell>
          <cell r="M5150">
            <v>-699</v>
          </cell>
          <cell r="N5150">
            <v>99301</v>
          </cell>
        </row>
        <row r="5151">
          <cell r="A5151">
            <v>37022</v>
          </cell>
          <cell r="B5151">
            <v>5145</v>
          </cell>
          <cell r="C5151" t="str">
            <v>IASWD2502000226</v>
          </cell>
          <cell r="D5151">
            <v>45707</v>
          </cell>
          <cell r="E5151">
            <v>46702</v>
          </cell>
          <cell r="F5151" t="str">
            <v>37022</v>
          </cell>
          <cell r="G5151" t="str">
            <v>大聯大二</v>
          </cell>
          <cell r="H5151">
            <v>200000</v>
          </cell>
          <cell r="I5151">
            <v>2.7</v>
          </cell>
          <cell r="J5151">
            <v>46702</v>
          </cell>
          <cell r="K5151">
            <v>100</v>
          </cell>
          <cell r="L5151">
            <v>46682</v>
          </cell>
          <cell r="M5151">
            <v>-1258</v>
          </cell>
          <cell r="N5151">
            <v>198742</v>
          </cell>
        </row>
        <row r="5152">
          <cell r="A5152">
            <v>35832</v>
          </cell>
          <cell r="B5152">
            <v>5146</v>
          </cell>
          <cell r="C5152" t="str">
            <v>IASWD2502000227</v>
          </cell>
          <cell r="D5152">
            <v>45707</v>
          </cell>
          <cell r="E5152">
            <v>46192</v>
          </cell>
          <cell r="F5152" t="str">
            <v>35832</v>
          </cell>
          <cell r="G5152" t="str">
            <v>辛耘二</v>
          </cell>
          <cell r="H5152">
            <v>100000</v>
          </cell>
          <cell r="I5152">
            <v>3</v>
          </cell>
          <cell r="J5152">
            <v>46192</v>
          </cell>
          <cell r="K5152">
            <v>100</v>
          </cell>
          <cell r="L5152">
            <v>46174</v>
          </cell>
          <cell r="M5152">
            <v>-699</v>
          </cell>
          <cell r="N5152">
            <v>99301</v>
          </cell>
        </row>
        <row r="5153">
          <cell r="A5153">
            <v>64145</v>
          </cell>
          <cell r="B5153">
            <v>5147</v>
          </cell>
          <cell r="C5153" t="str">
            <v>IASWD2502000228</v>
          </cell>
          <cell r="D5153">
            <v>45707</v>
          </cell>
          <cell r="E5153">
            <v>46250</v>
          </cell>
          <cell r="F5153" t="str">
            <v>64145</v>
          </cell>
          <cell r="G5153" t="str">
            <v>樺漢五</v>
          </cell>
          <cell r="H5153">
            <v>100000</v>
          </cell>
          <cell r="I5153">
            <v>3</v>
          </cell>
          <cell r="J5153">
            <v>46250</v>
          </cell>
          <cell r="K5153">
            <v>100</v>
          </cell>
          <cell r="L5153">
            <v>46231</v>
          </cell>
          <cell r="M5153">
            <v>-699</v>
          </cell>
          <cell r="N5153">
            <v>99301</v>
          </cell>
        </row>
        <row r="5154">
          <cell r="A5154">
            <v>35832</v>
          </cell>
          <cell r="B5154">
            <v>5148</v>
          </cell>
          <cell r="C5154" t="str">
            <v>IASWD2502000229</v>
          </cell>
          <cell r="D5154">
            <v>45707</v>
          </cell>
          <cell r="E5154">
            <v>46192</v>
          </cell>
          <cell r="F5154" t="str">
            <v>35832</v>
          </cell>
          <cell r="G5154" t="str">
            <v>辛耘二</v>
          </cell>
          <cell r="H5154">
            <v>100000</v>
          </cell>
          <cell r="I5154">
            <v>3</v>
          </cell>
          <cell r="J5154">
            <v>46192</v>
          </cell>
          <cell r="K5154">
            <v>100</v>
          </cell>
          <cell r="L5154">
            <v>46174</v>
          </cell>
          <cell r="M5154">
            <v>-699</v>
          </cell>
          <cell r="N5154">
            <v>99301</v>
          </cell>
        </row>
        <row r="5155">
          <cell r="A5155">
            <v>61973</v>
          </cell>
          <cell r="B5155">
            <v>5149</v>
          </cell>
          <cell r="C5155" t="str">
            <v>IASWD2502000230</v>
          </cell>
          <cell r="D5155">
            <v>45707</v>
          </cell>
          <cell r="E5155">
            <v>46675</v>
          </cell>
          <cell r="F5155" t="str">
            <v>61973</v>
          </cell>
          <cell r="G5155" t="str">
            <v>佳必琪三</v>
          </cell>
          <cell r="H5155">
            <v>100000</v>
          </cell>
          <cell r="I5155">
            <v>3</v>
          </cell>
          <cell r="J5155">
            <v>46675</v>
          </cell>
          <cell r="K5155">
            <v>100</v>
          </cell>
          <cell r="L5155">
            <v>46657</v>
          </cell>
          <cell r="M5155">
            <v>-699</v>
          </cell>
          <cell r="N5155">
            <v>99301</v>
          </cell>
        </row>
        <row r="5156">
          <cell r="A5156">
            <v>45721</v>
          </cell>
          <cell r="B5156">
            <v>5150</v>
          </cell>
          <cell r="C5156" t="str">
            <v>IASWD2502000231</v>
          </cell>
          <cell r="D5156">
            <v>45707</v>
          </cell>
          <cell r="E5156">
            <v>46219</v>
          </cell>
          <cell r="F5156" t="str">
            <v>45721</v>
          </cell>
          <cell r="G5156" t="str">
            <v>駐龍一</v>
          </cell>
          <cell r="H5156">
            <v>100000</v>
          </cell>
          <cell r="I5156">
            <v>3.5</v>
          </cell>
          <cell r="J5156">
            <v>46219</v>
          </cell>
          <cell r="K5156">
            <v>100</v>
          </cell>
          <cell r="L5156">
            <v>46199</v>
          </cell>
          <cell r="M5156">
            <v>-815</v>
          </cell>
          <cell r="N5156">
            <v>99185</v>
          </cell>
        </row>
        <row r="5157">
          <cell r="A5157">
            <v>66451</v>
          </cell>
          <cell r="B5157">
            <v>5151</v>
          </cell>
          <cell r="C5157" t="str">
            <v>IASWD2502000232</v>
          </cell>
          <cell r="D5157">
            <v>45707</v>
          </cell>
          <cell r="E5157">
            <v>46360</v>
          </cell>
          <cell r="F5157" t="str">
            <v>66451</v>
          </cell>
          <cell r="G5157" t="str">
            <v>金萬林一創</v>
          </cell>
          <cell r="H5157">
            <v>100000</v>
          </cell>
          <cell r="I5157">
            <v>2.2999999999999998</v>
          </cell>
          <cell r="J5157">
            <v>46360</v>
          </cell>
          <cell r="K5157">
            <v>102</v>
          </cell>
          <cell r="L5157">
            <v>46342</v>
          </cell>
          <cell r="M5157">
            <v>-536</v>
          </cell>
          <cell r="N5157">
            <v>99464</v>
          </cell>
        </row>
        <row r="5158">
          <cell r="A5158">
            <v>66642</v>
          </cell>
          <cell r="B5158">
            <v>5152</v>
          </cell>
          <cell r="C5158" t="str">
            <v>IASWD2502000233</v>
          </cell>
          <cell r="D5158">
            <v>45707</v>
          </cell>
          <cell r="E5158">
            <v>46710</v>
          </cell>
          <cell r="F5158" t="str">
            <v>66642</v>
          </cell>
          <cell r="G5158" t="str">
            <v>群翊二</v>
          </cell>
          <cell r="H5158">
            <v>100000</v>
          </cell>
          <cell r="I5158">
            <v>3.75</v>
          </cell>
          <cell r="J5158">
            <v>46710</v>
          </cell>
          <cell r="K5158">
            <v>100</v>
          </cell>
          <cell r="L5158">
            <v>46692</v>
          </cell>
          <cell r="M5158">
            <v>-873</v>
          </cell>
          <cell r="N5158">
            <v>99127</v>
          </cell>
        </row>
        <row r="5159">
          <cell r="A5159">
            <v>34163</v>
          </cell>
          <cell r="B5159">
            <v>5153</v>
          </cell>
          <cell r="C5159" t="str">
            <v>IASWD2502000234</v>
          </cell>
          <cell r="D5159">
            <v>45707</v>
          </cell>
          <cell r="E5159">
            <v>46047</v>
          </cell>
          <cell r="F5159" t="str">
            <v>34163</v>
          </cell>
          <cell r="G5159" t="str">
            <v>融程電三</v>
          </cell>
          <cell r="H5159">
            <v>100000</v>
          </cell>
          <cell r="I5159">
            <v>3</v>
          </cell>
          <cell r="J5159">
            <v>46047</v>
          </cell>
          <cell r="K5159">
            <v>100.5</v>
          </cell>
          <cell r="L5159">
            <v>46028</v>
          </cell>
          <cell r="M5159">
            <v>-699</v>
          </cell>
          <cell r="N5159">
            <v>99301</v>
          </cell>
        </row>
        <row r="5160">
          <cell r="A5160">
            <v>21043</v>
          </cell>
          <cell r="B5160">
            <v>5154</v>
          </cell>
          <cell r="C5160" t="str">
            <v>IASWD2502000235</v>
          </cell>
          <cell r="D5160">
            <v>45707</v>
          </cell>
          <cell r="E5160">
            <v>46308</v>
          </cell>
          <cell r="F5160" t="str">
            <v>21043</v>
          </cell>
          <cell r="G5160" t="str">
            <v>國際中橡三</v>
          </cell>
          <cell r="H5160">
            <v>1300000</v>
          </cell>
          <cell r="I5160">
            <v>2.8</v>
          </cell>
          <cell r="J5160">
            <v>46308</v>
          </cell>
          <cell r="K5160">
            <v>100.9</v>
          </cell>
          <cell r="L5160">
            <v>46288</v>
          </cell>
          <cell r="M5160">
            <v>-8477</v>
          </cell>
          <cell r="N5160">
            <v>1291523</v>
          </cell>
        </row>
        <row r="5161">
          <cell r="A5161">
            <v>31413</v>
          </cell>
          <cell r="B5161">
            <v>5155</v>
          </cell>
          <cell r="C5161" t="str">
            <v>IASWD2502000236</v>
          </cell>
          <cell r="D5161">
            <v>45707</v>
          </cell>
          <cell r="E5161">
            <v>46162</v>
          </cell>
          <cell r="F5161" t="str">
            <v>31413</v>
          </cell>
          <cell r="G5161" t="str">
            <v>晶宏三</v>
          </cell>
          <cell r="H5161">
            <v>100000</v>
          </cell>
          <cell r="I5161">
            <v>4</v>
          </cell>
          <cell r="J5161">
            <v>46162</v>
          </cell>
          <cell r="K5161">
            <v>100</v>
          </cell>
          <cell r="L5161">
            <v>46142</v>
          </cell>
          <cell r="M5161">
            <v>-932</v>
          </cell>
          <cell r="N5161">
            <v>99068</v>
          </cell>
        </row>
        <row r="5162">
          <cell r="A5162">
            <v>64145</v>
          </cell>
          <cell r="B5162">
            <v>5156</v>
          </cell>
          <cell r="C5162" t="str">
            <v>IASWD2502000237</v>
          </cell>
          <cell r="D5162">
            <v>45707</v>
          </cell>
          <cell r="E5162">
            <v>46250</v>
          </cell>
          <cell r="F5162" t="str">
            <v>64145</v>
          </cell>
          <cell r="G5162" t="str">
            <v>樺漢五</v>
          </cell>
          <cell r="H5162">
            <v>200000</v>
          </cell>
          <cell r="I5162">
            <v>3</v>
          </cell>
          <cell r="J5162">
            <v>46250</v>
          </cell>
          <cell r="K5162">
            <v>100</v>
          </cell>
          <cell r="L5162">
            <v>46231</v>
          </cell>
          <cell r="M5162">
            <v>-1397</v>
          </cell>
          <cell r="N5162">
            <v>198603</v>
          </cell>
        </row>
        <row r="5163">
          <cell r="A5163">
            <v>61973</v>
          </cell>
          <cell r="B5163">
            <v>5157</v>
          </cell>
          <cell r="C5163" t="str">
            <v>IASWD2502000238</v>
          </cell>
          <cell r="D5163">
            <v>45707</v>
          </cell>
          <cell r="E5163">
            <v>46675</v>
          </cell>
          <cell r="F5163" t="str">
            <v>61973</v>
          </cell>
          <cell r="G5163" t="str">
            <v>佳必琪三</v>
          </cell>
          <cell r="H5163">
            <v>100000</v>
          </cell>
          <cell r="I5163">
            <v>3</v>
          </cell>
          <cell r="J5163">
            <v>46675</v>
          </cell>
          <cell r="K5163">
            <v>100</v>
          </cell>
          <cell r="L5163">
            <v>46657</v>
          </cell>
          <cell r="M5163">
            <v>-699</v>
          </cell>
          <cell r="N5163">
            <v>99301</v>
          </cell>
        </row>
        <row r="5164">
          <cell r="A5164">
            <v>37022</v>
          </cell>
          <cell r="B5164">
            <v>5158</v>
          </cell>
          <cell r="C5164" t="str">
            <v>IASWD2502000239</v>
          </cell>
          <cell r="D5164">
            <v>45707</v>
          </cell>
          <cell r="E5164">
            <v>46702</v>
          </cell>
          <cell r="F5164" t="str">
            <v>37022</v>
          </cell>
          <cell r="G5164" t="str">
            <v>大聯大二</v>
          </cell>
          <cell r="H5164">
            <v>900000</v>
          </cell>
          <cell r="I5164">
            <v>2.7</v>
          </cell>
          <cell r="J5164">
            <v>46702</v>
          </cell>
          <cell r="K5164">
            <v>100</v>
          </cell>
          <cell r="L5164">
            <v>46682</v>
          </cell>
          <cell r="M5164">
            <v>-5659</v>
          </cell>
          <cell r="N5164">
            <v>894341</v>
          </cell>
        </row>
        <row r="5165">
          <cell r="A5165">
            <v>34912</v>
          </cell>
          <cell r="B5165">
            <v>5159</v>
          </cell>
          <cell r="C5165" t="str">
            <v>IASWD2502000240</v>
          </cell>
          <cell r="D5165">
            <v>45707</v>
          </cell>
          <cell r="E5165">
            <v>46627</v>
          </cell>
          <cell r="F5165" t="str">
            <v>34912</v>
          </cell>
          <cell r="G5165" t="str">
            <v>昇達科二</v>
          </cell>
          <cell r="H5165">
            <v>100000</v>
          </cell>
          <cell r="I5165">
            <v>3</v>
          </cell>
          <cell r="J5165">
            <v>46627</v>
          </cell>
          <cell r="K5165">
            <v>100</v>
          </cell>
          <cell r="L5165">
            <v>46609</v>
          </cell>
          <cell r="M5165">
            <v>-699</v>
          </cell>
          <cell r="N5165">
            <v>99301</v>
          </cell>
        </row>
        <row r="5166">
          <cell r="A5166">
            <v>31413</v>
          </cell>
          <cell r="B5166">
            <v>5160</v>
          </cell>
          <cell r="C5166" t="str">
            <v>IASWD2502000241</v>
          </cell>
          <cell r="D5166">
            <v>45707</v>
          </cell>
          <cell r="E5166">
            <v>46162</v>
          </cell>
          <cell r="F5166" t="str">
            <v>31413</v>
          </cell>
          <cell r="G5166" t="str">
            <v>晶宏三</v>
          </cell>
          <cell r="H5166">
            <v>100000</v>
          </cell>
          <cell r="I5166">
            <v>4</v>
          </cell>
          <cell r="J5166">
            <v>46162</v>
          </cell>
          <cell r="K5166">
            <v>100</v>
          </cell>
          <cell r="L5166">
            <v>46142</v>
          </cell>
          <cell r="M5166">
            <v>-932</v>
          </cell>
          <cell r="N5166">
            <v>99068</v>
          </cell>
        </row>
        <row r="5167">
          <cell r="A5167">
            <v>80506</v>
          </cell>
          <cell r="B5167">
            <v>5161</v>
          </cell>
          <cell r="C5167" t="str">
            <v>IASWD2502000242</v>
          </cell>
          <cell r="D5167">
            <v>45707</v>
          </cell>
          <cell r="E5167">
            <v>45983</v>
          </cell>
          <cell r="F5167" t="str">
            <v>80506</v>
          </cell>
          <cell r="G5167" t="str">
            <v>廣積六</v>
          </cell>
          <cell r="H5167">
            <v>100000</v>
          </cell>
          <cell r="I5167">
            <v>3.25</v>
          </cell>
          <cell r="J5167">
            <v>45983</v>
          </cell>
          <cell r="K5167">
            <v>100.75</v>
          </cell>
          <cell r="L5167">
            <v>45965</v>
          </cell>
          <cell r="M5167">
            <v>-757</v>
          </cell>
          <cell r="N5167">
            <v>99243</v>
          </cell>
        </row>
        <row r="5168">
          <cell r="A5168">
            <v>35832</v>
          </cell>
          <cell r="B5168">
            <v>5162</v>
          </cell>
          <cell r="C5168" t="str">
            <v>IASWD2502000243</v>
          </cell>
          <cell r="D5168">
            <v>45707</v>
          </cell>
          <cell r="E5168">
            <v>46192</v>
          </cell>
          <cell r="F5168" t="str">
            <v>35832</v>
          </cell>
          <cell r="G5168" t="str">
            <v>辛耘二</v>
          </cell>
          <cell r="H5168">
            <v>100000</v>
          </cell>
          <cell r="I5168">
            <v>3</v>
          </cell>
          <cell r="J5168">
            <v>46192</v>
          </cell>
          <cell r="K5168">
            <v>100</v>
          </cell>
          <cell r="L5168">
            <v>46174</v>
          </cell>
          <cell r="M5168">
            <v>-699</v>
          </cell>
          <cell r="N5168">
            <v>99301</v>
          </cell>
        </row>
        <row r="5169">
          <cell r="A5169">
            <v>37022</v>
          </cell>
          <cell r="B5169">
            <v>5163</v>
          </cell>
          <cell r="C5169" t="str">
            <v>IASWD2502000244</v>
          </cell>
          <cell r="D5169">
            <v>45707</v>
          </cell>
          <cell r="E5169">
            <v>46702</v>
          </cell>
          <cell r="F5169" t="str">
            <v>37022</v>
          </cell>
          <cell r="G5169" t="str">
            <v>大聯大二</v>
          </cell>
          <cell r="H5169">
            <v>200000</v>
          </cell>
          <cell r="I5169">
            <v>2.7</v>
          </cell>
          <cell r="J5169">
            <v>46702</v>
          </cell>
          <cell r="K5169">
            <v>100</v>
          </cell>
          <cell r="L5169">
            <v>46682</v>
          </cell>
          <cell r="M5169">
            <v>-1258</v>
          </cell>
          <cell r="N5169">
            <v>198742</v>
          </cell>
        </row>
        <row r="5170">
          <cell r="A5170">
            <v>66451</v>
          </cell>
          <cell r="B5170">
            <v>5164</v>
          </cell>
          <cell r="C5170" t="str">
            <v>IASWD2502000245</v>
          </cell>
          <cell r="D5170">
            <v>45708</v>
          </cell>
          <cell r="E5170">
            <v>46360</v>
          </cell>
          <cell r="F5170" t="str">
            <v>66451</v>
          </cell>
          <cell r="G5170" t="str">
            <v>金萬林一創</v>
          </cell>
          <cell r="H5170">
            <v>300000</v>
          </cell>
          <cell r="I5170">
            <v>2.2999999999999998</v>
          </cell>
          <cell r="J5170">
            <v>46360</v>
          </cell>
          <cell r="K5170">
            <v>102</v>
          </cell>
          <cell r="L5170">
            <v>46342</v>
          </cell>
          <cell r="M5170">
            <v>-1588</v>
          </cell>
          <cell r="N5170">
            <v>298412</v>
          </cell>
        </row>
        <row r="5171">
          <cell r="A5171">
            <v>37022</v>
          </cell>
          <cell r="B5171">
            <v>5165</v>
          </cell>
          <cell r="C5171" t="str">
            <v>IASWD2502000246</v>
          </cell>
          <cell r="D5171">
            <v>45708</v>
          </cell>
          <cell r="E5171">
            <v>46702</v>
          </cell>
          <cell r="F5171" t="str">
            <v>37022</v>
          </cell>
          <cell r="G5171" t="str">
            <v>大聯大二</v>
          </cell>
          <cell r="H5171">
            <v>500000</v>
          </cell>
          <cell r="I5171">
            <v>2.7</v>
          </cell>
          <cell r="J5171">
            <v>46702</v>
          </cell>
          <cell r="K5171">
            <v>100</v>
          </cell>
          <cell r="L5171">
            <v>46682</v>
          </cell>
          <cell r="M5171">
            <v>-3107</v>
          </cell>
          <cell r="N5171">
            <v>496893</v>
          </cell>
        </row>
        <row r="5172">
          <cell r="A5172">
            <v>61965</v>
          </cell>
          <cell r="B5172">
            <v>5166</v>
          </cell>
          <cell r="C5172" t="str">
            <v>IASWD2502000247</v>
          </cell>
          <cell r="D5172">
            <v>45708</v>
          </cell>
          <cell r="E5172">
            <v>46200</v>
          </cell>
          <cell r="F5172" t="str">
            <v>61965</v>
          </cell>
          <cell r="G5172" t="str">
            <v>帆宣五</v>
          </cell>
          <cell r="H5172">
            <v>100000</v>
          </cell>
          <cell r="I5172">
            <v>3</v>
          </cell>
          <cell r="J5172">
            <v>46200</v>
          </cell>
          <cell r="K5172">
            <v>100</v>
          </cell>
          <cell r="L5172">
            <v>46182</v>
          </cell>
          <cell r="M5172">
            <v>-690</v>
          </cell>
          <cell r="N5172">
            <v>99310</v>
          </cell>
        </row>
        <row r="5173">
          <cell r="A5173">
            <v>33035</v>
          </cell>
          <cell r="B5173">
            <v>5167</v>
          </cell>
          <cell r="C5173" t="str">
            <v>IASWD2502000248</v>
          </cell>
          <cell r="D5173">
            <v>45708</v>
          </cell>
          <cell r="E5173">
            <v>46717</v>
          </cell>
          <cell r="F5173" t="str">
            <v>33035</v>
          </cell>
          <cell r="G5173" t="str">
            <v>岱稜五</v>
          </cell>
          <cell r="H5173">
            <v>100000</v>
          </cell>
          <cell r="I5173">
            <v>4.25</v>
          </cell>
          <cell r="J5173">
            <v>46717</v>
          </cell>
          <cell r="K5173">
            <v>101.50749999999999</v>
          </cell>
          <cell r="L5173">
            <v>46699</v>
          </cell>
          <cell r="M5173">
            <v>-978</v>
          </cell>
          <cell r="N5173">
            <v>99022</v>
          </cell>
        </row>
        <row r="5174">
          <cell r="A5174">
            <v>34912</v>
          </cell>
          <cell r="B5174">
            <v>5168</v>
          </cell>
          <cell r="C5174" t="str">
            <v>IASWD2502000249</v>
          </cell>
          <cell r="D5174">
            <v>45708</v>
          </cell>
          <cell r="E5174">
            <v>46627</v>
          </cell>
          <cell r="F5174" t="str">
            <v>34912</v>
          </cell>
          <cell r="G5174" t="str">
            <v>昇達科二</v>
          </cell>
          <cell r="H5174">
            <v>100000</v>
          </cell>
          <cell r="I5174">
            <v>3</v>
          </cell>
          <cell r="J5174">
            <v>46627</v>
          </cell>
          <cell r="K5174">
            <v>100</v>
          </cell>
          <cell r="L5174">
            <v>46609</v>
          </cell>
          <cell r="M5174">
            <v>-690</v>
          </cell>
          <cell r="N5174">
            <v>99310</v>
          </cell>
        </row>
        <row r="5175">
          <cell r="A5175">
            <v>35832</v>
          </cell>
          <cell r="B5175">
            <v>5169</v>
          </cell>
          <cell r="C5175" t="str">
            <v>IASWD2502000250</v>
          </cell>
          <cell r="D5175">
            <v>45708</v>
          </cell>
          <cell r="E5175">
            <v>46192</v>
          </cell>
          <cell r="F5175" t="str">
            <v>35832</v>
          </cell>
          <cell r="G5175" t="str">
            <v>辛耘二</v>
          </cell>
          <cell r="H5175">
            <v>100000</v>
          </cell>
          <cell r="I5175">
            <v>3</v>
          </cell>
          <cell r="J5175">
            <v>46192</v>
          </cell>
          <cell r="K5175">
            <v>100</v>
          </cell>
          <cell r="L5175">
            <v>46174</v>
          </cell>
          <cell r="M5175">
            <v>-690</v>
          </cell>
          <cell r="N5175">
            <v>99310</v>
          </cell>
        </row>
        <row r="5176">
          <cell r="A5176">
            <v>64145</v>
          </cell>
          <cell r="B5176">
            <v>5170</v>
          </cell>
          <cell r="C5176" t="str">
            <v>IASWD2502000251</v>
          </cell>
          <cell r="D5176">
            <v>45708</v>
          </cell>
          <cell r="E5176">
            <v>46250</v>
          </cell>
          <cell r="F5176" t="str">
            <v>64145</v>
          </cell>
          <cell r="G5176" t="str">
            <v>樺漢五</v>
          </cell>
          <cell r="H5176">
            <v>100000</v>
          </cell>
          <cell r="I5176">
            <v>3</v>
          </cell>
          <cell r="J5176">
            <v>46250</v>
          </cell>
          <cell r="K5176">
            <v>100</v>
          </cell>
          <cell r="L5176">
            <v>46231</v>
          </cell>
          <cell r="M5176">
            <v>-690</v>
          </cell>
          <cell r="N5176">
            <v>99310</v>
          </cell>
        </row>
        <row r="5177">
          <cell r="A5177">
            <v>66451</v>
          </cell>
          <cell r="B5177">
            <v>5171</v>
          </cell>
          <cell r="C5177" t="str">
            <v>IASWD2502000252</v>
          </cell>
          <cell r="D5177">
            <v>45708</v>
          </cell>
          <cell r="E5177">
            <v>46360</v>
          </cell>
          <cell r="F5177" t="str">
            <v>66451</v>
          </cell>
          <cell r="G5177" t="str">
            <v>金萬林一創</v>
          </cell>
          <cell r="H5177">
            <v>200000</v>
          </cell>
          <cell r="I5177">
            <v>2.2999999999999998</v>
          </cell>
          <cell r="J5177">
            <v>46360</v>
          </cell>
          <cell r="K5177">
            <v>102</v>
          </cell>
          <cell r="L5177">
            <v>46342</v>
          </cell>
          <cell r="M5177">
            <v>-1059</v>
          </cell>
          <cell r="N5177">
            <v>198941</v>
          </cell>
        </row>
        <row r="5178">
          <cell r="A5178">
            <v>45721</v>
          </cell>
          <cell r="B5178">
            <v>5172</v>
          </cell>
          <cell r="C5178" t="str">
            <v>IASWD2502000253</v>
          </cell>
          <cell r="D5178">
            <v>45708</v>
          </cell>
          <cell r="E5178">
            <v>46219</v>
          </cell>
          <cell r="F5178" t="str">
            <v>45721</v>
          </cell>
          <cell r="G5178" t="str">
            <v>駐龍一</v>
          </cell>
          <cell r="H5178">
            <v>100000</v>
          </cell>
          <cell r="I5178">
            <v>3.5</v>
          </cell>
          <cell r="J5178">
            <v>46219</v>
          </cell>
          <cell r="K5178">
            <v>100</v>
          </cell>
          <cell r="L5178">
            <v>46199</v>
          </cell>
          <cell r="M5178">
            <v>-805</v>
          </cell>
          <cell r="N5178">
            <v>99195</v>
          </cell>
        </row>
        <row r="5179">
          <cell r="A5179">
            <v>64145</v>
          </cell>
          <cell r="B5179">
            <v>5173</v>
          </cell>
          <cell r="C5179" t="str">
            <v>IASWD2502000254</v>
          </cell>
          <cell r="D5179">
            <v>45708</v>
          </cell>
          <cell r="E5179">
            <v>46250</v>
          </cell>
          <cell r="F5179" t="str">
            <v>64145</v>
          </cell>
          <cell r="G5179" t="str">
            <v>樺漢五</v>
          </cell>
          <cell r="H5179">
            <v>200000</v>
          </cell>
          <cell r="I5179">
            <v>3</v>
          </cell>
          <cell r="J5179">
            <v>46250</v>
          </cell>
          <cell r="K5179">
            <v>100</v>
          </cell>
          <cell r="L5179">
            <v>46231</v>
          </cell>
          <cell r="M5179">
            <v>-1381</v>
          </cell>
          <cell r="N5179">
            <v>198619</v>
          </cell>
        </row>
        <row r="5180">
          <cell r="A5180">
            <v>66642</v>
          </cell>
          <cell r="B5180">
            <v>5174</v>
          </cell>
          <cell r="C5180" t="str">
            <v>IASWD2502000255</v>
          </cell>
          <cell r="D5180">
            <v>45708</v>
          </cell>
          <cell r="E5180">
            <v>46710</v>
          </cell>
          <cell r="F5180" t="str">
            <v>66642</v>
          </cell>
          <cell r="G5180" t="str">
            <v>群翊二</v>
          </cell>
          <cell r="H5180">
            <v>200000</v>
          </cell>
          <cell r="I5180">
            <v>3.75</v>
          </cell>
          <cell r="J5180">
            <v>46710</v>
          </cell>
          <cell r="K5180">
            <v>100</v>
          </cell>
          <cell r="L5180">
            <v>46692</v>
          </cell>
          <cell r="M5180">
            <v>-1726</v>
          </cell>
          <cell r="N5180">
            <v>198274</v>
          </cell>
        </row>
        <row r="5181">
          <cell r="A5181">
            <v>35832</v>
          </cell>
          <cell r="B5181">
            <v>5175</v>
          </cell>
          <cell r="C5181" t="str">
            <v>IASWD2502000256</v>
          </cell>
          <cell r="D5181">
            <v>45708</v>
          </cell>
          <cell r="E5181">
            <v>46192</v>
          </cell>
          <cell r="F5181" t="str">
            <v>35832</v>
          </cell>
          <cell r="G5181" t="str">
            <v>辛耘二</v>
          </cell>
          <cell r="H5181">
            <v>200000</v>
          </cell>
          <cell r="I5181">
            <v>3</v>
          </cell>
          <cell r="J5181">
            <v>46192</v>
          </cell>
          <cell r="K5181">
            <v>100</v>
          </cell>
          <cell r="L5181">
            <v>46174</v>
          </cell>
          <cell r="M5181">
            <v>-1381</v>
          </cell>
          <cell r="N5181">
            <v>198619</v>
          </cell>
        </row>
        <row r="5182">
          <cell r="A5182">
            <v>34793</v>
          </cell>
          <cell r="B5182">
            <v>5176</v>
          </cell>
          <cell r="C5182" t="str">
            <v>IASWD2502000257</v>
          </cell>
          <cell r="D5182">
            <v>45708</v>
          </cell>
          <cell r="E5182">
            <v>46409</v>
          </cell>
          <cell r="F5182" t="str">
            <v>34793</v>
          </cell>
          <cell r="G5182" t="str">
            <v>安勤三</v>
          </cell>
          <cell r="H5182">
            <v>1500000</v>
          </cell>
          <cell r="I5182">
            <v>3</v>
          </cell>
          <cell r="J5182">
            <v>46409</v>
          </cell>
          <cell r="K5182">
            <v>100</v>
          </cell>
          <cell r="L5182">
            <v>46391</v>
          </cell>
          <cell r="M5182">
            <v>-10356</v>
          </cell>
          <cell r="N5182">
            <v>1489644</v>
          </cell>
        </row>
        <row r="5183">
          <cell r="A5183">
            <v>64145</v>
          </cell>
          <cell r="B5183">
            <v>5177</v>
          </cell>
          <cell r="C5183" t="str">
            <v>IASWD2502000258</v>
          </cell>
          <cell r="D5183">
            <v>45708</v>
          </cell>
          <cell r="E5183">
            <v>46250</v>
          </cell>
          <cell r="F5183" t="str">
            <v>64145</v>
          </cell>
          <cell r="G5183" t="str">
            <v>樺漢五</v>
          </cell>
          <cell r="H5183">
            <v>400000</v>
          </cell>
          <cell r="I5183">
            <v>3</v>
          </cell>
          <cell r="J5183">
            <v>46250</v>
          </cell>
          <cell r="K5183">
            <v>100</v>
          </cell>
          <cell r="L5183">
            <v>46231</v>
          </cell>
          <cell r="M5183">
            <v>-2762</v>
          </cell>
          <cell r="N5183">
            <v>397238</v>
          </cell>
        </row>
        <row r="5184">
          <cell r="A5184">
            <v>35871</v>
          </cell>
          <cell r="B5184">
            <v>5178</v>
          </cell>
          <cell r="C5184" t="str">
            <v>IASWD2502000259</v>
          </cell>
          <cell r="D5184">
            <v>45708</v>
          </cell>
          <cell r="E5184">
            <v>46193</v>
          </cell>
          <cell r="F5184" t="str">
            <v>35871</v>
          </cell>
          <cell r="G5184" t="str">
            <v>閎康一</v>
          </cell>
          <cell r="H5184">
            <v>100000</v>
          </cell>
          <cell r="I5184">
            <v>2.6</v>
          </cell>
          <cell r="J5184">
            <v>46193</v>
          </cell>
          <cell r="K5184">
            <v>100</v>
          </cell>
          <cell r="L5184">
            <v>46175</v>
          </cell>
          <cell r="M5184">
            <v>-598</v>
          </cell>
          <cell r="N5184">
            <v>99402</v>
          </cell>
        </row>
        <row r="5185">
          <cell r="A5185">
            <v>37022</v>
          </cell>
          <cell r="B5185">
            <v>5179</v>
          </cell>
          <cell r="C5185" t="str">
            <v>IASWD2502000260</v>
          </cell>
          <cell r="D5185">
            <v>45708</v>
          </cell>
          <cell r="E5185">
            <v>46702</v>
          </cell>
          <cell r="F5185" t="str">
            <v>37022</v>
          </cell>
          <cell r="G5185" t="str">
            <v>大聯大二</v>
          </cell>
          <cell r="H5185">
            <v>100000</v>
          </cell>
          <cell r="I5185">
            <v>2.7</v>
          </cell>
          <cell r="J5185">
            <v>46702</v>
          </cell>
          <cell r="K5185">
            <v>100</v>
          </cell>
          <cell r="L5185">
            <v>46682</v>
          </cell>
          <cell r="M5185">
            <v>-621</v>
          </cell>
          <cell r="N5185">
            <v>99379</v>
          </cell>
        </row>
        <row r="5186">
          <cell r="A5186">
            <v>35832</v>
          </cell>
          <cell r="B5186">
            <v>5180</v>
          </cell>
          <cell r="C5186" t="str">
            <v>IASWD2502000261</v>
          </cell>
          <cell r="D5186">
            <v>45708</v>
          </cell>
          <cell r="E5186">
            <v>46192</v>
          </cell>
          <cell r="F5186" t="str">
            <v>35832</v>
          </cell>
          <cell r="G5186" t="str">
            <v>辛耘二</v>
          </cell>
          <cell r="H5186">
            <v>100000</v>
          </cell>
          <cell r="I5186">
            <v>3</v>
          </cell>
          <cell r="J5186">
            <v>46192</v>
          </cell>
          <cell r="K5186">
            <v>100</v>
          </cell>
          <cell r="L5186">
            <v>46174</v>
          </cell>
          <cell r="M5186">
            <v>-690</v>
          </cell>
          <cell r="N5186">
            <v>99310</v>
          </cell>
        </row>
        <row r="5187">
          <cell r="A5187">
            <v>61973</v>
          </cell>
          <cell r="B5187">
            <v>5181</v>
          </cell>
          <cell r="C5187" t="str">
            <v>IASWD2502000262</v>
          </cell>
          <cell r="D5187">
            <v>45708</v>
          </cell>
          <cell r="E5187">
            <v>46675</v>
          </cell>
          <cell r="F5187" t="str">
            <v>61973</v>
          </cell>
          <cell r="G5187" t="str">
            <v>佳必琪三</v>
          </cell>
          <cell r="H5187">
            <v>100000</v>
          </cell>
          <cell r="I5187">
            <v>3</v>
          </cell>
          <cell r="J5187">
            <v>46675</v>
          </cell>
          <cell r="K5187">
            <v>100</v>
          </cell>
          <cell r="L5187">
            <v>46657</v>
          </cell>
          <cell r="M5187">
            <v>-690</v>
          </cell>
          <cell r="N5187">
            <v>99310</v>
          </cell>
        </row>
        <row r="5188">
          <cell r="A5188">
            <v>61965</v>
          </cell>
          <cell r="B5188">
            <v>5182</v>
          </cell>
          <cell r="C5188" t="str">
            <v>IASWD2502000263</v>
          </cell>
          <cell r="D5188">
            <v>45708</v>
          </cell>
          <cell r="E5188">
            <v>46200</v>
          </cell>
          <cell r="F5188" t="str">
            <v>61965</v>
          </cell>
          <cell r="G5188" t="str">
            <v>帆宣五</v>
          </cell>
          <cell r="H5188">
            <v>200000</v>
          </cell>
          <cell r="I5188">
            <v>3</v>
          </cell>
          <cell r="J5188">
            <v>46200</v>
          </cell>
          <cell r="K5188">
            <v>100</v>
          </cell>
          <cell r="L5188">
            <v>46182</v>
          </cell>
          <cell r="M5188">
            <v>-1381</v>
          </cell>
          <cell r="N5188">
            <v>198619</v>
          </cell>
        </row>
        <row r="5189">
          <cell r="A5189">
            <v>26417</v>
          </cell>
          <cell r="B5189">
            <v>5183</v>
          </cell>
          <cell r="C5189" t="str">
            <v>IASWD2502000264</v>
          </cell>
          <cell r="D5189">
            <v>45708</v>
          </cell>
          <cell r="E5189">
            <v>46594</v>
          </cell>
          <cell r="F5189" t="str">
            <v>26417</v>
          </cell>
          <cell r="G5189" t="str">
            <v>正德七</v>
          </cell>
          <cell r="H5189">
            <v>100000</v>
          </cell>
          <cell r="I5189">
            <v>4</v>
          </cell>
          <cell r="J5189">
            <v>46594</v>
          </cell>
          <cell r="K5189">
            <v>100</v>
          </cell>
          <cell r="L5189">
            <v>46574</v>
          </cell>
          <cell r="M5189">
            <v>-921</v>
          </cell>
          <cell r="N5189">
            <v>99079</v>
          </cell>
        </row>
        <row r="5190">
          <cell r="A5190">
            <v>37022</v>
          </cell>
          <cell r="B5190">
            <v>5184</v>
          </cell>
          <cell r="C5190" t="str">
            <v>IASWD2502000265</v>
          </cell>
          <cell r="D5190">
            <v>45708</v>
          </cell>
          <cell r="E5190">
            <v>46702</v>
          </cell>
          <cell r="F5190" t="str">
            <v>37022</v>
          </cell>
          <cell r="G5190" t="str">
            <v>大聯大二</v>
          </cell>
          <cell r="H5190">
            <v>100000</v>
          </cell>
          <cell r="I5190">
            <v>2.7</v>
          </cell>
          <cell r="J5190">
            <v>46702</v>
          </cell>
          <cell r="K5190">
            <v>100</v>
          </cell>
          <cell r="L5190">
            <v>46682</v>
          </cell>
          <cell r="M5190">
            <v>-621</v>
          </cell>
          <cell r="N5190">
            <v>99379</v>
          </cell>
        </row>
        <row r="5191">
          <cell r="A5191">
            <v>33035</v>
          </cell>
          <cell r="B5191">
            <v>5185</v>
          </cell>
          <cell r="C5191" t="str">
            <v>IASWD2502000266</v>
          </cell>
          <cell r="D5191">
            <v>45708</v>
          </cell>
          <cell r="E5191">
            <v>46717</v>
          </cell>
          <cell r="F5191" t="str">
            <v>33035</v>
          </cell>
          <cell r="G5191" t="str">
            <v>岱稜五</v>
          </cell>
          <cell r="H5191">
            <v>300000</v>
          </cell>
          <cell r="I5191">
            <v>4.25</v>
          </cell>
          <cell r="J5191">
            <v>46717</v>
          </cell>
          <cell r="K5191">
            <v>101.50749999999999</v>
          </cell>
          <cell r="L5191">
            <v>46699</v>
          </cell>
          <cell r="M5191">
            <v>-2934</v>
          </cell>
          <cell r="N5191">
            <v>297066</v>
          </cell>
        </row>
        <row r="5192">
          <cell r="A5192">
            <v>61875</v>
          </cell>
          <cell r="B5192">
            <v>5186</v>
          </cell>
          <cell r="C5192" t="str">
            <v>IASWD2502000268</v>
          </cell>
          <cell r="D5192">
            <v>45708</v>
          </cell>
          <cell r="E5192">
            <v>46578</v>
          </cell>
          <cell r="F5192" t="str">
            <v>61875</v>
          </cell>
          <cell r="G5192" t="str">
            <v>萬潤五</v>
          </cell>
          <cell r="H5192">
            <v>100000</v>
          </cell>
          <cell r="I5192">
            <v>3</v>
          </cell>
          <cell r="J5192">
            <v>46578</v>
          </cell>
          <cell r="K5192">
            <v>100</v>
          </cell>
          <cell r="L5192">
            <v>46560</v>
          </cell>
          <cell r="M5192">
            <v>-690</v>
          </cell>
          <cell r="N5192">
            <v>99310</v>
          </cell>
        </row>
        <row r="5193">
          <cell r="A5193">
            <v>35832</v>
          </cell>
          <cell r="B5193">
            <v>5187</v>
          </cell>
          <cell r="C5193" t="str">
            <v>IASWD2502000269</v>
          </cell>
          <cell r="D5193">
            <v>45708</v>
          </cell>
          <cell r="E5193">
            <v>46192</v>
          </cell>
          <cell r="F5193" t="str">
            <v>35832</v>
          </cell>
          <cell r="G5193" t="str">
            <v>辛耘二</v>
          </cell>
          <cell r="H5193">
            <v>100000</v>
          </cell>
          <cell r="I5193">
            <v>3</v>
          </cell>
          <cell r="J5193">
            <v>46192</v>
          </cell>
          <cell r="K5193">
            <v>100</v>
          </cell>
          <cell r="L5193">
            <v>46174</v>
          </cell>
          <cell r="M5193">
            <v>-690</v>
          </cell>
          <cell r="N5193">
            <v>99310</v>
          </cell>
        </row>
        <row r="5194">
          <cell r="A5194">
            <v>33035</v>
          </cell>
          <cell r="B5194">
            <v>5188</v>
          </cell>
          <cell r="C5194" t="str">
            <v>IASWD2502000270</v>
          </cell>
          <cell r="D5194">
            <v>45708</v>
          </cell>
          <cell r="E5194">
            <v>46717</v>
          </cell>
          <cell r="F5194" t="str">
            <v>33035</v>
          </cell>
          <cell r="G5194" t="str">
            <v>岱稜五</v>
          </cell>
          <cell r="H5194">
            <v>100000</v>
          </cell>
          <cell r="I5194">
            <v>4.25</v>
          </cell>
          <cell r="J5194">
            <v>46717</v>
          </cell>
          <cell r="K5194">
            <v>101.50749999999999</v>
          </cell>
          <cell r="L5194">
            <v>46699</v>
          </cell>
          <cell r="M5194">
            <v>-978</v>
          </cell>
          <cell r="N5194">
            <v>99022</v>
          </cell>
        </row>
        <row r="5195">
          <cell r="A5195">
            <v>45721</v>
          </cell>
          <cell r="B5195">
            <v>5189</v>
          </cell>
          <cell r="C5195" t="str">
            <v>IASWD2502000271</v>
          </cell>
          <cell r="D5195">
            <v>45708</v>
          </cell>
          <cell r="E5195">
            <v>46219</v>
          </cell>
          <cell r="F5195" t="str">
            <v>45721</v>
          </cell>
          <cell r="G5195" t="str">
            <v>駐龍一</v>
          </cell>
          <cell r="H5195">
            <v>200000</v>
          </cell>
          <cell r="I5195">
            <v>3.5</v>
          </cell>
          <cell r="J5195">
            <v>46219</v>
          </cell>
          <cell r="K5195">
            <v>100</v>
          </cell>
          <cell r="L5195">
            <v>46199</v>
          </cell>
          <cell r="M5195">
            <v>-1611</v>
          </cell>
          <cell r="N5195">
            <v>198389</v>
          </cell>
        </row>
        <row r="5196">
          <cell r="A5196">
            <v>34793</v>
          </cell>
          <cell r="B5196">
            <v>5190</v>
          </cell>
          <cell r="C5196" t="str">
            <v>IASWD2502000272</v>
          </cell>
          <cell r="D5196">
            <v>45708</v>
          </cell>
          <cell r="E5196">
            <v>46409</v>
          </cell>
          <cell r="F5196" t="str">
            <v>34793</v>
          </cell>
          <cell r="G5196" t="str">
            <v>安勤三</v>
          </cell>
          <cell r="H5196">
            <v>100000</v>
          </cell>
          <cell r="I5196">
            <v>3</v>
          </cell>
          <cell r="J5196">
            <v>46409</v>
          </cell>
          <cell r="K5196">
            <v>100</v>
          </cell>
          <cell r="L5196">
            <v>46391</v>
          </cell>
          <cell r="M5196">
            <v>-690</v>
          </cell>
          <cell r="N5196">
            <v>99310</v>
          </cell>
        </row>
        <row r="5197">
          <cell r="A5197">
            <v>35832</v>
          </cell>
          <cell r="B5197">
            <v>5191</v>
          </cell>
          <cell r="C5197" t="str">
            <v>IASWD2502000273</v>
          </cell>
          <cell r="D5197">
            <v>45708</v>
          </cell>
          <cell r="E5197">
            <v>46192</v>
          </cell>
          <cell r="F5197" t="str">
            <v>35832</v>
          </cell>
          <cell r="G5197" t="str">
            <v>辛耘二</v>
          </cell>
          <cell r="H5197">
            <v>100000</v>
          </cell>
          <cell r="I5197">
            <v>3</v>
          </cell>
          <cell r="J5197">
            <v>46192</v>
          </cell>
          <cell r="K5197">
            <v>100</v>
          </cell>
          <cell r="L5197">
            <v>46174</v>
          </cell>
          <cell r="M5197">
            <v>-690</v>
          </cell>
          <cell r="N5197">
            <v>99310</v>
          </cell>
        </row>
        <row r="5198">
          <cell r="A5198">
            <v>33035</v>
          </cell>
          <cell r="B5198">
            <v>5192</v>
          </cell>
          <cell r="C5198" t="str">
            <v>IASWD2502000274</v>
          </cell>
          <cell r="D5198">
            <v>45708</v>
          </cell>
          <cell r="E5198">
            <v>46717</v>
          </cell>
          <cell r="F5198" t="str">
            <v>33035</v>
          </cell>
          <cell r="G5198" t="str">
            <v>岱稜五</v>
          </cell>
          <cell r="H5198">
            <v>100000</v>
          </cell>
          <cell r="I5198">
            <v>4.25</v>
          </cell>
          <cell r="J5198">
            <v>46717</v>
          </cell>
          <cell r="K5198">
            <v>101.50749999999999</v>
          </cell>
          <cell r="L5198">
            <v>46699</v>
          </cell>
          <cell r="M5198">
            <v>-978</v>
          </cell>
          <cell r="N5198">
            <v>99022</v>
          </cell>
        </row>
        <row r="5199">
          <cell r="A5199">
            <v>37022</v>
          </cell>
          <cell r="B5199">
            <v>5193</v>
          </cell>
          <cell r="C5199" t="str">
            <v>IASWD2502000275</v>
          </cell>
          <cell r="D5199">
            <v>45708</v>
          </cell>
          <cell r="E5199">
            <v>46702</v>
          </cell>
          <cell r="F5199" t="str">
            <v>37022</v>
          </cell>
          <cell r="G5199" t="str">
            <v>大聯大二</v>
          </cell>
          <cell r="H5199">
            <v>200000</v>
          </cell>
          <cell r="I5199">
            <v>2.7</v>
          </cell>
          <cell r="J5199">
            <v>46702</v>
          </cell>
          <cell r="K5199">
            <v>100</v>
          </cell>
          <cell r="L5199">
            <v>46682</v>
          </cell>
          <cell r="M5199">
            <v>-1243</v>
          </cell>
          <cell r="N5199">
            <v>198757</v>
          </cell>
        </row>
        <row r="5200">
          <cell r="A5200">
            <v>61965</v>
          </cell>
          <cell r="B5200">
            <v>5194</v>
          </cell>
          <cell r="C5200" t="str">
            <v>IASWD2502000279</v>
          </cell>
          <cell r="D5200">
            <v>45709</v>
          </cell>
          <cell r="E5200">
            <v>46200</v>
          </cell>
          <cell r="F5200" t="str">
            <v>61965</v>
          </cell>
          <cell r="G5200" t="str">
            <v>帆宣五</v>
          </cell>
          <cell r="H5200">
            <v>800000</v>
          </cell>
          <cell r="I5200">
            <v>3</v>
          </cell>
          <cell r="J5200">
            <v>46200</v>
          </cell>
          <cell r="K5200">
            <v>100</v>
          </cell>
          <cell r="L5200">
            <v>46182</v>
          </cell>
          <cell r="M5200">
            <v>-5458</v>
          </cell>
          <cell r="N5200">
            <v>794542</v>
          </cell>
        </row>
        <row r="5201">
          <cell r="A5201">
            <v>37022</v>
          </cell>
          <cell r="B5201">
            <v>5195</v>
          </cell>
          <cell r="C5201" t="str">
            <v>IASWD2502000280</v>
          </cell>
          <cell r="D5201">
            <v>45709</v>
          </cell>
          <cell r="E5201">
            <v>46702</v>
          </cell>
          <cell r="F5201" t="str">
            <v>37022</v>
          </cell>
          <cell r="G5201" t="str">
            <v>大聯大二</v>
          </cell>
          <cell r="H5201">
            <v>100000</v>
          </cell>
          <cell r="I5201">
            <v>2.7</v>
          </cell>
          <cell r="J5201">
            <v>46702</v>
          </cell>
          <cell r="K5201">
            <v>100</v>
          </cell>
          <cell r="L5201">
            <v>46682</v>
          </cell>
          <cell r="M5201">
            <v>-614</v>
          </cell>
          <cell r="N5201">
            <v>99386</v>
          </cell>
        </row>
        <row r="5202">
          <cell r="A5202">
            <v>37022</v>
          </cell>
          <cell r="B5202">
            <v>5196</v>
          </cell>
          <cell r="C5202" t="str">
            <v>IASWD2502000281</v>
          </cell>
          <cell r="D5202">
            <v>45709</v>
          </cell>
          <cell r="E5202">
            <v>46702</v>
          </cell>
          <cell r="F5202" t="str">
            <v>37022</v>
          </cell>
          <cell r="G5202" t="str">
            <v>大聯大二</v>
          </cell>
          <cell r="H5202">
            <v>100000</v>
          </cell>
          <cell r="I5202">
            <v>2.7</v>
          </cell>
          <cell r="J5202">
            <v>46702</v>
          </cell>
          <cell r="K5202">
            <v>100</v>
          </cell>
          <cell r="L5202">
            <v>46682</v>
          </cell>
          <cell r="M5202">
            <v>-614</v>
          </cell>
          <cell r="N5202">
            <v>99386</v>
          </cell>
        </row>
        <row r="5203">
          <cell r="A5203">
            <v>64145</v>
          </cell>
          <cell r="B5203">
            <v>5197</v>
          </cell>
          <cell r="C5203" t="str">
            <v>IASWD2502000282</v>
          </cell>
          <cell r="D5203">
            <v>45709</v>
          </cell>
          <cell r="E5203">
            <v>46250</v>
          </cell>
          <cell r="F5203" t="str">
            <v>64145</v>
          </cell>
          <cell r="G5203" t="str">
            <v>樺漢五</v>
          </cell>
          <cell r="H5203">
            <v>100000</v>
          </cell>
          <cell r="I5203">
            <v>3</v>
          </cell>
          <cell r="J5203">
            <v>46250</v>
          </cell>
          <cell r="K5203">
            <v>100</v>
          </cell>
          <cell r="L5203">
            <v>46231</v>
          </cell>
          <cell r="M5203">
            <v>-682</v>
          </cell>
          <cell r="N5203">
            <v>99318</v>
          </cell>
        </row>
        <row r="5204">
          <cell r="A5204">
            <v>37023</v>
          </cell>
          <cell r="B5204">
            <v>5198</v>
          </cell>
          <cell r="C5204" t="str">
            <v>IASWD2502000283</v>
          </cell>
          <cell r="D5204">
            <v>45709</v>
          </cell>
          <cell r="E5204">
            <v>46712</v>
          </cell>
          <cell r="F5204" t="str">
            <v>37023</v>
          </cell>
          <cell r="G5204" t="str">
            <v>大聯大三</v>
          </cell>
          <cell r="H5204">
            <v>100000</v>
          </cell>
          <cell r="I5204">
            <v>2.7</v>
          </cell>
          <cell r="J5204">
            <v>46712</v>
          </cell>
          <cell r="K5204">
            <v>100</v>
          </cell>
          <cell r="L5204">
            <v>46693</v>
          </cell>
          <cell r="M5204">
            <v>-614</v>
          </cell>
          <cell r="N5204">
            <v>99386</v>
          </cell>
        </row>
        <row r="5205">
          <cell r="A5205">
            <v>80506</v>
          </cell>
          <cell r="B5205">
            <v>5199</v>
          </cell>
          <cell r="C5205" t="str">
            <v>IASWD2502000285</v>
          </cell>
          <cell r="D5205">
            <v>45709</v>
          </cell>
          <cell r="E5205">
            <v>45983</v>
          </cell>
          <cell r="F5205" t="str">
            <v>80506</v>
          </cell>
          <cell r="G5205" t="str">
            <v>廣積六</v>
          </cell>
          <cell r="H5205">
            <v>200000</v>
          </cell>
          <cell r="I5205">
            <v>3.25</v>
          </cell>
          <cell r="J5205">
            <v>45983</v>
          </cell>
          <cell r="K5205">
            <v>100.75</v>
          </cell>
          <cell r="L5205">
            <v>45965</v>
          </cell>
          <cell r="M5205">
            <v>-1478</v>
          </cell>
          <cell r="N5205">
            <v>198522</v>
          </cell>
        </row>
        <row r="5206">
          <cell r="A5206">
            <v>35831</v>
          </cell>
          <cell r="B5206">
            <v>5200</v>
          </cell>
          <cell r="C5206" t="str">
            <v>IASWD2502000286</v>
          </cell>
          <cell r="D5206">
            <v>45709</v>
          </cell>
          <cell r="E5206">
            <v>46180</v>
          </cell>
          <cell r="F5206" t="str">
            <v>35831</v>
          </cell>
          <cell r="G5206" t="str">
            <v>辛耘一</v>
          </cell>
          <cell r="H5206">
            <v>100000</v>
          </cell>
          <cell r="I5206">
            <v>3</v>
          </cell>
          <cell r="J5206">
            <v>46180</v>
          </cell>
          <cell r="K5206">
            <v>100</v>
          </cell>
          <cell r="L5206">
            <v>46161</v>
          </cell>
          <cell r="M5206">
            <v>-682</v>
          </cell>
          <cell r="N5206">
            <v>99318</v>
          </cell>
        </row>
        <row r="5207">
          <cell r="A5207">
            <v>45721</v>
          </cell>
          <cell r="B5207">
            <v>5201</v>
          </cell>
          <cell r="C5207" t="str">
            <v>IASWD2502000287</v>
          </cell>
          <cell r="D5207">
            <v>45709</v>
          </cell>
          <cell r="E5207">
            <v>46219</v>
          </cell>
          <cell r="F5207" t="str">
            <v>45721</v>
          </cell>
          <cell r="G5207" t="str">
            <v>駐龍一</v>
          </cell>
          <cell r="H5207">
            <v>100000</v>
          </cell>
          <cell r="I5207">
            <v>3.5</v>
          </cell>
          <cell r="J5207">
            <v>46219</v>
          </cell>
          <cell r="K5207">
            <v>100</v>
          </cell>
          <cell r="L5207">
            <v>46199</v>
          </cell>
          <cell r="M5207">
            <v>-796</v>
          </cell>
          <cell r="N5207">
            <v>99204</v>
          </cell>
        </row>
        <row r="5208">
          <cell r="A5208">
            <v>34912</v>
          </cell>
          <cell r="B5208">
            <v>5202</v>
          </cell>
          <cell r="C5208" t="str">
            <v>IASWD2502000288</v>
          </cell>
          <cell r="D5208">
            <v>45709</v>
          </cell>
          <cell r="E5208">
            <v>46627</v>
          </cell>
          <cell r="F5208" t="str">
            <v>34912</v>
          </cell>
          <cell r="G5208" t="str">
            <v>昇達科二</v>
          </cell>
          <cell r="H5208">
            <v>200000</v>
          </cell>
          <cell r="I5208">
            <v>3</v>
          </cell>
          <cell r="J5208">
            <v>46627</v>
          </cell>
          <cell r="K5208">
            <v>100</v>
          </cell>
          <cell r="L5208">
            <v>46609</v>
          </cell>
          <cell r="M5208">
            <v>-1364</v>
          </cell>
          <cell r="N5208">
            <v>198636</v>
          </cell>
        </row>
        <row r="5209">
          <cell r="A5209">
            <v>37022</v>
          </cell>
          <cell r="B5209">
            <v>5203</v>
          </cell>
          <cell r="C5209" t="str">
            <v>IASWD2502000290</v>
          </cell>
          <cell r="D5209">
            <v>45709</v>
          </cell>
          <cell r="E5209">
            <v>46702</v>
          </cell>
          <cell r="F5209" t="str">
            <v>37022</v>
          </cell>
          <cell r="G5209" t="str">
            <v>大聯大二</v>
          </cell>
          <cell r="H5209">
            <v>100000</v>
          </cell>
          <cell r="I5209">
            <v>2.7</v>
          </cell>
          <cell r="J5209">
            <v>46702</v>
          </cell>
          <cell r="K5209">
            <v>100</v>
          </cell>
          <cell r="L5209">
            <v>46682</v>
          </cell>
          <cell r="M5209">
            <v>-614</v>
          </cell>
          <cell r="N5209">
            <v>99386</v>
          </cell>
        </row>
        <row r="5210">
          <cell r="A5210">
            <v>22283</v>
          </cell>
          <cell r="B5210">
            <v>5204</v>
          </cell>
          <cell r="C5210" t="str">
            <v>IASWD2502000291</v>
          </cell>
          <cell r="D5210">
            <v>45709</v>
          </cell>
          <cell r="E5210">
            <v>46628</v>
          </cell>
          <cell r="F5210" t="str">
            <v>22283</v>
          </cell>
          <cell r="G5210" t="str">
            <v>劍麟三</v>
          </cell>
          <cell r="H5210">
            <v>100000</v>
          </cell>
          <cell r="I5210">
            <v>3</v>
          </cell>
          <cell r="J5210">
            <v>46628</v>
          </cell>
          <cell r="K5210">
            <v>100</v>
          </cell>
          <cell r="L5210">
            <v>46609</v>
          </cell>
          <cell r="M5210">
            <v>-682</v>
          </cell>
          <cell r="N5210">
            <v>99318</v>
          </cell>
        </row>
        <row r="5211">
          <cell r="A5211">
            <v>37023</v>
          </cell>
          <cell r="B5211">
            <v>5205</v>
          </cell>
          <cell r="C5211" t="str">
            <v>IASWD2502000292</v>
          </cell>
          <cell r="D5211">
            <v>45709</v>
          </cell>
          <cell r="E5211">
            <v>46712</v>
          </cell>
          <cell r="F5211" t="str">
            <v>37023</v>
          </cell>
          <cell r="G5211" t="str">
            <v>大聯大三</v>
          </cell>
          <cell r="H5211">
            <v>300000</v>
          </cell>
          <cell r="I5211">
            <v>2.7</v>
          </cell>
          <cell r="J5211">
            <v>46712</v>
          </cell>
          <cell r="K5211">
            <v>100</v>
          </cell>
          <cell r="L5211">
            <v>46693</v>
          </cell>
          <cell r="M5211">
            <v>-1842</v>
          </cell>
          <cell r="N5211">
            <v>298158</v>
          </cell>
        </row>
        <row r="5212">
          <cell r="A5212">
            <v>80506</v>
          </cell>
          <cell r="B5212">
            <v>5206</v>
          </cell>
          <cell r="C5212" t="str">
            <v>IASWD2502000293</v>
          </cell>
          <cell r="D5212">
            <v>45709</v>
          </cell>
          <cell r="E5212">
            <v>45983</v>
          </cell>
          <cell r="F5212" t="str">
            <v>80506</v>
          </cell>
          <cell r="G5212" t="str">
            <v>廣積六</v>
          </cell>
          <cell r="H5212">
            <v>100000</v>
          </cell>
          <cell r="I5212">
            <v>3.25</v>
          </cell>
          <cell r="J5212">
            <v>45983</v>
          </cell>
          <cell r="K5212">
            <v>100.75</v>
          </cell>
          <cell r="L5212">
            <v>45965</v>
          </cell>
          <cell r="M5212">
            <v>-739</v>
          </cell>
          <cell r="N5212">
            <v>99261</v>
          </cell>
        </row>
        <row r="5213">
          <cell r="A5213">
            <v>61843</v>
          </cell>
          <cell r="B5213">
            <v>5207</v>
          </cell>
          <cell r="C5213" t="str">
            <v>IASWD2502000295</v>
          </cell>
          <cell r="D5213">
            <v>45709</v>
          </cell>
          <cell r="E5213">
            <v>46452</v>
          </cell>
          <cell r="F5213" t="str">
            <v>61843</v>
          </cell>
          <cell r="G5213" t="str">
            <v>大豐電三</v>
          </cell>
          <cell r="H5213">
            <v>200000</v>
          </cell>
          <cell r="I5213">
            <v>3.75</v>
          </cell>
          <cell r="J5213">
            <v>46452</v>
          </cell>
          <cell r="K5213">
            <v>101.50749999999999</v>
          </cell>
          <cell r="L5213">
            <v>46434</v>
          </cell>
          <cell r="M5213">
            <v>-1705</v>
          </cell>
          <cell r="N5213">
            <v>198295</v>
          </cell>
        </row>
        <row r="5214">
          <cell r="A5214">
            <v>64145</v>
          </cell>
          <cell r="B5214">
            <v>5208</v>
          </cell>
          <cell r="C5214" t="str">
            <v>IASWD2502000299</v>
          </cell>
          <cell r="D5214">
            <v>45709</v>
          </cell>
          <cell r="E5214">
            <v>46250</v>
          </cell>
          <cell r="F5214" t="str">
            <v>64145</v>
          </cell>
          <cell r="G5214" t="str">
            <v>樺漢五</v>
          </cell>
          <cell r="H5214">
            <v>400000</v>
          </cell>
          <cell r="I5214">
            <v>3</v>
          </cell>
          <cell r="J5214">
            <v>46250</v>
          </cell>
          <cell r="K5214">
            <v>100</v>
          </cell>
          <cell r="L5214">
            <v>46231</v>
          </cell>
          <cell r="M5214">
            <v>-2729</v>
          </cell>
          <cell r="N5214">
            <v>397271</v>
          </cell>
        </row>
        <row r="5215">
          <cell r="A5215">
            <v>66451</v>
          </cell>
          <cell r="B5215">
            <v>5209</v>
          </cell>
          <cell r="C5215" t="str">
            <v>IASWD2502000300</v>
          </cell>
          <cell r="D5215">
            <v>45709</v>
          </cell>
          <cell r="E5215">
            <v>46360</v>
          </cell>
          <cell r="F5215" t="str">
            <v>66451</v>
          </cell>
          <cell r="G5215" t="str">
            <v>金萬林一創</v>
          </cell>
          <cell r="H5215">
            <v>100000</v>
          </cell>
          <cell r="I5215">
            <v>2.2999999999999998</v>
          </cell>
          <cell r="J5215">
            <v>46360</v>
          </cell>
          <cell r="K5215">
            <v>102</v>
          </cell>
          <cell r="L5215">
            <v>46342</v>
          </cell>
          <cell r="M5215">
            <v>-523</v>
          </cell>
          <cell r="N5215">
            <v>99477</v>
          </cell>
        </row>
        <row r="5216">
          <cell r="A5216">
            <v>35832</v>
          </cell>
          <cell r="B5216">
            <v>5210</v>
          </cell>
          <cell r="C5216" t="str">
            <v>IASWD2502000301</v>
          </cell>
          <cell r="D5216">
            <v>45709</v>
          </cell>
          <cell r="E5216">
            <v>46192</v>
          </cell>
          <cell r="F5216" t="str">
            <v>35832</v>
          </cell>
          <cell r="G5216" t="str">
            <v>辛耘二</v>
          </cell>
          <cell r="H5216">
            <v>500000</v>
          </cell>
          <cell r="I5216">
            <v>3</v>
          </cell>
          <cell r="J5216">
            <v>46192</v>
          </cell>
          <cell r="K5216">
            <v>100</v>
          </cell>
          <cell r="L5216">
            <v>46174</v>
          </cell>
          <cell r="M5216">
            <v>-3411</v>
          </cell>
          <cell r="N5216">
            <v>496589</v>
          </cell>
        </row>
        <row r="5217">
          <cell r="A5217">
            <v>37023</v>
          </cell>
          <cell r="B5217">
            <v>5211</v>
          </cell>
          <cell r="C5217" t="str">
            <v>IASWD2502000302</v>
          </cell>
          <cell r="D5217">
            <v>45709</v>
          </cell>
          <cell r="E5217">
            <v>46712</v>
          </cell>
          <cell r="F5217" t="str">
            <v>37023</v>
          </cell>
          <cell r="G5217" t="str">
            <v>大聯大三</v>
          </cell>
          <cell r="H5217">
            <v>500000</v>
          </cell>
          <cell r="I5217">
            <v>2.7</v>
          </cell>
          <cell r="J5217">
            <v>46712</v>
          </cell>
          <cell r="K5217">
            <v>100</v>
          </cell>
          <cell r="L5217">
            <v>46693</v>
          </cell>
          <cell r="M5217">
            <v>-3070</v>
          </cell>
          <cell r="N5217">
            <v>496930</v>
          </cell>
        </row>
        <row r="5218">
          <cell r="A5218">
            <v>64145</v>
          </cell>
          <cell r="B5218">
            <v>5212</v>
          </cell>
          <cell r="C5218" t="str">
            <v>IASWD2502000304</v>
          </cell>
          <cell r="D5218">
            <v>45709</v>
          </cell>
          <cell r="E5218">
            <v>46250</v>
          </cell>
          <cell r="F5218" t="str">
            <v>64145</v>
          </cell>
          <cell r="G5218" t="str">
            <v>樺漢五</v>
          </cell>
          <cell r="H5218">
            <v>100000</v>
          </cell>
          <cell r="I5218">
            <v>3</v>
          </cell>
          <cell r="J5218">
            <v>46250</v>
          </cell>
          <cell r="K5218">
            <v>100</v>
          </cell>
          <cell r="L5218">
            <v>46231</v>
          </cell>
          <cell r="M5218">
            <v>-682</v>
          </cell>
          <cell r="N5218">
            <v>99318</v>
          </cell>
        </row>
        <row r="5219">
          <cell r="A5219">
            <v>64145</v>
          </cell>
          <cell r="B5219">
            <v>5213</v>
          </cell>
          <cell r="C5219" t="str">
            <v>IASWD2502000305</v>
          </cell>
          <cell r="D5219">
            <v>45709</v>
          </cell>
          <cell r="E5219">
            <v>46250</v>
          </cell>
          <cell r="F5219" t="str">
            <v>64145</v>
          </cell>
          <cell r="G5219" t="str">
            <v>樺漢五</v>
          </cell>
          <cell r="H5219">
            <v>200000</v>
          </cell>
          <cell r="I5219">
            <v>3</v>
          </cell>
          <cell r="J5219">
            <v>46250</v>
          </cell>
          <cell r="K5219">
            <v>100</v>
          </cell>
          <cell r="L5219">
            <v>46231</v>
          </cell>
          <cell r="M5219">
            <v>-1364</v>
          </cell>
          <cell r="N5219">
            <v>198636</v>
          </cell>
        </row>
        <row r="5220">
          <cell r="A5220">
            <v>64145</v>
          </cell>
          <cell r="B5220">
            <v>5214</v>
          </cell>
          <cell r="C5220" t="str">
            <v>IASWD2502000306</v>
          </cell>
          <cell r="D5220">
            <v>45709</v>
          </cell>
          <cell r="E5220">
            <v>46250</v>
          </cell>
          <cell r="F5220" t="str">
            <v>64145</v>
          </cell>
          <cell r="G5220" t="str">
            <v>樺漢五</v>
          </cell>
          <cell r="H5220">
            <v>100000</v>
          </cell>
          <cell r="I5220">
            <v>3</v>
          </cell>
          <cell r="J5220">
            <v>46250</v>
          </cell>
          <cell r="K5220">
            <v>100</v>
          </cell>
          <cell r="L5220">
            <v>46231</v>
          </cell>
          <cell r="M5220">
            <v>-682</v>
          </cell>
          <cell r="N5220">
            <v>99318</v>
          </cell>
        </row>
        <row r="5221">
          <cell r="A5221">
            <v>64145</v>
          </cell>
          <cell r="B5221">
            <v>5215</v>
          </cell>
          <cell r="C5221" t="str">
            <v>IASWD2502000307</v>
          </cell>
          <cell r="D5221">
            <v>45709</v>
          </cell>
          <cell r="E5221">
            <v>46250</v>
          </cell>
          <cell r="F5221" t="str">
            <v>64145</v>
          </cell>
          <cell r="G5221" t="str">
            <v>樺漢五</v>
          </cell>
          <cell r="H5221">
            <v>100000</v>
          </cell>
          <cell r="I5221">
            <v>3</v>
          </cell>
          <cell r="J5221">
            <v>46250</v>
          </cell>
          <cell r="K5221">
            <v>100</v>
          </cell>
          <cell r="L5221">
            <v>46231</v>
          </cell>
          <cell r="M5221">
            <v>-682</v>
          </cell>
          <cell r="N5221">
            <v>99318</v>
          </cell>
        </row>
        <row r="5222">
          <cell r="A5222">
            <v>35832</v>
          </cell>
          <cell r="B5222">
            <v>5216</v>
          </cell>
          <cell r="C5222" t="str">
            <v>IASWD2502000309</v>
          </cell>
          <cell r="D5222">
            <v>45709</v>
          </cell>
          <cell r="E5222">
            <v>46192</v>
          </cell>
          <cell r="F5222" t="str">
            <v>35832</v>
          </cell>
          <cell r="G5222" t="str">
            <v>辛耘二</v>
          </cell>
          <cell r="H5222">
            <v>100000</v>
          </cell>
          <cell r="I5222">
            <v>3</v>
          </cell>
          <cell r="J5222">
            <v>46192</v>
          </cell>
          <cell r="K5222">
            <v>100</v>
          </cell>
          <cell r="L5222">
            <v>46174</v>
          </cell>
          <cell r="M5222">
            <v>-682</v>
          </cell>
          <cell r="N5222">
            <v>99318</v>
          </cell>
        </row>
        <row r="5223">
          <cell r="A5223">
            <v>64145</v>
          </cell>
          <cell r="B5223">
            <v>5217</v>
          </cell>
          <cell r="C5223" t="str">
            <v>IASWD2502000310</v>
          </cell>
          <cell r="D5223">
            <v>45709</v>
          </cell>
          <cell r="E5223">
            <v>46250</v>
          </cell>
          <cell r="F5223" t="str">
            <v>64145</v>
          </cell>
          <cell r="G5223" t="str">
            <v>樺漢五</v>
          </cell>
          <cell r="H5223">
            <v>300000</v>
          </cell>
          <cell r="I5223">
            <v>3</v>
          </cell>
          <cell r="J5223">
            <v>46250</v>
          </cell>
          <cell r="K5223">
            <v>100</v>
          </cell>
          <cell r="L5223">
            <v>46231</v>
          </cell>
          <cell r="M5223">
            <v>-2047</v>
          </cell>
          <cell r="N5223">
            <v>297953</v>
          </cell>
        </row>
        <row r="5224">
          <cell r="A5224">
            <v>64145</v>
          </cell>
          <cell r="B5224">
            <v>5218</v>
          </cell>
          <cell r="C5224" t="str">
            <v>IASWD2502000311</v>
          </cell>
          <cell r="D5224">
            <v>45709</v>
          </cell>
          <cell r="E5224">
            <v>46250</v>
          </cell>
          <cell r="F5224" t="str">
            <v>64145</v>
          </cell>
          <cell r="G5224" t="str">
            <v>樺漢五</v>
          </cell>
          <cell r="H5224">
            <v>100000</v>
          </cell>
          <cell r="I5224">
            <v>3</v>
          </cell>
          <cell r="J5224">
            <v>46250</v>
          </cell>
          <cell r="K5224">
            <v>100</v>
          </cell>
          <cell r="L5224">
            <v>46231</v>
          </cell>
          <cell r="M5224">
            <v>-682</v>
          </cell>
          <cell r="N5224">
            <v>99318</v>
          </cell>
        </row>
        <row r="5225">
          <cell r="A5225">
            <v>64145</v>
          </cell>
          <cell r="B5225">
            <v>5219</v>
          </cell>
          <cell r="C5225" t="str">
            <v>IASWD2502000312</v>
          </cell>
          <cell r="D5225">
            <v>45709</v>
          </cell>
          <cell r="E5225">
            <v>46250</v>
          </cell>
          <cell r="F5225" t="str">
            <v>64145</v>
          </cell>
          <cell r="G5225" t="str">
            <v>樺漢五</v>
          </cell>
          <cell r="H5225">
            <v>1000000</v>
          </cell>
          <cell r="I5225">
            <v>3</v>
          </cell>
          <cell r="J5225">
            <v>46250</v>
          </cell>
          <cell r="K5225">
            <v>100</v>
          </cell>
          <cell r="L5225">
            <v>46231</v>
          </cell>
          <cell r="M5225">
            <v>-6822</v>
          </cell>
          <cell r="N5225">
            <v>993178</v>
          </cell>
        </row>
        <row r="5226">
          <cell r="A5226">
            <v>34793</v>
          </cell>
          <cell r="B5226">
            <v>5220</v>
          </cell>
          <cell r="C5226" t="str">
            <v>IASWD2502000313</v>
          </cell>
          <cell r="D5226">
            <v>45709</v>
          </cell>
          <cell r="E5226">
            <v>46409</v>
          </cell>
          <cell r="F5226" t="str">
            <v>34793</v>
          </cell>
          <cell r="G5226" t="str">
            <v>安勤三</v>
          </cell>
          <cell r="H5226">
            <v>100000</v>
          </cell>
          <cell r="I5226">
            <v>3</v>
          </cell>
          <cell r="J5226">
            <v>46409</v>
          </cell>
          <cell r="K5226">
            <v>100</v>
          </cell>
          <cell r="L5226">
            <v>46391</v>
          </cell>
          <cell r="M5226">
            <v>-682</v>
          </cell>
          <cell r="N5226">
            <v>99318</v>
          </cell>
        </row>
        <row r="5227">
          <cell r="A5227">
            <v>34793</v>
          </cell>
          <cell r="B5227">
            <v>5221</v>
          </cell>
          <cell r="C5227" t="str">
            <v>IASWD2502000315</v>
          </cell>
          <cell r="D5227">
            <v>45709</v>
          </cell>
          <cell r="E5227">
            <v>46409</v>
          </cell>
          <cell r="F5227" t="str">
            <v>34793</v>
          </cell>
          <cell r="G5227" t="str">
            <v>安勤三</v>
          </cell>
          <cell r="H5227">
            <v>100000</v>
          </cell>
          <cell r="I5227">
            <v>3</v>
          </cell>
          <cell r="J5227">
            <v>46409</v>
          </cell>
          <cell r="K5227">
            <v>100</v>
          </cell>
          <cell r="L5227">
            <v>46391</v>
          </cell>
          <cell r="M5227">
            <v>-682</v>
          </cell>
          <cell r="N5227">
            <v>99318</v>
          </cell>
        </row>
        <row r="5228">
          <cell r="A5228">
            <v>37022</v>
          </cell>
          <cell r="B5228">
            <v>5222</v>
          </cell>
          <cell r="C5228" t="str">
            <v>IASWD2502000316</v>
          </cell>
          <cell r="D5228">
            <v>45709</v>
          </cell>
          <cell r="E5228">
            <v>46702</v>
          </cell>
          <cell r="F5228" t="str">
            <v>37022</v>
          </cell>
          <cell r="G5228" t="str">
            <v>大聯大二</v>
          </cell>
          <cell r="H5228">
            <v>200000</v>
          </cell>
          <cell r="I5228">
            <v>2.7</v>
          </cell>
          <cell r="J5228">
            <v>46702</v>
          </cell>
          <cell r="K5228">
            <v>100</v>
          </cell>
          <cell r="L5228">
            <v>46682</v>
          </cell>
          <cell r="M5228">
            <v>-1228</v>
          </cell>
          <cell r="N5228">
            <v>198772</v>
          </cell>
        </row>
        <row r="5229">
          <cell r="A5229">
            <v>64145</v>
          </cell>
          <cell r="B5229">
            <v>5223</v>
          </cell>
          <cell r="C5229" t="str">
            <v>IASWD2502000319</v>
          </cell>
          <cell r="D5229">
            <v>45709</v>
          </cell>
          <cell r="E5229">
            <v>46250</v>
          </cell>
          <cell r="F5229" t="str">
            <v>64145</v>
          </cell>
          <cell r="G5229" t="str">
            <v>樺漢五</v>
          </cell>
          <cell r="H5229">
            <v>400000</v>
          </cell>
          <cell r="I5229">
            <v>3</v>
          </cell>
          <cell r="J5229">
            <v>46250</v>
          </cell>
          <cell r="K5229">
            <v>100</v>
          </cell>
          <cell r="L5229">
            <v>46231</v>
          </cell>
          <cell r="M5229">
            <v>-2729</v>
          </cell>
          <cell r="N5229">
            <v>397271</v>
          </cell>
        </row>
        <row r="5230">
          <cell r="A5230">
            <v>37022</v>
          </cell>
          <cell r="B5230">
            <v>5224</v>
          </cell>
          <cell r="C5230" t="str">
            <v>IASWD2502000320</v>
          </cell>
          <cell r="D5230">
            <v>45709</v>
          </cell>
          <cell r="E5230">
            <v>46702</v>
          </cell>
          <cell r="F5230" t="str">
            <v>37022</v>
          </cell>
          <cell r="G5230" t="str">
            <v>大聯大二</v>
          </cell>
          <cell r="H5230">
            <v>100000</v>
          </cell>
          <cell r="I5230">
            <v>2.7</v>
          </cell>
          <cell r="J5230">
            <v>46702</v>
          </cell>
          <cell r="K5230">
            <v>100</v>
          </cell>
          <cell r="L5230">
            <v>46682</v>
          </cell>
          <cell r="M5230">
            <v>-614</v>
          </cell>
          <cell r="N5230">
            <v>99386</v>
          </cell>
        </row>
        <row r="5231">
          <cell r="A5231">
            <v>61973</v>
          </cell>
          <cell r="B5231">
            <v>5225</v>
          </cell>
          <cell r="C5231" t="str">
            <v>IASWD2502000321</v>
          </cell>
          <cell r="D5231">
            <v>45709</v>
          </cell>
          <cell r="E5231">
            <v>46675</v>
          </cell>
          <cell r="F5231" t="str">
            <v>61973</v>
          </cell>
          <cell r="G5231" t="str">
            <v>佳必琪三</v>
          </cell>
          <cell r="H5231">
            <v>100000</v>
          </cell>
          <cell r="I5231">
            <v>3</v>
          </cell>
          <cell r="J5231">
            <v>46675</v>
          </cell>
          <cell r="K5231">
            <v>100</v>
          </cell>
          <cell r="L5231">
            <v>46657</v>
          </cell>
          <cell r="M5231">
            <v>-682</v>
          </cell>
          <cell r="N5231">
            <v>99318</v>
          </cell>
        </row>
        <row r="5232">
          <cell r="A5232">
            <v>61973</v>
          </cell>
          <cell r="B5232">
            <v>5226</v>
          </cell>
          <cell r="C5232" t="str">
            <v>IASWD2502000322</v>
          </cell>
          <cell r="D5232">
            <v>45709</v>
          </cell>
          <cell r="E5232">
            <v>46675</v>
          </cell>
          <cell r="F5232" t="str">
            <v>61973</v>
          </cell>
          <cell r="G5232" t="str">
            <v>佳必琪三</v>
          </cell>
          <cell r="H5232">
            <v>100000</v>
          </cell>
          <cell r="I5232">
            <v>3</v>
          </cell>
          <cell r="J5232">
            <v>46675</v>
          </cell>
          <cell r="K5232">
            <v>100</v>
          </cell>
          <cell r="L5232">
            <v>46657</v>
          </cell>
          <cell r="M5232">
            <v>-682</v>
          </cell>
          <cell r="N5232">
            <v>99318</v>
          </cell>
        </row>
        <row r="5233">
          <cell r="A5233">
            <v>15142</v>
          </cell>
          <cell r="B5233">
            <v>5227</v>
          </cell>
          <cell r="C5233" t="str">
            <v>IASWD2502000323</v>
          </cell>
          <cell r="D5233">
            <v>45709</v>
          </cell>
          <cell r="E5233">
            <v>46765</v>
          </cell>
          <cell r="F5233" t="str">
            <v>15142</v>
          </cell>
          <cell r="G5233" t="str">
            <v>亞力二</v>
          </cell>
          <cell r="H5233">
            <v>100000</v>
          </cell>
          <cell r="I5233">
            <v>3.5</v>
          </cell>
          <cell r="J5233">
            <v>46765</v>
          </cell>
          <cell r="K5233">
            <v>100.75190000000001</v>
          </cell>
          <cell r="L5233">
            <v>46745</v>
          </cell>
          <cell r="M5233">
            <v>-796</v>
          </cell>
          <cell r="N5233">
            <v>99204</v>
          </cell>
        </row>
        <row r="5234">
          <cell r="A5234">
            <v>15142</v>
          </cell>
          <cell r="B5234">
            <v>5228</v>
          </cell>
          <cell r="C5234" t="str">
            <v>IASWD2502000324</v>
          </cell>
          <cell r="D5234">
            <v>45709</v>
          </cell>
          <cell r="E5234">
            <v>46765</v>
          </cell>
          <cell r="F5234" t="str">
            <v>15142</v>
          </cell>
          <cell r="G5234" t="str">
            <v>亞力二</v>
          </cell>
          <cell r="H5234">
            <v>1000000</v>
          </cell>
          <cell r="I5234">
            <v>3.5</v>
          </cell>
          <cell r="J5234">
            <v>46765</v>
          </cell>
          <cell r="K5234">
            <v>100.75190000000001</v>
          </cell>
          <cell r="L5234">
            <v>46745</v>
          </cell>
          <cell r="M5234">
            <v>-7959</v>
          </cell>
          <cell r="N5234">
            <v>992041</v>
          </cell>
        </row>
        <row r="5235">
          <cell r="A5235">
            <v>64145</v>
          </cell>
          <cell r="B5235">
            <v>5229</v>
          </cell>
          <cell r="C5235" t="str">
            <v>IASWD2502000325</v>
          </cell>
          <cell r="D5235">
            <v>45709</v>
          </cell>
          <cell r="E5235">
            <v>46250</v>
          </cell>
          <cell r="F5235" t="str">
            <v>64145</v>
          </cell>
          <cell r="G5235" t="str">
            <v>樺漢五</v>
          </cell>
          <cell r="H5235">
            <v>200000</v>
          </cell>
          <cell r="I5235">
            <v>3</v>
          </cell>
          <cell r="J5235">
            <v>46250</v>
          </cell>
          <cell r="K5235">
            <v>100</v>
          </cell>
          <cell r="L5235">
            <v>46231</v>
          </cell>
          <cell r="M5235">
            <v>-1364</v>
          </cell>
          <cell r="N5235">
            <v>198636</v>
          </cell>
        </row>
        <row r="5236">
          <cell r="A5236">
            <v>15142</v>
          </cell>
          <cell r="B5236">
            <v>5230</v>
          </cell>
          <cell r="C5236" t="str">
            <v>IASWD2502000326</v>
          </cell>
          <cell r="D5236">
            <v>45709</v>
          </cell>
          <cell r="E5236">
            <v>46765</v>
          </cell>
          <cell r="F5236" t="str">
            <v>15142</v>
          </cell>
          <cell r="G5236" t="str">
            <v>亞力二</v>
          </cell>
          <cell r="H5236">
            <v>100000</v>
          </cell>
          <cell r="I5236">
            <v>3.5</v>
          </cell>
          <cell r="J5236">
            <v>46765</v>
          </cell>
          <cell r="K5236">
            <v>100.75190000000001</v>
          </cell>
          <cell r="L5236">
            <v>46745</v>
          </cell>
          <cell r="M5236">
            <v>-796</v>
          </cell>
          <cell r="N5236">
            <v>99204</v>
          </cell>
        </row>
        <row r="5237">
          <cell r="A5237">
            <v>24361</v>
          </cell>
          <cell r="B5237">
            <v>5231</v>
          </cell>
          <cell r="C5237" t="str">
            <v>IASWD2502000327</v>
          </cell>
          <cell r="D5237">
            <v>45709</v>
          </cell>
          <cell r="E5237">
            <v>45911</v>
          </cell>
          <cell r="F5237" t="str">
            <v>24361</v>
          </cell>
          <cell r="G5237" t="str">
            <v>偉詮電一</v>
          </cell>
          <cell r="H5237">
            <v>200000</v>
          </cell>
          <cell r="I5237">
            <v>3.75</v>
          </cell>
          <cell r="J5237">
            <v>45911</v>
          </cell>
          <cell r="K5237">
            <v>100.50060000000001</v>
          </cell>
          <cell r="L5237">
            <v>45891</v>
          </cell>
          <cell r="M5237">
            <v>-1705</v>
          </cell>
          <cell r="N5237">
            <v>198295</v>
          </cell>
        </row>
        <row r="5238">
          <cell r="A5238">
            <v>34793</v>
          </cell>
          <cell r="B5238">
            <v>5232</v>
          </cell>
          <cell r="C5238" t="str">
            <v>IASWD2502000328</v>
          </cell>
          <cell r="D5238">
            <v>45709</v>
          </cell>
          <cell r="E5238">
            <v>46409</v>
          </cell>
          <cell r="F5238" t="str">
            <v>34793</v>
          </cell>
          <cell r="G5238" t="str">
            <v>安勤三</v>
          </cell>
          <cell r="H5238">
            <v>100000</v>
          </cell>
          <cell r="I5238">
            <v>3</v>
          </cell>
          <cell r="J5238">
            <v>46409</v>
          </cell>
          <cell r="K5238">
            <v>100</v>
          </cell>
          <cell r="L5238">
            <v>46391</v>
          </cell>
          <cell r="M5238">
            <v>-682</v>
          </cell>
          <cell r="N5238">
            <v>99318</v>
          </cell>
        </row>
        <row r="5239">
          <cell r="A5239">
            <v>33121</v>
          </cell>
          <cell r="B5239">
            <v>5233</v>
          </cell>
          <cell r="C5239" t="str">
            <v>IASWD2502000329</v>
          </cell>
          <cell r="D5239">
            <v>45709</v>
          </cell>
          <cell r="E5239">
            <v>46563</v>
          </cell>
          <cell r="F5239" t="str">
            <v>33121</v>
          </cell>
          <cell r="G5239" t="str">
            <v>弘憶股一</v>
          </cell>
          <cell r="H5239">
            <v>300000</v>
          </cell>
          <cell r="I5239">
            <v>3.35</v>
          </cell>
          <cell r="J5239">
            <v>46563</v>
          </cell>
          <cell r="K5239">
            <v>100</v>
          </cell>
          <cell r="L5239">
            <v>46545</v>
          </cell>
          <cell r="M5239">
            <v>-2285</v>
          </cell>
          <cell r="N5239">
            <v>297715</v>
          </cell>
        </row>
        <row r="5240">
          <cell r="A5240">
            <v>64145</v>
          </cell>
          <cell r="B5240">
            <v>5234</v>
          </cell>
          <cell r="C5240" t="str">
            <v>IASWD2502000330</v>
          </cell>
          <cell r="D5240">
            <v>45709</v>
          </cell>
          <cell r="E5240">
            <v>46250</v>
          </cell>
          <cell r="F5240" t="str">
            <v>64145</v>
          </cell>
          <cell r="G5240" t="str">
            <v>樺漢五</v>
          </cell>
          <cell r="H5240">
            <v>100000</v>
          </cell>
          <cell r="I5240">
            <v>3</v>
          </cell>
          <cell r="J5240">
            <v>46250</v>
          </cell>
          <cell r="K5240">
            <v>100</v>
          </cell>
          <cell r="L5240">
            <v>46231</v>
          </cell>
          <cell r="M5240">
            <v>-682</v>
          </cell>
          <cell r="N5240">
            <v>99318</v>
          </cell>
        </row>
        <row r="5241">
          <cell r="A5241">
            <v>64145</v>
          </cell>
          <cell r="B5241">
            <v>5235</v>
          </cell>
          <cell r="C5241" t="str">
            <v>IASWD2502000331</v>
          </cell>
          <cell r="D5241">
            <v>45709</v>
          </cell>
          <cell r="E5241">
            <v>46250</v>
          </cell>
          <cell r="F5241" t="str">
            <v>64145</v>
          </cell>
          <cell r="G5241" t="str">
            <v>樺漢五</v>
          </cell>
          <cell r="H5241">
            <v>100000</v>
          </cell>
          <cell r="I5241">
            <v>3</v>
          </cell>
          <cell r="J5241">
            <v>46250</v>
          </cell>
          <cell r="K5241">
            <v>100</v>
          </cell>
          <cell r="L5241">
            <v>46231</v>
          </cell>
          <cell r="M5241">
            <v>-682</v>
          </cell>
          <cell r="N5241">
            <v>99318</v>
          </cell>
        </row>
        <row r="5242">
          <cell r="A5242">
            <v>64145</v>
          </cell>
          <cell r="B5242">
            <v>5236</v>
          </cell>
          <cell r="C5242" t="str">
            <v>IASWD2502000332</v>
          </cell>
          <cell r="D5242">
            <v>45709</v>
          </cell>
          <cell r="E5242">
            <v>46250</v>
          </cell>
          <cell r="F5242" t="str">
            <v>64145</v>
          </cell>
          <cell r="G5242" t="str">
            <v>樺漢五</v>
          </cell>
          <cell r="H5242">
            <v>100000</v>
          </cell>
          <cell r="I5242">
            <v>3</v>
          </cell>
          <cell r="J5242">
            <v>46250</v>
          </cell>
          <cell r="K5242">
            <v>100</v>
          </cell>
          <cell r="L5242">
            <v>46231</v>
          </cell>
          <cell r="M5242">
            <v>-682</v>
          </cell>
          <cell r="N5242">
            <v>99318</v>
          </cell>
        </row>
        <row r="5243">
          <cell r="A5243">
            <v>34793</v>
          </cell>
          <cell r="B5243">
            <v>5237</v>
          </cell>
          <cell r="C5243" t="str">
            <v>IASWD2502000333</v>
          </cell>
          <cell r="D5243">
            <v>45709</v>
          </cell>
          <cell r="E5243">
            <v>46409</v>
          </cell>
          <cell r="F5243" t="str">
            <v>34793</v>
          </cell>
          <cell r="G5243" t="str">
            <v>安勤三</v>
          </cell>
          <cell r="H5243">
            <v>300000</v>
          </cell>
          <cell r="I5243">
            <v>3</v>
          </cell>
          <cell r="J5243">
            <v>46409</v>
          </cell>
          <cell r="K5243">
            <v>100</v>
          </cell>
          <cell r="L5243">
            <v>46391</v>
          </cell>
          <cell r="M5243">
            <v>-2047</v>
          </cell>
          <cell r="N5243">
            <v>297953</v>
          </cell>
        </row>
        <row r="5244">
          <cell r="A5244">
            <v>21043</v>
          </cell>
          <cell r="B5244">
            <v>5238</v>
          </cell>
          <cell r="C5244" t="str">
            <v>IASWD2502000334</v>
          </cell>
          <cell r="D5244">
            <v>45709</v>
          </cell>
          <cell r="E5244">
            <v>46308</v>
          </cell>
          <cell r="F5244" t="str">
            <v>21043</v>
          </cell>
          <cell r="G5244" t="str">
            <v>國際中橡三</v>
          </cell>
          <cell r="H5244">
            <v>100000</v>
          </cell>
          <cell r="I5244">
            <v>2.8</v>
          </cell>
          <cell r="J5244">
            <v>46308</v>
          </cell>
          <cell r="K5244">
            <v>100.9</v>
          </cell>
          <cell r="L5244">
            <v>46288</v>
          </cell>
          <cell r="M5244">
            <v>-637</v>
          </cell>
          <cell r="N5244">
            <v>99363</v>
          </cell>
        </row>
        <row r="5245">
          <cell r="A5245">
            <v>64145</v>
          </cell>
          <cell r="B5245">
            <v>5239</v>
          </cell>
          <cell r="C5245" t="str">
            <v>IASWD2502000335</v>
          </cell>
          <cell r="D5245">
            <v>45709</v>
          </cell>
          <cell r="E5245">
            <v>46250</v>
          </cell>
          <cell r="F5245" t="str">
            <v>64145</v>
          </cell>
          <cell r="G5245" t="str">
            <v>樺漢五</v>
          </cell>
          <cell r="H5245">
            <v>200000</v>
          </cell>
          <cell r="I5245">
            <v>3</v>
          </cell>
          <cell r="J5245">
            <v>46250</v>
          </cell>
          <cell r="K5245">
            <v>100</v>
          </cell>
          <cell r="L5245">
            <v>46231</v>
          </cell>
          <cell r="M5245">
            <v>-1364</v>
          </cell>
          <cell r="N5245">
            <v>198636</v>
          </cell>
        </row>
        <row r="5246">
          <cell r="A5246">
            <v>15142</v>
          </cell>
          <cell r="B5246">
            <v>5240</v>
          </cell>
          <cell r="C5246" t="str">
            <v>IASWD2502000336</v>
          </cell>
          <cell r="D5246">
            <v>45709</v>
          </cell>
          <cell r="E5246">
            <v>46765</v>
          </cell>
          <cell r="F5246" t="str">
            <v>15142</v>
          </cell>
          <cell r="G5246" t="str">
            <v>亞力二</v>
          </cell>
          <cell r="H5246">
            <v>500000</v>
          </cell>
          <cell r="I5246">
            <v>3.5</v>
          </cell>
          <cell r="J5246">
            <v>46765</v>
          </cell>
          <cell r="K5246">
            <v>100.75190000000001</v>
          </cell>
          <cell r="L5246">
            <v>46745</v>
          </cell>
          <cell r="M5246">
            <v>-3979</v>
          </cell>
          <cell r="N5246">
            <v>496021</v>
          </cell>
        </row>
        <row r="5247">
          <cell r="A5247">
            <v>37022</v>
          </cell>
          <cell r="B5247">
            <v>5241</v>
          </cell>
          <cell r="C5247" t="str">
            <v>IASWD2502000337</v>
          </cell>
          <cell r="D5247">
            <v>45712</v>
          </cell>
          <cell r="E5247">
            <v>46702</v>
          </cell>
          <cell r="F5247" t="str">
            <v>37022</v>
          </cell>
          <cell r="G5247" t="str">
            <v>大聯大二</v>
          </cell>
          <cell r="H5247">
            <v>600000</v>
          </cell>
          <cell r="I5247">
            <v>2.7</v>
          </cell>
          <cell r="J5247">
            <v>46702</v>
          </cell>
          <cell r="K5247">
            <v>100</v>
          </cell>
          <cell r="L5247">
            <v>46682</v>
          </cell>
          <cell r="M5247">
            <v>-3551</v>
          </cell>
          <cell r="N5247">
            <v>596449</v>
          </cell>
        </row>
        <row r="5248">
          <cell r="A5248">
            <v>35871</v>
          </cell>
          <cell r="B5248">
            <v>5242</v>
          </cell>
          <cell r="C5248" t="str">
            <v>IASWD2502000338</v>
          </cell>
          <cell r="D5248">
            <v>45712</v>
          </cell>
          <cell r="E5248">
            <v>46193</v>
          </cell>
          <cell r="F5248" t="str">
            <v>35871</v>
          </cell>
          <cell r="G5248" t="str">
            <v>閎康一</v>
          </cell>
          <cell r="H5248">
            <v>100000</v>
          </cell>
          <cell r="I5248">
            <v>2.6</v>
          </cell>
          <cell r="J5248">
            <v>46193</v>
          </cell>
          <cell r="K5248">
            <v>100</v>
          </cell>
          <cell r="L5248">
            <v>46175</v>
          </cell>
          <cell r="M5248">
            <v>-570</v>
          </cell>
          <cell r="N5248">
            <v>99430</v>
          </cell>
        </row>
        <row r="5249">
          <cell r="A5249">
            <v>61843</v>
          </cell>
          <cell r="B5249">
            <v>5243</v>
          </cell>
          <cell r="C5249" t="str">
            <v>IASWD2502000339</v>
          </cell>
          <cell r="D5249">
            <v>45712</v>
          </cell>
          <cell r="E5249">
            <v>46452</v>
          </cell>
          <cell r="F5249" t="str">
            <v>61843</v>
          </cell>
          <cell r="G5249" t="str">
            <v>大豐電三</v>
          </cell>
          <cell r="H5249">
            <v>200000</v>
          </cell>
          <cell r="I5249">
            <v>3.75</v>
          </cell>
          <cell r="J5249">
            <v>46452</v>
          </cell>
          <cell r="K5249">
            <v>101.50749999999999</v>
          </cell>
          <cell r="L5249">
            <v>46434</v>
          </cell>
          <cell r="M5249">
            <v>-1644</v>
          </cell>
          <cell r="N5249">
            <v>198356</v>
          </cell>
        </row>
        <row r="5250">
          <cell r="A5250">
            <v>37023</v>
          </cell>
          <cell r="B5250">
            <v>5244</v>
          </cell>
          <cell r="C5250" t="str">
            <v>IASWD2502000340</v>
          </cell>
          <cell r="D5250">
            <v>45712</v>
          </cell>
          <cell r="E5250">
            <v>46712</v>
          </cell>
          <cell r="F5250" t="str">
            <v>37023</v>
          </cell>
          <cell r="G5250" t="str">
            <v>大聯大三</v>
          </cell>
          <cell r="H5250">
            <v>200000</v>
          </cell>
          <cell r="I5250">
            <v>2.7</v>
          </cell>
          <cell r="J5250">
            <v>46712</v>
          </cell>
          <cell r="K5250">
            <v>100</v>
          </cell>
          <cell r="L5250">
            <v>46693</v>
          </cell>
          <cell r="M5250">
            <v>-1184</v>
          </cell>
          <cell r="N5250">
            <v>198816</v>
          </cell>
        </row>
        <row r="5251">
          <cell r="A5251">
            <v>61843</v>
          </cell>
          <cell r="B5251">
            <v>5245</v>
          </cell>
          <cell r="C5251" t="str">
            <v>IASWD2502000342</v>
          </cell>
          <cell r="D5251">
            <v>45712</v>
          </cell>
          <cell r="E5251">
            <v>46452</v>
          </cell>
          <cell r="F5251" t="str">
            <v>61843</v>
          </cell>
          <cell r="G5251" t="str">
            <v>大豐電三</v>
          </cell>
          <cell r="H5251">
            <v>600000</v>
          </cell>
          <cell r="I5251">
            <v>3.75</v>
          </cell>
          <cell r="J5251">
            <v>46452</v>
          </cell>
          <cell r="K5251">
            <v>101.50749999999999</v>
          </cell>
          <cell r="L5251">
            <v>46434</v>
          </cell>
          <cell r="M5251">
            <v>-4932</v>
          </cell>
          <cell r="N5251">
            <v>595068</v>
          </cell>
        </row>
        <row r="5252">
          <cell r="A5252">
            <v>61973</v>
          </cell>
          <cell r="B5252">
            <v>5246</v>
          </cell>
          <cell r="C5252" t="str">
            <v>IASWD2502000343</v>
          </cell>
          <cell r="D5252">
            <v>45712</v>
          </cell>
          <cell r="E5252">
            <v>46675</v>
          </cell>
          <cell r="F5252" t="str">
            <v>61973</v>
          </cell>
          <cell r="G5252" t="str">
            <v>佳必琪三</v>
          </cell>
          <cell r="H5252">
            <v>100000</v>
          </cell>
          <cell r="I5252">
            <v>3</v>
          </cell>
          <cell r="J5252">
            <v>46675</v>
          </cell>
          <cell r="K5252">
            <v>100</v>
          </cell>
          <cell r="L5252">
            <v>46657</v>
          </cell>
          <cell r="M5252">
            <v>-658</v>
          </cell>
          <cell r="N5252">
            <v>99342</v>
          </cell>
        </row>
        <row r="5253">
          <cell r="A5253">
            <v>67152</v>
          </cell>
          <cell r="B5253">
            <v>5247</v>
          </cell>
          <cell r="C5253" t="str">
            <v>IASWD2502000344</v>
          </cell>
          <cell r="D5253">
            <v>45712</v>
          </cell>
          <cell r="E5253">
            <v>46405</v>
          </cell>
          <cell r="F5253" t="str">
            <v>67152</v>
          </cell>
          <cell r="G5253" t="str">
            <v>嘉基二</v>
          </cell>
          <cell r="H5253">
            <v>100000</v>
          </cell>
          <cell r="I5253">
            <v>3</v>
          </cell>
          <cell r="J5253">
            <v>46405</v>
          </cell>
          <cell r="K5253">
            <v>100</v>
          </cell>
          <cell r="L5253">
            <v>46385</v>
          </cell>
          <cell r="M5253">
            <v>-658</v>
          </cell>
          <cell r="N5253">
            <v>99342</v>
          </cell>
        </row>
        <row r="5254">
          <cell r="A5254">
            <v>37023</v>
          </cell>
          <cell r="B5254">
            <v>5248</v>
          </cell>
          <cell r="C5254" t="str">
            <v>IASWD2502000345</v>
          </cell>
          <cell r="D5254">
            <v>45712</v>
          </cell>
          <cell r="E5254">
            <v>46712</v>
          </cell>
          <cell r="F5254" t="str">
            <v>37023</v>
          </cell>
          <cell r="G5254" t="str">
            <v>大聯大三</v>
          </cell>
          <cell r="H5254">
            <v>500000</v>
          </cell>
          <cell r="I5254">
            <v>2.7</v>
          </cell>
          <cell r="J5254">
            <v>46712</v>
          </cell>
          <cell r="K5254">
            <v>100</v>
          </cell>
          <cell r="L5254">
            <v>46693</v>
          </cell>
          <cell r="M5254">
            <v>-2959</v>
          </cell>
          <cell r="N5254">
            <v>497041</v>
          </cell>
        </row>
        <row r="5255">
          <cell r="A5255">
            <v>33121</v>
          </cell>
          <cell r="B5255">
            <v>5249</v>
          </cell>
          <cell r="C5255" t="str">
            <v>IASWD2502000346</v>
          </cell>
          <cell r="D5255">
            <v>45712</v>
          </cell>
          <cell r="E5255">
            <v>46563</v>
          </cell>
          <cell r="F5255" t="str">
            <v>33121</v>
          </cell>
          <cell r="G5255" t="str">
            <v>弘憶股一</v>
          </cell>
          <cell r="H5255">
            <v>100000</v>
          </cell>
          <cell r="I5255">
            <v>3.35</v>
          </cell>
          <cell r="J5255">
            <v>46563</v>
          </cell>
          <cell r="K5255">
            <v>100</v>
          </cell>
          <cell r="L5255">
            <v>46545</v>
          </cell>
          <cell r="M5255">
            <v>-734</v>
          </cell>
          <cell r="N5255">
            <v>99266</v>
          </cell>
        </row>
        <row r="5256">
          <cell r="A5256">
            <v>26417</v>
          </cell>
          <cell r="B5256">
            <v>5250</v>
          </cell>
          <cell r="C5256" t="str">
            <v>IASWD2502000347</v>
          </cell>
          <cell r="D5256">
            <v>45712</v>
          </cell>
          <cell r="E5256">
            <v>46594</v>
          </cell>
          <cell r="F5256" t="str">
            <v>26417</v>
          </cell>
          <cell r="G5256" t="str">
            <v>正德七</v>
          </cell>
          <cell r="H5256">
            <v>100000</v>
          </cell>
          <cell r="I5256">
            <v>4</v>
          </cell>
          <cell r="J5256">
            <v>46594</v>
          </cell>
          <cell r="K5256">
            <v>100</v>
          </cell>
          <cell r="L5256">
            <v>46574</v>
          </cell>
          <cell r="M5256">
            <v>-877</v>
          </cell>
          <cell r="N5256">
            <v>99123</v>
          </cell>
        </row>
        <row r="5257">
          <cell r="A5257">
            <v>33035</v>
          </cell>
          <cell r="B5257">
            <v>5251</v>
          </cell>
          <cell r="C5257" t="str">
            <v>IASWD2502000348</v>
          </cell>
          <cell r="D5257">
            <v>45712</v>
          </cell>
          <cell r="E5257">
            <v>46717</v>
          </cell>
          <cell r="F5257" t="str">
            <v>33035</v>
          </cell>
          <cell r="G5257" t="str">
            <v>岱稜五</v>
          </cell>
          <cell r="H5257">
            <v>200000</v>
          </cell>
          <cell r="I5257">
            <v>4.25</v>
          </cell>
          <cell r="J5257">
            <v>46717</v>
          </cell>
          <cell r="K5257">
            <v>101.50749999999999</v>
          </cell>
          <cell r="L5257">
            <v>46699</v>
          </cell>
          <cell r="M5257">
            <v>-1863</v>
          </cell>
          <cell r="N5257">
            <v>198137</v>
          </cell>
        </row>
        <row r="5258">
          <cell r="A5258">
            <v>15142</v>
          </cell>
          <cell r="B5258">
            <v>5252</v>
          </cell>
          <cell r="C5258" t="str">
            <v>IASWD2502000349</v>
          </cell>
          <cell r="D5258">
            <v>45712</v>
          </cell>
          <cell r="E5258">
            <v>46765</v>
          </cell>
          <cell r="F5258" t="str">
            <v>15142</v>
          </cell>
          <cell r="G5258" t="str">
            <v>亞力二</v>
          </cell>
          <cell r="H5258">
            <v>100000</v>
          </cell>
          <cell r="I5258">
            <v>3.5</v>
          </cell>
          <cell r="J5258">
            <v>46765</v>
          </cell>
          <cell r="K5258">
            <v>100.75190000000001</v>
          </cell>
          <cell r="L5258">
            <v>46745</v>
          </cell>
          <cell r="M5258">
            <v>-767</v>
          </cell>
          <cell r="N5258">
            <v>99233</v>
          </cell>
        </row>
        <row r="5259">
          <cell r="A5259">
            <v>15142</v>
          </cell>
          <cell r="B5259">
            <v>5253</v>
          </cell>
          <cell r="C5259" t="str">
            <v>IASWD2502000350</v>
          </cell>
          <cell r="D5259">
            <v>45712</v>
          </cell>
          <cell r="E5259">
            <v>46765</v>
          </cell>
          <cell r="F5259" t="str">
            <v>15142</v>
          </cell>
          <cell r="G5259" t="str">
            <v>亞力二</v>
          </cell>
          <cell r="H5259">
            <v>300000</v>
          </cell>
          <cell r="I5259">
            <v>3.5</v>
          </cell>
          <cell r="J5259">
            <v>46765</v>
          </cell>
          <cell r="K5259">
            <v>100.75190000000001</v>
          </cell>
          <cell r="L5259">
            <v>46745</v>
          </cell>
          <cell r="M5259">
            <v>-2301</v>
          </cell>
          <cell r="N5259">
            <v>297699</v>
          </cell>
        </row>
        <row r="5260">
          <cell r="A5260">
            <v>37023</v>
          </cell>
          <cell r="B5260">
            <v>5254</v>
          </cell>
          <cell r="C5260" t="str">
            <v>IASWD2502000351</v>
          </cell>
          <cell r="D5260">
            <v>45712</v>
          </cell>
          <cell r="E5260">
            <v>46712</v>
          </cell>
          <cell r="F5260" t="str">
            <v>37023</v>
          </cell>
          <cell r="G5260" t="str">
            <v>大聯大三</v>
          </cell>
          <cell r="H5260">
            <v>600000</v>
          </cell>
          <cell r="I5260">
            <v>2.7</v>
          </cell>
          <cell r="J5260">
            <v>46712</v>
          </cell>
          <cell r="K5260">
            <v>100</v>
          </cell>
          <cell r="L5260">
            <v>46693</v>
          </cell>
          <cell r="M5260">
            <v>-3551</v>
          </cell>
          <cell r="N5260">
            <v>596449</v>
          </cell>
        </row>
        <row r="5261">
          <cell r="A5261">
            <v>66642</v>
          </cell>
          <cell r="B5261">
            <v>5255</v>
          </cell>
          <cell r="C5261" t="str">
            <v>IASWD2502000353</v>
          </cell>
          <cell r="D5261">
            <v>45712</v>
          </cell>
          <cell r="E5261">
            <v>46710</v>
          </cell>
          <cell r="F5261" t="str">
            <v>66642</v>
          </cell>
          <cell r="G5261" t="str">
            <v>群翊二</v>
          </cell>
          <cell r="H5261">
            <v>100000</v>
          </cell>
          <cell r="I5261">
            <v>3.75</v>
          </cell>
          <cell r="J5261">
            <v>46710</v>
          </cell>
          <cell r="K5261">
            <v>100</v>
          </cell>
          <cell r="L5261">
            <v>46692</v>
          </cell>
          <cell r="M5261">
            <v>-822</v>
          </cell>
          <cell r="N5261">
            <v>99178</v>
          </cell>
        </row>
        <row r="5262">
          <cell r="A5262">
            <v>64145</v>
          </cell>
          <cell r="B5262">
            <v>5256</v>
          </cell>
          <cell r="C5262" t="str">
            <v>IASWD2502000354</v>
          </cell>
          <cell r="D5262">
            <v>45712</v>
          </cell>
          <cell r="E5262">
            <v>46250</v>
          </cell>
          <cell r="F5262" t="str">
            <v>64145</v>
          </cell>
          <cell r="G5262" t="str">
            <v>樺漢五</v>
          </cell>
          <cell r="H5262">
            <v>200000</v>
          </cell>
          <cell r="I5262">
            <v>3</v>
          </cell>
          <cell r="J5262">
            <v>46250</v>
          </cell>
          <cell r="K5262">
            <v>100</v>
          </cell>
          <cell r="L5262">
            <v>46231</v>
          </cell>
          <cell r="M5262">
            <v>-1315</v>
          </cell>
          <cell r="N5262">
            <v>198685</v>
          </cell>
        </row>
        <row r="5263">
          <cell r="A5263">
            <v>15142</v>
          </cell>
          <cell r="B5263">
            <v>5257</v>
          </cell>
          <cell r="C5263" t="str">
            <v>IASWD2502000355</v>
          </cell>
          <cell r="D5263">
            <v>45712</v>
          </cell>
          <cell r="E5263">
            <v>46765</v>
          </cell>
          <cell r="F5263" t="str">
            <v>15142</v>
          </cell>
          <cell r="G5263" t="str">
            <v>亞力二</v>
          </cell>
          <cell r="H5263">
            <v>100000</v>
          </cell>
          <cell r="I5263">
            <v>3.5</v>
          </cell>
          <cell r="J5263">
            <v>46765</v>
          </cell>
          <cell r="K5263">
            <v>100.75190000000001</v>
          </cell>
          <cell r="L5263">
            <v>46745</v>
          </cell>
          <cell r="M5263">
            <v>-767</v>
          </cell>
          <cell r="N5263">
            <v>99233</v>
          </cell>
        </row>
        <row r="5264">
          <cell r="A5264">
            <v>15142</v>
          </cell>
          <cell r="B5264">
            <v>5258</v>
          </cell>
          <cell r="C5264" t="str">
            <v>IASWD2502000356</v>
          </cell>
          <cell r="D5264">
            <v>45712</v>
          </cell>
          <cell r="E5264">
            <v>46765</v>
          </cell>
          <cell r="F5264" t="str">
            <v>15142</v>
          </cell>
          <cell r="G5264" t="str">
            <v>亞力二</v>
          </cell>
          <cell r="H5264">
            <v>200000</v>
          </cell>
          <cell r="I5264">
            <v>3.5</v>
          </cell>
          <cell r="J5264">
            <v>46765</v>
          </cell>
          <cell r="K5264">
            <v>100.75190000000001</v>
          </cell>
          <cell r="L5264">
            <v>46745</v>
          </cell>
          <cell r="M5264">
            <v>-1534</v>
          </cell>
          <cell r="N5264">
            <v>198466</v>
          </cell>
        </row>
        <row r="5265">
          <cell r="A5265">
            <v>45721</v>
          </cell>
          <cell r="B5265">
            <v>5259</v>
          </cell>
          <cell r="C5265" t="str">
            <v>IASWD2502000357</v>
          </cell>
          <cell r="D5265">
            <v>45712</v>
          </cell>
          <cell r="E5265">
            <v>46219</v>
          </cell>
          <cell r="F5265" t="str">
            <v>45721</v>
          </cell>
          <cell r="G5265" t="str">
            <v>駐龍一</v>
          </cell>
          <cell r="H5265">
            <v>100000</v>
          </cell>
          <cell r="I5265">
            <v>3.5</v>
          </cell>
          <cell r="J5265">
            <v>46219</v>
          </cell>
          <cell r="K5265">
            <v>100</v>
          </cell>
          <cell r="L5265">
            <v>46199</v>
          </cell>
          <cell r="M5265">
            <v>-767</v>
          </cell>
          <cell r="N5265">
            <v>99233</v>
          </cell>
        </row>
        <row r="5266">
          <cell r="A5266">
            <v>64145</v>
          </cell>
          <cell r="B5266">
            <v>5260</v>
          </cell>
          <cell r="C5266" t="str">
            <v>IASWD2502000358</v>
          </cell>
          <cell r="D5266">
            <v>45712</v>
          </cell>
          <cell r="E5266">
            <v>46250</v>
          </cell>
          <cell r="F5266" t="str">
            <v>64145</v>
          </cell>
          <cell r="G5266" t="str">
            <v>樺漢五</v>
          </cell>
          <cell r="H5266">
            <v>100000</v>
          </cell>
          <cell r="I5266">
            <v>3</v>
          </cell>
          <cell r="J5266">
            <v>46250</v>
          </cell>
          <cell r="K5266">
            <v>100</v>
          </cell>
          <cell r="L5266">
            <v>46231</v>
          </cell>
          <cell r="M5266">
            <v>-658</v>
          </cell>
          <cell r="N5266">
            <v>99342</v>
          </cell>
        </row>
        <row r="5267">
          <cell r="A5267">
            <v>64145</v>
          </cell>
          <cell r="B5267">
            <v>5261</v>
          </cell>
          <cell r="C5267" t="str">
            <v>IASWD2502000359</v>
          </cell>
          <cell r="D5267">
            <v>45712</v>
          </cell>
          <cell r="E5267">
            <v>46250</v>
          </cell>
          <cell r="F5267" t="str">
            <v>64145</v>
          </cell>
          <cell r="G5267" t="str">
            <v>樺漢五</v>
          </cell>
          <cell r="H5267">
            <v>100000</v>
          </cell>
          <cell r="I5267">
            <v>3</v>
          </cell>
          <cell r="J5267">
            <v>46250</v>
          </cell>
          <cell r="K5267">
            <v>100</v>
          </cell>
          <cell r="L5267">
            <v>46231</v>
          </cell>
          <cell r="M5267">
            <v>-658</v>
          </cell>
          <cell r="N5267">
            <v>99342</v>
          </cell>
        </row>
        <row r="5268">
          <cell r="A5268">
            <v>15142</v>
          </cell>
          <cell r="B5268">
            <v>5262</v>
          </cell>
          <cell r="C5268" t="str">
            <v>IASWD2502000360</v>
          </cell>
          <cell r="D5268">
            <v>45712</v>
          </cell>
          <cell r="E5268">
            <v>46765</v>
          </cell>
          <cell r="F5268" t="str">
            <v>15142</v>
          </cell>
          <cell r="G5268" t="str">
            <v>亞力二</v>
          </cell>
          <cell r="H5268">
            <v>100000</v>
          </cell>
          <cell r="I5268">
            <v>3.5</v>
          </cell>
          <cell r="J5268">
            <v>46765</v>
          </cell>
          <cell r="K5268">
            <v>100.75190000000001</v>
          </cell>
          <cell r="L5268">
            <v>46745</v>
          </cell>
          <cell r="M5268">
            <v>-767</v>
          </cell>
          <cell r="N5268">
            <v>99233</v>
          </cell>
        </row>
        <row r="5269">
          <cell r="A5269">
            <v>64145</v>
          </cell>
          <cell r="B5269">
            <v>5263</v>
          </cell>
          <cell r="C5269" t="str">
            <v>IASWD2502000361</v>
          </cell>
          <cell r="D5269">
            <v>45712</v>
          </cell>
          <cell r="E5269">
            <v>46250</v>
          </cell>
          <cell r="F5269" t="str">
            <v>64145</v>
          </cell>
          <cell r="G5269" t="str">
            <v>樺漢五</v>
          </cell>
          <cell r="H5269">
            <v>100000</v>
          </cell>
          <cell r="I5269">
            <v>3</v>
          </cell>
          <cell r="J5269">
            <v>46250</v>
          </cell>
          <cell r="K5269">
            <v>100</v>
          </cell>
          <cell r="L5269">
            <v>46231</v>
          </cell>
          <cell r="M5269">
            <v>-658</v>
          </cell>
          <cell r="N5269">
            <v>99342</v>
          </cell>
        </row>
        <row r="5270">
          <cell r="A5270">
            <v>64145</v>
          </cell>
          <cell r="B5270">
            <v>5264</v>
          </cell>
          <cell r="C5270" t="str">
            <v>IASWD2502000362</v>
          </cell>
          <cell r="D5270">
            <v>45712</v>
          </cell>
          <cell r="E5270">
            <v>46250</v>
          </cell>
          <cell r="F5270" t="str">
            <v>64145</v>
          </cell>
          <cell r="G5270" t="str">
            <v>樺漢五</v>
          </cell>
          <cell r="H5270">
            <v>200000</v>
          </cell>
          <cell r="I5270">
            <v>3</v>
          </cell>
          <cell r="J5270">
            <v>46250</v>
          </cell>
          <cell r="K5270">
            <v>100</v>
          </cell>
          <cell r="L5270">
            <v>46231</v>
          </cell>
          <cell r="M5270">
            <v>-1315</v>
          </cell>
          <cell r="N5270">
            <v>198685</v>
          </cell>
        </row>
        <row r="5271">
          <cell r="A5271">
            <v>35832</v>
          </cell>
          <cell r="B5271">
            <v>5265</v>
          </cell>
          <cell r="C5271" t="str">
            <v>IASWD2502000363</v>
          </cell>
          <cell r="D5271">
            <v>45712</v>
          </cell>
          <cell r="E5271">
            <v>46192</v>
          </cell>
          <cell r="F5271" t="str">
            <v>35832</v>
          </cell>
          <cell r="G5271" t="str">
            <v>辛耘二</v>
          </cell>
          <cell r="H5271">
            <v>200000</v>
          </cell>
          <cell r="I5271">
            <v>3</v>
          </cell>
          <cell r="J5271">
            <v>46192</v>
          </cell>
          <cell r="K5271">
            <v>100</v>
          </cell>
          <cell r="L5271">
            <v>46174</v>
          </cell>
          <cell r="M5271">
            <v>-1315</v>
          </cell>
          <cell r="N5271">
            <v>198685</v>
          </cell>
        </row>
        <row r="5272">
          <cell r="A5272">
            <v>34912</v>
          </cell>
          <cell r="B5272">
            <v>5266</v>
          </cell>
          <cell r="C5272" t="str">
            <v>IASWD2502000364</v>
          </cell>
          <cell r="D5272">
            <v>45712</v>
          </cell>
          <cell r="E5272">
            <v>46627</v>
          </cell>
          <cell r="F5272" t="str">
            <v>34912</v>
          </cell>
          <cell r="G5272" t="str">
            <v>昇達科二</v>
          </cell>
          <cell r="H5272">
            <v>100000</v>
          </cell>
          <cell r="I5272">
            <v>3</v>
          </cell>
          <cell r="J5272">
            <v>46627</v>
          </cell>
          <cell r="K5272">
            <v>100</v>
          </cell>
          <cell r="L5272">
            <v>46609</v>
          </cell>
          <cell r="M5272">
            <v>-658</v>
          </cell>
          <cell r="N5272">
            <v>99342</v>
          </cell>
        </row>
        <row r="5273">
          <cell r="A5273">
            <v>15142</v>
          </cell>
          <cell r="B5273">
            <v>5267</v>
          </cell>
          <cell r="C5273" t="str">
            <v>IASWD2502000365</v>
          </cell>
          <cell r="D5273">
            <v>45712</v>
          </cell>
          <cell r="E5273">
            <v>46765</v>
          </cell>
          <cell r="F5273" t="str">
            <v>15142</v>
          </cell>
          <cell r="G5273" t="str">
            <v>亞力二</v>
          </cell>
          <cell r="H5273">
            <v>100000</v>
          </cell>
          <cell r="I5273">
            <v>3.5</v>
          </cell>
          <cell r="J5273">
            <v>46765</v>
          </cell>
          <cell r="K5273">
            <v>100.75190000000001</v>
          </cell>
          <cell r="L5273">
            <v>46745</v>
          </cell>
          <cell r="M5273">
            <v>-767</v>
          </cell>
          <cell r="N5273">
            <v>99233</v>
          </cell>
        </row>
        <row r="5274">
          <cell r="A5274">
            <v>49793</v>
          </cell>
          <cell r="B5274">
            <v>5268</v>
          </cell>
          <cell r="C5274" t="str">
            <v>IASWD2502000366</v>
          </cell>
          <cell r="D5274">
            <v>45712</v>
          </cell>
          <cell r="E5274">
            <v>46365</v>
          </cell>
          <cell r="F5274" t="str">
            <v>49793</v>
          </cell>
          <cell r="G5274" t="str">
            <v>華星光三</v>
          </cell>
          <cell r="H5274">
            <v>100000</v>
          </cell>
          <cell r="I5274">
            <v>4</v>
          </cell>
          <cell r="J5274">
            <v>46365</v>
          </cell>
          <cell r="K5274">
            <v>101.0025</v>
          </cell>
          <cell r="L5274">
            <v>46345</v>
          </cell>
          <cell r="M5274">
            <v>-877</v>
          </cell>
          <cell r="N5274">
            <v>99123</v>
          </cell>
        </row>
        <row r="5275">
          <cell r="A5275">
            <v>15142</v>
          </cell>
          <cell r="B5275">
            <v>5269</v>
          </cell>
          <cell r="C5275" t="str">
            <v>IASWD2502000367</v>
          </cell>
          <cell r="D5275">
            <v>45712</v>
          </cell>
          <cell r="E5275">
            <v>46765</v>
          </cell>
          <cell r="F5275" t="str">
            <v>15142</v>
          </cell>
          <cell r="G5275" t="str">
            <v>亞力二</v>
          </cell>
          <cell r="H5275">
            <v>100000</v>
          </cell>
          <cell r="I5275">
            <v>3.5</v>
          </cell>
          <cell r="J5275">
            <v>46765</v>
          </cell>
          <cell r="K5275">
            <v>100.75190000000001</v>
          </cell>
          <cell r="L5275">
            <v>46745</v>
          </cell>
          <cell r="M5275">
            <v>-767</v>
          </cell>
          <cell r="N5275">
            <v>99233</v>
          </cell>
        </row>
        <row r="5276">
          <cell r="A5276">
            <v>15142</v>
          </cell>
          <cell r="B5276">
            <v>5270</v>
          </cell>
          <cell r="C5276" t="str">
            <v>IASWD2502000368</v>
          </cell>
          <cell r="D5276">
            <v>45712</v>
          </cell>
          <cell r="E5276">
            <v>46765</v>
          </cell>
          <cell r="F5276" t="str">
            <v>15142</v>
          </cell>
          <cell r="G5276" t="str">
            <v>亞力二</v>
          </cell>
          <cell r="H5276">
            <v>100000</v>
          </cell>
          <cell r="I5276">
            <v>3.5</v>
          </cell>
          <cell r="J5276">
            <v>46765</v>
          </cell>
          <cell r="K5276">
            <v>100.75190000000001</v>
          </cell>
          <cell r="L5276">
            <v>46745</v>
          </cell>
          <cell r="M5276">
            <v>-767</v>
          </cell>
          <cell r="N5276">
            <v>99233</v>
          </cell>
        </row>
        <row r="5277">
          <cell r="A5277">
            <v>15142</v>
          </cell>
          <cell r="B5277">
            <v>5271</v>
          </cell>
          <cell r="C5277" t="str">
            <v>IASWD2502000369</v>
          </cell>
          <cell r="D5277">
            <v>45712</v>
          </cell>
          <cell r="E5277">
            <v>46765</v>
          </cell>
          <cell r="F5277" t="str">
            <v>15142</v>
          </cell>
          <cell r="G5277" t="str">
            <v>亞力二</v>
          </cell>
          <cell r="H5277">
            <v>100000</v>
          </cell>
          <cell r="I5277">
            <v>3.5</v>
          </cell>
          <cell r="J5277">
            <v>46765</v>
          </cell>
          <cell r="K5277">
            <v>100.75190000000001</v>
          </cell>
          <cell r="L5277">
            <v>46745</v>
          </cell>
          <cell r="M5277">
            <v>-767</v>
          </cell>
          <cell r="N5277">
            <v>99233</v>
          </cell>
        </row>
        <row r="5278">
          <cell r="A5278">
            <v>37022</v>
          </cell>
          <cell r="B5278">
            <v>5272</v>
          </cell>
          <cell r="C5278" t="str">
            <v>IASWD2502000370</v>
          </cell>
          <cell r="D5278">
            <v>45712</v>
          </cell>
          <cell r="E5278">
            <v>46702</v>
          </cell>
          <cell r="F5278" t="str">
            <v>37022</v>
          </cell>
          <cell r="G5278" t="str">
            <v>大聯大二</v>
          </cell>
          <cell r="H5278">
            <v>100000</v>
          </cell>
          <cell r="I5278">
            <v>2.7</v>
          </cell>
          <cell r="J5278">
            <v>46702</v>
          </cell>
          <cell r="K5278">
            <v>100</v>
          </cell>
          <cell r="L5278">
            <v>46682</v>
          </cell>
          <cell r="M5278">
            <v>-592</v>
          </cell>
          <cell r="N5278">
            <v>99408</v>
          </cell>
        </row>
        <row r="5279">
          <cell r="A5279">
            <v>37022</v>
          </cell>
          <cell r="B5279">
            <v>5273</v>
          </cell>
          <cell r="C5279" t="str">
            <v>IASWD2502000372</v>
          </cell>
          <cell r="D5279">
            <v>45712</v>
          </cell>
          <cell r="E5279">
            <v>46702</v>
          </cell>
          <cell r="F5279" t="str">
            <v>37022</v>
          </cell>
          <cell r="G5279" t="str">
            <v>大聯大二</v>
          </cell>
          <cell r="H5279">
            <v>200000</v>
          </cell>
          <cell r="I5279">
            <v>2.7</v>
          </cell>
          <cell r="J5279">
            <v>46702</v>
          </cell>
          <cell r="K5279">
            <v>100</v>
          </cell>
          <cell r="L5279">
            <v>46682</v>
          </cell>
          <cell r="M5279">
            <v>-1184</v>
          </cell>
          <cell r="N5279">
            <v>198816</v>
          </cell>
        </row>
        <row r="5280">
          <cell r="A5280">
            <v>66642</v>
          </cell>
          <cell r="B5280">
            <v>5274</v>
          </cell>
          <cell r="C5280" t="str">
            <v>IASWD2502000373</v>
          </cell>
          <cell r="D5280">
            <v>45712</v>
          </cell>
          <cell r="E5280">
            <v>46710</v>
          </cell>
          <cell r="F5280" t="str">
            <v>66642</v>
          </cell>
          <cell r="G5280" t="str">
            <v>群翊二</v>
          </cell>
          <cell r="H5280">
            <v>100000</v>
          </cell>
          <cell r="I5280">
            <v>3.75</v>
          </cell>
          <cell r="J5280">
            <v>46710</v>
          </cell>
          <cell r="K5280">
            <v>100</v>
          </cell>
          <cell r="L5280">
            <v>46692</v>
          </cell>
          <cell r="M5280">
            <v>-822</v>
          </cell>
          <cell r="N5280">
            <v>99178</v>
          </cell>
        </row>
        <row r="5281">
          <cell r="A5281">
            <v>37022</v>
          </cell>
          <cell r="B5281">
            <v>5275</v>
          </cell>
          <cell r="C5281" t="str">
            <v>IASWD2502000374</v>
          </cell>
          <cell r="D5281">
            <v>45712</v>
          </cell>
          <cell r="E5281">
            <v>46702</v>
          </cell>
          <cell r="F5281" t="str">
            <v>37022</v>
          </cell>
          <cell r="G5281" t="str">
            <v>大聯大二</v>
          </cell>
          <cell r="H5281">
            <v>100000</v>
          </cell>
          <cell r="I5281">
            <v>2.7</v>
          </cell>
          <cell r="J5281">
            <v>46702</v>
          </cell>
          <cell r="K5281">
            <v>100</v>
          </cell>
          <cell r="L5281">
            <v>46682</v>
          </cell>
          <cell r="M5281">
            <v>-592</v>
          </cell>
          <cell r="N5281">
            <v>99408</v>
          </cell>
        </row>
        <row r="5282">
          <cell r="A5282">
            <v>66451</v>
          </cell>
          <cell r="B5282">
            <v>5276</v>
          </cell>
          <cell r="C5282" t="str">
            <v>IASWD2502000375</v>
          </cell>
          <cell r="D5282">
            <v>45712</v>
          </cell>
          <cell r="E5282">
            <v>46360</v>
          </cell>
          <cell r="F5282" t="str">
            <v>66451</v>
          </cell>
          <cell r="G5282" t="str">
            <v>金萬林一創</v>
          </cell>
          <cell r="H5282">
            <v>300000</v>
          </cell>
          <cell r="I5282">
            <v>2.2999999999999998</v>
          </cell>
          <cell r="J5282">
            <v>46360</v>
          </cell>
          <cell r="K5282">
            <v>102</v>
          </cell>
          <cell r="L5282">
            <v>46342</v>
          </cell>
          <cell r="M5282">
            <v>-1512</v>
          </cell>
          <cell r="N5282">
            <v>298488</v>
          </cell>
        </row>
        <row r="5283">
          <cell r="A5283">
            <v>64145</v>
          </cell>
          <cell r="B5283">
            <v>5277</v>
          </cell>
          <cell r="C5283" t="str">
            <v>IASWD2502000376</v>
          </cell>
          <cell r="D5283">
            <v>45713</v>
          </cell>
          <cell r="E5283">
            <v>46250</v>
          </cell>
          <cell r="F5283" t="str">
            <v>64145</v>
          </cell>
          <cell r="G5283" t="str">
            <v>樺漢五</v>
          </cell>
          <cell r="H5283">
            <v>100000</v>
          </cell>
          <cell r="I5283">
            <v>3</v>
          </cell>
          <cell r="J5283">
            <v>46250</v>
          </cell>
          <cell r="K5283">
            <v>100</v>
          </cell>
          <cell r="L5283">
            <v>46231</v>
          </cell>
          <cell r="M5283">
            <v>-649</v>
          </cell>
          <cell r="N5283">
            <v>99351</v>
          </cell>
        </row>
        <row r="5284">
          <cell r="A5284">
            <v>64145</v>
          </cell>
          <cell r="B5284">
            <v>5278</v>
          </cell>
          <cell r="C5284" t="str">
            <v>IASWD2502000377</v>
          </cell>
          <cell r="D5284">
            <v>45713</v>
          </cell>
          <cell r="E5284">
            <v>46250</v>
          </cell>
          <cell r="F5284" t="str">
            <v>64145</v>
          </cell>
          <cell r="G5284" t="str">
            <v>樺漢五</v>
          </cell>
          <cell r="H5284">
            <v>100000</v>
          </cell>
          <cell r="I5284">
            <v>3</v>
          </cell>
          <cell r="J5284">
            <v>46250</v>
          </cell>
          <cell r="K5284">
            <v>100</v>
          </cell>
          <cell r="L5284">
            <v>46231</v>
          </cell>
          <cell r="M5284">
            <v>-649</v>
          </cell>
          <cell r="N5284">
            <v>99351</v>
          </cell>
        </row>
        <row r="5285">
          <cell r="A5285">
            <v>37022</v>
          </cell>
          <cell r="B5285">
            <v>5279</v>
          </cell>
          <cell r="C5285" t="str">
            <v>IASWD2502000378</v>
          </cell>
          <cell r="D5285">
            <v>45713</v>
          </cell>
          <cell r="E5285">
            <v>46702</v>
          </cell>
          <cell r="F5285" t="str">
            <v>37022</v>
          </cell>
          <cell r="G5285" t="str">
            <v>大聯大二</v>
          </cell>
          <cell r="H5285">
            <v>200000</v>
          </cell>
          <cell r="I5285">
            <v>2.7</v>
          </cell>
          <cell r="J5285">
            <v>46702</v>
          </cell>
          <cell r="K5285">
            <v>100</v>
          </cell>
          <cell r="L5285">
            <v>46682</v>
          </cell>
          <cell r="M5285">
            <v>-1169</v>
          </cell>
          <cell r="N5285">
            <v>198831</v>
          </cell>
        </row>
        <row r="5286">
          <cell r="A5286">
            <v>64145</v>
          </cell>
          <cell r="B5286">
            <v>5280</v>
          </cell>
          <cell r="C5286" t="str">
            <v>IASWD2502000379</v>
          </cell>
          <cell r="D5286">
            <v>45713</v>
          </cell>
          <cell r="E5286">
            <v>46250</v>
          </cell>
          <cell r="F5286" t="str">
            <v>64145</v>
          </cell>
          <cell r="G5286" t="str">
            <v>樺漢五</v>
          </cell>
          <cell r="H5286">
            <v>100000</v>
          </cell>
          <cell r="I5286">
            <v>3</v>
          </cell>
          <cell r="J5286">
            <v>46250</v>
          </cell>
          <cell r="K5286">
            <v>100</v>
          </cell>
          <cell r="L5286">
            <v>46231</v>
          </cell>
          <cell r="M5286">
            <v>-649</v>
          </cell>
          <cell r="N5286">
            <v>99351</v>
          </cell>
        </row>
        <row r="5287">
          <cell r="A5287">
            <v>64145</v>
          </cell>
          <cell r="B5287">
            <v>5281</v>
          </cell>
          <cell r="C5287" t="str">
            <v>IASWD2502000380</v>
          </cell>
          <cell r="D5287">
            <v>45713</v>
          </cell>
          <cell r="E5287">
            <v>46250</v>
          </cell>
          <cell r="F5287" t="str">
            <v>64145</v>
          </cell>
          <cell r="G5287" t="str">
            <v>樺漢五</v>
          </cell>
          <cell r="H5287">
            <v>200000</v>
          </cell>
          <cell r="I5287">
            <v>3</v>
          </cell>
          <cell r="J5287">
            <v>46250</v>
          </cell>
          <cell r="K5287">
            <v>100</v>
          </cell>
          <cell r="L5287">
            <v>46231</v>
          </cell>
          <cell r="M5287">
            <v>-1299</v>
          </cell>
          <cell r="N5287">
            <v>198701</v>
          </cell>
        </row>
        <row r="5288">
          <cell r="A5288">
            <v>15142</v>
          </cell>
          <cell r="B5288">
            <v>5282</v>
          </cell>
          <cell r="C5288" t="str">
            <v>IASWD2502000381</v>
          </cell>
          <cell r="D5288">
            <v>45713</v>
          </cell>
          <cell r="E5288">
            <v>46765</v>
          </cell>
          <cell r="F5288" t="str">
            <v>15142</v>
          </cell>
          <cell r="G5288" t="str">
            <v>亞力二</v>
          </cell>
          <cell r="H5288">
            <v>100000</v>
          </cell>
          <cell r="I5288">
            <v>3.5</v>
          </cell>
          <cell r="J5288">
            <v>46765</v>
          </cell>
          <cell r="K5288">
            <v>100.75190000000001</v>
          </cell>
          <cell r="L5288">
            <v>46745</v>
          </cell>
          <cell r="M5288">
            <v>-758</v>
          </cell>
          <cell r="N5288">
            <v>99242</v>
          </cell>
        </row>
        <row r="5289">
          <cell r="A5289">
            <v>64145</v>
          </cell>
          <cell r="B5289">
            <v>5283</v>
          </cell>
          <cell r="C5289" t="str">
            <v>IASWD2502000382</v>
          </cell>
          <cell r="D5289">
            <v>45713</v>
          </cell>
          <cell r="E5289">
            <v>46250</v>
          </cell>
          <cell r="F5289" t="str">
            <v>64145</v>
          </cell>
          <cell r="G5289" t="str">
            <v>樺漢五</v>
          </cell>
          <cell r="H5289">
            <v>200000</v>
          </cell>
          <cell r="I5289">
            <v>3</v>
          </cell>
          <cell r="J5289">
            <v>46250</v>
          </cell>
          <cell r="K5289">
            <v>100</v>
          </cell>
          <cell r="L5289">
            <v>46231</v>
          </cell>
          <cell r="M5289">
            <v>-1299</v>
          </cell>
          <cell r="N5289">
            <v>198701</v>
          </cell>
        </row>
        <row r="5290">
          <cell r="A5290">
            <v>64145</v>
          </cell>
          <cell r="B5290">
            <v>5284</v>
          </cell>
          <cell r="C5290" t="str">
            <v>IASWD2502000383</v>
          </cell>
          <cell r="D5290">
            <v>45713</v>
          </cell>
          <cell r="E5290">
            <v>46250</v>
          </cell>
          <cell r="F5290" t="str">
            <v>64145</v>
          </cell>
          <cell r="G5290" t="str">
            <v>樺漢五</v>
          </cell>
          <cell r="H5290">
            <v>100000</v>
          </cell>
          <cell r="I5290">
            <v>3</v>
          </cell>
          <cell r="J5290">
            <v>46250</v>
          </cell>
          <cell r="K5290">
            <v>100</v>
          </cell>
          <cell r="L5290">
            <v>46231</v>
          </cell>
          <cell r="M5290">
            <v>-649</v>
          </cell>
          <cell r="N5290">
            <v>99351</v>
          </cell>
        </row>
        <row r="5291">
          <cell r="A5291">
            <v>35832</v>
          </cell>
          <cell r="B5291">
            <v>5285</v>
          </cell>
          <cell r="C5291" t="str">
            <v>IASWD2502000384</v>
          </cell>
          <cell r="D5291">
            <v>45713</v>
          </cell>
          <cell r="E5291">
            <v>46192</v>
          </cell>
          <cell r="F5291" t="str">
            <v>35832</v>
          </cell>
          <cell r="G5291" t="str">
            <v>辛耘二</v>
          </cell>
          <cell r="H5291">
            <v>100000</v>
          </cell>
          <cell r="I5291">
            <v>3</v>
          </cell>
          <cell r="J5291">
            <v>46192</v>
          </cell>
          <cell r="K5291">
            <v>100</v>
          </cell>
          <cell r="L5291">
            <v>46174</v>
          </cell>
          <cell r="M5291">
            <v>-649</v>
          </cell>
          <cell r="N5291">
            <v>99351</v>
          </cell>
        </row>
        <row r="5292">
          <cell r="A5292">
            <v>37022</v>
          </cell>
          <cell r="B5292">
            <v>5286</v>
          </cell>
          <cell r="C5292" t="str">
            <v>IASWD2502000385</v>
          </cell>
          <cell r="D5292">
            <v>45713</v>
          </cell>
          <cell r="E5292">
            <v>46702</v>
          </cell>
          <cell r="F5292" t="str">
            <v>37022</v>
          </cell>
          <cell r="G5292" t="str">
            <v>大聯大二</v>
          </cell>
          <cell r="H5292">
            <v>100000</v>
          </cell>
          <cell r="I5292">
            <v>2.7</v>
          </cell>
          <cell r="J5292">
            <v>46702</v>
          </cell>
          <cell r="K5292">
            <v>100</v>
          </cell>
          <cell r="L5292">
            <v>46682</v>
          </cell>
          <cell r="M5292">
            <v>-584</v>
          </cell>
          <cell r="N5292">
            <v>99416</v>
          </cell>
        </row>
        <row r="5293">
          <cell r="A5293">
            <v>64145</v>
          </cell>
          <cell r="B5293">
            <v>5287</v>
          </cell>
          <cell r="C5293" t="str">
            <v>IASWD2502000386</v>
          </cell>
          <cell r="D5293">
            <v>45713</v>
          </cell>
          <cell r="E5293">
            <v>46250</v>
          </cell>
          <cell r="F5293" t="str">
            <v>64145</v>
          </cell>
          <cell r="G5293" t="str">
            <v>樺漢五</v>
          </cell>
          <cell r="H5293">
            <v>200000</v>
          </cell>
          <cell r="I5293">
            <v>3</v>
          </cell>
          <cell r="J5293">
            <v>46250</v>
          </cell>
          <cell r="K5293">
            <v>100</v>
          </cell>
          <cell r="L5293">
            <v>46231</v>
          </cell>
          <cell r="M5293">
            <v>-1299</v>
          </cell>
          <cell r="N5293">
            <v>198701</v>
          </cell>
        </row>
        <row r="5294">
          <cell r="A5294">
            <v>37022</v>
          </cell>
          <cell r="B5294">
            <v>5288</v>
          </cell>
          <cell r="C5294" t="str">
            <v>IASWD2502000387</v>
          </cell>
          <cell r="D5294">
            <v>45713</v>
          </cell>
          <cell r="E5294">
            <v>46702</v>
          </cell>
          <cell r="F5294" t="str">
            <v>37022</v>
          </cell>
          <cell r="G5294" t="str">
            <v>大聯大二</v>
          </cell>
          <cell r="H5294">
            <v>100000</v>
          </cell>
          <cell r="I5294">
            <v>2.7</v>
          </cell>
          <cell r="J5294">
            <v>46702</v>
          </cell>
          <cell r="K5294">
            <v>100</v>
          </cell>
          <cell r="L5294">
            <v>46682</v>
          </cell>
          <cell r="M5294">
            <v>-584</v>
          </cell>
          <cell r="N5294">
            <v>99416</v>
          </cell>
        </row>
        <row r="5295">
          <cell r="A5295">
            <v>37023</v>
          </cell>
          <cell r="B5295">
            <v>5289</v>
          </cell>
          <cell r="C5295" t="str">
            <v>IASWD2502000388</v>
          </cell>
          <cell r="D5295">
            <v>45713</v>
          </cell>
          <cell r="E5295">
            <v>46712</v>
          </cell>
          <cell r="F5295" t="str">
            <v>37023</v>
          </cell>
          <cell r="G5295" t="str">
            <v>大聯大三</v>
          </cell>
          <cell r="H5295">
            <v>200000</v>
          </cell>
          <cell r="I5295">
            <v>2.7</v>
          </cell>
          <cell r="J5295">
            <v>46712</v>
          </cell>
          <cell r="K5295">
            <v>100</v>
          </cell>
          <cell r="L5295">
            <v>46693</v>
          </cell>
          <cell r="M5295">
            <v>-1169</v>
          </cell>
          <cell r="N5295">
            <v>198831</v>
          </cell>
        </row>
        <row r="5296">
          <cell r="A5296">
            <v>15142</v>
          </cell>
          <cell r="B5296">
            <v>5290</v>
          </cell>
          <cell r="C5296" t="str">
            <v>IASWD2502000389</v>
          </cell>
          <cell r="D5296">
            <v>45713</v>
          </cell>
          <cell r="E5296">
            <v>46765</v>
          </cell>
          <cell r="F5296" t="str">
            <v>15142</v>
          </cell>
          <cell r="G5296" t="str">
            <v>亞力二</v>
          </cell>
          <cell r="H5296">
            <v>200000</v>
          </cell>
          <cell r="I5296">
            <v>3.5</v>
          </cell>
          <cell r="J5296">
            <v>46765</v>
          </cell>
          <cell r="K5296">
            <v>100.75190000000001</v>
          </cell>
          <cell r="L5296">
            <v>46745</v>
          </cell>
          <cell r="M5296">
            <v>-1515</v>
          </cell>
          <cell r="N5296">
            <v>198485</v>
          </cell>
        </row>
        <row r="5297">
          <cell r="A5297">
            <v>22283</v>
          </cell>
          <cell r="B5297">
            <v>5291</v>
          </cell>
          <cell r="C5297" t="str">
            <v>IASWD2502000390</v>
          </cell>
          <cell r="D5297">
            <v>45713</v>
          </cell>
          <cell r="E5297">
            <v>46628</v>
          </cell>
          <cell r="F5297" t="str">
            <v>22283</v>
          </cell>
          <cell r="G5297" t="str">
            <v>劍麟三</v>
          </cell>
          <cell r="H5297">
            <v>100000</v>
          </cell>
          <cell r="I5297">
            <v>3</v>
          </cell>
          <cell r="J5297">
            <v>46628</v>
          </cell>
          <cell r="K5297">
            <v>100</v>
          </cell>
          <cell r="L5297">
            <v>46609</v>
          </cell>
          <cell r="M5297">
            <v>-649</v>
          </cell>
          <cell r="N5297">
            <v>99351</v>
          </cell>
        </row>
        <row r="5298">
          <cell r="A5298">
            <v>64145</v>
          </cell>
          <cell r="B5298">
            <v>5292</v>
          </cell>
          <cell r="C5298" t="str">
            <v>IASWD2502000391</v>
          </cell>
          <cell r="D5298">
            <v>45713</v>
          </cell>
          <cell r="E5298">
            <v>46250</v>
          </cell>
          <cell r="F5298" t="str">
            <v>64145</v>
          </cell>
          <cell r="G5298" t="str">
            <v>樺漢五</v>
          </cell>
          <cell r="H5298">
            <v>100000</v>
          </cell>
          <cell r="I5298">
            <v>3</v>
          </cell>
          <cell r="J5298">
            <v>46250</v>
          </cell>
          <cell r="K5298">
            <v>100</v>
          </cell>
          <cell r="L5298">
            <v>46231</v>
          </cell>
          <cell r="M5298">
            <v>-649</v>
          </cell>
          <cell r="N5298">
            <v>99351</v>
          </cell>
        </row>
        <row r="5299">
          <cell r="A5299">
            <v>64145</v>
          </cell>
          <cell r="B5299">
            <v>5293</v>
          </cell>
          <cell r="C5299" t="str">
            <v>IASWD2502000392</v>
          </cell>
          <cell r="D5299">
            <v>45713</v>
          </cell>
          <cell r="E5299">
            <v>46250</v>
          </cell>
          <cell r="F5299" t="str">
            <v>64145</v>
          </cell>
          <cell r="G5299" t="str">
            <v>樺漢五</v>
          </cell>
          <cell r="H5299">
            <v>1500000</v>
          </cell>
          <cell r="I5299">
            <v>3</v>
          </cell>
          <cell r="J5299">
            <v>46250</v>
          </cell>
          <cell r="K5299">
            <v>100</v>
          </cell>
          <cell r="L5299">
            <v>46231</v>
          </cell>
          <cell r="M5299">
            <v>-9740</v>
          </cell>
          <cell r="N5299">
            <v>1490260</v>
          </cell>
        </row>
        <row r="5300">
          <cell r="A5300">
            <v>21043</v>
          </cell>
          <cell r="B5300">
            <v>5294</v>
          </cell>
          <cell r="C5300" t="str">
            <v>IASWD2502000393</v>
          </cell>
          <cell r="D5300">
            <v>45713</v>
          </cell>
          <cell r="E5300">
            <v>46308</v>
          </cell>
          <cell r="F5300" t="str">
            <v>21043</v>
          </cell>
          <cell r="G5300" t="str">
            <v>國際中橡三</v>
          </cell>
          <cell r="H5300">
            <v>100000</v>
          </cell>
          <cell r="I5300">
            <v>2.8</v>
          </cell>
          <cell r="J5300">
            <v>46308</v>
          </cell>
          <cell r="K5300">
            <v>100.9</v>
          </cell>
          <cell r="L5300">
            <v>46288</v>
          </cell>
          <cell r="M5300">
            <v>-606</v>
          </cell>
          <cell r="N5300">
            <v>99394</v>
          </cell>
        </row>
        <row r="5301">
          <cell r="A5301">
            <v>15142</v>
          </cell>
          <cell r="B5301">
            <v>5295</v>
          </cell>
          <cell r="C5301" t="str">
            <v>IASWD2502000394</v>
          </cell>
          <cell r="D5301">
            <v>45713</v>
          </cell>
          <cell r="E5301">
            <v>46765</v>
          </cell>
          <cell r="F5301" t="str">
            <v>15142</v>
          </cell>
          <cell r="G5301" t="str">
            <v>亞力二</v>
          </cell>
          <cell r="H5301">
            <v>100000</v>
          </cell>
          <cell r="I5301">
            <v>3.5</v>
          </cell>
          <cell r="J5301">
            <v>46765</v>
          </cell>
          <cell r="K5301">
            <v>100.75190000000001</v>
          </cell>
          <cell r="L5301">
            <v>46745</v>
          </cell>
          <cell r="M5301">
            <v>-758</v>
          </cell>
          <cell r="N5301">
            <v>99242</v>
          </cell>
        </row>
        <row r="5302">
          <cell r="A5302">
            <v>66451</v>
          </cell>
          <cell r="B5302">
            <v>5296</v>
          </cell>
          <cell r="C5302" t="str">
            <v>IASWD2502000395</v>
          </cell>
          <cell r="D5302">
            <v>45713</v>
          </cell>
          <cell r="E5302">
            <v>46360</v>
          </cell>
          <cell r="F5302" t="str">
            <v>66451</v>
          </cell>
          <cell r="G5302" t="str">
            <v>金萬林一創</v>
          </cell>
          <cell r="H5302">
            <v>200000</v>
          </cell>
          <cell r="I5302">
            <v>2.2999999999999998</v>
          </cell>
          <cell r="J5302">
            <v>46360</v>
          </cell>
          <cell r="K5302">
            <v>102</v>
          </cell>
          <cell r="L5302">
            <v>46342</v>
          </cell>
          <cell r="M5302">
            <v>-996</v>
          </cell>
          <cell r="N5302">
            <v>199004</v>
          </cell>
        </row>
        <row r="5303">
          <cell r="A5303">
            <v>26417</v>
          </cell>
          <cell r="B5303">
            <v>5297</v>
          </cell>
          <cell r="C5303" t="str">
            <v>IASWD2502000396</v>
          </cell>
          <cell r="D5303">
            <v>45713</v>
          </cell>
          <cell r="E5303">
            <v>46594</v>
          </cell>
          <cell r="F5303" t="str">
            <v>26417</v>
          </cell>
          <cell r="G5303" t="str">
            <v>正德七</v>
          </cell>
          <cell r="H5303">
            <v>100000</v>
          </cell>
          <cell r="I5303">
            <v>4</v>
          </cell>
          <cell r="J5303">
            <v>46594</v>
          </cell>
          <cell r="K5303">
            <v>100</v>
          </cell>
          <cell r="L5303">
            <v>46574</v>
          </cell>
          <cell r="M5303">
            <v>-866</v>
          </cell>
          <cell r="N5303">
            <v>99134</v>
          </cell>
        </row>
        <row r="5304">
          <cell r="A5304">
            <v>15142</v>
          </cell>
          <cell r="B5304">
            <v>5298</v>
          </cell>
          <cell r="C5304" t="str">
            <v>IASWD2502000397</v>
          </cell>
          <cell r="D5304">
            <v>45713</v>
          </cell>
          <cell r="E5304">
            <v>46765</v>
          </cell>
          <cell r="F5304" t="str">
            <v>15142</v>
          </cell>
          <cell r="G5304" t="str">
            <v>亞力二</v>
          </cell>
          <cell r="H5304">
            <v>100000</v>
          </cell>
          <cell r="I5304">
            <v>3.5</v>
          </cell>
          <cell r="J5304">
            <v>46765</v>
          </cell>
          <cell r="K5304">
            <v>100.75190000000001</v>
          </cell>
          <cell r="L5304">
            <v>46745</v>
          </cell>
          <cell r="M5304">
            <v>-758</v>
          </cell>
          <cell r="N5304">
            <v>99242</v>
          </cell>
        </row>
        <row r="5305">
          <cell r="A5305">
            <v>35832</v>
          </cell>
          <cell r="B5305">
            <v>5299</v>
          </cell>
          <cell r="C5305" t="str">
            <v>IASWD2502000398</v>
          </cell>
          <cell r="D5305">
            <v>45713</v>
          </cell>
          <cell r="E5305">
            <v>46192</v>
          </cell>
          <cell r="F5305" t="str">
            <v>35832</v>
          </cell>
          <cell r="G5305" t="str">
            <v>辛耘二</v>
          </cell>
          <cell r="H5305">
            <v>100000</v>
          </cell>
          <cell r="I5305">
            <v>3</v>
          </cell>
          <cell r="J5305">
            <v>46192</v>
          </cell>
          <cell r="K5305">
            <v>100</v>
          </cell>
          <cell r="L5305">
            <v>46174</v>
          </cell>
          <cell r="M5305">
            <v>-649</v>
          </cell>
          <cell r="N5305">
            <v>99351</v>
          </cell>
        </row>
        <row r="5306">
          <cell r="A5306">
            <v>66451</v>
          </cell>
          <cell r="B5306">
            <v>5300</v>
          </cell>
          <cell r="C5306" t="str">
            <v>IASWD2502000399</v>
          </cell>
          <cell r="D5306">
            <v>45713</v>
          </cell>
          <cell r="E5306">
            <v>46360</v>
          </cell>
          <cell r="F5306" t="str">
            <v>66451</v>
          </cell>
          <cell r="G5306" t="str">
            <v>金萬林一創</v>
          </cell>
          <cell r="H5306">
            <v>100000</v>
          </cell>
          <cell r="I5306">
            <v>2.2999999999999998</v>
          </cell>
          <cell r="J5306">
            <v>46360</v>
          </cell>
          <cell r="K5306">
            <v>102</v>
          </cell>
          <cell r="L5306">
            <v>46342</v>
          </cell>
          <cell r="M5306">
            <v>-498</v>
          </cell>
          <cell r="N5306">
            <v>99502</v>
          </cell>
        </row>
        <row r="5307">
          <cell r="A5307">
            <v>37023</v>
          </cell>
          <cell r="B5307">
            <v>5301</v>
          </cell>
          <cell r="C5307" t="str">
            <v>IASWD2502000400</v>
          </cell>
          <cell r="D5307">
            <v>45713</v>
          </cell>
          <cell r="E5307">
            <v>46712</v>
          </cell>
          <cell r="F5307" t="str">
            <v>37023</v>
          </cell>
          <cell r="G5307" t="str">
            <v>大聯大三</v>
          </cell>
          <cell r="H5307">
            <v>500000</v>
          </cell>
          <cell r="I5307">
            <v>2.7</v>
          </cell>
          <cell r="J5307">
            <v>46712</v>
          </cell>
          <cell r="K5307">
            <v>100</v>
          </cell>
          <cell r="L5307">
            <v>46693</v>
          </cell>
          <cell r="M5307">
            <v>-2922</v>
          </cell>
          <cell r="N5307">
            <v>497078</v>
          </cell>
        </row>
        <row r="5308">
          <cell r="A5308">
            <v>61965</v>
          </cell>
          <cell r="B5308">
            <v>5302</v>
          </cell>
          <cell r="C5308" t="str">
            <v>IASWD2502000401</v>
          </cell>
          <cell r="D5308">
            <v>45713</v>
          </cell>
          <cell r="E5308">
            <v>46200</v>
          </cell>
          <cell r="F5308" t="str">
            <v>61965</v>
          </cell>
          <cell r="G5308" t="str">
            <v>帆宣五</v>
          </cell>
          <cell r="H5308">
            <v>100000</v>
          </cell>
          <cell r="I5308">
            <v>3</v>
          </cell>
          <cell r="J5308">
            <v>46200</v>
          </cell>
          <cell r="K5308">
            <v>100</v>
          </cell>
          <cell r="L5308">
            <v>46182</v>
          </cell>
          <cell r="M5308">
            <v>-649</v>
          </cell>
          <cell r="N5308">
            <v>99351</v>
          </cell>
        </row>
        <row r="5309">
          <cell r="A5309">
            <v>24361</v>
          </cell>
          <cell r="B5309">
            <v>5303</v>
          </cell>
          <cell r="C5309" t="str">
            <v>IASWD2502000402</v>
          </cell>
          <cell r="D5309">
            <v>45713</v>
          </cell>
          <cell r="E5309">
            <v>45911</v>
          </cell>
          <cell r="F5309" t="str">
            <v>24361</v>
          </cell>
          <cell r="G5309" t="str">
            <v>偉詮電一</v>
          </cell>
          <cell r="H5309">
            <v>200000</v>
          </cell>
          <cell r="I5309">
            <v>3.75</v>
          </cell>
          <cell r="J5309">
            <v>45911</v>
          </cell>
          <cell r="K5309">
            <v>100.50060000000001</v>
          </cell>
          <cell r="L5309">
            <v>45891</v>
          </cell>
          <cell r="M5309">
            <v>-1623</v>
          </cell>
          <cell r="N5309">
            <v>198377</v>
          </cell>
        </row>
        <row r="5310">
          <cell r="A5310">
            <v>68301</v>
          </cell>
          <cell r="B5310">
            <v>5304</v>
          </cell>
          <cell r="C5310" t="str">
            <v>IASWD2502000403</v>
          </cell>
          <cell r="D5310">
            <v>45713</v>
          </cell>
          <cell r="E5310">
            <v>46249</v>
          </cell>
          <cell r="F5310" t="str">
            <v>68301</v>
          </cell>
          <cell r="G5310" t="str">
            <v>汎銓一</v>
          </cell>
          <cell r="H5310">
            <v>100000</v>
          </cell>
          <cell r="I5310">
            <v>3</v>
          </cell>
          <cell r="J5310">
            <v>46249</v>
          </cell>
          <cell r="K5310">
            <v>100</v>
          </cell>
          <cell r="L5310">
            <v>46231</v>
          </cell>
          <cell r="M5310">
            <v>-649</v>
          </cell>
          <cell r="N5310">
            <v>99351</v>
          </cell>
        </row>
        <row r="5311">
          <cell r="A5311">
            <v>15142</v>
          </cell>
          <cell r="B5311">
            <v>5305</v>
          </cell>
          <cell r="C5311" t="str">
            <v>IASWD2502000404</v>
          </cell>
          <cell r="D5311">
            <v>45713</v>
          </cell>
          <cell r="E5311">
            <v>46765</v>
          </cell>
          <cell r="F5311" t="str">
            <v>15142</v>
          </cell>
          <cell r="G5311" t="str">
            <v>亞力二</v>
          </cell>
          <cell r="H5311">
            <v>100000</v>
          </cell>
          <cell r="I5311">
            <v>3.5</v>
          </cell>
          <cell r="J5311">
            <v>46765</v>
          </cell>
          <cell r="K5311">
            <v>100.75190000000001</v>
          </cell>
          <cell r="L5311">
            <v>46745</v>
          </cell>
          <cell r="M5311">
            <v>-758</v>
          </cell>
          <cell r="N5311">
            <v>99242</v>
          </cell>
        </row>
        <row r="5312">
          <cell r="A5312">
            <v>66451</v>
          </cell>
          <cell r="B5312">
            <v>5306</v>
          </cell>
          <cell r="C5312" t="str">
            <v>IASWD2502000405</v>
          </cell>
          <cell r="D5312">
            <v>45713</v>
          </cell>
          <cell r="E5312">
            <v>46360</v>
          </cell>
          <cell r="F5312" t="str">
            <v>66451</v>
          </cell>
          <cell r="G5312" t="str">
            <v>金萬林一創</v>
          </cell>
          <cell r="H5312">
            <v>200000</v>
          </cell>
          <cell r="I5312">
            <v>2.2999999999999998</v>
          </cell>
          <cell r="J5312">
            <v>46360</v>
          </cell>
          <cell r="K5312">
            <v>102</v>
          </cell>
          <cell r="L5312">
            <v>46342</v>
          </cell>
          <cell r="M5312">
            <v>-996</v>
          </cell>
          <cell r="N5312">
            <v>199004</v>
          </cell>
        </row>
        <row r="5313">
          <cell r="A5313">
            <v>35832</v>
          </cell>
          <cell r="B5313">
            <v>5307</v>
          </cell>
          <cell r="C5313" t="str">
            <v>IASWD2502000406</v>
          </cell>
          <cell r="D5313">
            <v>45713</v>
          </cell>
          <cell r="E5313">
            <v>46192</v>
          </cell>
          <cell r="F5313" t="str">
            <v>35832</v>
          </cell>
          <cell r="G5313" t="str">
            <v>辛耘二</v>
          </cell>
          <cell r="H5313">
            <v>300000</v>
          </cell>
          <cell r="I5313">
            <v>3</v>
          </cell>
          <cell r="J5313">
            <v>46192</v>
          </cell>
          <cell r="K5313">
            <v>100</v>
          </cell>
          <cell r="L5313">
            <v>46174</v>
          </cell>
          <cell r="M5313">
            <v>-1948</v>
          </cell>
          <cell r="N5313">
            <v>298052</v>
          </cell>
        </row>
        <row r="5314">
          <cell r="A5314">
            <v>15142</v>
          </cell>
          <cell r="B5314">
            <v>5308</v>
          </cell>
          <cell r="C5314" t="str">
            <v>IASWD2502000407</v>
          </cell>
          <cell r="D5314">
            <v>45713</v>
          </cell>
          <cell r="E5314">
            <v>46765</v>
          </cell>
          <cell r="F5314" t="str">
            <v>15142</v>
          </cell>
          <cell r="G5314" t="str">
            <v>亞力二</v>
          </cell>
          <cell r="H5314">
            <v>100000</v>
          </cell>
          <cell r="I5314">
            <v>3.5</v>
          </cell>
          <cell r="J5314">
            <v>46765</v>
          </cell>
          <cell r="K5314">
            <v>100.75190000000001</v>
          </cell>
          <cell r="L5314">
            <v>46745</v>
          </cell>
          <cell r="M5314">
            <v>-758</v>
          </cell>
          <cell r="N5314">
            <v>99242</v>
          </cell>
        </row>
        <row r="5315">
          <cell r="A5315">
            <v>26417</v>
          </cell>
          <cell r="B5315">
            <v>5309</v>
          </cell>
          <cell r="C5315" t="str">
            <v>IASWD2502000408</v>
          </cell>
          <cell r="D5315">
            <v>45713</v>
          </cell>
          <cell r="E5315">
            <v>46594</v>
          </cell>
          <cell r="F5315" t="str">
            <v>26417</v>
          </cell>
          <cell r="G5315" t="str">
            <v>正德七</v>
          </cell>
          <cell r="H5315">
            <v>200000</v>
          </cell>
          <cell r="I5315">
            <v>4</v>
          </cell>
          <cell r="J5315">
            <v>46594</v>
          </cell>
          <cell r="K5315">
            <v>100</v>
          </cell>
          <cell r="L5315">
            <v>46574</v>
          </cell>
          <cell r="M5315">
            <v>-1732</v>
          </cell>
          <cell r="N5315">
            <v>198268</v>
          </cell>
        </row>
        <row r="5316">
          <cell r="A5316">
            <v>26417</v>
          </cell>
          <cell r="B5316">
            <v>5310</v>
          </cell>
          <cell r="C5316" t="str">
            <v>IASWD2502000409</v>
          </cell>
          <cell r="D5316">
            <v>45713</v>
          </cell>
          <cell r="E5316">
            <v>46594</v>
          </cell>
          <cell r="F5316" t="str">
            <v>26417</v>
          </cell>
          <cell r="G5316" t="str">
            <v>正德七</v>
          </cell>
          <cell r="H5316">
            <v>200000</v>
          </cell>
          <cell r="I5316">
            <v>4</v>
          </cell>
          <cell r="J5316">
            <v>46594</v>
          </cell>
          <cell r="K5316">
            <v>100</v>
          </cell>
          <cell r="L5316">
            <v>46574</v>
          </cell>
          <cell r="M5316">
            <v>-1732</v>
          </cell>
          <cell r="N5316">
            <v>198268</v>
          </cell>
        </row>
        <row r="5317">
          <cell r="A5317">
            <v>34793</v>
          </cell>
          <cell r="B5317">
            <v>5311</v>
          </cell>
          <cell r="C5317" t="str">
            <v>IASWD2502000410</v>
          </cell>
          <cell r="D5317">
            <v>45713</v>
          </cell>
          <cell r="E5317">
            <v>46409</v>
          </cell>
          <cell r="F5317" t="str">
            <v>34793</v>
          </cell>
          <cell r="G5317" t="str">
            <v>安勤三</v>
          </cell>
          <cell r="H5317">
            <v>100000</v>
          </cell>
          <cell r="I5317">
            <v>3</v>
          </cell>
          <cell r="J5317">
            <v>46409</v>
          </cell>
          <cell r="K5317">
            <v>100</v>
          </cell>
          <cell r="L5317">
            <v>46391</v>
          </cell>
          <cell r="M5317">
            <v>-649</v>
          </cell>
          <cell r="N5317">
            <v>99351</v>
          </cell>
        </row>
        <row r="5318">
          <cell r="A5318">
            <v>61394</v>
          </cell>
          <cell r="B5318">
            <v>5312</v>
          </cell>
          <cell r="C5318" t="str">
            <v>IASWD2502000411</v>
          </cell>
          <cell r="D5318">
            <v>45714</v>
          </cell>
          <cell r="E5318">
            <v>46047</v>
          </cell>
          <cell r="F5318" t="str">
            <v>61394</v>
          </cell>
          <cell r="G5318" t="str">
            <v>亞翔四</v>
          </cell>
          <cell r="H5318">
            <v>100000</v>
          </cell>
          <cell r="I5318">
            <v>3</v>
          </cell>
          <cell r="J5318">
            <v>46047</v>
          </cell>
          <cell r="K5318">
            <v>101.0025</v>
          </cell>
          <cell r="L5318">
            <v>46028</v>
          </cell>
          <cell r="M5318">
            <v>-641</v>
          </cell>
          <cell r="N5318">
            <v>99359</v>
          </cell>
        </row>
        <row r="5319">
          <cell r="A5319">
            <v>35832</v>
          </cell>
          <cell r="B5319">
            <v>5313</v>
          </cell>
          <cell r="C5319" t="str">
            <v>IASWD2502000412</v>
          </cell>
          <cell r="D5319">
            <v>45714</v>
          </cell>
          <cell r="E5319">
            <v>46192</v>
          </cell>
          <cell r="F5319" t="str">
            <v>35832</v>
          </cell>
          <cell r="G5319" t="str">
            <v>辛耘二</v>
          </cell>
          <cell r="H5319">
            <v>200000</v>
          </cell>
          <cell r="I5319">
            <v>3</v>
          </cell>
          <cell r="J5319">
            <v>46192</v>
          </cell>
          <cell r="K5319">
            <v>100</v>
          </cell>
          <cell r="L5319">
            <v>46174</v>
          </cell>
          <cell r="M5319">
            <v>-1282</v>
          </cell>
          <cell r="N5319">
            <v>198718</v>
          </cell>
        </row>
        <row r="5320">
          <cell r="A5320">
            <v>34793</v>
          </cell>
          <cell r="B5320">
            <v>5314</v>
          </cell>
          <cell r="C5320" t="str">
            <v>IASWD2502000413</v>
          </cell>
          <cell r="D5320">
            <v>45714</v>
          </cell>
          <cell r="E5320">
            <v>46409</v>
          </cell>
          <cell r="F5320" t="str">
            <v>34793</v>
          </cell>
          <cell r="G5320" t="str">
            <v>安勤三</v>
          </cell>
          <cell r="H5320">
            <v>100000</v>
          </cell>
          <cell r="I5320">
            <v>3</v>
          </cell>
          <cell r="J5320">
            <v>46409</v>
          </cell>
          <cell r="K5320">
            <v>100</v>
          </cell>
          <cell r="L5320">
            <v>46391</v>
          </cell>
          <cell r="M5320">
            <v>-641</v>
          </cell>
          <cell r="N5320">
            <v>99359</v>
          </cell>
        </row>
        <row r="5321">
          <cell r="A5321">
            <v>35832</v>
          </cell>
          <cell r="B5321">
            <v>5315</v>
          </cell>
          <cell r="C5321" t="str">
            <v>IASWD2502000414</v>
          </cell>
          <cell r="D5321">
            <v>45714</v>
          </cell>
          <cell r="E5321">
            <v>46192</v>
          </cell>
          <cell r="F5321" t="str">
            <v>35832</v>
          </cell>
          <cell r="G5321" t="str">
            <v>辛耘二</v>
          </cell>
          <cell r="H5321">
            <v>100000</v>
          </cell>
          <cell r="I5321">
            <v>3</v>
          </cell>
          <cell r="J5321">
            <v>46192</v>
          </cell>
          <cell r="K5321">
            <v>100</v>
          </cell>
          <cell r="L5321">
            <v>46174</v>
          </cell>
          <cell r="M5321">
            <v>-641</v>
          </cell>
          <cell r="N5321">
            <v>99359</v>
          </cell>
        </row>
        <row r="5322">
          <cell r="A5322">
            <v>22283</v>
          </cell>
          <cell r="B5322">
            <v>5316</v>
          </cell>
          <cell r="C5322" t="str">
            <v>IASWD2502000415</v>
          </cell>
          <cell r="D5322">
            <v>45714</v>
          </cell>
          <cell r="E5322">
            <v>46628</v>
          </cell>
          <cell r="F5322" t="str">
            <v>22283</v>
          </cell>
          <cell r="G5322" t="str">
            <v>劍麟三</v>
          </cell>
          <cell r="H5322">
            <v>2400000</v>
          </cell>
          <cell r="I5322">
            <v>3</v>
          </cell>
          <cell r="J5322">
            <v>46628</v>
          </cell>
          <cell r="K5322">
            <v>100</v>
          </cell>
          <cell r="L5322">
            <v>46609</v>
          </cell>
          <cell r="M5322">
            <v>-15386</v>
          </cell>
          <cell r="N5322">
            <v>2384614</v>
          </cell>
        </row>
        <row r="5323">
          <cell r="A5323">
            <v>61973</v>
          </cell>
          <cell r="B5323">
            <v>5317</v>
          </cell>
          <cell r="C5323" t="str">
            <v>IASWD2502000416</v>
          </cell>
          <cell r="D5323">
            <v>45714</v>
          </cell>
          <cell r="E5323">
            <v>46675</v>
          </cell>
          <cell r="F5323" t="str">
            <v>61973</v>
          </cell>
          <cell r="G5323" t="str">
            <v>佳必琪三</v>
          </cell>
          <cell r="H5323">
            <v>100000</v>
          </cell>
          <cell r="I5323">
            <v>3</v>
          </cell>
          <cell r="J5323">
            <v>46675</v>
          </cell>
          <cell r="K5323">
            <v>100</v>
          </cell>
          <cell r="L5323">
            <v>46657</v>
          </cell>
          <cell r="M5323">
            <v>-641</v>
          </cell>
          <cell r="N5323">
            <v>99359</v>
          </cell>
        </row>
        <row r="5324">
          <cell r="A5324">
            <v>61973</v>
          </cell>
          <cell r="B5324">
            <v>5318</v>
          </cell>
          <cell r="C5324" t="str">
            <v>IASWD2502000417</v>
          </cell>
          <cell r="D5324">
            <v>45714</v>
          </cell>
          <cell r="E5324">
            <v>46675</v>
          </cell>
          <cell r="F5324" t="str">
            <v>61973</v>
          </cell>
          <cell r="G5324" t="str">
            <v>佳必琪三</v>
          </cell>
          <cell r="H5324">
            <v>100000</v>
          </cell>
          <cell r="I5324">
            <v>3</v>
          </cell>
          <cell r="J5324">
            <v>46675</v>
          </cell>
          <cell r="K5324">
            <v>100</v>
          </cell>
          <cell r="L5324">
            <v>46657</v>
          </cell>
          <cell r="M5324">
            <v>-641</v>
          </cell>
          <cell r="N5324">
            <v>99359</v>
          </cell>
        </row>
        <row r="5325">
          <cell r="A5325">
            <v>35832</v>
          </cell>
          <cell r="B5325">
            <v>5319</v>
          </cell>
          <cell r="C5325" t="str">
            <v>IASWD2502000418</v>
          </cell>
          <cell r="D5325">
            <v>45714</v>
          </cell>
          <cell r="E5325">
            <v>46192</v>
          </cell>
          <cell r="F5325" t="str">
            <v>35832</v>
          </cell>
          <cell r="G5325" t="str">
            <v>辛耘二</v>
          </cell>
          <cell r="H5325">
            <v>200000</v>
          </cell>
          <cell r="I5325">
            <v>3</v>
          </cell>
          <cell r="J5325">
            <v>46192</v>
          </cell>
          <cell r="K5325">
            <v>100</v>
          </cell>
          <cell r="L5325">
            <v>46174</v>
          </cell>
          <cell r="M5325">
            <v>-1282</v>
          </cell>
          <cell r="N5325">
            <v>198718</v>
          </cell>
        </row>
        <row r="5326">
          <cell r="A5326">
            <v>64145</v>
          </cell>
          <cell r="B5326">
            <v>5320</v>
          </cell>
          <cell r="C5326" t="str">
            <v>IASWD2502000419</v>
          </cell>
          <cell r="D5326">
            <v>45714</v>
          </cell>
          <cell r="E5326">
            <v>46250</v>
          </cell>
          <cell r="F5326" t="str">
            <v>64145</v>
          </cell>
          <cell r="G5326" t="str">
            <v>樺漢五</v>
          </cell>
          <cell r="H5326">
            <v>100000</v>
          </cell>
          <cell r="I5326">
            <v>3</v>
          </cell>
          <cell r="J5326">
            <v>46250</v>
          </cell>
          <cell r="K5326">
            <v>100</v>
          </cell>
          <cell r="L5326">
            <v>46231</v>
          </cell>
          <cell r="M5326">
            <v>-641</v>
          </cell>
          <cell r="N5326">
            <v>99359</v>
          </cell>
        </row>
        <row r="5327">
          <cell r="A5327">
            <v>37023</v>
          </cell>
          <cell r="B5327">
            <v>5321</v>
          </cell>
          <cell r="C5327" t="str">
            <v>IASWD2502000420</v>
          </cell>
          <cell r="D5327">
            <v>45714</v>
          </cell>
          <cell r="E5327">
            <v>46712</v>
          </cell>
          <cell r="F5327" t="str">
            <v>37023</v>
          </cell>
          <cell r="G5327" t="str">
            <v>大聯大三</v>
          </cell>
          <cell r="H5327">
            <v>100000</v>
          </cell>
          <cell r="I5327">
            <v>2.7</v>
          </cell>
          <cell r="J5327">
            <v>46712</v>
          </cell>
          <cell r="K5327">
            <v>100</v>
          </cell>
          <cell r="L5327">
            <v>46693</v>
          </cell>
          <cell r="M5327">
            <v>-577</v>
          </cell>
          <cell r="N5327">
            <v>99423</v>
          </cell>
        </row>
        <row r="5328">
          <cell r="A5328">
            <v>37022</v>
          </cell>
          <cell r="B5328">
            <v>5322</v>
          </cell>
          <cell r="C5328" t="str">
            <v>IASWD2502000421</v>
          </cell>
          <cell r="D5328">
            <v>45714</v>
          </cell>
          <cell r="E5328">
            <v>46702</v>
          </cell>
          <cell r="F5328" t="str">
            <v>37022</v>
          </cell>
          <cell r="G5328" t="str">
            <v>大聯大二</v>
          </cell>
          <cell r="H5328">
            <v>100000</v>
          </cell>
          <cell r="I5328">
            <v>2.7</v>
          </cell>
          <cell r="J5328">
            <v>46702</v>
          </cell>
          <cell r="K5328">
            <v>100</v>
          </cell>
          <cell r="L5328">
            <v>46682</v>
          </cell>
          <cell r="M5328">
            <v>-577</v>
          </cell>
          <cell r="N5328">
            <v>99423</v>
          </cell>
        </row>
        <row r="5329">
          <cell r="A5329">
            <v>25484</v>
          </cell>
          <cell r="B5329">
            <v>5323</v>
          </cell>
          <cell r="C5329" t="str">
            <v>IASWD2502000422</v>
          </cell>
          <cell r="D5329">
            <v>45714</v>
          </cell>
          <cell r="E5329">
            <v>46678</v>
          </cell>
          <cell r="F5329" t="str">
            <v>25484</v>
          </cell>
          <cell r="G5329" t="str">
            <v>華固四</v>
          </cell>
          <cell r="H5329">
            <v>1000000</v>
          </cell>
          <cell r="I5329">
            <v>3</v>
          </cell>
          <cell r="J5329">
            <v>46678</v>
          </cell>
          <cell r="K5329">
            <v>100</v>
          </cell>
          <cell r="L5329">
            <v>46658</v>
          </cell>
          <cell r="M5329">
            <v>-6411</v>
          </cell>
          <cell r="N5329">
            <v>993589</v>
          </cell>
        </row>
        <row r="5330">
          <cell r="A5330">
            <v>21043</v>
          </cell>
          <cell r="B5330">
            <v>5324</v>
          </cell>
          <cell r="C5330" t="str">
            <v>IASWD2502000423</v>
          </cell>
          <cell r="D5330">
            <v>45714</v>
          </cell>
          <cell r="E5330">
            <v>46308</v>
          </cell>
          <cell r="F5330" t="str">
            <v>21043</v>
          </cell>
          <cell r="G5330" t="str">
            <v>國際中橡三</v>
          </cell>
          <cell r="H5330">
            <v>300000</v>
          </cell>
          <cell r="I5330">
            <v>2.8</v>
          </cell>
          <cell r="J5330">
            <v>46308</v>
          </cell>
          <cell r="K5330">
            <v>100.9</v>
          </cell>
          <cell r="L5330">
            <v>46288</v>
          </cell>
          <cell r="M5330">
            <v>-1795</v>
          </cell>
          <cell r="N5330">
            <v>298205</v>
          </cell>
        </row>
        <row r="5331">
          <cell r="A5331">
            <v>64145</v>
          </cell>
          <cell r="B5331">
            <v>5325</v>
          </cell>
          <cell r="C5331" t="str">
            <v>IASWD2502000424</v>
          </cell>
          <cell r="D5331">
            <v>45714</v>
          </cell>
          <cell r="E5331">
            <v>46250</v>
          </cell>
          <cell r="F5331" t="str">
            <v>64145</v>
          </cell>
          <cell r="G5331" t="str">
            <v>樺漢五</v>
          </cell>
          <cell r="H5331">
            <v>100000</v>
          </cell>
          <cell r="I5331">
            <v>3</v>
          </cell>
          <cell r="J5331">
            <v>46250</v>
          </cell>
          <cell r="K5331">
            <v>100</v>
          </cell>
          <cell r="L5331">
            <v>46231</v>
          </cell>
          <cell r="M5331">
            <v>-641</v>
          </cell>
          <cell r="N5331">
            <v>99359</v>
          </cell>
        </row>
        <row r="5332">
          <cell r="A5332">
            <v>37022</v>
          </cell>
          <cell r="B5332">
            <v>5326</v>
          </cell>
          <cell r="C5332" t="str">
            <v>IASWD2502000425</v>
          </cell>
          <cell r="D5332">
            <v>45714</v>
          </cell>
          <cell r="E5332">
            <v>46702</v>
          </cell>
          <cell r="F5332" t="str">
            <v>37022</v>
          </cell>
          <cell r="G5332" t="str">
            <v>大聯大二</v>
          </cell>
          <cell r="H5332">
            <v>900000</v>
          </cell>
          <cell r="I5332">
            <v>2.7</v>
          </cell>
          <cell r="J5332">
            <v>46702</v>
          </cell>
          <cell r="K5332">
            <v>100</v>
          </cell>
          <cell r="L5332">
            <v>46682</v>
          </cell>
          <cell r="M5332">
            <v>-5193</v>
          </cell>
          <cell r="N5332">
            <v>894807</v>
          </cell>
        </row>
        <row r="5333">
          <cell r="A5333">
            <v>64145</v>
          </cell>
          <cell r="B5333">
            <v>5327</v>
          </cell>
          <cell r="C5333" t="str">
            <v>IASWD2502000426</v>
          </cell>
          <cell r="D5333">
            <v>45714</v>
          </cell>
          <cell r="E5333">
            <v>46250</v>
          </cell>
          <cell r="F5333" t="str">
            <v>64145</v>
          </cell>
          <cell r="G5333" t="str">
            <v>樺漢五</v>
          </cell>
          <cell r="H5333">
            <v>100000</v>
          </cell>
          <cell r="I5333">
            <v>3</v>
          </cell>
          <cell r="J5333">
            <v>46250</v>
          </cell>
          <cell r="K5333">
            <v>100</v>
          </cell>
          <cell r="L5333">
            <v>46231</v>
          </cell>
          <cell r="M5333">
            <v>-641</v>
          </cell>
          <cell r="N5333">
            <v>99359</v>
          </cell>
        </row>
        <row r="5334">
          <cell r="A5334">
            <v>37022</v>
          </cell>
          <cell r="B5334">
            <v>5328</v>
          </cell>
          <cell r="C5334" t="str">
            <v>IASWD2502000427</v>
          </cell>
          <cell r="D5334">
            <v>45714</v>
          </cell>
          <cell r="E5334">
            <v>46702</v>
          </cell>
          <cell r="F5334" t="str">
            <v>37022</v>
          </cell>
          <cell r="G5334" t="str">
            <v>大聯大二</v>
          </cell>
          <cell r="H5334">
            <v>200000</v>
          </cell>
          <cell r="I5334">
            <v>2.7</v>
          </cell>
          <cell r="J5334">
            <v>46702</v>
          </cell>
          <cell r="K5334">
            <v>100</v>
          </cell>
          <cell r="L5334">
            <v>46682</v>
          </cell>
          <cell r="M5334">
            <v>-1154</v>
          </cell>
          <cell r="N5334">
            <v>198846</v>
          </cell>
        </row>
        <row r="5335">
          <cell r="A5335">
            <v>65096</v>
          </cell>
          <cell r="B5335">
            <v>5329</v>
          </cell>
          <cell r="C5335" t="str">
            <v>IASWD2502000428</v>
          </cell>
          <cell r="D5335">
            <v>45714</v>
          </cell>
          <cell r="E5335">
            <v>46206</v>
          </cell>
          <cell r="F5335" t="str">
            <v>65096</v>
          </cell>
          <cell r="G5335" t="str">
            <v>聚和六</v>
          </cell>
          <cell r="H5335">
            <v>100000</v>
          </cell>
          <cell r="I5335">
            <v>3.25</v>
          </cell>
          <cell r="J5335">
            <v>46206</v>
          </cell>
          <cell r="K5335">
            <v>100</v>
          </cell>
          <cell r="L5335">
            <v>46188</v>
          </cell>
          <cell r="M5335">
            <v>-695</v>
          </cell>
          <cell r="N5335">
            <v>99305</v>
          </cell>
        </row>
        <row r="5336">
          <cell r="A5336">
            <v>64145</v>
          </cell>
          <cell r="B5336">
            <v>5330</v>
          </cell>
          <cell r="C5336" t="str">
            <v>IASWD2502000429</v>
          </cell>
          <cell r="D5336">
            <v>45714</v>
          </cell>
          <cell r="E5336">
            <v>46250</v>
          </cell>
          <cell r="F5336" t="str">
            <v>64145</v>
          </cell>
          <cell r="G5336" t="str">
            <v>樺漢五</v>
          </cell>
          <cell r="H5336">
            <v>1000000</v>
          </cell>
          <cell r="I5336">
            <v>3</v>
          </cell>
          <cell r="J5336">
            <v>46250</v>
          </cell>
          <cell r="K5336">
            <v>100</v>
          </cell>
          <cell r="L5336">
            <v>46231</v>
          </cell>
          <cell r="M5336">
            <v>-6411</v>
          </cell>
          <cell r="N5336">
            <v>993589</v>
          </cell>
        </row>
        <row r="5337">
          <cell r="A5337">
            <v>35832</v>
          </cell>
          <cell r="B5337">
            <v>5331</v>
          </cell>
          <cell r="C5337" t="str">
            <v>IASWD2502000430</v>
          </cell>
          <cell r="D5337">
            <v>45714</v>
          </cell>
          <cell r="E5337">
            <v>46192</v>
          </cell>
          <cell r="F5337" t="str">
            <v>35832</v>
          </cell>
          <cell r="G5337" t="str">
            <v>辛耘二</v>
          </cell>
          <cell r="H5337">
            <v>200000</v>
          </cell>
          <cell r="I5337">
            <v>3</v>
          </cell>
          <cell r="J5337">
            <v>46192</v>
          </cell>
          <cell r="K5337">
            <v>100</v>
          </cell>
          <cell r="L5337">
            <v>46174</v>
          </cell>
          <cell r="M5337">
            <v>-1282</v>
          </cell>
          <cell r="N5337">
            <v>198718</v>
          </cell>
        </row>
        <row r="5338">
          <cell r="A5338">
            <v>64145</v>
          </cell>
          <cell r="B5338">
            <v>5332</v>
          </cell>
          <cell r="C5338" t="str">
            <v>IASWD2502000431</v>
          </cell>
          <cell r="D5338">
            <v>45714</v>
          </cell>
          <cell r="E5338">
            <v>46250</v>
          </cell>
          <cell r="F5338" t="str">
            <v>64145</v>
          </cell>
          <cell r="G5338" t="str">
            <v>樺漢五</v>
          </cell>
          <cell r="H5338">
            <v>300000</v>
          </cell>
          <cell r="I5338">
            <v>3</v>
          </cell>
          <cell r="J5338">
            <v>46250</v>
          </cell>
          <cell r="K5338">
            <v>100</v>
          </cell>
          <cell r="L5338">
            <v>46231</v>
          </cell>
          <cell r="M5338">
            <v>-1923</v>
          </cell>
          <cell r="N5338">
            <v>298077</v>
          </cell>
        </row>
        <row r="5339">
          <cell r="A5339">
            <v>64145</v>
          </cell>
          <cell r="B5339">
            <v>5333</v>
          </cell>
          <cell r="C5339" t="str">
            <v>IASWD2502000432</v>
          </cell>
          <cell r="D5339">
            <v>45714</v>
          </cell>
          <cell r="E5339">
            <v>46250</v>
          </cell>
          <cell r="F5339" t="str">
            <v>64145</v>
          </cell>
          <cell r="G5339" t="str">
            <v>樺漢五</v>
          </cell>
          <cell r="H5339">
            <v>100000</v>
          </cell>
          <cell r="I5339">
            <v>3</v>
          </cell>
          <cell r="J5339">
            <v>46250</v>
          </cell>
          <cell r="K5339">
            <v>100</v>
          </cell>
          <cell r="L5339">
            <v>46231</v>
          </cell>
          <cell r="M5339">
            <v>-641</v>
          </cell>
          <cell r="N5339">
            <v>99359</v>
          </cell>
        </row>
        <row r="5340">
          <cell r="A5340">
            <v>34793</v>
          </cell>
          <cell r="B5340">
            <v>5334</v>
          </cell>
          <cell r="C5340" t="str">
            <v>IASWD2502000433</v>
          </cell>
          <cell r="D5340">
            <v>45714</v>
          </cell>
          <cell r="E5340">
            <v>46409</v>
          </cell>
          <cell r="F5340" t="str">
            <v>34793</v>
          </cell>
          <cell r="G5340" t="str">
            <v>安勤三</v>
          </cell>
          <cell r="H5340">
            <v>200000</v>
          </cell>
          <cell r="I5340">
            <v>3</v>
          </cell>
          <cell r="J5340">
            <v>46409</v>
          </cell>
          <cell r="K5340">
            <v>100</v>
          </cell>
          <cell r="L5340">
            <v>46391</v>
          </cell>
          <cell r="M5340">
            <v>-1282</v>
          </cell>
          <cell r="N5340">
            <v>198718</v>
          </cell>
        </row>
        <row r="5341">
          <cell r="A5341">
            <v>34793</v>
          </cell>
          <cell r="B5341">
            <v>5335</v>
          </cell>
          <cell r="C5341" t="str">
            <v>IASWD2502000434</v>
          </cell>
          <cell r="D5341">
            <v>45714</v>
          </cell>
          <cell r="E5341">
            <v>46409</v>
          </cell>
          <cell r="F5341" t="str">
            <v>34793</v>
          </cell>
          <cell r="G5341" t="str">
            <v>安勤三</v>
          </cell>
          <cell r="H5341">
            <v>100000</v>
          </cell>
          <cell r="I5341">
            <v>3</v>
          </cell>
          <cell r="J5341">
            <v>46409</v>
          </cell>
          <cell r="K5341">
            <v>100</v>
          </cell>
          <cell r="L5341">
            <v>46391</v>
          </cell>
          <cell r="M5341">
            <v>-641</v>
          </cell>
          <cell r="N5341">
            <v>99359</v>
          </cell>
        </row>
        <row r="5342">
          <cell r="A5342">
            <v>64145</v>
          </cell>
          <cell r="B5342">
            <v>5336</v>
          </cell>
          <cell r="C5342" t="str">
            <v>IASWD2502000435</v>
          </cell>
          <cell r="D5342">
            <v>45714</v>
          </cell>
          <cell r="E5342">
            <v>46250</v>
          </cell>
          <cell r="F5342" t="str">
            <v>64145</v>
          </cell>
          <cell r="G5342" t="str">
            <v>樺漢五</v>
          </cell>
          <cell r="H5342">
            <v>200000</v>
          </cell>
          <cell r="I5342">
            <v>3</v>
          </cell>
          <cell r="J5342">
            <v>46250</v>
          </cell>
          <cell r="K5342">
            <v>100</v>
          </cell>
          <cell r="L5342">
            <v>46231</v>
          </cell>
          <cell r="M5342">
            <v>-1282</v>
          </cell>
          <cell r="N5342">
            <v>198718</v>
          </cell>
        </row>
        <row r="5343">
          <cell r="A5343">
            <v>64145</v>
          </cell>
          <cell r="B5343">
            <v>5337</v>
          </cell>
          <cell r="C5343" t="str">
            <v>IASWD2502000436</v>
          </cell>
          <cell r="D5343">
            <v>45714</v>
          </cell>
          <cell r="E5343">
            <v>46250</v>
          </cell>
          <cell r="F5343" t="str">
            <v>64145</v>
          </cell>
          <cell r="G5343" t="str">
            <v>樺漢五</v>
          </cell>
          <cell r="H5343">
            <v>100000</v>
          </cell>
          <cell r="I5343">
            <v>3</v>
          </cell>
          <cell r="J5343">
            <v>46250</v>
          </cell>
          <cell r="K5343">
            <v>100</v>
          </cell>
          <cell r="L5343">
            <v>46231</v>
          </cell>
          <cell r="M5343">
            <v>-641</v>
          </cell>
          <cell r="N5343">
            <v>99359</v>
          </cell>
        </row>
        <row r="5344">
          <cell r="A5344">
            <v>64145</v>
          </cell>
          <cell r="B5344">
            <v>5338</v>
          </cell>
          <cell r="C5344" t="str">
            <v>IASWD2502000437</v>
          </cell>
          <cell r="D5344">
            <v>45714</v>
          </cell>
          <cell r="E5344">
            <v>46250</v>
          </cell>
          <cell r="F5344" t="str">
            <v>64145</v>
          </cell>
          <cell r="G5344" t="str">
            <v>樺漢五</v>
          </cell>
          <cell r="H5344">
            <v>100000</v>
          </cell>
          <cell r="I5344">
            <v>3</v>
          </cell>
          <cell r="J5344">
            <v>46250</v>
          </cell>
          <cell r="K5344">
            <v>100</v>
          </cell>
          <cell r="L5344">
            <v>46231</v>
          </cell>
          <cell r="M5344">
            <v>-641</v>
          </cell>
          <cell r="N5344">
            <v>99359</v>
          </cell>
        </row>
        <row r="5345">
          <cell r="A5345">
            <v>64145</v>
          </cell>
          <cell r="B5345">
            <v>5339</v>
          </cell>
          <cell r="C5345" t="str">
            <v>IASWD2502000438</v>
          </cell>
          <cell r="D5345">
            <v>45714</v>
          </cell>
          <cell r="E5345">
            <v>46250</v>
          </cell>
          <cell r="F5345" t="str">
            <v>64145</v>
          </cell>
          <cell r="G5345" t="str">
            <v>樺漢五</v>
          </cell>
          <cell r="H5345">
            <v>100000</v>
          </cell>
          <cell r="I5345">
            <v>3</v>
          </cell>
          <cell r="J5345">
            <v>46250</v>
          </cell>
          <cell r="K5345">
            <v>100</v>
          </cell>
          <cell r="L5345">
            <v>46231</v>
          </cell>
          <cell r="M5345">
            <v>-641</v>
          </cell>
          <cell r="N5345">
            <v>99359</v>
          </cell>
        </row>
        <row r="5346">
          <cell r="A5346">
            <v>64145</v>
          </cell>
          <cell r="B5346">
            <v>5340</v>
          </cell>
          <cell r="C5346" t="str">
            <v>IASWD2502000439</v>
          </cell>
          <cell r="D5346">
            <v>45714</v>
          </cell>
          <cell r="E5346">
            <v>46250</v>
          </cell>
          <cell r="F5346" t="str">
            <v>64145</v>
          </cell>
          <cell r="G5346" t="str">
            <v>樺漢五</v>
          </cell>
          <cell r="H5346">
            <v>200000</v>
          </cell>
          <cell r="I5346">
            <v>3</v>
          </cell>
          <cell r="J5346">
            <v>46250</v>
          </cell>
          <cell r="K5346">
            <v>100</v>
          </cell>
          <cell r="L5346">
            <v>46231</v>
          </cell>
          <cell r="M5346">
            <v>-1282</v>
          </cell>
          <cell r="N5346">
            <v>198718</v>
          </cell>
        </row>
        <row r="5347">
          <cell r="A5347">
            <v>27323</v>
          </cell>
          <cell r="B5347">
            <v>5341</v>
          </cell>
          <cell r="C5347" t="str">
            <v>IASWD2502000440</v>
          </cell>
          <cell r="D5347">
            <v>45714</v>
          </cell>
          <cell r="E5347">
            <v>46048</v>
          </cell>
          <cell r="F5347" t="str">
            <v>27323</v>
          </cell>
          <cell r="G5347" t="str">
            <v>六角三</v>
          </cell>
          <cell r="H5347">
            <v>100000</v>
          </cell>
          <cell r="I5347">
            <v>3</v>
          </cell>
          <cell r="J5347">
            <v>46048</v>
          </cell>
          <cell r="K5347">
            <v>101</v>
          </cell>
          <cell r="L5347">
            <v>46028</v>
          </cell>
          <cell r="M5347">
            <v>-641</v>
          </cell>
          <cell r="N5347">
            <v>99359</v>
          </cell>
        </row>
        <row r="5348">
          <cell r="A5348">
            <v>34834</v>
          </cell>
          <cell r="B5348">
            <v>5342</v>
          </cell>
          <cell r="C5348" t="str">
            <v>IASWD2502000441</v>
          </cell>
          <cell r="D5348">
            <v>45714</v>
          </cell>
          <cell r="E5348">
            <v>46529</v>
          </cell>
          <cell r="F5348" t="str">
            <v>34834</v>
          </cell>
          <cell r="G5348" t="str">
            <v>力致四</v>
          </cell>
          <cell r="H5348">
            <v>100000</v>
          </cell>
          <cell r="I5348">
            <v>3.75</v>
          </cell>
          <cell r="J5348">
            <v>46529</v>
          </cell>
          <cell r="K5348">
            <v>100</v>
          </cell>
          <cell r="L5348">
            <v>46511</v>
          </cell>
          <cell r="M5348">
            <v>-801</v>
          </cell>
          <cell r="N5348">
            <v>99199</v>
          </cell>
        </row>
        <row r="5349">
          <cell r="A5349">
            <v>61843</v>
          </cell>
          <cell r="B5349">
            <v>5343</v>
          </cell>
          <cell r="C5349" t="str">
            <v>IASWD2502000442</v>
          </cell>
          <cell r="D5349">
            <v>45714</v>
          </cell>
          <cell r="E5349">
            <v>46452</v>
          </cell>
          <cell r="F5349" t="str">
            <v>61843</v>
          </cell>
          <cell r="G5349" t="str">
            <v>大豐電三</v>
          </cell>
          <cell r="H5349">
            <v>100000</v>
          </cell>
          <cell r="I5349">
            <v>3.75</v>
          </cell>
          <cell r="J5349">
            <v>46452</v>
          </cell>
          <cell r="K5349">
            <v>101.50749999999999</v>
          </cell>
          <cell r="L5349">
            <v>46434</v>
          </cell>
          <cell r="M5349">
            <v>-801</v>
          </cell>
          <cell r="N5349">
            <v>99199</v>
          </cell>
        </row>
        <row r="5350">
          <cell r="A5350">
            <v>64145</v>
          </cell>
          <cell r="B5350">
            <v>5344</v>
          </cell>
          <cell r="C5350" t="str">
            <v>IASWD2502000443</v>
          </cell>
          <cell r="D5350">
            <v>45714</v>
          </cell>
          <cell r="E5350">
            <v>46250</v>
          </cell>
          <cell r="F5350" t="str">
            <v>64145</v>
          </cell>
          <cell r="G5350" t="str">
            <v>樺漢五</v>
          </cell>
          <cell r="H5350">
            <v>200000</v>
          </cell>
          <cell r="I5350">
            <v>3</v>
          </cell>
          <cell r="J5350">
            <v>46250</v>
          </cell>
          <cell r="K5350">
            <v>100</v>
          </cell>
          <cell r="L5350">
            <v>46231</v>
          </cell>
          <cell r="M5350">
            <v>-1282</v>
          </cell>
          <cell r="N5350">
            <v>198718</v>
          </cell>
        </row>
        <row r="5351">
          <cell r="A5351">
            <v>15142</v>
          </cell>
          <cell r="B5351">
            <v>5345</v>
          </cell>
          <cell r="C5351" t="str">
            <v>IASWD2502000444</v>
          </cell>
          <cell r="D5351">
            <v>45714</v>
          </cell>
          <cell r="E5351">
            <v>46765</v>
          </cell>
          <cell r="F5351" t="str">
            <v>15142</v>
          </cell>
          <cell r="G5351" t="str">
            <v>亞力二</v>
          </cell>
          <cell r="H5351">
            <v>100000</v>
          </cell>
          <cell r="I5351">
            <v>3.5</v>
          </cell>
          <cell r="J5351">
            <v>46765</v>
          </cell>
          <cell r="K5351">
            <v>100.75190000000001</v>
          </cell>
          <cell r="L5351">
            <v>46745</v>
          </cell>
          <cell r="M5351">
            <v>-748</v>
          </cell>
          <cell r="N5351">
            <v>99252</v>
          </cell>
        </row>
        <row r="5352">
          <cell r="A5352">
            <v>66642</v>
          </cell>
          <cell r="B5352">
            <v>5346</v>
          </cell>
          <cell r="C5352" t="str">
            <v>IASWD2502000446</v>
          </cell>
          <cell r="D5352">
            <v>45714</v>
          </cell>
          <cell r="E5352">
            <v>46710</v>
          </cell>
          <cell r="F5352" t="str">
            <v>66642</v>
          </cell>
          <cell r="G5352" t="str">
            <v>群翊二</v>
          </cell>
          <cell r="H5352">
            <v>100000</v>
          </cell>
          <cell r="I5352">
            <v>3.75</v>
          </cell>
          <cell r="J5352">
            <v>46710</v>
          </cell>
          <cell r="K5352">
            <v>100</v>
          </cell>
          <cell r="L5352">
            <v>46692</v>
          </cell>
          <cell r="M5352">
            <v>-801</v>
          </cell>
          <cell r="N5352">
            <v>99199</v>
          </cell>
        </row>
        <row r="5353">
          <cell r="A5353">
            <v>37022</v>
          </cell>
          <cell r="B5353">
            <v>5347</v>
          </cell>
          <cell r="C5353" t="str">
            <v>IASWD2502000447</v>
          </cell>
          <cell r="D5353">
            <v>45714</v>
          </cell>
          <cell r="E5353">
            <v>46702</v>
          </cell>
          <cell r="F5353" t="str">
            <v>37022</v>
          </cell>
          <cell r="G5353" t="str">
            <v>大聯大二</v>
          </cell>
          <cell r="H5353">
            <v>100000</v>
          </cell>
          <cell r="I5353">
            <v>2.7</v>
          </cell>
          <cell r="J5353">
            <v>46702</v>
          </cell>
          <cell r="K5353">
            <v>100</v>
          </cell>
          <cell r="L5353">
            <v>46682</v>
          </cell>
          <cell r="M5353">
            <v>-577</v>
          </cell>
          <cell r="N5353">
            <v>99423</v>
          </cell>
        </row>
        <row r="5354">
          <cell r="A5354">
            <v>35832</v>
          </cell>
          <cell r="B5354">
            <v>5348</v>
          </cell>
          <cell r="C5354" t="str">
            <v>IASWD2502000448</v>
          </cell>
          <cell r="D5354">
            <v>45714</v>
          </cell>
          <cell r="E5354">
            <v>46192</v>
          </cell>
          <cell r="F5354" t="str">
            <v>35832</v>
          </cell>
          <cell r="G5354" t="str">
            <v>辛耘二</v>
          </cell>
          <cell r="H5354">
            <v>100000</v>
          </cell>
          <cell r="I5354">
            <v>3</v>
          </cell>
          <cell r="J5354">
            <v>46192</v>
          </cell>
          <cell r="K5354">
            <v>100</v>
          </cell>
          <cell r="L5354">
            <v>46174</v>
          </cell>
          <cell r="M5354">
            <v>-641</v>
          </cell>
          <cell r="N5354">
            <v>99359</v>
          </cell>
        </row>
        <row r="5355">
          <cell r="A5355">
            <v>35831</v>
          </cell>
          <cell r="B5355">
            <v>5349</v>
          </cell>
          <cell r="C5355" t="str">
            <v>IASWD2502000449</v>
          </cell>
          <cell r="D5355">
            <v>45715</v>
          </cell>
          <cell r="E5355">
            <v>46180</v>
          </cell>
          <cell r="F5355" t="str">
            <v>35831</v>
          </cell>
          <cell r="G5355" t="str">
            <v>辛耘一</v>
          </cell>
          <cell r="H5355">
            <v>100000</v>
          </cell>
          <cell r="I5355">
            <v>3</v>
          </cell>
          <cell r="J5355">
            <v>46180</v>
          </cell>
          <cell r="K5355">
            <v>100</v>
          </cell>
          <cell r="L5355">
            <v>46161</v>
          </cell>
          <cell r="M5355">
            <v>-633</v>
          </cell>
          <cell r="N5355">
            <v>99367</v>
          </cell>
        </row>
        <row r="5356">
          <cell r="A5356">
            <v>64145</v>
          </cell>
          <cell r="B5356">
            <v>5350</v>
          </cell>
          <cell r="C5356" t="str">
            <v>IASWD2502000450</v>
          </cell>
          <cell r="D5356">
            <v>45715</v>
          </cell>
          <cell r="E5356">
            <v>46250</v>
          </cell>
          <cell r="F5356" t="str">
            <v>64145</v>
          </cell>
          <cell r="G5356" t="str">
            <v>樺漢五</v>
          </cell>
          <cell r="H5356">
            <v>100000</v>
          </cell>
          <cell r="I5356">
            <v>3</v>
          </cell>
          <cell r="J5356">
            <v>46250</v>
          </cell>
          <cell r="K5356">
            <v>100</v>
          </cell>
          <cell r="L5356">
            <v>46231</v>
          </cell>
          <cell r="M5356">
            <v>-633</v>
          </cell>
          <cell r="N5356">
            <v>99367</v>
          </cell>
        </row>
        <row r="5357">
          <cell r="A5357">
            <v>37022</v>
          </cell>
          <cell r="B5357">
            <v>5351</v>
          </cell>
          <cell r="C5357" t="str">
            <v>IASWD2502000451</v>
          </cell>
          <cell r="D5357">
            <v>45715</v>
          </cell>
          <cell r="E5357">
            <v>46702</v>
          </cell>
          <cell r="F5357" t="str">
            <v>37022</v>
          </cell>
          <cell r="G5357" t="str">
            <v>大聯大二</v>
          </cell>
          <cell r="H5357">
            <v>2000000</v>
          </cell>
          <cell r="I5357">
            <v>2.7</v>
          </cell>
          <cell r="J5357">
            <v>46702</v>
          </cell>
          <cell r="K5357">
            <v>100</v>
          </cell>
          <cell r="L5357">
            <v>46682</v>
          </cell>
          <cell r="M5357">
            <v>-11392</v>
          </cell>
          <cell r="N5357">
            <v>1988608</v>
          </cell>
        </row>
        <row r="5358">
          <cell r="A5358">
            <v>64145</v>
          </cell>
          <cell r="B5358">
            <v>5352</v>
          </cell>
          <cell r="C5358" t="str">
            <v>IASWD2502000452</v>
          </cell>
          <cell r="D5358">
            <v>45715</v>
          </cell>
          <cell r="E5358">
            <v>46250</v>
          </cell>
          <cell r="F5358" t="str">
            <v>64145</v>
          </cell>
          <cell r="G5358" t="str">
            <v>樺漢五</v>
          </cell>
          <cell r="H5358">
            <v>100000</v>
          </cell>
          <cell r="I5358">
            <v>3</v>
          </cell>
          <cell r="J5358">
            <v>46250</v>
          </cell>
          <cell r="K5358">
            <v>100</v>
          </cell>
          <cell r="L5358">
            <v>46231</v>
          </cell>
          <cell r="M5358">
            <v>-633</v>
          </cell>
          <cell r="N5358">
            <v>99367</v>
          </cell>
        </row>
        <row r="5359">
          <cell r="A5359">
            <v>37023</v>
          </cell>
          <cell r="B5359">
            <v>5353</v>
          </cell>
          <cell r="C5359" t="str">
            <v>IASWD2502000453</v>
          </cell>
          <cell r="D5359">
            <v>45715</v>
          </cell>
          <cell r="E5359">
            <v>46712</v>
          </cell>
          <cell r="F5359" t="str">
            <v>37023</v>
          </cell>
          <cell r="G5359" t="str">
            <v>大聯大三</v>
          </cell>
          <cell r="H5359">
            <v>100000</v>
          </cell>
          <cell r="I5359">
            <v>2.7</v>
          </cell>
          <cell r="J5359">
            <v>46712</v>
          </cell>
          <cell r="K5359">
            <v>100</v>
          </cell>
          <cell r="L5359">
            <v>46693</v>
          </cell>
          <cell r="M5359">
            <v>-570</v>
          </cell>
          <cell r="N5359">
            <v>99430</v>
          </cell>
        </row>
        <row r="5360">
          <cell r="A5360">
            <v>26417</v>
          </cell>
          <cell r="B5360">
            <v>5354</v>
          </cell>
          <cell r="C5360" t="str">
            <v>IASWD2502000454</v>
          </cell>
          <cell r="D5360">
            <v>45715</v>
          </cell>
          <cell r="E5360">
            <v>46594</v>
          </cell>
          <cell r="F5360" t="str">
            <v>26417</v>
          </cell>
          <cell r="G5360" t="str">
            <v>正德七</v>
          </cell>
          <cell r="H5360">
            <v>100000</v>
          </cell>
          <cell r="I5360">
            <v>4</v>
          </cell>
          <cell r="J5360">
            <v>46594</v>
          </cell>
          <cell r="K5360">
            <v>100</v>
          </cell>
          <cell r="L5360">
            <v>46574</v>
          </cell>
          <cell r="M5360">
            <v>-844</v>
          </cell>
          <cell r="N5360">
            <v>99156</v>
          </cell>
        </row>
        <row r="5361">
          <cell r="A5361">
            <v>26417</v>
          </cell>
          <cell r="B5361">
            <v>5355</v>
          </cell>
          <cell r="C5361" t="str">
            <v>IASWD2502000455</v>
          </cell>
          <cell r="D5361">
            <v>45715</v>
          </cell>
          <cell r="E5361">
            <v>46594</v>
          </cell>
          <cell r="F5361" t="str">
            <v>26417</v>
          </cell>
          <cell r="G5361" t="str">
            <v>正德七</v>
          </cell>
          <cell r="H5361">
            <v>100000</v>
          </cell>
          <cell r="I5361">
            <v>4</v>
          </cell>
          <cell r="J5361">
            <v>46594</v>
          </cell>
          <cell r="K5361">
            <v>100</v>
          </cell>
          <cell r="L5361">
            <v>46574</v>
          </cell>
          <cell r="M5361">
            <v>-844</v>
          </cell>
          <cell r="N5361">
            <v>99156</v>
          </cell>
        </row>
        <row r="5362">
          <cell r="A5362">
            <v>64145</v>
          </cell>
          <cell r="B5362">
            <v>5356</v>
          </cell>
          <cell r="C5362" t="str">
            <v>IASWD2502000456</v>
          </cell>
          <cell r="D5362">
            <v>45715</v>
          </cell>
          <cell r="E5362">
            <v>46250</v>
          </cell>
          <cell r="F5362" t="str">
            <v>64145</v>
          </cell>
          <cell r="G5362" t="str">
            <v>樺漢五</v>
          </cell>
          <cell r="H5362">
            <v>200000</v>
          </cell>
          <cell r="I5362">
            <v>3</v>
          </cell>
          <cell r="J5362">
            <v>46250</v>
          </cell>
          <cell r="K5362">
            <v>100</v>
          </cell>
          <cell r="L5362">
            <v>46231</v>
          </cell>
          <cell r="M5362">
            <v>-1266</v>
          </cell>
          <cell r="N5362">
            <v>198734</v>
          </cell>
        </row>
        <row r="5363">
          <cell r="A5363">
            <v>35832</v>
          </cell>
          <cell r="B5363">
            <v>5357</v>
          </cell>
          <cell r="C5363" t="str">
            <v>IASWD2502000457</v>
          </cell>
          <cell r="D5363">
            <v>45715</v>
          </cell>
          <cell r="E5363">
            <v>46192</v>
          </cell>
          <cell r="F5363" t="str">
            <v>35832</v>
          </cell>
          <cell r="G5363" t="str">
            <v>辛耘二</v>
          </cell>
          <cell r="H5363">
            <v>100000</v>
          </cell>
          <cell r="I5363">
            <v>3</v>
          </cell>
          <cell r="J5363">
            <v>46192</v>
          </cell>
          <cell r="K5363">
            <v>100</v>
          </cell>
          <cell r="L5363">
            <v>46174</v>
          </cell>
          <cell r="M5363">
            <v>-633</v>
          </cell>
          <cell r="N5363">
            <v>99367</v>
          </cell>
        </row>
        <row r="5364">
          <cell r="A5364">
            <v>61843</v>
          </cell>
          <cell r="B5364">
            <v>5358</v>
          </cell>
          <cell r="C5364" t="str">
            <v>IASWD2502000458</v>
          </cell>
          <cell r="D5364">
            <v>45715</v>
          </cell>
          <cell r="E5364">
            <v>46452</v>
          </cell>
          <cell r="F5364" t="str">
            <v>61843</v>
          </cell>
          <cell r="G5364" t="str">
            <v>大豐電三</v>
          </cell>
          <cell r="H5364">
            <v>200000</v>
          </cell>
          <cell r="I5364">
            <v>3.75</v>
          </cell>
          <cell r="J5364">
            <v>46452</v>
          </cell>
          <cell r="K5364">
            <v>101.50749999999999</v>
          </cell>
          <cell r="L5364">
            <v>46434</v>
          </cell>
          <cell r="M5364">
            <v>-1582</v>
          </cell>
          <cell r="N5364">
            <v>198418</v>
          </cell>
        </row>
        <row r="5365">
          <cell r="A5365">
            <v>66642</v>
          </cell>
          <cell r="B5365">
            <v>5359</v>
          </cell>
          <cell r="C5365" t="str">
            <v>IASWD2502000459</v>
          </cell>
          <cell r="D5365">
            <v>45715</v>
          </cell>
          <cell r="E5365">
            <v>46710</v>
          </cell>
          <cell r="F5365" t="str">
            <v>66642</v>
          </cell>
          <cell r="G5365" t="str">
            <v>群翊二</v>
          </cell>
          <cell r="H5365">
            <v>100000</v>
          </cell>
          <cell r="I5365">
            <v>3.75</v>
          </cell>
          <cell r="J5365">
            <v>46710</v>
          </cell>
          <cell r="K5365">
            <v>100</v>
          </cell>
          <cell r="L5365">
            <v>46692</v>
          </cell>
          <cell r="M5365">
            <v>-791</v>
          </cell>
          <cell r="N5365">
            <v>99209</v>
          </cell>
        </row>
        <row r="5366">
          <cell r="A5366">
            <v>49793</v>
          </cell>
          <cell r="B5366">
            <v>5360</v>
          </cell>
          <cell r="C5366" t="str">
            <v>IASWD2502000460</v>
          </cell>
          <cell r="D5366">
            <v>45715</v>
          </cell>
          <cell r="E5366">
            <v>46365</v>
          </cell>
          <cell r="F5366" t="str">
            <v>49793</v>
          </cell>
          <cell r="G5366" t="str">
            <v>華星光三</v>
          </cell>
          <cell r="H5366">
            <v>100000</v>
          </cell>
          <cell r="I5366">
            <v>4</v>
          </cell>
          <cell r="J5366">
            <v>46365</v>
          </cell>
          <cell r="K5366">
            <v>101.0025</v>
          </cell>
          <cell r="L5366">
            <v>46345</v>
          </cell>
          <cell r="M5366">
            <v>-844</v>
          </cell>
          <cell r="N5366">
            <v>99156</v>
          </cell>
        </row>
        <row r="5367">
          <cell r="A5367">
            <v>37022</v>
          </cell>
          <cell r="B5367">
            <v>5361</v>
          </cell>
          <cell r="C5367" t="str">
            <v>IASWD2502000461</v>
          </cell>
          <cell r="D5367">
            <v>45715</v>
          </cell>
          <cell r="E5367">
            <v>46702</v>
          </cell>
          <cell r="F5367" t="str">
            <v>37022</v>
          </cell>
          <cell r="G5367" t="str">
            <v>大聯大二</v>
          </cell>
          <cell r="H5367">
            <v>100000</v>
          </cell>
          <cell r="I5367">
            <v>2.7</v>
          </cell>
          <cell r="J5367">
            <v>46702</v>
          </cell>
          <cell r="K5367">
            <v>100</v>
          </cell>
          <cell r="L5367">
            <v>46682</v>
          </cell>
          <cell r="M5367">
            <v>-570</v>
          </cell>
          <cell r="N5367">
            <v>99430</v>
          </cell>
        </row>
        <row r="5368">
          <cell r="A5368">
            <v>15142</v>
          </cell>
          <cell r="B5368">
            <v>5362</v>
          </cell>
          <cell r="C5368" t="str">
            <v>IASWD2502000462</v>
          </cell>
          <cell r="D5368">
            <v>45715</v>
          </cell>
          <cell r="E5368">
            <v>46765</v>
          </cell>
          <cell r="F5368" t="str">
            <v>15142</v>
          </cell>
          <cell r="G5368" t="str">
            <v>亞力二</v>
          </cell>
          <cell r="H5368">
            <v>400000</v>
          </cell>
          <cell r="I5368">
            <v>3.5</v>
          </cell>
          <cell r="J5368">
            <v>46765</v>
          </cell>
          <cell r="K5368">
            <v>100.75190000000001</v>
          </cell>
          <cell r="L5368">
            <v>46745</v>
          </cell>
          <cell r="M5368">
            <v>-2953</v>
          </cell>
          <cell r="N5368">
            <v>397047</v>
          </cell>
        </row>
        <row r="5369">
          <cell r="A5369">
            <v>61965</v>
          </cell>
          <cell r="B5369">
            <v>5363</v>
          </cell>
          <cell r="C5369" t="str">
            <v>IASWD2502000463</v>
          </cell>
          <cell r="D5369">
            <v>45715</v>
          </cell>
          <cell r="E5369">
            <v>46200</v>
          </cell>
          <cell r="F5369" t="str">
            <v>61965</v>
          </cell>
          <cell r="G5369" t="str">
            <v>帆宣五</v>
          </cell>
          <cell r="H5369">
            <v>100000</v>
          </cell>
          <cell r="I5369">
            <v>3</v>
          </cell>
          <cell r="J5369">
            <v>46200</v>
          </cell>
          <cell r="K5369">
            <v>100</v>
          </cell>
          <cell r="L5369">
            <v>46182</v>
          </cell>
          <cell r="M5369">
            <v>-633</v>
          </cell>
          <cell r="N5369">
            <v>99367</v>
          </cell>
        </row>
        <row r="5370">
          <cell r="A5370">
            <v>61965</v>
          </cell>
          <cell r="B5370">
            <v>5364</v>
          </cell>
          <cell r="C5370" t="str">
            <v>IASWD2502000464</v>
          </cell>
          <cell r="D5370">
            <v>45715</v>
          </cell>
          <cell r="E5370">
            <v>46200</v>
          </cell>
          <cell r="F5370" t="str">
            <v>61965</v>
          </cell>
          <cell r="G5370" t="str">
            <v>帆宣五</v>
          </cell>
          <cell r="H5370">
            <v>100000</v>
          </cell>
          <cell r="I5370">
            <v>3</v>
          </cell>
          <cell r="J5370">
            <v>46200</v>
          </cell>
          <cell r="K5370">
            <v>100</v>
          </cell>
          <cell r="L5370">
            <v>46182</v>
          </cell>
          <cell r="M5370">
            <v>-633</v>
          </cell>
          <cell r="N5370">
            <v>99367</v>
          </cell>
        </row>
        <row r="5371">
          <cell r="A5371">
            <v>61843</v>
          </cell>
          <cell r="B5371">
            <v>5365</v>
          </cell>
          <cell r="C5371" t="str">
            <v>IASWD2502000465</v>
          </cell>
          <cell r="D5371">
            <v>45715</v>
          </cell>
          <cell r="E5371">
            <v>46452</v>
          </cell>
          <cell r="F5371" t="str">
            <v>61843</v>
          </cell>
          <cell r="G5371" t="str">
            <v>大豐電三</v>
          </cell>
          <cell r="H5371">
            <v>1300000</v>
          </cell>
          <cell r="I5371">
            <v>3.75</v>
          </cell>
          <cell r="J5371">
            <v>46452</v>
          </cell>
          <cell r="K5371">
            <v>101.50749999999999</v>
          </cell>
          <cell r="L5371">
            <v>46434</v>
          </cell>
          <cell r="M5371">
            <v>-10284</v>
          </cell>
          <cell r="N5371">
            <v>1289716</v>
          </cell>
        </row>
        <row r="5372">
          <cell r="A5372">
            <v>35832</v>
          </cell>
          <cell r="B5372">
            <v>5366</v>
          </cell>
          <cell r="C5372" t="str">
            <v>IASWD2502000466</v>
          </cell>
          <cell r="D5372">
            <v>45715</v>
          </cell>
          <cell r="E5372">
            <v>46192</v>
          </cell>
          <cell r="F5372" t="str">
            <v>35832</v>
          </cell>
          <cell r="G5372" t="str">
            <v>辛耘二</v>
          </cell>
          <cell r="H5372">
            <v>2700000</v>
          </cell>
          <cell r="I5372">
            <v>3</v>
          </cell>
          <cell r="J5372">
            <v>46192</v>
          </cell>
          <cell r="K5372">
            <v>100</v>
          </cell>
          <cell r="L5372">
            <v>46174</v>
          </cell>
          <cell r="M5372">
            <v>-17088</v>
          </cell>
          <cell r="N5372">
            <v>2682912</v>
          </cell>
        </row>
        <row r="5373">
          <cell r="A5373">
            <v>24361</v>
          </cell>
          <cell r="B5373">
            <v>5367</v>
          </cell>
          <cell r="C5373" t="str">
            <v>IASWD2502000467</v>
          </cell>
          <cell r="D5373">
            <v>45715</v>
          </cell>
          <cell r="E5373">
            <v>45911</v>
          </cell>
          <cell r="F5373" t="str">
            <v>24361</v>
          </cell>
          <cell r="G5373" t="str">
            <v>偉詮電一</v>
          </cell>
          <cell r="H5373">
            <v>100000</v>
          </cell>
          <cell r="I5373">
            <v>3.75</v>
          </cell>
          <cell r="J5373">
            <v>45911</v>
          </cell>
          <cell r="K5373">
            <v>100.50060000000001</v>
          </cell>
          <cell r="L5373">
            <v>45891</v>
          </cell>
          <cell r="M5373">
            <v>-791</v>
          </cell>
          <cell r="N5373">
            <v>99209</v>
          </cell>
        </row>
        <row r="5374">
          <cell r="A5374">
            <v>64145</v>
          </cell>
          <cell r="B5374">
            <v>5368</v>
          </cell>
          <cell r="C5374" t="str">
            <v>IASWD2502000468</v>
          </cell>
          <cell r="D5374">
            <v>45715</v>
          </cell>
          <cell r="E5374">
            <v>46250</v>
          </cell>
          <cell r="F5374" t="str">
            <v>64145</v>
          </cell>
          <cell r="G5374" t="str">
            <v>樺漢五</v>
          </cell>
          <cell r="H5374">
            <v>500000</v>
          </cell>
          <cell r="I5374">
            <v>3</v>
          </cell>
          <cell r="J5374">
            <v>46250</v>
          </cell>
          <cell r="K5374">
            <v>100</v>
          </cell>
          <cell r="L5374">
            <v>46231</v>
          </cell>
          <cell r="M5374">
            <v>-3164</v>
          </cell>
          <cell r="N5374">
            <v>496836</v>
          </cell>
        </row>
        <row r="5375">
          <cell r="A5375">
            <v>64145</v>
          </cell>
          <cell r="B5375">
            <v>5369</v>
          </cell>
          <cell r="C5375" t="str">
            <v>IASWD2502000469</v>
          </cell>
          <cell r="D5375">
            <v>45715</v>
          </cell>
          <cell r="E5375">
            <v>46250</v>
          </cell>
          <cell r="F5375" t="str">
            <v>64145</v>
          </cell>
          <cell r="G5375" t="str">
            <v>樺漢五</v>
          </cell>
          <cell r="H5375">
            <v>100000</v>
          </cell>
          <cell r="I5375">
            <v>3</v>
          </cell>
          <cell r="J5375">
            <v>46250</v>
          </cell>
          <cell r="K5375">
            <v>100</v>
          </cell>
          <cell r="L5375">
            <v>46231</v>
          </cell>
          <cell r="M5375">
            <v>-633</v>
          </cell>
          <cell r="N5375">
            <v>99367</v>
          </cell>
        </row>
        <row r="5376">
          <cell r="A5376">
            <v>33035</v>
          </cell>
          <cell r="B5376">
            <v>5370</v>
          </cell>
          <cell r="C5376" t="str">
            <v>IASWD2502000470</v>
          </cell>
          <cell r="D5376">
            <v>45715</v>
          </cell>
          <cell r="E5376">
            <v>46717</v>
          </cell>
          <cell r="F5376" t="str">
            <v>33035</v>
          </cell>
          <cell r="G5376" t="str">
            <v>岱稜五</v>
          </cell>
          <cell r="H5376">
            <v>200000</v>
          </cell>
          <cell r="I5376">
            <v>4.25</v>
          </cell>
          <cell r="J5376">
            <v>46717</v>
          </cell>
          <cell r="K5376">
            <v>101.50749999999999</v>
          </cell>
          <cell r="L5376">
            <v>46699</v>
          </cell>
          <cell r="M5376">
            <v>-1793</v>
          </cell>
          <cell r="N5376">
            <v>198207</v>
          </cell>
        </row>
        <row r="5377">
          <cell r="A5377">
            <v>37023</v>
          </cell>
          <cell r="B5377">
            <v>5371</v>
          </cell>
          <cell r="C5377" t="str">
            <v>IASWD2502000471</v>
          </cell>
          <cell r="D5377">
            <v>45715</v>
          </cell>
          <cell r="E5377">
            <v>46712</v>
          </cell>
          <cell r="F5377" t="str">
            <v>37023</v>
          </cell>
          <cell r="G5377" t="str">
            <v>大聯大三</v>
          </cell>
          <cell r="H5377">
            <v>200000</v>
          </cell>
          <cell r="I5377">
            <v>2.7</v>
          </cell>
          <cell r="J5377">
            <v>46712</v>
          </cell>
          <cell r="K5377">
            <v>100</v>
          </cell>
          <cell r="L5377">
            <v>46693</v>
          </cell>
          <cell r="M5377">
            <v>-1139</v>
          </cell>
          <cell r="N5377">
            <v>198861</v>
          </cell>
        </row>
        <row r="5378">
          <cell r="A5378">
            <v>35832</v>
          </cell>
          <cell r="B5378">
            <v>5372</v>
          </cell>
          <cell r="C5378" t="str">
            <v>IASWD2502000472</v>
          </cell>
          <cell r="D5378">
            <v>45715</v>
          </cell>
          <cell r="E5378">
            <v>46192</v>
          </cell>
          <cell r="F5378" t="str">
            <v>35832</v>
          </cell>
          <cell r="G5378" t="str">
            <v>辛耘二</v>
          </cell>
          <cell r="H5378">
            <v>500000</v>
          </cell>
          <cell r="I5378">
            <v>3</v>
          </cell>
          <cell r="J5378">
            <v>46192</v>
          </cell>
          <cell r="K5378">
            <v>100</v>
          </cell>
          <cell r="L5378">
            <v>46174</v>
          </cell>
          <cell r="M5378">
            <v>-3164</v>
          </cell>
          <cell r="N5378">
            <v>496836</v>
          </cell>
        </row>
        <row r="5379">
          <cell r="A5379">
            <v>37022</v>
          </cell>
          <cell r="B5379">
            <v>5373</v>
          </cell>
          <cell r="C5379" t="str">
            <v>IASWD2502000473</v>
          </cell>
          <cell r="D5379">
            <v>45715</v>
          </cell>
          <cell r="E5379">
            <v>46702</v>
          </cell>
          <cell r="F5379" t="str">
            <v>37022</v>
          </cell>
          <cell r="G5379" t="str">
            <v>大聯大二</v>
          </cell>
          <cell r="H5379">
            <v>100000</v>
          </cell>
          <cell r="I5379">
            <v>2.7</v>
          </cell>
          <cell r="J5379">
            <v>46702</v>
          </cell>
          <cell r="K5379">
            <v>100</v>
          </cell>
          <cell r="L5379">
            <v>46682</v>
          </cell>
          <cell r="M5379">
            <v>-570</v>
          </cell>
          <cell r="N5379">
            <v>99430</v>
          </cell>
        </row>
        <row r="5380">
          <cell r="A5380">
            <v>35831</v>
          </cell>
          <cell r="B5380">
            <v>5374</v>
          </cell>
          <cell r="C5380" t="str">
            <v>IASWD2502000474</v>
          </cell>
          <cell r="D5380">
            <v>45715</v>
          </cell>
          <cell r="E5380">
            <v>46180</v>
          </cell>
          <cell r="F5380" t="str">
            <v>35831</v>
          </cell>
          <cell r="G5380" t="str">
            <v>辛耘一</v>
          </cell>
          <cell r="H5380">
            <v>100000</v>
          </cell>
          <cell r="I5380">
            <v>3</v>
          </cell>
          <cell r="J5380">
            <v>46180</v>
          </cell>
          <cell r="K5380">
            <v>100</v>
          </cell>
          <cell r="L5380">
            <v>46161</v>
          </cell>
          <cell r="M5380">
            <v>-633</v>
          </cell>
          <cell r="N5380">
            <v>99367</v>
          </cell>
        </row>
        <row r="5381">
          <cell r="A5381">
            <v>61843</v>
          </cell>
          <cell r="B5381">
            <v>5375</v>
          </cell>
          <cell r="C5381" t="str">
            <v>IASWD2502000475</v>
          </cell>
          <cell r="D5381">
            <v>45715</v>
          </cell>
          <cell r="E5381">
            <v>46452</v>
          </cell>
          <cell r="F5381" t="str">
            <v>61843</v>
          </cell>
          <cell r="G5381" t="str">
            <v>大豐電三</v>
          </cell>
          <cell r="H5381">
            <v>500000</v>
          </cell>
          <cell r="I5381">
            <v>3.75</v>
          </cell>
          <cell r="J5381">
            <v>46452</v>
          </cell>
          <cell r="K5381">
            <v>101.50749999999999</v>
          </cell>
          <cell r="L5381">
            <v>46434</v>
          </cell>
          <cell r="M5381">
            <v>-3955</v>
          </cell>
          <cell r="N5381">
            <v>496045</v>
          </cell>
        </row>
        <row r="5382">
          <cell r="A5382">
            <v>26417</v>
          </cell>
          <cell r="B5382">
            <v>5376</v>
          </cell>
          <cell r="C5382" t="str">
            <v>IASWD2502000476</v>
          </cell>
          <cell r="D5382">
            <v>45715</v>
          </cell>
          <cell r="E5382">
            <v>46594</v>
          </cell>
          <cell r="F5382" t="str">
            <v>26417</v>
          </cell>
          <cell r="G5382" t="str">
            <v>正德七</v>
          </cell>
          <cell r="H5382">
            <v>100000</v>
          </cell>
          <cell r="I5382">
            <v>4</v>
          </cell>
          <cell r="J5382">
            <v>46594</v>
          </cell>
          <cell r="K5382">
            <v>100</v>
          </cell>
          <cell r="L5382">
            <v>46574</v>
          </cell>
          <cell r="M5382">
            <v>-844</v>
          </cell>
          <cell r="N5382">
            <v>99156</v>
          </cell>
        </row>
        <row r="5383">
          <cell r="A5383">
            <v>35832</v>
          </cell>
          <cell r="B5383">
            <v>5377</v>
          </cell>
          <cell r="C5383" t="str">
            <v>IASWD2502000477</v>
          </cell>
          <cell r="D5383">
            <v>45715</v>
          </cell>
          <cell r="E5383">
            <v>46192</v>
          </cell>
          <cell r="F5383" t="str">
            <v>35832</v>
          </cell>
          <cell r="G5383" t="str">
            <v>辛耘二</v>
          </cell>
          <cell r="H5383">
            <v>100000</v>
          </cell>
          <cell r="I5383">
            <v>3</v>
          </cell>
          <cell r="J5383">
            <v>46192</v>
          </cell>
          <cell r="K5383">
            <v>100</v>
          </cell>
          <cell r="L5383">
            <v>46174</v>
          </cell>
          <cell r="M5383">
            <v>-633</v>
          </cell>
          <cell r="N5383">
            <v>99367</v>
          </cell>
        </row>
        <row r="5384">
          <cell r="A5384">
            <v>34793</v>
          </cell>
          <cell r="B5384">
            <v>5378</v>
          </cell>
          <cell r="C5384" t="str">
            <v>IASWD2502000478</v>
          </cell>
          <cell r="D5384">
            <v>45715</v>
          </cell>
          <cell r="E5384">
            <v>46409</v>
          </cell>
          <cell r="F5384" t="str">
            <v>34793</v>
          </cell>
          <cell r="G5384" t="str">
            <v>安勤三</v>
          </cell>
          <cell r="H5384">
            <v>500000</v>
          </cell>
          <cell r="I5384">
            <v>3</v>
          </cell>
          <cell r="J5384">
            <v>46409</v>
          </cell>
          <cell r="K5384">
            <v>100</v>
          </cell>
          <cell r="L5384">
            <v>46391</v>
          </cell>
          <cell r="M5384">
            <v>-3164</v>
          </cell>
          <cell r="N5384">
            <v>496836</v>
          </cell>
        </row>
        <row r="5385">
          <cell r="A5385">
            <v>22283</v>
          </cell>
          <cell r="B5385">
            <v>5379</v>
          </cell>
          <cell r="C5385" t="str">
            <v>IASWD2502000479</v>
          </cell>
          <cell r="D5385">
            <v>45715</v>
          </cell>
          <cell r="E5385">
            <v>46628</v>
          </cell>
          <cell r="F5385" t="str">
            <v>22283</v>
          </cell>
          <cell r="G5385" t="str">
            <v>劍麟三</v>
          </cell>
          <cell r="H5385">
            <v>100000</v>
          </cell>
          <cell r="I5385">
            <v>3</v>
          </cell>
          <cell r="J5385">
            <v>46628</v>
          </cell>
          <cell r="K5385">
            <v>100</v>
          </cell>
          <cell r="L5385">
            <v>46609</v>
          </cell>
          <cell r="M5385">
            <v>-633</v>
          </cell>
          <cell r="N5385">
            <v>99367</v>
          </cell>
        </row>
        <row r="5386">
          <cell r="A5386">
            <v>37023</v>
          </cell>
          <cell r="B5386">
            <v>5380</v>
          </cell>
          <cell r="C5386" t="str">
            <v>IASWD2502000480</v>
          </cell>
          <cell r="D5386">
            <v>45715</v>
          </cell>
          <cell r="E5386">
            <v>46712</v>
          </cell>
          <cell r="F5386" t="str">
            <v>37023</v>
          </cell>
          <cell r="G5386" t="str">
            <v>大聯大三</v>
          </cell>
          <cell r="H5386">
            <v>500000</v>
          </cell>
          <cell r="I5386">
            <v>2.7</v>
          </cell>
          <cell r="J5386">
            <v>46712</v>
          </cell>
          <cell r="K5386">
            <v>100</v>
          </cell>
          <cell r="L5386">
            <v>46693</v>
          </cell>
          <cell r="M5386">
            <v>-2848</v>
          </cell>
          <cell r="N5386">
            <v>497152</v>
          </cell>
        </row>
        <row r="5387">
          <cell r="A5387">
            <v>66642</v>
          </cell>
          <cell r="B5387">
            <v>5381</v>
          </cell>
          <cell r="C5387" t="str">
            <v>IASWD2502000481</v>
          </cell>
          <cell r="D5387">
            <v>45715</v>
          </cell>
          <cell r="E5387">
            <v>46710</v>
          </cell>
          <cell r="F5387" t="str">
            <v>66642</v>
          </cell>
          <cell r="G5387" t="str">
            <v>群翊二</v>
          </cell>
          <cell r="H5387">
            <v>100000</v>
          </cell>
          <cell r="I5387">
            <v>3.75</v>
          </cell>
          <cell r="J5387">
            <v>46710</v>
          </cell>
          <cell r="K5387">
            <v>100</v>
          </cell>
          <cell r="L5387">
            <v>46692</v>
          </cell>
          <cell r="M5387">
            <v>-791</v>
          </cell>
          <cell r="N5387">
            <v>99209</v>
          </cell>
        </row>
        <row r="5388">
          <cell r="A5388">
            <v>26417</v>
          </cell>
          <cell r="B5388">
            <v>5382</v>
          </cell>
          <cell r="C5388" t="str">
            <v>IASWD2502000482</v>
          </cell>
          <cell r="D5388">
            <v>45715</v>
          </cell>
          <cell r="E5388">
            <v>46594</v>
          </cell>
          <cell r="F5388" t="str">
            <v>26417</v>
          </cell>
          <cell r="G5388" t="str">
            <v>正德七</v>
          </cell>
          <cell r="H5388">
            <v>200000</v>
          </cell>
          <cell r="I5388">
            <v>4</v>
          </cell>
          <cell r="J5388">
            <v>46594</v>
          </cell>
          <cell r="K5388">
            <v>100</v>
          </cell>
          <cell r="L5388">
            <v>46574</v>
          </cell>
          <cell r="M5388">
            <v>-1688</v>
          </cell>
          <cell r="N5388">
            <v>198312</v>
          </cell>
        </row>
        <row r="5389">
          <cell r="A5389">
            <v>64145</v>
          </cell>
          <cell r="B5389">
            <v>5383</v>
          </cell>
          <cell r="C5389" t="str">
            <v>IASWD2503000001</v>
          </cell>
          <cell r="D5389">
            <v>45719</v>
          </cell>
          <cell r="E5389">
            <v>46250</v>
          </cell>
          <cell r="F5389" t="str">
            <v>64145</v>
          </cell>
          <cell r="G5389" t="str">
            <v>樺漢五</v>
          </cell>
          <cell r="H5389">
            <v>100000</v>
          </cell>
          <cell r="I5389">
            <v>3</v>
          </cell>
          <cell r="J5389">
            <v>46250</v>
          </cell>
          <cell r="K5389">
            <v>100</v>
          </cell>
          <cell r="L5389">
            <v>46231</v>
          </cell>
          <cell r="M5389">
            <v>-600</v>
          </cell>
          <cell r="N5389">
            <v>99400</v>
          </cell>
        </row>
        <row r="5390">
          <cell r="A5390">
            <v>21043</v>
          </cell>
          <cell r="B5390">
            <v>5384</v>
          </cell>
          <cell r="C5390" t="str">
            <v>IASWD2503000002</v>
          </cell>
          <cell r="D5390">
            <v>45719</v>
          </cell>
          <cell r="E5390">
            <v>46308</v>
          </cell>
          <cell r="F5390" t="str">
            <v>21043</v>
          </cell>
          <cell r="G5390" t="str">
            <v>國際中橡三</v>
          </cell>
          <cell r="H5390">
            <v>100000</v>
          </cell>
          <cell r="I5390">
            <v>2.8</v>
          </cell>
          <cell r="J5390">
            <v>46308</v>
          </cell>
          <cell r="K5390">
            <v>100.9</v>
          </cell>
          <cell r="L5390">
            <v>46288</v>
          </cell>
          <cell r="M5390">
            <v>-560</v>
          </cell>
          <cell r="N5390">
            <v>99440</v>
          </cell>
        </row>
        <row r="5391">
          <cell r="A5391">
            <v>37023</v>
          </cell>
          <cell r="B5391">
            <v>5385</v>
          </cell>
          <cell r="C5391" t="str">
            <v>IASWD2503000003</v>
          </cell>
          <cell r="D5391">
            <v>45719</v>
          </cell>
          <cell r="E5391">
            <v>46712</v>
          </cell>
          <cell r="F5391" t="str">
            <v>37023</v>
          </cell>
          <cell r="G5391" t="str">
            <v>大聯大三</v>
          </cell>
          <cell r="H5391">
            <v>100000</v>
          </cell>
          <cell r="I5391">
            <v>2.7</v>
          </cell>
          <cell r="J5391">
            <v>46712</v>
          </cell>
          <cell r="K5391">
            <v>100</v>
          </cell>
          <cell r="L5391">
            <v>46693</v>
          </cell>
          <cell r="M5391">
            <v>-540</v>
          </cell>
          <cell r="N5391">
            <v>99460</v>
          </cell>
        </row>
        <row r="5392">
          <cell r="A5392">
            <v>15364</v>
          </cell>
          <cell r="B5392">
            <v>5386</v>
          </cell>
          <cell r="C5392" t="str">
            <v>IASWD2503000004</v>
          </cell>
          <cell r="D5392">
            <v>45719</v>
          </cell>
          <cell r="E5392">
            <v>46246</v>
          </cell>
          <cell r="F5392" t="str">
            <v>15364</v>
          </cell>
          <cell r="G5392" t="str">
            <v>和大四</v>
          </cell>
          <cell r="H5392">
            <v>200000</v>
          </cell>
          <cell r="I5392">
            <v>3.75</v>
          </cell>
          <cell r="J5392">
            <v>46246</v>
          </cell>
          <cell r="K5392">
            <v>100</v>
          </cell>
          <cell r="L5392">
            <v>46226</v>
          </cell>
          <cell r="M5392">
            <v>-1500</v>
          </cell>
          <cell r="N5392">
            <v>198500</v>
          </cell>
        </row>
        <row r="5393">
          <cell r="A5393">
            <v>37023</v>
          </cell>
          <cell r="B5393">
            <v>5387</v>
          </cell>
          <cell r="C5393" t="str">
            <v>IASWD2503000005</v>
          </cell>
          <cell r="D5393">
            <v>45719</v>
          </cell>
          <cell r="E5393">
            <v>46712</v>
          </cell>
          <cell r="F5393" t="str">
            <v>37023</v>
          </cell>
          <cell r="G5393" t="str">
            <v>大聯大三</v>
          </cell>
          <cell r="H5393">
            <v>100000</v>
          </cell>
          <cell r="I5393">
            <v>2.7</v>
          </cell>
          <cell r="J5393">
            <v>46712</v>
          </cell>
          <cell r="K5393">
            <v>100</v>
          </cell>
          <cell r="L5393">
            <v>46693</v>
          </cell>
          <cell r="M5393">
            <v>-540</v>
          </cell>
          <cell r="N5393">
            <v>99460</v>
          </cell>
        </row>
        <row r="5394">
          <cell r="A5394">
            <v>37023</v>
          </cell>
          <cell r="B5394">
            <v>5388</v>
          </cell>
          <cell r="C5394" t="str">
            <v>IASWD2503000007</v>
          </cell>
          <cell r="D5394">
            <v>45719</v>
          </cell>
          <cell r="E5394">
            <v>46712</v>
          </cell>
          <cell r="F5394" t="str">
            <v>37023</v>
          </cell>
          <cell r="G5394" t="str">
            <v>大聯大三</v>
          </cell>
          <cell r="H5394">
            <v>200000</v>
          </cell>
          <cell r="I5394">
            <v>2.7</v>
          </cell>
          <cell r="J5394">
            <v>46712</v>
          </cell>
          <cell r="K5394">
            <v>100</v>
          </cell>
          <cell r="L5394">
            <v>46693</v>
          </cell>
          <cell r="M5394">
            <v>-1080</v>
          </cell>
          <cell r="N5394">
            <v>198920</v>
          </cell>
        </row>
        <row r="5395">
          <cell r="A5395">
            <v>61973</v>
          </cell>
          <cell r="B5395">
            <v>5389</v>
          </cell>
          <cell r="C5395" t="str">
            <v>IASWD2503000008</v>
          </cell>
          <cell r="D5395">
            <v>45719</v>
          </cell>
          <cell r="E5395">
            <v>46675</v>
          </cell>
          <cell r="F5395" t="str">
            <v>61973</v>
          </cell>
          <cell r="G5395" t="str">
            <v>佳必琪三</v>
          </cell>
          <cell r="H5395">
            <v>100000</v>
          </cell>
          <cell r="I5395">
            <v>3</v>
          </cell>
          <cell r="J5395">
            <v>46675</v>
          </cell>
          <cell r="K5395">
            <v>100</v>
          </cell>
          <cell r="L5395">
            <v>46657</v>
          </cell>
          <cell r="M5395">
            <v>-600</v>
          </cell>
          <cell r="N5395">
            <v>99400</v>
          </cell>
        </row>
        <row r="5396">
          <cell r="A5396">
            <v>34912</v>
          </cell>
          <cell r="B5396">
            <v>5390</v>
          </cell>
          <cell r="C5396" t="str">
            <v>IASWD2503000009</v>
          </cell>
          <cell r="D5396">
            <v>45719</v>
          </cell>
          <cell r="E5396">
            <v>46627</v>
          </cell>
          <cell r="F5396" t="str">
            <v>34912</v>
          </cell>
          <cell r="G5396" t="str">
            <v>昇達科二</v>
          </cell>
          <cell r="H5396">
            <v>100000</v>
          </cell>
          <cell r="I5396">
            <v>3</v>
          </cell>
          <cell r="J5396">
            <v>46627</v>
          </cell>
          <cell r="K5396">
            <v>100</v>
          </cell>
          <cell r="L5396">
            <v>46609</v>
          </cell>
          <cell r="M5396">
            <v>-600</v>
          </cell>
          <cell r="N5396">
            <v>99400</v>
          </cell>
        </row>
        <row r="5397">
          <cell r="A5397">
            <v>64145</v>
          </cell>
          <cell r="B5397">
            <v>5391</v>
          </cell>
          <cell r="C5397" t="str">
            <v>IASWD2503000010</v>
          </cell>
          <cell r="D5397">
            <v>45719</v>
          </cell>
          <cell r="E5397">
            <v>46250</v>
          </cell>
          <cell r="F5397" t="str">
            <v>64145</v>
          </cell>
          <cell r="G5397" t="str">
            <v>樺漢五</v>
          </cell>
          <cell r="H5397">
            <v>200000</v>
          </cell>
          <cell r="I5397">
            <v>3</v>
          </cell>
          <cell r="J5397">
            <v>46250</v>
          </cell>
          <cell r="K5397">
            <v>100</v>
          </cell>
          <cell r="L5397">
            <v>46231</v>
          </cell>
          <cell r="M5397">
            <v>-1200</v>
          </cell>
          <cell r="N5397">
            <v>198800</v>
          </cell>
        </row>
        <row r="5398">
          <cell r="A5398">
            <v>64145</v>
          </cell>
          <cell r="B5398">
            <v>5392</v>
          </cell>
          <cell r="C5398" t="str">
            <v>IASWD2503000011</v>
          </cell>
          <cell r="D5398">
            <v>45719</v>
          </cell>
          <cell r="E5398">
            <v>46250</v>
          </cell>
          <cell r="F5398" t="str">
            <v>64145</v>
          </cell>
          <cell r="G5398" t="str">
            <v>樺漢五</v>
          </cell>
          <cell r="H5398">
            <v>100000</v>
          </cell>
          <cell r="I5398">
            <v>3</v>
          </cell>
          <cell r="J5398">
            <v>46250</v>
          </cell>
          <cell r="K5398">
            <v>100</v>
          </cell>
          <cell r="L5398">
            <v>46231</v>
          </cell>
          <cell r="M5398">
            <v>-600</v>
          </cell>
          <cell r="N5398">
            <v>99400</v>
          </cell>
        </row>
        <row r="5399">
          <cell r="A5399">
            <v>64145</v>
          </cell>
          <cell r="B5399">
            <v>5393</v>
          </cell>
          <cell r="C5399" t="str">
            <v>IASWD2503000012</v>
          </cell>
          <cell r="D5399">
            <v>45719</v>
          </cell>
          <cell r="E5399">
            <v>46250</v>
          </cell>
          <cell r="F5399" t="str">
            <v>64145</v>
          </cell>
          <cell r="G5399" t="str">
            <v>樺漢五</v>
          </cell>
          <cell r="H5399">
            <v>100000</v>
          </cell>
          <cell r="I5399">
            <v>3</v>
          </cell>
          <cell r="J5399">
            <v>46250</v>
          </cell>
          <cell r="K5399">
            <v>100</v>
          </cell>
          <cell r="L5399">
            <v>46231</v>
          </cell>
          <cell r="M5399">
            <v>-600</v>
          </cell>
          <cell r="N5399">
            <v>99400</v>
          </cell>
        </row>
        <row r="5400">
          <cell r="A5400">
            <v>37022</v>
          </cell>
          <cell r="B5400">
            <v>5394</v>
          </cell>
          <cell r="C5400" t="str">
            <v>IASWD2503000013</v>
          </cell>
          <cell r="D5400">
            <v>45719</v>
          </cell>
          <cell r="E5400">
            <v>46702</v>
          </cell>
          <cell r="F5400" t="str">
            <v>37022</v>
          </cell>
          <cell r="G5400" t="str">
            <v>大聯大二</v>
          </cell>
          <cell r="H5400">
            <v>100000</v>
          </cell>
          <cell r="I5400">
            <v>2.7</v>
          </cell>
          <cell r="J5400">
            <v>46702</v>
          </cell>
          <cell r="K5400">
            <v>100</v>
          </cell>
          <cell r="L5400">
            <v>46682</v>
          </cell>
          <cell r="M5400">
            <v>-540</v>
          </cell>
          <cell r="N5400">
            <v>99460</v>
          </cell>
        </row>
        <row r="5401">
          <cell r="A5401">
            <v>64145</v>
          </cell>
          <cell r="B5401">
            <v>5395</v>
          </cell>
          <cell r="C5401" t="str">
            <v>IASWD2503000014</v>
          </cell>
          <cell r="D5401">
            <v>45719</v>
          </cell>
          <cell r="E5401">
            <v>46250</v>
          </cell>
          <cell r="F5401" t="str">
            <v>64145</v>
          </cell>
          <cell r="G5401" t="str">
            <v>樺漢五</v>
          </cell>
          <cell r="H5401">
            <v>200000</v>
          </cell>
          <cell r="I5401">
            <v>3</v>
          </cell>
          <cell r="J5401">
            <v>46250</v>
          </cell>
          <cell r="K5401">
            <v>100</v>
          </cell>
          <cell r="L5401">
            <v>46231</v>
          </cell>
          <cell r="M5401">
            <v>-1200</v>
          </cell>
          <cell r="N5401">
            <v>198800</v>
          </cell>
        </row>
        <row r="5402">
          <cell r="A5402">
            <v>37023</v>
          </cell>
          <cell r="B5402">
            <v>5396</v>
          </cell>
          <cell r="C5402" t="str">
            <v>IASWD2503000016</v>
          </cell>
          <cell r="D5402">
            <v>45719</v>
          </cell>
          <cell r="E5402">
            <v>46712</v>
          </cell>
          <cell r="F5402" t="str">
            <v>37023</v>
          </cell>
          <cell r="G5402" t="str">
            <v>大聯大三</v>
          </cell>
          <cell r="H5402">
            <v>100000</v>
          </cell>
          <cell r="I5402">
            <v>2.7</v>
          </cell>
          <cell r="J5402">
            <v>46712</v>
          </cell>
          <cell r="K5402">
            <v>100</v>
          </cell>
          <cell r="L5402">
            <v>46693</v>
          </cell>
          <cell r="M5402">
            <v>-540</v>
          </cell>
          <cell r="N5402">
            <v>99460</v>
          </cell>
        </row>
        <row r="5403">
          <cell r="A5403">
            <v>64145</v>
          </cell>
          <cell r="B5403">
            <v>5397</v>
          </cell>
          <cell r="C5403" t="str">
            <v>IASWD2503000017</v>
          </cell>
          <cell r="D5403">
            <v>45719</v>
          </cell>
          <cell r="E5403">
            <v>46250</v>
          </cell>
          <cell r="F5403" t="str">
            <v>64145</v>
          </cell>
          <cell r="G5403" t="str">
            <v>樺漢五</v>
          </cell>
          <cell r="H5403">
            <v>200000</v>
          </cell>
          <cell r="I5403">
            <v>3</v>
          </cell>
          <cell r="J5403">
            <v>46250</v>
          </cell>
          <cell r="K5403">
            <v>100</v>
          </cell>
          <cell r="L5403">
            <v>46231</v>
          </cell>
          <cell r="M5403">
            <v>-1200</v>
          </cell>
          <cell r="N5403">
            <v>198800</v>
          </cell>
        </row>
        <row r="5404">
          <cell r="A5404">
            <v>15364</v>
          </cell>
          <cell r="B5404">
            <v>5398</v>
          </cell>
          <cell r="C5404" t="str">
            <v>IASWD2503000018</v>
          </cell>
          <cell r="D5404">
            <v>45719</v>
          </cell>
          <cell r="E5404">
            <v>46246</v>
          </cell>
          <cell r="F5404" t="str">
            <v>15364</v>
          </cell>
          <cell r="G5404" t="str">
            <v>和大四</v>
          </cell>
          <cell r="H5404">
            <v>200000</v>
          </cell>
          <cell r="I5404">
            <v>3.75</v>
          </cell>
          <cell r="J5404">
            <v>46246</v>
          </cell>
          <cell r="K5404">
            <v>100</v>
          </cell>
          <cell r="L5404">
            <v>46226</v>
          </cell>
          <cell r="M5404">
            <v>-1500</v>
          </cell>
          <cell r="N5404">
            <v>198500</v>
          </cell>
        </row>
        <row r="5405">
          <cell r="A5405">
            <v>37023</v>
          </cell>
          <cell r="B5405">
            <v>5399</v>
          </cell>
          <cell r="C5405" t="str">
            <v>IASWD2503000019</v>
          </cell>
          <cell r="D5405">
            <v>45719</v>
          </cell>
          <cell r="E5405">
            <v>46712</v>
          </cell>
          <cell r="F5405" t="str">
            <v>37023</v>
          </cell>
          <cell r="G5405" t="str">
            <v>大聯大三</v>
          </cell>
          <cell r="H5405">
            <v>100000</v>
          </cell>
          <cell r="I5405">
            <v>2.7</v>
          </cell>
          <cell r="J5405">
            <v>46712</v>
          </cell>
          <cell r="K5405">
            <v>100</v>
          </cell>
          <cell r="L5405">
            <v>46693</v>
          </cell>
          <cell r="M5405">
            <v>-540</v>
          </cell>
          <cell r="N5405">
            <v>99460</v>
          </cell>
        </row>
        <row r="5406">
          <cell r="A5406">
            <v>37023</v>
          </cell>
          <cell r="B5406">
            <v>5400</v>
          </cell>
          <cell r="C5406" t="str">
            <v>IASWD2503000020</v>
          </cell>
          <cell r="D5406">
            <v>45719</v>
          </cell>
          <cell r="E5406">
            <v>46712</v>
          </cell>
          <cell r="F5406" t="str">
            <v>37023</v>
          </cell>
          <cell r="G5406" t="str">
            <v>大聯大三</v>
          </cell>
          <cell r="H5406">
            <v>100000</v>
          </cell>
          <cell r="I5406">
            <v>2.7</v>
          </cell>
          <cell r="J5406">
            <v>46712</v>
          </cell>
          <cell r="K5406">
            <v>100</v>
          </cell>
          <cell r="L5406">
            <v>46693</v>
          </cell>
          <cell r="M5406">
            <v>-540</v>
          </cell>
          <cell r="N5406">
            <v>99460</v>
          </cell>
        </row>
        <row r="5407">
          <cell r="A5407">
            <v>34163</v>
          </cell>
          <cell r="B5407">
            <v>5401</v>
          </cell>
          <cell r="C5407" t="str">
            <v>IASWD2503000021</v>
          </cell>
          <cell r="D5407">
            <v>45719</v>
          </cell>
          <cell r="E5407">
            <v>46047</v>
          </cell>
          <cell r="F5407" t="str">
            <v>34163</v>
          </cell>
          <cell r="G5407" t="str">
            <v>融程電三</v>
          </cell>
          <cell r="H5407">
            <v>100000</v>
          </cell>
          <cell r="I5407">
            <v>3</v>
          </cell>
          <cell r="J5407">
            <v>46047</v>
          </cell>
          <cell r="K5407">
            <v>100.5</v>
          </cell>
          <cell r="L5407">
            <v>46028</v>
          </cell>
          <cell r="M5407">
            <v>-600</v>
          </cell>
          <cell r="N5407">
            <v>99400</v>
          </cell>
        </row>
        <row r="5408">
          <cell r="A5408">
            <v>37023</v>
          </cell>
          <cell r="B5408">
            <v>5402</v>
          </cell>
          <cell r="C5408" t="str">
            <v>IASWD2503000022</v>
          </cell>
          <cell r="D5408">
            <v>45719</v>
          </cell>
          <cell r="E5408">
            <v>46712</v>
          </cell>
          <cell r="F5408" t="str">
            <v>37023</v>
          </cell>
          <cell r="G5408" t="str">
            <v>大聯大三</v>
          </cell>
          <cell r="H5408">
            <v>200000</v>
          </cell>
          <cell r="I5408">
            <v>2.7</v>
          </cell>
          <cell r="J5408">
            <v>46712</v>
          </cell>
          <cell r="K5408">
            <v>100</v>
          </cell>
          <cell r="L5408">
            <v>46693</v>
          </cell>
          <cell r="M5408">
            <v>-1080</v>
          </cell>
          <cell r="N5408">
            <v>198920</v>
          </cell>
        </row>
        <row r="5409">
          <cell r="A5409">
            <v>61843</v>
          </cell>
          <cell r="B5409">
            <v>5403</v>
          </cell>
          <cell r="C5409" t="str">
            <v>IASWD2503000023</v>
          </cell>
          <cell r="D5409">
            <v>45719</v>
          </cell>
          <cell r="E5409">
            <v>46452</v>
          </cell>
          <cell r="F5409" t="str">
            <v>61843</v>
          </cell>
          <cell r="G5409" t="str">
            <v>大豐電三</v>
          </cell>
          <cell r="H5409">
            <v>200000</v>
          </cell>
          <cell r="I5409">
            <v>3.75</v>
          </cell>
          <cell r="J5409">
            <v>46452</v>
          </cell>
          <cell r="K5409">
            <v>101.50749999999999</v>
          </cell>
          <cell r="L5409">
            <v>46434</v>
          </cell>
          <cell r="M5409">
            <v>-1500</v>
          </cell>
          <cell r="N5409">
            <v>198500</v>
          </cell>
        </row>
        <row r="5410">
          <cell r="A5410">
            <v>64145</v>
          </cell>
          <cell r="B5410">
            <v>5404</v>
          </cell>
          <cell r="C5410" t="str">
            <v>IASWD2503000025</v>
          </cell>
          <cell r="D5410">
            <v>45719</v>
          </cell>
          <cell r="E5410">
            <v>46250</v>
          </cell>
          <cell r="F5410" t="str">
            <v>64145</v>
          </cell>
          <cell r="G5410" t="str">
            <v>樺漢五</v>
          </cell>
          <cell r="H5410">
            <v>100000</v>
          </cell>
          <cell r="I5410">
            <v>3</v>
          </cell>
          <cell r="J5410">
            <v>46250</v>
          </cell>
          <cell r="K5410">
            <v>100</v>
          </cell>
          <cell r="L5410">
            <v>46231</v>
          </cell>
          <cell r="M5410">
            <v>-600</v>
          </cell>
          <cell r="N5410">
            <v>99400</v>
          </cell>
        </row>
        <row r="5411">
          <cell r="A5411">
            <v>68301</v>
          </cell>
          <cell r="B5411">
            <v>5405</v>
          </cell>
          <cell r="C5411" t="str">
            <v>IASWD2503000026</v>
          </cell>
          <cell r="D5411">
            <v>45719</v>
          </cell>
          <cell r="E5411">
            <v>46249</v>
          </cell>
          <cell r="F5411" t="str">
            <v>68301</v>
          </cell>
          <cell r="G5411" t="str">
            <v>汎銓一</v>
          </cell>
          <cell r="H5411">
            <v>100000</v>
          </cell>
          <cell r="I5411">
            <v>3</v>
          </cell>
          <cell r="J5411">
            <v>46249</v>
          </cell>
          <cell r="K5411">
            <v>100</v>
          </cell>
          <cell r="L5411">
            <v>46231</v>
          </cell>
          <cell r="M5411">
            <v>-600</v>
          </cell>
          <cell r="N5411">
            <v>99400</v>
          </cell>
        </row>
        <row r="5412">
          <cell r="A5412">
            <v>15142</v>
          </cell>
          <cell r="B5412">
            <v>5406</v>
          </cell>
          <cell r="C5412" t="str">
            <v>IASWD2503000028</v>
          </cell>
          <cell r="D5412">
            <v>45719</v>
          </cell>
          <cell r="E5412">
            <v>46765</v>
          </cell>
          <cell r="F5412" t="str">
            <v>15142</v>
          </cell>
          <cell r="G5412" t="str">
            <v>亞力二</v>
          </cell>
          <cell r="H5412">
            <v>100000</v>
          </cell>
          <cell r="I5412">
            <v>3.5</v>
          </cell>
          <cell r="J5412">
            <v>46765</v>
          </cell>
          <cell r="K5412">
            <v>100.75190000000001</v>
          </cell>
          <cell r="L5412">
            <v>46745</v>
          </cell>
          <cell r="M5412">
            <v>-700</v>
          </cell>
          <cell r="N5412">
            <v>99300</v>
          </cell>
        </row>
        <row r="5413">
          <cell r="A5413">
            <v>33902</v>
          </cell>
          <cell r="B5413">
            <v>5407</v>
          </cell>
          <cell r="C5413" t="str">
            <v>IASWD2503000029</v>
          </cell>
          <cell r="D5413">
            <v>45719</v>
          </cell>
          <cell r="E5413">
            <v>46804</v>
          </cell>
          <cell r="F5413" t="str">
            <v>33902</v>
          </cell>
          <cell r="G5413" t="str">
            <v>旭軟二</v>
          </cell>
          <cell r="H5413">
            <v>100000</v>
          </cell>
          <cell r="I5413">
            <v>2.2999999999999998</v>
          </cell>
          <cell r="J5413">
            <v>46804</v>
          </cell>
          <cell r="K5413">
            <v>100</v>
          </cell>
          <cell r="L5413">
            <v>46784</v>
          </cell>
          <cell r="M5413">
            <v>-460</v>
          </cell>
          <cell r="N5413">
            <v>99540</v>
          </cell>
        </row>
        <row r="5414">
          <cell r="A5414">
            <v>37022</v>
          </cell>
          <cell r="B5414">
            <v>5408</v>
          </cell>
          <cell r="C5414" t="str">
            <v>IASWD2503000030</v>
          </cell>
          <cell r="D5414">
            <v>45719</v>
          </cell>
          <cell r="E5414">
            <v>46702</v>
          </cell>
          <cell r="F5414" t="str">
            <v>37022</v>
          </cell>
          <cell r="G5414" t="str">
            <v>大聯大二</v>
          </cell>
          <cell r="H5414">
            <v>100000</v>
          </cell>
          <cell r="I5414">
            <v>2.7</v>
          </cell>
          <cell r="J5414">
            <v>46702</v>
          </cell>
          <cell r="K5414">
            <v>100</v>
          </cell>
          <cell r="L5414">
            <v>46682</v>
          </cell>
          <cell r="M5414">
            <v>-540</v>
          </cell>
          <cell r="N5414">
            <v>99460</v>
          </cell>
        </row>
        <row r="5415">
          <cell r="A5415">
            <v>64145</v>
          </cell>
          <cell r="B5415">
            <v>5409</v>
          </cell>
          <cell r="C5415" t="str">
            <v>IASWD2503000031</v>
          </cell>
          <cell r="D5415">
            <v>45719</v>
          </cell>
          <cell r="E5415">
            <v>46250</v>
          </cell>
          <cell r="F5415" t="str">
            <v>64145</v>
          </cell>
          <cell r="G5415" t="str">
            <v>樺漢五</v>
          </cell>
          <cell r="H5415">
            <v>500000</v>
          </cell>
          <cell r="I5415">
            <v>3</v>
          </cell>
          <cell r="J5415">
            <v>46250</v>
          </cell>
          <cell r="K5415">
            <v>100</v>
          </cell>
          <cell r="L5415">
            <v>46231</v>
          </cell>
          <cell r="M5415">
            <v>-3000</v>
          </cell>
          <cell r="N5415">
            <v>497000</v>
          </cell>
        </row>
        <row r="5416">
          <cell r="A5416">
            <v>37023</v>
          </cell>
          <cell r="B5416">
            <v>5410</v>
          </cell>
          <cell r="C5416" t="str">
            <v>IASWD2503000032</v>
          </cell>
          <cell r="D5416">
            <v>45719</v>
          </cell>
          <cell r="E5416">
            <v>46712</v>
          </cell>
          <cell r="F5416" t="str">
            <v>37023</v>
          </cell>
          <cell r="G5416" t="str">
            <v>大聯大三</v>
          </cell>
          <cell r="H5416">
            <v>200000</v>
          </cell>
          <cell r="I5416">
            <v>2.7</v>
          </cell>
          <cell r="J5416">
            <v>46712</v>
          </cell>
          <cell r="K5416">
            <v>100</v>
          </cell>
          <cell r="L5416">
            <v>46693</v>
          </cell>
          <cell r="M5416">
            <v>-1080</v>
          </cell>
          <cell r="N5416">
            <v>198920</v>
          </cell>
        </row>
        <row r="5417">
          <cell r="A5417">
            <v>37023</v>
          </cell>
          <cell r="B5417">
            <v>5411</v>
          </cell>
          <cell r="C5417" t="str">
            <v>IASWD2503000033</v>
          </cell>
          <cell r="D5417">
            <v>45719</v>
          </cell>
          <cell r="E5417">
            <v>46712</v>
          </cell>
          <cell r="F5417" t="str">
            <v>37023</v>
          </cell>
          <cell r="G5417" t="str">
            <v>大聯大三</v>
          </cell>
          <cell r="H5417">
            <v>200000</v>
          </cell>
          <cell r="I5417">
            <v>2.7</v>
          </cell>
          <cell r="J5417">
            <v>46712</v>
          </cell>
          <cell r="K5417">
            <v>100</v>
          </cell>
          <cell r="L5417">
            <v>46693</v>
          </cell>
          <cell r="M5417">
            <v>-1080</v>
          </cell>
          <cell r="N5417">
            <v>198920</v>
          </cell>
        </row>
        <row r="5418">
          <cell r="A5418">
            <v>37022</v>
          </cell>
          <cell r="B5418">
            <v>5412</v>
          </cell>
          <cell r="C5418" t="str">
            <v>IASWD2503000034</v>
          </cell>
          <cell r="D5418">
            <v>45719</v>
          </cell>
          <cell r="E5418">
            <v>46702</v>
          </cell>
          <cell r="F5418" t="str">
            <v>37022</v>
          </cell>
          <cell r="G5418" t="str">
            <v>大聯大二</v>
          </cell>
          <cell r="H5418">
            <v>100000</v>
          </cell>
          <cell r="I5418">
            <v>2.7</v>
          </cell>
          <cell r="J5418">
            <v>46702</v>
          </cell>
          <cell r="K5418">
            <v>100</v>
          </cell>
          <cell r="L5418">
            <v>46682</v>
          </cell>
          <cell r="M5418">
            <v>-540</v>
          </cell>
          <cell r="N5418">
            <v>99460</v>
          </cell>
        </row>
        <row r="5419">
          <cell r="A5419">
            <v>64145</v>
          </cell>
          <cell r="B5419">
            <v>5413</v>
          </cell>
          <cell r="C5419" t="str">
            <v>IASWD2503000035</v>
          </cell>
          <cell r="D5419">
            <v>45719</v>
          </cell>
          <cell r="E5419">
            <v>46250</v>
          </cell>
          <cell r="F5419" t="str">
            <v>64145</v>
          </cell>
          <cell r="G5419" t="str">
            <v>樺漢五</v>
          </cell>
          <cell r="H5419">
            <v>100000</v>
          </cell>
          <cell r="I5419">
            <v>3</v>
          </cell>
          <cell r="J5419">
            <v>46250</v>
          </cell>
          <cell r="K5419">
            <v>100</v>
          </cell>
          <cell r="L5419">
            <v>46231</v>
          </cell>
          <cell r="M5419">
            <v>-600</v>
          </cell>
          <cell r="N5419">
            <v>99400</v>
          </cell>
        </row>
        <row r="5420">
          <cell r="A5420">
            <v>15142</v>
          </cell>
          <cell r="B5420">
            <v>5414</v>
          </cell>
          <cell r="C5420" t="str">
            <v>IASWD2503000036</v>
          </cell>
          <cell r="D5420">
            <v>45719</v>
          </cell>
          <cell r="E5420">
            <v>46765</v>
          </cell>
          <cell r="F5420" t="str">
            <v>15142</v>
          </cell>
          <cell r="G5420" t="str">
            <v>亞力二</v>
          </cell>
          <cell r="H5420">
            <v>300000</v>
          </cell>
          <cell r="I5420">
            <v>3.5</v>
          </cell>
          <cell r="J5420">
            <v>46765</v>
          </cell>
          <cell r="K5420">
            <v>100.75190000000001</v>
          </cell>
          <cell r="L5420">
            <v>46745</v>
          </cell>
          <cell r="M5420">
            <v>-2100</v>
          </cell>
          <cell r="N5420">
            <v>297900</v>
          </cell>
        </row>
        <row r="5421">
          <cell r="A5421">
            <v>35832</v>
          </cell>
          <cell r="B5421">
            <v>5415</v>
          </cell>
          <cell r="C5421" t="str">
            <v>IASWD2503000037</v>
          </cell>
          <cell r="D5421">
            <v>45719</v>
          </cell>
          <cell r="E5421">
            <v>46192</v>
          </cell>
          <cell r="F5421" t="str">
            <v>35832</v>
          </cell>
          <cell r="G5421" t="str">
            <v>辛耘二</v>
          </cell>
          <cell r="H5421">
            <v>100000</v>
          </cell>
          <cell r="I5421">
            <v>3</v>
          </cell>
          <cell r="J5421">
            <v>46192</v>
          </cell>
          <cell r="K5421">
            <v>100</v>
          </cell>
          <cell r="L5421">
            <v>46174</v>
          </cell>
          <cell r="M5421">
            <v>-600</v>
          </cell>
          <cell r="N5421">
            <v>99400</v>
          </cell>
        </row>
        <row r="5422">
          <cell r="A5422">
            <v>37023</v>
          </cell>
          <cell r="B5422">
            <v>5416</v>
          </cell>
          <cell r="C5422" t="str">
            <v>IASWD2503000038</v>
          </cell>
          <cell r="D5422">
            <v>45719</v>
          </cell>
          <cell r="E5422">
            <v>46712</v>
          </cell>
          <cell r="F5422" t="str">
            <v>37023</v>
          </cell>
          <cell r="G5422" t="str">
            <v>大聯大三</v>
          </cell>
          <cell r="H5422">
            <v>2000000</v>
          </cell>
          <cell r="I5422">
            <v>2.7</v>
          </cell>
          <cell r="J5422">
            <v>46712</v>
          </cell>
          <cell r="K5422">
            <v>100</v>
          </cell>
          <cell r="L5422">
            <v>46693</v>
          </cell>
          <cell r="M5422">
            <v>-10800</v>
          </cell>
          <cell r="N5422">
            <v>1989200</v>
          </cell>
        </row>
        <row r="5423">
          <cell r="A5423">
            <v>15142</v>
          </cell>
          <cell r="B5423">
            <v>5417</v>
          </cell>
          <cell r="C5423" t="str">
            <v>IASWD2503000039</v>
          </cell>
          <cell r="D5423">
            <v>45719</v>
          </cell>
          <cell r="E5423">
            <v>46765</v>
          </cell>
          <cell r="F5423" t="str">
            <v>15142</v>
          </cell>
          <cell r="G5423" t="str">
            <v>亞力二</v>
          </cell>
          <cell r="H5423">
            <v>200000</v>
          </cell>
          <cell r="I5423">
            <v>3.5</v>
          </cell>
          <cell r="J5423">
            <v>46765</v>
          </cell>
          <cell r="K5423">
            <v>100.75190000000001</v>
          </cell>
          <cell r="L5423">
            <v>46745</v>
          </cell>
          <cell r="M5423">
            <v>-1400</v>
          </cell>
          <cell r="N5423">
            <v>198600</v>
          </cell>
        </row>
        <row r="5424">
          <cell r="A5424">
            <v>64145</v>
          </cell>
          <cell r="B5424">
            <v>5418</v>
          </cell>
          <cell r="C5424" t="str">
            <v>IASWD2503000040</v>
          </cell>
          <cell r="D5424">
            <v>45719</v>
          </cell>
          <cell r="E5424">
            <v>46250</v>
          </cell>
          <cell r="F5424" t="str">
            <v>64145</v>
          </cell>
          <cell r="G5424" t="str">
            <v>樺漢五</v>
          </cell>
          <cell r="H5424">
            <v>300000</v>
          </cell>
          <cell r="I5424">
            <v>3</v>
          </cell>
          <cell r="J5424">
            <v>46250</v>
          </cell>
          <cell r="K5424">
            <v>100</v>
          </cell>
          <cell r="L5424">
            <v>46231</v>
          </cell>
          <cell r="M5424">
            <v>-1800</v>
          </cell>
          <cell r="N5424">
            <v>298200</v>
          </cell>
        </row>
        <row r="5425">
          <cell r="A5425">
            <v>37023</v>
          </cell>
          <cell r="B5425">
            <v>5419</v>
          </cell>
          <cell r="C5425" t="str">
            <v>IASWD2503000041</v>
          </cell>
          <cell r="D5425">
            <v>45719</v>
          </cell>
          <cell r="E5425">
            <v>46712</v>
          </cell>
          <cell r="F5425" t="str">
            <v>37023</v>
          </cell>
          <cell r="G5425" t="str">
            <v>大聯大三</v>
          </cell>
          <cell r="H5425">
            <v>1000000</v>
          </cell>
          <cell r="I5425">
            <v>2.7</v>
          </cell>
          <cell r="J5425">
            <v>46712</v>
          </cell>
          <cell r="K5425">
            <v>100</v>
          </cell>
          <cell r="L5425">
            <v>46693</v>
          </cell>
          <cell r="M5425">
            <v>-5400</v>
          </cell>
          <cell r="N5425">
            <v>994600</v>
          </cell>
        </row>
        <row r="5426">
          <cell r="A5426">
            <v>25484</v>
          </cell>
          <cell r="B5426">
            <v>5420</v>
          </cell>
          <cell r="C5426" t="str">
            <v>IASWD2503000042</v>
          </cell>
          <cell r="D5426">
            <v>45719</v>
          </cell>
          <cell r="E5426">
            <v>46678</v>
          </cell>
          <cell r="F5426" t="str">
            <v>25484</v>
          </cell>
          <cell r="G5426" t="str">
            <v>華固四</v>
          </cell>
          <cell r="H5426">
            <v>8300000</v>
          </cell>
          <cell r="I5426">
            <v>3</v>
          </cell>
          <cell r="J5426">
            <v>46678</v>
          </cell>
          <cell r="K5426">
            <v>100</v>
          </cell>
          <cell r="L5426">
            <v>46658</v>
          </cell>
          <cell r="M5426">
            <v>-49800</v>
          </cell>
          <cell r="N5426">
            <v>8250200</v>
          </cell>
        </row>
        <row r="5427">
          <cell r="A5427">
            <v>64145</v>
          </cell>
          <cell r="B5427">
            <v>5421</v>
          </cell>
          <cell r="C5427" t="str">
            <v>IASWD2503000043</v>
          </cell>
          <cell r="D5427">
            <v>45719</v>
          </cell>
          <cell r="E5427">
            <v>46250</v>
          </cell>
          <cell r="F5427" t="str">
            <v>64145</v>
          </cell>
          <cell r="G5427" t="str">
            <v>樺漢五</v>
          </cell>
          <cell r="H5427">
            <v>100000</v>
          </cell>
          <cell r="I5427">
            <v>3</v>
          </cell>
          <cell r="J5427">
            <v>46250</v>
          </cell>
          <cell r="K5427">
            <v>100</v>
          </cell>
          <cell r="L5427">
            <v>46231</v>
          </cell>
          <cell r="M5427">
            <v>-600</v>
          </cell>
          <cell r="N5427">
            <v>99400</v>
          </cell>
        </row>
        <row r="5428">
          <cell r="A5428">
            <v>61843</v>
          </cell>
          <cell r="B5428">
            <v>5422</v>
          </cell>
          <cell r="C5428" t="str">
            <v>IASWD2503000044</v>
          </cell>
          <cell r="D5428">
            <v>45719</v>
          </cell>
          <cell r="E5428">
            <v>46452</v>
          </cell>
          <cell r="F5428" t="str">
            <v>61843</v>
          </cell>
          <cell r="G5428" t="str">
            <v>大豐電三</v>
          </cell>
          <cell r="H5428">
            <v>200000</v>
          </cell>
          <cell r="I5428">
            <v>3.75</v>
          </cell>
          <cell r="J5428">
            <v>46452</v>
          </cell>
          <cell r="K5428">
            <v>101.50749999999999</v>
          </cell>
          <cell r="L5428">
            <v>46434</v>
          </cell>
          <cell r="M5428">
            <v>-1500</v>
          </cell>
          <cell r="N5428">
            <v>198500</v>
          </cell>
        </row>
        <row r="5429">
          <cell r="A5429">
            <v>33035</v>
          </cell>
          <cell r="B5429">
            <v>5423</v>
          </cell>
          <cell r="C5429" t="str">
            <v>IASWD2503000045</v>
          </cell>
          <cell r="D5429">
            <v>45719</v>
          </cell>
          <cell r="E5429">
            <v>46717</v>
          </cell>
          <cell r="F5429" t="str">
            <v>33035</v>
          </cell>
          <cell r="G5429" t="str">
            <v>岱稜五</v>
          </cell>
          <cell r="H5429">
            <v>300000</v>
          </cell>
          <cell r="I5429">
            <v>4.25</v>
          </cell>
          <cell r="J5429">
            <v>46717</v>
          </cell>
          <cell r="K5429">
            <v>101.50749999999999</v>
          </cell>
          <cell r="L5429">
            <v>46699</v>
          </cell>
          <cell r="M5429">
            <v>-2550</v>
          </cell>
          <cell r="N5429">
            <v>297450</v>
          </cell>
        </row>
        <row r="5430">
          <cell r="A5430">
            <v>37022</v>
          </cell>
          <cell r="B5430">
            <v>5424</v>
          </cell>
          <cell r="C5430" t="str">
            <v>IASWD2503000046</v>
          </cell>
          <cell r="D5430">
            <v>45719</v>
          </cell>
          <cell r="E5430">
            <v>46702</v>
          </cell>
          <cell r="F5430" t="str">
            <v>37022</v>
          </cell>
          <cell r="G5430" t="str">
            <v>大聯大二</v>
          </cell>
          <cell r="H5430">
            <v>200000</v>
          </cell>
          <cell r="I5430">
            <v>2.7</v>
          </cell>
          <cell r="J5430">
            <v>46702</v>
          </cell>
          <cell r="K5430">
            <v>100</v>
          </cell>
          <cell r="L5430">
            <v>46682</v>
          </cell>
          <cell r="M5430">
            <v>-1080</v>
          </cell>
          <cell r="N5430">
            <v>198920</v>
          </cell>
        </row>
        <row r="5431">
          <cell r="A5431">
            <v>61843</v>
          </cell>
          <cell r="B5431">
            <v>5425</v>
          </cell>
          <cell r="C5431" t="str">
            <v>IASWD2503000047</v>
          </cell>
          <cell r="D5431">
            <v>45719</v>
          </cell>
          <cell r="E5431">
            <v>46452</v>
          </cell>
          <cell r="F5431" t="str">
            <v>61843</v>
          </cell>
          <cell r="G5431" t="str">
            <v>大豐電三</v>
          </cell>
          <cell r="H5431">
            <v>100000</v>
          </cell>
          <cell r="I5431">
            <v>3.75</v>
          </cell>
          <cell r="J5431">
            <v>46452</v>
          </cell>
          <cell r="K5431">
            <v>101.50749999999999</v>
          </cell>
          <cell r="L5431">
            <v>46434</v>
          </cell>
          <cell r="M5431">
            <v>-750</v>
          </cell>
          <cell r="N5431">
            <v>99250</v>
          </cell>
        </row>
        <row r="5432">
          <cell r="A5432">
            <v>21043</v>
          </cell>
          <cell r="B5432">
            <v>5426</v>
          </cell>
          <cell r="C5432" t="str">
            <v>IASWD2503000048</v>
          </cell>
          <cell r="D5432">
            <v>45719</v>
          </cell>
          <cell r="E5432">
            <v>46308</v>
          </cell>
          <cell r="F5432" t="str">
            <v>21043</v>
          </cell>
          <cell r="G5432" t="str">
            <v>國際中橡三</v>
          </cell>
          <cell r="H5432">
            <v>1200000</v>
          </cell>
          <cell r="I5432">
            <v>2.8</v>
          </cell>
          <cell r="J5432">
            <v>46308</v>
          </cell>
          <cell r="K5432">
            <v>100.9</v>
          </cell>
          <cell r="L5432">
            <v>46288</v>
          </cell>
          <cell r="M5432">
            <v>-6720</v>
          </cell>
          <cell r="N5432">
            <v>1193280</v>
          </cell>
        </row>
        <row r="5433">
          <cell r="A5433">
            <v>61965</v>
          </cell>
          <cell r="B5433">
            <v>5427</v>
          </cell>
          <cell r="C5433" t="str">
            <v>IASWD2503000049</v>
          </cell>
          <cell r="D5433">
            <v>45719</v>
          </cell>
          <cell r="E5433">
            <v>46200</v>
          </cell>
          <cell r="F5433" t="str">
            <v>61965</v>
          </cell>
          <cell r="G5433" t="str">
            <v>帆宣五</v>
          </cell>
          <cell r="H5433">
            <v>100000</v>
          </cell>
          <cell r="I5433">
            <v>3</v>
          </cell>
          <cell r="J5433">
            <v>46200</v>
          </cell>
          <cell r="K5433">
            <v>100</v>
          </cell>
          <cell r="L5433">
            <v>46182</v>
          </cell>
          <cell r="M5433">
            <v>-600</v>
          </cell>
          <cell r="N5433">
            <v>99400</v>
          </cell>
        </row>
        <row r="5434">
          <cell r="A5434">
            <v>33902</v>
          </cell>
          <cell r="B5434">
            <v>5428</v>
          </cell>
          <cell r="C5434" t="str">
            <v>IASWD2503000050</v>
          </cell>
          <cell r="D5434">
            <v>45719</v>
          </cell>
          <cell r="E5434">
            <v>46804</v>
          </cell>
          <cell r="F5434" t="str">
            <v>33902</v>
          </cell>
          <cell r="G5434" t="str">
            <v>旭軟二</v>
          </cell>
          <cell r="H5434">
            <v>100000</v>
          </cell>
          <cell r="I5434">
            <v>2.2999999999999998</v>
          </cell>
          <cell r="J5434">
            <v>46804</v>
          </cell>
          <cell r="K5434">
            <v>100</v>
          </cell>
          <cell r="L5434">
            <v>46784</v>
          </cell>
          <cell r="M5434">
            <v>-460</v>
          </cell>
          <cell r="N5434">
            <v>99540</v>
          </cell>
        </row>
        <row r="5435">
          <cell r="A5435">
            <v>33902</v>
          </cell>
          <cell r="B5435">
            <v>5429</v>
          </cell>
          <cell r="C5435" t="str">
            <v>IASWD2503000051</v>
          </cell>
          <cell r="D5435">
            <v>45719</v>
          </cell>
          <cell r="E5435">
            <v>46804</v>
          </cell>
          <cell r="F5435" t="str">
            <v>33902</v>
          </cell>
          <cell r="G5435" t="str">
            <v>旭軟二</v>
          </cell>
          <cell r="H5435">
            <v>100000</v>
          </cell>
          <cell r="I5435">
            <v>2.2999999999999998</v>
          </cell>
          <cell r="J5435">
            <v>46804</v>
          </cell>
          <cell r="K5435">
            <v>100</v>
          </cell>
          <cell r="L5435">
            <v>46784</v>
          </cell>
          <cell r="M5435">
            <v>-460</v>
          </cell>
          <cell r="N5435">
            <v>99540</v>
          </cell>
        </row>
        <row r="5436">
          <cell r="A5436">
            <v>15142</v>
          </cell>
          <cell r="B5436">
            <v>5430</v>
          </cell>
          <cell r="C5436" t="str">
            <v>IASWD2503000052</v>
          </cell>
          <cell r="D5436">
            <v>45719</v>
          </cell>
          <cell r="E5436">
            <v>46765</v>
          </cell>
          <cell r="F5436" t="str">
            <v>15142</v>
          </cell>
          <cell r="G5436" t="str">
            <v>亞力二</v>
          </cell>
          <cell r="H5436">
            <v>100000</v>
          </cell>
          <cell r="I5436">
            <v>3.5</v>
          </cell>
          <cell r="J5436">
            <v>46765</v>
          </cell>
          <cell r="K5436">
            <v>100.75190000000001</v>
          </cell>
          <cell r="L5436">
            <v>46745</v>
          </cell>
          <cell r="M5436">
            <v>-700</v>
          </cell>
          <cell r="N5436">
            <v>99300</v>
          </cell>
        </row>
        <row r="5437">
          <cell r="A5437">
            <v>64145</v>
          </cell>
          <cell r="B5437">
            <v>5431</v>
          </cell>
          <cell r="C5437" t="str">
            <v>IASWD2503000053</v>
          </cell>
          <cell r="D5437">
            <v>45719</v>
          </cell>
          <cell r="E5437">
            <v>46250</v>
          </cell>
          <cell r="F5437" t="str">
            <v>64145</v>
          </cell>
          <cell r="G5437" t="str">
            <v>樺漢五</v>
          </cell>
          <cell r="H5437">
            <v>100000</v>
          </cell>
          <cell r="I5437">
            <v>3</v>
          </cell>
          <cell r="J5437">
            <v>46250</v>
          </cell>
          <cell r="K5437">
            <v>100</v>
          </cell>
          <cell r="L5437">
            <v>46231</v>
          </cell>
          <cell r="M5437">
            <v>-600</v>
          </cell>
          <cell r="N5437">
            <v>99400</v>
          </cell>
        </row>
        <row r="5438">
          <cell r="A5438">
            <v>64145</v>
          </cell>
          <cell r="B5438">
            <v>5432</v>
          </cell>
          <cell r="C5438" t="str">
            <v>IASWD2503000054</v>
          </cell>
          <cell r="D5438">
            <v>45719</v>
          </cell>
          <cell r="E5438">
            <v>46250</v>
          </cell>
          <cell r="F5438" t="str">
            <v>64145</v>
          </cell>
          <cell r="G5438" t="str">
            <v>樺漢五</v>
          </cell>
          <cell r="H5438">
            <v>100000</v>
          </cell>
          <cell r="I5438">
            <v>3</v>
          </cell>
          <cell r="J5438">
            <v>46250</v>
          </cell>
          <cell r="K5438">
            <v>100</v>
          </cell>
          <cell r="L5438">
            <v>46231</v>
          </cell>
          <cell r="M5438">
            <v>-600</v>
          </cell>
          <cell r="N5438">
            <v>99400</v>
          </cell>
        </row>
        <row r="5439">
          <cell r="A5439">
            <v>25484</v>
          </cell>
          <cell r="B5439">
            <v>5433</v>
          </cell>
          <cell r="C5439" t="str">
            <v>IASWD2503000055</v>
          </cell>
          <cell r="D5439">
            <v>45719</v>
          </cell>
          <cell r="E5439">
            <v>46678</v>
          </cell>
          <cell r="F5439" t="str">
            <v>25484</v>
          </cell>
          <cell r="G5439" t="str">
            <v>華固四</v>
          </cell>
          <cell r="H5439">
            <v>100000</v>
          </cell>
          <cell r="I5439">
            <v>3</v>
          </cell>
          <cell r="J5439">
            <v>46678</v>
          </cell>
          <cell r="K5439">
            <v>100</v>
          </cell>
          <cell r="L5439">
            <v>46658</v>
          </cell>
          <cell r="M5439">
            <v>-600</v>
          </cell>
          <cell r="N5439">
            <v>99400</v>
          </cell>
        </row>
        <row r="5440">
          <cell r="A5440">
            <v>64145</v>
          </cell>
          <cell r="B5440">
            <v>5434</v>
          </cell>
          <cell r="C5440" t="str">
            <v>IASWD2503000057</v>
          </cell>
          <cell r="D5440">
            <v>45720</v>
          </cell>
          <cell r="E5440">
            <v>46250</v>
          </cell>
          <cell r="F5440" t="str">
            <v>64145</v>
          </cell>
          <cell r="G5440" t="str">
            <v>樺漢五</v>
          </cell>
          <cell r="H5440">
            <v>300000</v>
          </cell>
          <cell r="I5440">
            <v>3</v>
          </cell>
          <cell r="J5440">
            <v>46250</v>
          </cell>
          <cell r="K5440">
            <v>100</v>
          </cell>
          <cell r="L5440">
            <v>46231</v>
          </cell>
          <cell r="M5440">
            <v>-1775</v>
          </cell>
          <cell r="N5440">
            <v>298225</v>
          </cell>
        </row>
        <row r="5441">
          <cell r="A5441">
            <v>21043</v>
          </cell>
          <cell r="B5441">
            <v>5435</v>
          </cell>
          <cell r="C5441" t="str">
            <v>IASWD2503000058</v>
          </cell>
          <cell r="D5441">
            <v>45720</v>
          </cell>
          <cell r="E5441">
            <v>46308</v>
          </cell>
          <cell r="F5441" t="str">
            <v>21043</v>
          </cell>
          <cell r="G5441" t="str">
            <v>國際中橡三</v>
          </cell>
          <cell r="H5441">
            <v>100000</v>
          </cell>
          <cell r="I5441">
            <v>2.8</v>
          </cell>
          <cell r="J5441">
            <v>46308</v>
          </cell>
          <cell r="K5441">
            <v>100.9</v>
          </cell>
          <cell r="L5441">
            <v>46288</v>
          </cell>
          <cell r="M5441">
            <v>-552</v>
          </cell>
          <cell r="N5441">
            <v>99448</v>
          </cell>
        </row>
        <row r="5442">
          <cell r="A5442">
            <v>61973</v>
          </cell>
          <cell r="B5442">
            <v>5436</v>
          </cell>
          <cell r="C5442" t="str">
            <v>IASWD2503000059</v>
          </cell>
          <cell r="D5442">
            <v>45720</v>
          </cell>
          <cell r="E5442">
            <v>46675</v>
          </cell>
          <cell r="F5442" t="str">
            <v>61973</v>
          </cell>
          <cell r="G5442" t="str">
            <v>佳必琪三</v>
          </cell>
          <cell r="H5442">
            <v>100000</v>
          </cell>
          <cell r="I5442">
            <v>3</v>
          </cell>
          <cell r="J5442">
            <v>46675</v>
          </cell>
          <cell r="K5442">
            <v>100</v>
          </cell>
          <cell r="L5442">
            <v>46657</v>
          </cell>
          <cell r="M5442">
            <v>-592</v>
          </cell>
          <cell r="N5442">
            <v>99408</v>
          </cell>
        </row>
        <row r="5443">
          <cell r="A5443">
            <v>15364</v>
          </cell>
          <cell r="B5443">
            <v>5437</v>
          </cell>
          <cell r="C5443" t="str">
            <v>IASWD2503000060</v>
          </cell>
          <cell r="D5443">
            <v>45720</v>
          </cell>
          <cell r="E5443">
            <v>46246</v>
          </cell>
          <cell r="F5443" t="str">
            <v>15364</v>
          </cell>
          <cell r="G5443" t="str">
            <v>和大四</v>
          </cell>
          <cell r="H5443">
            <v>100000</v>
          </cell>
          <cell r="I5443">
            <v>3.75</v>
          </cell>
          <cell r="J5443">
            <v>46246</v>
          </cell>
          <cell r="K5443">
            <v>100</v>
          </cell>
          <cell r="L5443">
            <v>46226</v>
          </cell>
          <cell r="M5443">
            <v>-740</v>
          </cell>
          <cell r="N5443">
            <v>99260</v>
          </cell>
        </row>
        <row r="5444">
          <cell r="A5444">
            <v>64145</v>
          </cell>
          <cell r="B5444">
            <v>5438</v>
          </cell>
          <cell r="C5444" t="str">
            <v>IASWD2503000061</v>
          </cell>
          <cell r="D5444">
            <v>45720</v>
          </cell>
          <cell r="E5444">
            <v>46250</v>
          </cell>
          <cell r="F5444" t="str">
            <v>64145</v>
          </cell>
          <cell r="G5444" t="str">
            <v>樺漢五</v>
          </cell>
          <cell r="H5444">
            <v>200000</v>
          </cell>
          <cell r="I5444">
            <v>3</v>
          </cell>
          <cell r="J5444">
            <v>46250</v>
          </cell>
          <cell r="K5444">
            <v>100</v>
          </cell>
          <cell r="L5444">
            <v>46231</v>
          </cell>
          <cell r="M5444">
            <v>-1184</v>
          </cell>
          <cell r="N5444">
            <v>198816</v>
          </cell>
        </row>
        <row r="5445">
          <cell r="A5445">
            <v>68301</v>
          </cell>
          <cell r="B5445">
            <v>5439</v>
          </cell>
          <cell r="C5445" t="str">
            <v>IASWD2503000062</v>
          </cell>
          <cell r="D5445">
            <v>45720</v>
          </cell>
          <cell r="E5445">
            <v>46249</v>
          </cell>
          <cell r="F5445" t="str">
            <v>68301</v>
          </cell>
          <cell r="G5445" t="str">
            <v>汎銓一</v>
          </cell>
          <cell r="H5445">
            <v>100000</v>
          </cell>
          <cell r="I5445">
            <v>3</v>
          </cell>
          <cell r="J5445">
            <v>46249</v>
          </cell>
          <cell r="K5445">
            <v>100</v>
          </cell>
          <cell r="L5445">
            <v>46231</v>
          </cell>
          <cell r="M5445">
            <v>-592</v>
          </cell>
          <cell r="N5445">
            <v>99408</v>
          </cell>
        </row>
        <row r="5446">
          <cell r="A5446">
            <v>64145</v>
          </cell>
          <cell r="B5446">
            <v>5440</v>
          </cell>
          <cell r="C5446" t="str">
            <v>IASWD2503000063</v>
          </cell>
          <cell r="D5446">
            <v>45720</v>
          </cell>
          <cell r="E5446">
            <v>46250</v>
          </cell>
          <cell r="F5446" t="str">
            <v>64145</v>
          </cell>
          <cell r="G5446" t="str">
            <v>樺漢五</v>
          </cell>
          <cell r="H5446">
            <v>500000</v>
          </cell>
          <cell r="I5446">
            <v>3</v>
          </cell>
          <cell r="J5446">
            <v>46250</v>
          </cell>
          <cell r="K5446">
            <v>100</v>
          </cell>
          <cell r="L5446">
            <v>46231</v>
          </cell>
          <cell r="M5446">
            <v>-2959</v>
          </cell>
          <cell r="N5446">
            <v>497041</v>
          </cell>
        </row>
        <row r="5447">
          <cell r="A5447">
            <v>37022</v>
          </cell>
          <cell r="B5447">
            <v>5441</v>
          </cell>
          <cell r="C5447" t="str">
            <v>IASWD2503000064</v>
          </cell>
          <cell r="D5447">
            <v>45720</v>
          </cell>
          <cell r="E5447">
            <v>46702</v>
          </cell>
          <cell r="F5447" t="str">
            <v>37022</v>
          </cell>
          <cell r="G5447" t="str">
            <v>大聯大二</v>
          </cell>
          <cell r="H5447">
            <v>1000000</v>
          </cell>
          <cell r="I5447">
            <v>2.7</v>
          </cell>
          <cell r="J5447">
            <v>46702</v>
          </cell>
          <cell r="K5447">
            <v>100</v>
          </cell>
          <cell r="L5447">
            <v>46682</v>
          </cell>
          <cell r="M5447">
            <v>-5326</v>
          </cell>
          <cell r="N5447">
            <v>994674</v>
          </cell>
        </row>
        <row r="5448">
          <cell r="A5448">
            <v>37022</v>
          </cell>
          <cell r="B5448">
            <v>5442</v>
          </cell>
          <cell r="C5448" t="str">
            <v>IASWD2503000065</v>
          </cell>
          <cell r="D5448">
            <v>45720</v>
          </cell>
          <cell r="E5448">
            <v>46702</v>
          </cell>
          <cell r="F5448" t="str">
            <v>37022</v>
          </cell>
          <cell r="G5448" t="str">
            <v>大聯大二</v>
          </cell>
          <cell r="H5448">
            <v>300000</v>
          </cell>
          <cell r="I5448">
            <v>2.7</v>
          </cell>
          <cell r="J5448">
            <v>46702</v>
          </cell>
          <cell r="K5448">
            <v>100</v>
          </cell>
          <cell r="L5448">
            <v>46682</v>
          </cell>
          <cell r="M5448">
            <v>-1598</v>
          </cell>
          <cell r="N5448">
            <v>298402</v>
          </cell>
        </row>
        <row r="5449">
          <cell r="A5449">
            <v>84333</v>
          </cell>
          <cell r="B5449">
            <v>5443</v>
          </cell>
          <cell r="C5449" t="str">
            <v>IASWD2503000066</v>
          </cell>
          <cell r="D5449">
            <v>45720</v>
          </cell>
          <cell r="E5449">
            <v>46169</v>
          </cell>
          <cell r="F5449" t="str">
            <v>84333</v>
          </cell>
          <cell r="G5449" t="str">
            <v>弘帆三</v>
          </cell>
          <cell r="H5449">
            <v>500000</v>
          </cell>
          <cell r="I5449">
            <v>4</v>
          </cell>
          <cell r="J5449">
            <v>46169</v>
          </cell>
          <cell r="K5449">
            <v>100.5</v>
          </cell>
          <cell r="L5449">
            <v>46149</v>
          </cell>
          <cell r="M5449">
            <v>-3945</v>
          </cell>
          <cell r="N5449">
            <v>496055</v>
          </cell>
        </row>
        <row r="5450">
          <cell r="A5450">
            <v>64145</v>
          </cell>
          <cell r="B5450">
            <v>5444</v>
          </cell>
          <cell r="C5450" t="str">
            <v>IASWD2503000067</v>
          </cell>
          <cell r="D5450">
            <v>45720</v>
          </cell>
          <cell r="E5450">
            <v>46250</v>
          </cell>
          <cell r="F5450" t="str">
            <v>64145</v>
          </cell>
          <cell r="G5450" t="str">
            <v>樺漢五</v>
          </cell>
          <cell r="H5450">
            <v>2400000</v>
          </cell>
          <cell r="I5450">
            <v>3</v>
          </cell>
          <cell r="J5450">
            <v>46250</v>
          </cell>
          <cell r="K5450">
            <v>100</v>
          </cell>
          <cell r="L5450">
            <v>46231</v>
          </cell>
          <cell r="M5450">
            <v>-14203</v>
          </cell>
          <cell r="N5450">
            <v>2385797</v>
          </cell>
        </row>
        <row r="5451">
          <cell r="A5451">
            <v>61843</v>
          </cell>
          <cell r="B5451">
            <v>5445</v>
          </cell>
          <cell r="C5451" t="str">
            <v>IASWD2503000068</v>
          </cell>
          <cell r="D5451">
            <v>45720</v>
          </cell>
          <cell r="E5451">
            <v>46452</v>
          </cell>
          <cell r="F5451" t="str">
            <v>61843</v>
          </cell>
          <cell r="G5451" t="str">
            <v>大豐電三</v>
          </cell>
          <cell r="H5451">
            <v>200000</v>
          </cell>
          <cell r="I5451">
            <v>3.75</v>
          </cell>
          <cell r="J5451">
            <v>46452</v>
          </cell>
          <cell r="K5451">
            <v>101.50749999999999</v>
          </cell>
          <cell r="L5451">
            <v>46434</v>
          </cell>
          <cell r="M5451">
            <v>-1479</v>
          </cell>
          <cell r="N5451">
            <v>198521</v>
          </cell>
        </row>
        <row r="5452">
          <cell r="A5452">
            <v>61965</v>
          </cell>
          <cell r="B5452">
            <v>5446</v>
          </cell>
          <cell r="C5452" t="str">
            <v>IASWD2503000069</v>
          </cell>
          <cell r="D5452">
            <v>45720</v>
          </cell>
          <cell r="E5452">
            <v>46200</v>
          </cell>
          <cell r="F5452" t="str">
            <v>61965</v>
          </cell>
          <cell r="G5452" t="str">
            <v>帆宣五</v>
          </cell>
          <cell r="H5452">
            <v>100000</v>
          </cell>
          <cell r="I5452">
            <v>3</v>
          </cell>
          <cell r="J5452">
            <v>46200</v>
          </cell>
          <cell r="K5452">
            <v>100</v>
          </cell>
          <cell r="L5452">
            <v>46182</v>
          </cell>
          <cell r="M5452">
            <v>-592</v>
          </cell>
          <cell r="N5452">
            <v>99408</v>
          </cell>
        </row>
        <row r="5453">
          <cell r="A5453">
            <v>15364</v>
          </cell>
          <cell r="B5453">
            <v>5447</v>
          </cell>
          <cell r="C5453" t="str">
            <v>IASWD2503000070</v>
          </cell>
          <cell r="D5453">
            <v>45720</v>
          </cell>
          <cell r="E5453">
            <v>46246</v>
          </cell>
          <cell r="F5453" t="str">
            <v>15364</v>
          </cell>
          <cell r="G5453" t="str">
            <v>和大四</v>
          </cell>
          <cell r="H5453">
            <v>100000</v>
          </cell>
          <cell r="I5453">
            <v>3.75</v>
          </cell>
          <cell r="J5453">
            <v>46246</v>
          </cell>
          <cell r="K5453">
            <v>100</v>
          </cell>
          <cell r="L5453">
            <v>46226</v>
          </cell>
          <cell r="M5453">
            <v>-740</v>
          </cell>
          <cell r="N5453">
            <v>99260</v>
          </cell>
        </row>
        <row r="5454">
          <cell r="A5454">
            <v>84333</v>
          </cell>
          <cell r="B5454">
            <v>5448</v>
          </cell>
          <cell r="C5454" t="str">
            <v>IASWD2503000071</v>
          </cell>
          <cell r="D5454">
            <v>45720</v>
          </cell>
          <cell r="E5454">
            <v>46169</v>
          </cell>
          <cell r="F5454" t="str">
            <v>84333</v>
          </cell>
          <cell r="G5454" t="str">
            <v>弘帆三</v>
          </cell>
          <cell r="H5454">
            <v>100000</v>
          </cell>
          <cell r="I5454">
            <v>4</v>
          </cell>
          <cell r="J5454">
            <v>46169</v>
          </cell>
          <cell r="K5454">
            <v>100.5</v>
          </cell>
          <cell r="L5454">
            <v>46149</v>
          </cell>
          <cell r="M5454">
            <v>-789</v>
          </cell>
          <cell r="N5454">
            <v>99211</v>
          </cell>
        </row>
        <row r="5455">
          <cell r="A5455">
            <v>64145</v>
          </cell>
          <cell r="B5455">
            <v>5449</v>
          </cell>
          <cell r="C5455" t="str">
            <v>IASWD2503000072</v>
          </cell>
          <cell r="D5455">
            <v>45720</v>
          </cell>
          <cell r="E5455">
            <v>46250</v>
          </cell>
          <cell r="F5455" t="str">
            <v>64145</v>
          </cell>
          <cell r="G5455" t="str">
            <v>樺漢五</v>
          </cell>
          <cell r="H5455">
            <v>100000</v>
          </cell>
          <cell r="I5455">
            <v>3</v>
          </cell>
          <cell r="J5455">
            <v>46250</v>
          </cell>
          <cell r="K5455">
            <v>100</v>
          </cell>
          <cell r="L5455">
            <v>46231</v>
          </cell>
          <cell r="M5455">
            <v>-592</v>
          </cell>
          <cell r="N5455">
            <v>99408</v>
          </cell>
        </row>
        <row r="5456">
          <cell r="A5456">
            <v>64145</v>
          </cell>
          <cell r="B5456">
            <v>5450</v>
          </cell>
          <cell r="C5456" t="str">
            <v>IASWD2503000073</v>
          </cell>
          <cell r="D5456">
            <v>45720</v>
          </cell>
          <cell r="E5456">
            <v>46250</v>
          </cell>
          <cell r="F5456" t="str">
            <v>64145</v>
          </cell>
          <cell r="G5456" t="str">
            <v>樺漢五</v>
          </cell>
          <cell r="H5456">
            <v>100000</v>
          </cell>
          <cell r="I5456">
            <v>3</v>
          </cell>
          <cell r="J5456">
            <v>46250</v>
          </cell>
          <cell r="K5456">
            <v>100</v>
          </cell>
          <cell r="L5456">
            <v>46231</v>
          </cell>
          <cell r="M5456">
            <v>-592</v>
          </cell>
          <cell r="N5456">
            <v>99408</v>
          </cell>
        </row>
        <row r="5457">
          <cell r="A5457">
            <v>64145</v>
          </cell>
          <cell r="B5457">
            <v>5451</v>
          </cell>
          <cell r="C5457" t="str">
            <v>IASWD2503000074</v>
          </cell>
          <cell r="D5457">
            <v>45720</v>
          </cell>
          <cell r="E5457">
            <v>46250</v>
          </cell>
          <cell r="F5457" t="str">
            <v>64145</v>
          </cell>
          <cell r="G5457" t="str">
            <v>樺漢五</v>
          </cell>
          <cell r="H5457">
            <v>200000</v>
          </cell>
          <cell r="I5457">
            <v>3</v>
          </cell>
          <cell r="J5457">
            <v>46250</v>
          </cell>
          <cell r="K5457">
            <v>100</v>
          </cell>
          <cell r="L5457">
            <v>46231</v>
          </cell>
          <cell r="M5457">
            <v>-1184</v>
          </cell>
          <cell r="N5457">
            <v>198816</v>
          </cell>
        </row>
        <row r="5458">
          <cell r="A5458">
            <v>25484</v>
          </cell>
          <cell r="B5458">
            <v>5452</v>
          </cell>
          <cell r="C5458" t="str">
            <v>IASWD2503000075</v>
          </cell>
          <cell r="D5458">
            <v>45720</v>
          </cell>
          <cell r="E5458">
            <v>46678</v>
          </cell>
          <cell r="F5458" t="str">
            <v>25484</v>
          </cell>
          <cell r="G5458" t="str">
            <v>華固四</v>
          </cell>
          <cell r="H5458">
            <v>4000000</v>
          </cell>
          <cell r="I5458">
            <v>3</v>
          </cell>
          <cell r="J5458">
            <v>46678</v>
          </cell>
          <cell r="K5458">
            <v>100</v>
          </cell>
          <cell r="L5458">
            <v>46658</v>
          </cell>
          <cell r="M5458">
            <v>-23671</v>
          </cell>
          <cell r="N5458">
            <v>3976329</v>
          </cell>
        </row>
        <row r="5459">
          <cell r="A5459">
            <v>64145</v>
          </cell>
          <cell r="B5459">
            <v>5453</v>
          </cell>
          <cell r="C5459" t="str">
            <v>IASWD2503000076</v>
          </cell>
          <cell r="D5459">
            <v>45720</v>
          </cell>
          <cell r="E5459">
            <v>46250</v>
          </cell>
          <cell r="F5459" t="str">
            <v>64145</v>
          </cell>
          <cell r="G5459" t="str">
            <v>樺漢五</v>
          </cell>
          <cell r="H5459">
            <v>100000</v>
          </cell>
          <cell r="I5459">
            <v>3</v>
          </cell>
          <cell r="J5459">
            <v>46250</v>
          </cell>
          <cell r="K5459">
            <v>100</v>
          </cell>
          <cell r="L5459">
            <v>46231</v>
          </cell>
          <cell r="M5459">
            <v>-592</v>
          </cell>
          <cell r="N5459">
            <v>99408</v>
          </cell>
        </row>
        <row r="5460">
          <cell r="A5460">
            <v>64145</v>
          </cell>
          <cell r="B5460">
            <v>5454</v>
          </cell>
          <cell r="C5460" t="str">
            <v>IASWD2503000077</v>
          </cell>
          <cell r="D5460">
            <v>45720</v>
          </cell>
          <cell r="E5460">
            <v>46250</v>
          </cell>
          <cell r="F5460" t="str">
            <v>64145</v>
          </cell>
          <cell r="G5460" t="str">
            <v>樺漢五</v>
          </cell>
          <cell r="H5460">
            <v>200000</v>
          </cell>
          <cell r="I5460">
            <v>3</v>
          </cell>
          <cell r="J5460">
            <v>46250</v>
          </cell>
          <cell r="K5460">
            <v>100</v>
          </cell>
          <cell r="L5460">
            <v>46231</v>
          </cell>
          <cell r="M5460">
            <v>-1184</v>
          </cell>
          <cell r="N5460">
            <v>198816</v>
          </cell>
        </row>
        <row r="5461">
          <cell r="A5461">
            <v>64145</v>
          </cell>
          <cell r="B5461">
            <v>5455</v>
          </cell>
          <cell r="C5461" t="str">
            <v>IASWD2503000078</v>
          </cell>
          <cell r="D5461">
            <v>45720</v>
          </cell>
          <cell r="E5461">
            <v>46250</v>
          </cell>
          <cell r="F5461" t="str">
            <v>64145</v>
          </cell>
          <cell r="G5461" t="str">
            <v>樺漢五</v>
          </cell>
          <cell r="H5461">
            <v>200000</v>
          </cell>
          <cell r="I5461">
            <v>3</v>
          </cell>
          <cell r="J5461">
            <v>46250</v>
          </cell>
          <cell r="K5461">
            <v>100</v>
          </cell>
          <cell r="L5461">
            <v>46231</v>
          </cell>
          <cell r="M5461">
            <v>-1184</v>
          </cell>
          <cell r="N5461">
            <v>198816</v>
          </cell>
        </row>
        <row r="5462">
          <cell r="A5462">
            <v>37023</v>
          </cell>
          <cell r="B5462">
            <v>5456</v>
          </cell>
          <cell r="C5462" t="str">
            <v>IASWD2503000079</v>
          </cell>
          <cell r="D5462">
            <v>45720</v>
          </cell>
          <cell r="E5462">
            <v>46712</v>
          </cell>
          <cell r="F5462" t="str">
            <v>37023</v>
          </cell>
          <cell r="G5462" t="str">
            <v>大聯大三</v>
          </cell>
          <cell r="H5462">
            <v>200000</v>
          </cell>
          <cell r="I5462">
            <v>2.7</v>
          </cell>
          <cell r="J5462">
            <v>46712</v>
          </cell>
          <cell r="K5462">
            <v>100</v>
          </cell>
          <cell r="L5462">
            <v>46693</v>
          </cell>
          <cell r="M5462">
            <v>-1065</v>
          </cell>
          <cell r="N5462">
            <v>198935</v>
          </cell>
        </row>
        <row r="5463">
          <cell r="A5463">
            <v>61965</v>
          </cell>
          <cell r="B5463">
            <v>5457</v>
          </cell>
          <cell r="C5463" t="str">
            <v>IASWD2503000080</v>
          </cell>
          <cell r="D5463">
            <v>45720</v>
          </cell>
          <cell r="E5463">
            <v>46200</v>
          </cell>
          <cell r="F5463" t="str">
            <v>61965</v>
          </cell>
          <cell r="G5463" t="str">
            <v>帆宣五</v>
          </cell>
          <cell r="H5463">
            <v>100000</v>
          </cell>
          <cell r="I5463">
            <v>3</v>
          </cell>
          <cell r="J5463">
            <v>46200</v>
          </cell>
          <cell r="K5463">
            <v>100</v>
          </cell>
          <cell r="L5463">
            <v>46182</v>
          </cell>
          <cell r="M5463">
            <v>-592</v>
          </cell>
          <cell r="N5463">
            <v>99408</v>
          </cell>
        </row>
        <row r="5464">
          <cell r="A5464">
            <v>21043</v>
          </cell>
          <cell r="B5464">
            <v>5458</v>
          </cell>
          <cell r="C5464" t="str">
            <v>IASWD2503000081</v>
          </cell>
          <cell r="D5464">
            <v>45720</v>
          </cell>
          <cell r="E5464">
            <v>46308</v>
          </cell>
          <cell r="F5464" t="str">
            <v>21043</v>
          </cell>
          <cell r="G5464" t="str">
            <v>國際中橡三</v>
          </cell>
          <cell r="H5464">
            <v>900000</v>
          </cell>
          <cell r="I5464">
            <v>2.8</v>
          </cell>
          <cell r="J5464">
            <v>46308</v>
          </cell>
          <cell r="K5464">
            <v>100.9</v>
          </cell>
          <cell r="L5464">
            <v>46288</v>
          </cell>
          <cell r="M5464">
            <v>-4971</v>
          </cell>
          <cell r="N5464">
            <v>895029</v>
          </cell>
        </row>
        <row r="5465">
          <cell r="A5465">
            <v>26417</v>
          </cell>
          <cell r="B5465">
            <v>5459</v>
          </cell>
          <cell r="C5465" t="str">
            <v>IASWD2503000082</v>
          </cell>
          <cell r="D5465">
            <v>45720</v>
          </cell>
          <cell r="E5465">
            <v>46594</v>
          </cell>
          <cell r="F5465" t="str">
            <v>26417</v>
          </cell>
          <cell r="G5465" t="str">
            <v>正德七</v>
          </cell>
          <cell r="H5465">
            <v>100000</v>
          </cell>
          <cell r="I5465">
            <v>3.75</v>
          </cell>
          <cell r="J5465">
            <v>46594</v>
          </cell>
          <cell r="K5465">
            <v>100</v>
          </cell>
          <cell r="L5465">
            <v>46574</v>
          </cell>
          <cell r="M5465">
            <v>-740</v>
          </cell>
          <cell r="N5465">
            <v>99260</v>
          </cell>
        </row>
        <row r="5466">
          <cell r="A5466">
            <v>15364</v>
          </cell>
          <cell r="B5466">
            <v>5460</v>
          </cell>
          <cell r="C5466" t="str">
            <v>IASWD2503000083</v>
          </cell>
          <cell r="D5466">
            <v>45720</v>
          </cell>
          <cell r="E5466">
            <v>46246</v>
          </cell>
          <cell r="F5466" t="str">
            <v>15364</v>
          </cell>
          <cell r="G5466" t="str">
            <v>和大四</v>
          </cell>
          <cell r="H5466">
            <v>100000</v>
          </cell>
          <cell r="I5466">
            <v>3.75</v>
          </cell>
          <cell r="J5466">
            <v>46246</v>
          </cell>
          <cell r="K5466">
            <v>100</v>
          </cell>
          <cell r="L5466">
            <v>46226</v>
          </cell>
          <cell r="M5466">
            <v>-740</v>
          </cell>
          <cell r="N5466">
            <v>99260</v>
          </cell>
        </row>
        <row r="5467">
          <cell r="A5467">
            <v>49794</v>
          </cell>
          <cell r="B5467">
            <v>5461</v>
          </cell>
          <cell r="C5467" t="str">
            <v>IASWD2503000084</v>
          </cell>
          <cell r="D5467">
            <v>45720</v>
          </cell>
          <cell r="E5467">
            <v>46381</v>
          </cell>
          <cell r="F5467" t="str">
            <v>49794</v>
          </cell>
          <cell r="G5467" t="str">
            <v>華星光四</v>
          </cell>
          <cell r="H5467">
            <v>100000</v>
          </cell>
          <cell r="I5467">
            <v>4</v>
          </cell>
          <cell r="J5467">
            <v>46381</v>
          </cell>
          <cell r="K5467">
            <v>100</v>
          </cell>
          <cell r="L5467">
            <v>46363</v>
          </cell>
          <cell r="M5467">
            <v>-789</v>
          </cell>
          <cell r="N5467">
            <v>99211</v>
          </cell>
        </row>
        <row r="5468">
          <cell r="A5468">
            <v>15364</v>
          </cell>
          <cell r="B5468">
            <v>5462</v>
          </cell>
          <cell r="C5468" t="str">
            <v>IASWD2503000085</v>
          </cell>
          <cell r="D5468">
            <v>45720</v>
          </cell>
          <cell r="E5468">
            <v>46246</v>
          </cell>
          <cell r="F5468" t="str">
            <v>15364</v>
          </cell>
          <cell r="G5468" t="str">
            <v>和大四</v>
          </cell>
          <cell r="H5468">
            <v>200000</v>
          </cell>
          <cell r="I5468">
            <v>3.75</v>
          </cell>
          <cell r="J5468">
            <v>46246</v>
          </cell>
          <cell r="K5468">
            <v>100</v>
          </cell>
          <cell r="L5468">
            <v>46226</v>
          </cell>
          <cell r="M5468">
            <v>-1479</v>
          </cell>
          <cell r="N5468">
            <v>198521</v>
          </cell>
        </row>
        <row r="5469">
          <cell r="A5469">
            <v>25484</v>
          </cell>
          <cell r="B5469">
            <v>5463</v>
          </cell>
          <cell r="C5469" t="str">
            <v>IASWD2503000086</v>
          </cell>
          <cell r="D5469">
            <v>45720</v>
          </cell>
          <cell r="E5469">
            <v>46678</v>
          </cell>
          <cell r="F5469" t="str">
            <v>25484</v>
          </cell>
          <cell r="G5469" t="str">
            <v>華固四</v>
          </cell>
          <cell r="H5469">
            <v>1200000</v>
          </cell>
          <cell r="I5469">
            <v>3</v>
          </cell>
          <cell r="J5469">
            <v>46678</v>
          </cell>
          <cell r="K5469">
            <v>100</v>
          </cell>
          <cell r="L5469">
            <v>46658</v>
          </cell>
          <cell r="M5469">
            <v>-7101</v>
          </cell>
          <cell r="N5469">
            <v>1192899</v>
          </cell>
        </row>
        <row r="5470">
          <cell r="A5470">
            <v>37022</v>
          </cell>
          <cell r="B5470">
            <v>5464</v>
          </cell>
          <cell r="C5470" t="str">
            <v>IASWD2503000087</v>
          </cell>
          <cell r="D5470">
            <v>45720</v>
          </cell>
          <cell r="E5470">
            <v>46702</v>
          </cell>
          <cell r="F5470" t="str">
            <v>37022</v>
          </cell>
          <cell r="G5470" t="str">
            <v>大聯大二</v>
          </cell>
          <cell r="H5470">
            <v>100000</v>
          </cell>
          <cell r="I5470">
            <v>2.7</v>
          </cell>
          <cell r="J5470">
            <v>46702</v>
          </cell>
          <cell r="K5470">
            <v>100</v>
          </cell>
          <cell r="L5470">
            <v>46682</v>
          </cell>
          <cell r="M5470">
            <v>-533</v>
          </cell>
          <cell r="N5470">
            <v>99467</v>
          </cell>
        </row>
        <row r="5471">
          <cell r="A5471">
            <v>64145</v>
          </cell>
          <cell r="B5471">
            <v>5465</v>
          </cell>
          <cell r="C5471" t="str">
            <v>IASWD2503000088</v>
          </cell>
          <cell r="D5471">
            <v>45720</v>
          </cell>
          <cell r="E5471">
            <v>46250</v>
          </cell>
          <cell r="F5471" t="str">
            <v>64145</v>
          </cell>
          <cell r="G5471" t="str">
            <v>樺漢五</v>
          </cell>
          <cell r="H5471">
            <v>200000</v>
          </cell>
          <cell r="I5471">
            <v>3</v>
          </cell>
          <cell r="J5471">
            <v>46250</v>
          </cell>
          <cell r="K5471">
            <v>100</v>
          </cell>
          <cell r="L5471">
            <v>46231</v>
          </cell>
          <cell r="M5471">
            <v>-1184</v>
          </cell>
          <cell r="N5471">
            <v>198816</v>
          </cell>
        </row>
        <row r="5472">
          <cell r="A5472">
            <v>24361</v>
          </cell>
          <cell r="B5472">
            <v>5466</v>
          </cell>
          <cell r="C5472" t="str">
            <v>IASWD2503000089</v>
          </cell>
          <cell r="D5472">
            <v>45720</v>
          </cell>
          <cell r="E5472">
            <v>45911</v>
          </cell>
          <cell r="F5472" t="str">
            <v>24361</v>
          </cell>
          <cell r="G5472" t="str">
            <v>偉詮電一</v>
          </cell>
          <cell r="H5472">
            <v>100000</v>
          </cell>
          <cell r="I5472">
            <v>3.75</v>
          </cell>
          <cell r="J5472">
            <v>45911</v>
          </cell>
          <cell r="K5472">
            <v>100.50060000000001</v>
          </cell>
          <cell r="L5472">
            <v>45891</v>
          </cell>
          <cell r="M5472">
            <v>-740</v>
          </cell>
          <cell r="N5472">
            <v>99260</v>
          </cell>
        </row>
        <row r="5473">
          <cell r="A5473">
            <v>64145</v>
          </cell>
          <cell r="B5473">
            <v>5467</v>
          </cell>
          <cell r="C5473" t="str">
            <v>IASWD2503000090</v>
          </cell>
          <cell r="D5473">
            <v>45720</v>
          </cell>
          <cell r="E5473">
            <v>46250</v>
          </cell>
          <cell r="F5473" t="str">
            <v>64145</v>
          </cell>
          <cell r="G5473" t="str">
            <v>樺漢五</v>
          </cell>
          <cell r="H5473">
            <v>300000</v>
          </cell>
          <cell r="I5473">
            <v>3</v>
          </cell>
          <cell r="J5473">
            <v>46250</v>
          </cell>
          <cell r="K5473">
            <v>100</v>
          </cell>
          <cell r="L5473">
            <v>46231</v>
          </cell>
          <cell r="M5473">
            <v>-1775</v>
          </cell>
          <cell r="N5473">
            <v>298225</v>
          </cell>
        </row>
        <row r="5474">
          <cell r="A5474">
            <v>24361</v>
          </cell>
          <cell r="B5474">
            <v>5468</v>
          </cell>
          <cell r="C5474" t="str">
            <v>IASWD2503000091</v>
          </cell>
          <cell r="D5474">
            <v>45720</v>
          </cell>
          <cell r="E5474">
            <v>45911</v>
          </cell>
          <cell r="F5474" t="str">
            <v>24361</v>
          </cell>
          <cell r="G5474" t="str">
            <v>偉詮電一</v>
          </cell>
          <cell r="H5474">
            <v>100000</v>
          </cell>
          <cell r="I5474">
            <v>3.75</v>
          </cell>
          <cell r="J5474">
            <v>45911</v>
          </cell>
          <cell r="K5474">
            <v>100.50060000000001</v>
          </cell>
          <cell r="L5474">
            <v>45891</v>
          </cell>
          <cell r="M5474">
            <v>-740</v>
          </cell>
          <cell r="N5474">
            <v>99260</v>
          </cell>
        </row>
        <row r="5475">
          <cell r="A5475">
            <v>15364</v>
          </cell>
          <cell r="B5475">
            <v>5469</v>
          </cell>
          <cell r="C5475" t="str">
            <v>IASWD2503000092</v>
          </cell>
          <cell r="D5475">
            <v>45720</v>
          </cell>
          <cell r="E5475">
            <v>46246</v>
          </cell>
          <cell r="F5475" t="str">
            <v>15364</v>
          </cell>
          <cell r="G5475" t="str">
            <v>和大四</v>
          </cell>
          <cell r="H5475">
            <v>100000</v>
          </cell>
          <cell r="I5475">
            <v>3.75</v>
          </cell>
          <cell r="J5475">
            <v>46246</v>
          </cell>
          <cell r="K5475">
            <v>100</v>
          </cell>
          <cell r="L5475">
            <v>46226</v>
          </cell>
          <cell r="M5475">
            <v>-740</v>
          </cell>
          <cell r="N5475">
            <v>99260</v>
          </cell>
        </row>
        <row r="5476">
          <cell r="A5476">
            <v>25484</v>
          </cell>
          <cell r="B5476">
            <v>5470</v>
          </cell>
          <cell r="C5476" t="str">
            <v>IASWD2503000093</v>
          </cell>
          <cell r="D5476">
            <v>45720</v>
          </cell>
          <cell r="E5476">
            <v>46678</v>
          </cell>
          <cell r="F5476" t="str">
            <v>25484</v>
          </cell>
          <cell r="G5476" t="str">
            <v>華固四</v>
          </cell>
          <cell r="H5476">
            <v>3500000</v>
          </cell>
          <cell r="I5476">
            <v>3</v>
          </cell>
          <cell r="J5476">
            <v>46678</v>
          </cell>
          <cell r="K5476">
            <v>100</v>
          </cell>
          <cell r="L5476">
            <v>46658</v>
          </cell>
          <cell r="M5476">
            <v>-20712</v>
          </cell>
          <cell r="N5476">
            <v>3479288</v>
          </cell>
        </row>
        <row r="5477">
          <cell r="A5477">
            <v>61965</v>
          </cell>
          <cell r="B5477">
            <v>5471</v>
          </cell>
          <cell r="C5477" t="str">
            <v>IASWD2503000094</v>
          </cell>
          <cell r="D5477">
            <v>45720</v>
          </cell>
          <cell r="E5477">
            <v>46200</v>
          </cell>
          <cell r="F5477" t="str">
            <v>61965</v>
          </cell>
          <cell r="G5477" t="str">
            <v>帆宣五</v>
          </cell>
          <cell r="H5477">
            <v>100000</v>
          </cell>
          <cell r="I5477">
            <v>3</v>
          </cell>
          <cell r="J5477">
            <v>46200</v>
          </cell>
          <cell r="K5477">
            <v>100</v>
          </cell>
          <cell r="L5477">
            <v>46182</v>
          </cell>
          <cell r="M5477">
            <v>-592</v>
          </cell>
          <cell r="N5477">
            <v>99408</v>
          </cell>
        </row>
        <row r="5478">
          <cell r="A5478">
            <v>26417</v>
          </cell>
          <cell r="B5478">
            <v>5472</v>
          </cell>
          <cell r="C5478" t="str">
            <v>IASWD2503000095</v>
          </cell>
          <cell r="D5478">
            <v>45720</v>
          </cell>
          <cell r="E5478">
            <v>46594</v>
          </cell>
          <cell r="F5478" t="str">
            <v>26417</v>
          </cell>
          <cell r="G5478" t="str">
            <v>正德七</v>
          </cell>
          <cell r="H5478">
            <v>100000</v>
          </cell>
          <cell r="I5478">
            <v>3.75</v>
          </cell>
          <cell r="J5478">
            <v>46594</v>
          </cell>
          <cell r="K5478">
            <v>100</v>
          </cell>
          <cell r="L5478">
            <v>46574</v>
          </cell>
          <cell r="M5478">
            <v>-740</v>
          </cell>
          <cell r="N5478">
            <v>99260</v>
          </cell>
        </row>
        <row r="5479">
          <cell r="A5479">
            <v>37022</v>
          </cell>
          <cell r="B5479">
            <v>5473</v>
          </cell>
          <cell r="C5479" t="str">
            <v>IASWD2503000096</v>
          </cell>
          <cell r="D5479">
            <v>45720</v>
          </cell>
          <cell r="E5479">
            <v>46702</v>
          </cell>
          <cell r="F5479" t="str">
            <v>37022</v>
          </cell>
          <cell r="G5479" t="str">
            <v>大聯大二</v>
          </cell>
          <cell r="H5479">
            <v>300000</v>
          </cell>
          <cell r="I5479">
            <v>2.7</v>
          </cell>
          <cell r="J5479">
            <v>46702</v>
          </cell>
          <cell r="K5479">
            <v>100</v>
          </cell>
          <cell r="L5479">
            <v>46682</v>
          </cell>
          <cell r="M5479">
            <v>-1598</v>
          </cell>
          <cell r="N5479">
            <v>298402</v>
          </cell>
        </row>
        <row r="5480">
          <cell r="A5480">
            <v>61965</v>
          </cell>
          <cell r="B5480">
            <v>5474</v>
          </cell>
          <cell r="C5480" t="str">
            <v>IASWD2503000097</v>
          </cell>
          <cell r="D5480">
            <v>45720</v>
          </cell>
          <cell r="E5480">
            <v>46200</v>
          </cell>
          <cell r="F5480" t="str">
            <v>61965</v>
          </cell>
          <cell r="G5480" t="str">
            <v>帆宣五</v>
          </cell>
          <cell r="H5480">
            <v>100000</v>
          </cell>
          <cell r="I5480">
            <v>3</v>
          </cell>
          <cell r="J5480">
            <v>46200</v>
          </cell>
          <cell r="K5480">
            <v>100</v>
          </cell>
          <cell r="L5480">
            <v>46182</v>
          </cell>
          <cell r="M5480">
            <v>-592</v>
          </cell>
          <cell r="N5480">
            <v>99408</v>
          </cell>
        </row>
        <row r="5481">
          <cell r="A5481">
            <v>64421</v>
          </cell>
          <cell r="B5481">
            <v>5475</v>
          </cell>
          <cell r="C5481" t="str">
            <v>IASWD2503000098</v>
          </cell>
          <cell r="D5481">
            <v>45721</v>
          </cell>
          <cell r="E5481">
            <v>46337</v>
          </cell>
          <cell r="F5481" t="str">
            <v>64421</v>
          </cell>
          <cell r="G5481" t="str">
            <v>光聖一</v>
          </cell>
          <cell r="H5481">
            <v>300000</v>
          </cell>
          <cell r="I5481">
            <v>3.75</v>
          </cell>
          <cell r="J5481">
            <v>46337</v>
          </cell>
          <cell r="K5481">
            <v>100</v>
          </cell>
          <cell r="L5481">
            <v>46317</v>
          </cell>
          <cell r="M5481">
            <v>-2188</v>
          </cell>
          <cell r="N5481">
            <v>297812</v>
          </cell>
        </row>
        <row r="5482">
          <cell r="A5482">
            <v>84333</v>
          </cell>
          <cell r="B5482">
            <v>5476</v>
          </cell>
          <cell r="C5482" t="str">
            <v>IASWD2503000099</v>
          </cell>
          <cell r="D5482">
            <v>45721</v>
          </cell>
          <cell r="E5482">
            <v>46169</v>
          </cell>
          <cell r="F5482" t="str">
            <v>84333</v>
          </cell>
          <cell r="G5482" t="str">
            <v>弘帆三</v>
          </cell>
          <cell r="H5482">
            <v>100000</v>
          </cell>
          <cell r="I5482">
            <v>4</v>
          </cell>
          <cell r="J5482">
            <v>46169</v>
          </cell>
          <cell r="K5482">
            <v>100.5</v>
          </cell>
          <cell r="L5482">
            <v>46149</v>
          </cell>
          <cell r="M5482">
            <v>-778</v>
          </cell>
          <cell r="N5482">
            <v>99222</v>
          </cell>
        </row>
        <row r="5483">
          <cell r="A5483">
            <v>25484</v>
          </cell>
          <cell r="B5483">
            <v>5477</v>
          </cell>
          <cell r="C5483" t="str">
            <v>IASWD2503000100</v>
          </cell>
          <cell r="D5483">
            <v>45721</v>
          </cell>
          <cell r="E5483">
            <v>46678</v>
          </cell>
          <cell r="F5483" t="str">
            <v>25484</v>
          </cell>
          <cell r="G5483" t="str">
            <v>華固四</v>
          </cell>
          <cell r="H5483">
            <v>5500000</v>
          </cell>
          <cell r="I5483">
            <v>3</v>
          </cell>
          <cell r="J5483">
            <v>46678</v>
          </cell>
          <cell r="K5483">
            <v>100</v>
          </cell>
          <cell r="L5483">
            <v>46658</v>
          </cell>
          <cell r="M5483">
            <v>-32096</v>
          </cell>
          <cell r="N5483">
            <v>5467904</v>
          </cell>
        </row>
        <row r="5484">
          <cell r="A5484">
            <v>33121</v>
          </cell>
          <cell r="B5484">
            <v>5478</v>
          </cell>
          <cell r="C5484" t="str">
            <v>IASWD2503000101</v>
          </cell>
          <cell r="D5484">
            <v>45721</v>
          </cell>
          <cell r="E5484">
            <v>46563</v>
          </cell>
          <cell r="F5484" t="str">
            <v>33121</v>
          </cell>
          <cell r="G5484" t="str">
            <v>弘憶股一</v>
          </cell>
          <cell r="H5484">
            <v>100000</v>
          </cell>
          <cell r="I5484">
            <v>3.35</v>
          </cell>
          <cell r="J5484">
            <v>46563</v>
          </cell>
          <cell r="K5484">
            <v>100</v>
          </cell>
          <cell r="L5484">
            <v>46545</v>
          </cell>
          <cell r="M5484">
            <v>-652</v>
          </cell>
          <cell r="N5484">
            <v>99348</v>
          </cell>
        </row>
        <row r="5485">
          <cell r="A5485">
            <v>15142</v>
          </cell>
          <cell r="B5485">
            <v>5479</v>
          </cell>
          <cell r="C5485" t="str">
            <v>IASWD2503000102</v>
          </cell>
          <cell r="D5485">
            <v>45721</v>
          </cell>
          <cell r="E5485">
            <v>46765</v>
          </cell>
          <cell r="F5485" t="str">
            <v>15142</v>
          </cell>
          <cell r="G5485" t="str">
            <v>亞力二</v>
          </cell>
          <cell r="H5485">
            <v>1000000</v>
          </cell>
          <cell r="I5485">
            <v>3.5</v>
          </cell>
          <cell r="J5485">
            <v>46765</v>
          </cell>
          <cell r="K5485">
            <v>100.75190000000001</v>
          </cell>
          <cell r="L5485">
            <v>46745</v>
          </cell>
          <cell r="M5485">
            <v>-6808</v>
          </cell>
          <cell r="N5485">
            <v>993192</v>
          </cell>
        </row>
        <row r="5486">
          <cell r="A5486">
            <v>15364</v>
          </cell>
          <cell r="B5486">
            <v>5480</v>
          </cell>
          <cell r="C5486" t="str">
            <v>IASWD2503000103</v>
          </cell>
          <cell r="D5486">
            <v>45721</v>
          </cell>
          <cell r="E5486">
            <v>46246</v>
          </cell>
          <cell r="F5486" t="str">
            <v>15364</v>
          </cell>
          <cell r="G5486" t="str">
            <v>和大四</v>
          </cell>
          <cell r="H5486">
            <v>100000</v>
          </cell>
          <cell r="I5486">
            <v>3.75</v>
          </cell>
          <cell r="J5486">
            <v>46246</v>
          </cell>
          <cell r="K5486">
            <v>100</v>
          </cell>
          <cell r="L5486">
            <v>46226</v>
          </cell>
          <cell r="M5486">
            <v>-729</v>
          </cell>
          <cell r="N5486">
            <v>99271</v>
          </cell>
        </row>
        <row r="5487">
          <cell r="A5487">
            <v>15142</v>
          </cell>
          <cell r="B5487">
            <v>5481</v>
          </cell>
          <cell r="C5487" t="str">
            <v>IASWD2503000104</v>
          </cell>
          <cell r="D5487">
            <v>45721</v>
          </cell>
          <cell r="E5487">
            <v>46765</v>
          </cell>
          <cell r="F5487" t="str">
            <v>15142</v>
          </cell>
          <cell r="G5487" t="str">
            <v>亞力二</v>
          </cell>
          <cell r="H5487">
            <v>100000</v>
          </cell>
          <cell r="I5487">
            <v>3.5</v>
          </cell>
          <cell r="J5487">
            <v>46765</v>
          </cell>
          <cell r="K5487">
            <v>100.75190000000001</v>
          </cell>
          <cell r="L5487">
            <v>46745</v>
          </cell>
          <cell r="M5487">
            <v>-681</v>
          </cell>
          <cell r="N5487">
            <v>99319</v>
          </cell>
        </row>
        <row r="5488">
          <cell r="A5488">
            <v>25484</v>
          </cell>
          <cell r="B5488">
            <v>5482</v>
          </cell>
          <cell r="C5488" t="str">
            <v>IASWD2503000105</v>
          </cell>
          <cell r="D5488">
            <v>45721</v>
          </cell>
          <cell r="E5488">
            <v>46678</v>
          </cell>
          <cell r="F5488" t="str">
            <v>25484</v>
          </cell>
          <cell r="G5488" t="str">
            <v>華固四</v>
          </cell>
          <cell r="H5488">
            <v>1800000</v>
          </cell>
          <cell r="I5488">
            <v>3</v>
          </cell>
          <cell r="J5488">
            <v>46678</v>
          </cell>
          <cell r="K5488">
            <v>100</v>
          </cell>
          <cell r="L5488">
            <v>46658</v>
          </cell>
          <cell r="M5488">
            <v>-10504</v>
          </cell>
          <cell r="N5488">
            <v>1789496</v>
          </cell>
        </row>
        <row r="5489">
          <cell r="A5489">
            <v>15364</v>
          </cell>
          <cell r="B5489">
            <v>5483</v>
          </cell>
          <cell r="C5489" t="str">
            <v>IASWD2503000106</v>
          </cell>
          <cell r="D5489">
            <v>45721</v>
          </cell>
          <cell r="E5489">
            <v>46246</v>
          </cell>
          <cell r="F5489" t="str">
            <v>15364</v>
          </cell>
          <cell r="G5489" t="str">
            <v>和大四</v>
          </cell>
          <cell r="H5489">
            <v>100000</v>
          </cell>
          <cell r="I5489">
            <v>3.75</v>
          </cell>
          <cell r="J5489">
            <v>46246</v>
          </cell>
          <cell r="K5489">
            <v>100</v>
          </cell>
          <cell r="L5489">
            <v>46226</v>
          </cell>
          <cell r="M5489">
            <v>-729</v>
          </cell>
          <cell r="N5489">
            <v>99271</v>
          </cell>
        </row>
        <row r="5490">
          <cell r="A5490">
            <v>33902</v>
          </cell>
          <cell r="B5490">
            <v>5484</v>
          </cell>
          <cell r="C5490" t="str">
            <v>IASWD2503000107</v>
          </cell>
          <cell r="D5490">
            <v>45721</v>
          </cell>
          <cell r="E5490">
            <v>46804</v>
          </cell>
          <cell r="F5490" t="str">
            <v>33902</v>
          </cell>
          <cell r="G5490" t="str">
            <v>旭軟二</v>
          </cell>
          <cell r="H5490">
            <v>500000</v>
          </cell>
          <cell r="I5490">
            <v>2.2999999999999998</v>
          </cell>
          <cell r="J5490">
            <v>46804</v>
          </cell>
          <cell r="K5490">
            <v>100</v>
          </cell>
          <cell r="L5490">
            <v>46784</v>
          </cell>
          <cell r="M5490">
            <v>-2237</v>
          </cell>
          <cell r="N5490">
            <v>497763</v>
          </cell>
        </row>
        <row r="5491">
          <cell r="A5491">
            <v>64145</v>
          </cell>
          <cell r="B5491">
            <v>5485</v>
          </cell>
          <cell r="C5491" t="str">
            <v>IASWD2503000109</v>
          </cell>
          <cell r="D5491">
            <v>45721</v>
          </cell>
          <cell r="E5491">
            <v>46250</v>
          </cell>
          <cell r="F5491" t="str">
            <v>64145</v>
          </cell>
          <cell r="G5491" t="str">
            <v>樺漢五</v>
          </cell>
          <cell r="H5491">
            <v>100000</v>
          </cell>
          <cell r="I5491">
            <v>3</v>
          </cell>
          <cell r="J5491">
            <v>46250</v>
          </cell>
          <cell r="K5491">
            <v>100</v>
          </cell>
          <cell r="L5491">
            <v>46231</v>
          </cell>
          <cell r="M5491">
            <v>-584</v>
          </cell>
          <cell r="N5491">
            <v>99416</v>
          </cell>
        </row>
        <row r="5492">
          <cell r="A5492">
            <v>61875</v>
          </cell>
          <cell r="B5492">
            <v>5486</v>
          </cell>
          <cell r="C5492" t="str">
            <v>IASWD2503000110</v>
          </cell>
          <cell r="D5492">
            <v>45721</v>
          </cell>
          <cell r="E5492">
            <v>46578</v>
          </cell>
          <cell r="F5492" t="str">
            <v>61875</v>
          </cell>
          <cell r="G5492" t="str">
            <v>萬潤五</v>
          </cell>
          <cell r="H5492">
            <v>500000</v>
          </cell>
          <cell r="I5492">
            <v>3</v>
          </cell>
          <cell r="J5492">
            <v>46578</v>
          </cell>
          <cell r="K5492">
            <v>100</v>
          </cell>
          <cell r="L5492">
            <v>46560</v>
          </cell>
          <cell r="M5492">
            <v>-2918</v>
          </cell>
          <cell r="N5492">
            <v>497082</v>
          </cell>
        </row>
        <row r="5493">
          <cell r="A5493">
            <v>61965</v>
          </cell>
          <cell r="B5493">
            <v>5487</v>
          </cell>
          <cell r="C5493" t="str">
            <v>IASWD2503000111</v>
          </cell>
          <cell r="D5493">
            <v>45721</v>
          </cell>
          <cell r="E5493">
            <v>46200</v>
          </cell>
          <cell r="F5493" t="str">
            <v>61965</v>
          </cell>
          <cell r="G5493" t="str">
            <v>帆宣五</v>
          </cell>
          <cell r="H5493">
            <v>200000</v>
          </cell>
          <cell r="I5493">
            <v>3</v>
          </cell>
          <cell r="J5493">
            <v>46200</v>
          </cell>
          <cell r="K5493">
            <v>100</v>
          </cell>
          <cell r="L5493">
            <v>46182</v>
          </cell>
          <cell r="M5493">
            <v>-1167</v>
          </cell>
          <cell r="N5493">
            <v>198833</v>
          </cell>
        </row>
        <row r="5494">
          <cell r="A5494">
            <v>64145</v>
          </cell>
          <cell r="B5494">
            <v>5488</v>
          </cell>
          <cell r="C5494" t="str">
            <v>IASWD2503000112</v>
          </cell>
          <cell r="D5494">
            <v>45721</v>
          </cell>
          <cell r="E5494">
            <v>46250</v>
          </cell>
          <cell r="F5494" t="str">
            <v>64145</v>
          </cell>
          <cell r="G5494" t="str">
            <v>樺漢五</v>
          </cell>
          <cell r="H5494">
            <v>200000</v>
          </cell>
          <cell r="I5494">
            <v>3</v>
          </cell>
          <cell r="J5494">
            <v>46250</v>
          </cell>
          <cell r="K5494">
            <v>100</v>
          </cell>
          <cell r="L5494">
            <v>46231</v>
          </cell>
          <cell r="M5494">
            <v>-1167</v>
          </cell>
          <cell r="N5494">
            <v>198833</v>
          </cell>
        </row>
        <row r="5495">
          <cell r="A5495">
            <v>64145</v>
          </cell>
          <cell r="B5495">
            <v>5489</v>
          </cell>
          <cell r="C5495" t="str">
            <v>IASWD2503000113</v>
          </cell>
          <cell r="D5495">
            <v>45721</v>
          </cell>
          <cell r="E5495">
            <v>46250</v>
          </cell>
          <cell r="F5495" t="str">
            <v>64145</v>
          </cell>
          <cell r="G5495" t="str">
            <v>樺漢五</v>
          </cell>
          <cell r="H5495">
            <v>100000</v>
          </cell>
          <cell r="I5495">
            <v>3</v>
          </cell>
          <cell r="J5495">
            <v>46250</v>
          </cell>
          <cell r="K5495">
            <v>100</v>
          </cell>
          <cell r="L5495">
            <v>46231</v>
          </cell>
          <cell r="M5495">
            <v>-584</v>
          </cell>
          <cell r="N5495">
            <v>99416</v>
          </cell>
        </row>
        <row r="5496">
          <cell r="A5496">
            <v>61965</v>
          </cell>
          <cell r="B5496">
            <v>5490</v>
          </cell>
          <cell r="C5496" t="str">
            <v>IASWD2503000114</v>
          </cell>
          <cell r="D5496">
            <v>45721</v>
          </cell>
          <cell r="E5496">
            <v>46200</v>
          </cell>
          <cell r="F5496" t="str">
            <v>61965</v>
          </cell>
          <cell r="G5496" t="str">
            <v>帆宣五</v>
          </cell>
          <cell r="H5496">
            <v>400000</v>
          </cell>
          <cell r="I5496">
            <v>3</v>
          </cell>
          <cell r="J5496">
            <v>46200</v>
          </cell>
          <cell r="K5496">
            <v>100</v>
          </cell>
          <cell r="L5496">
            <v>46182</v>
          </cell>
          <cell r="M5496">
            <v>-2334</v>
          </cell>
          <cell r="N5496">
            <v>397666</v>
          </cell>
        </row>
        <row r="5497">
          <cell r="A5497">
            <v>64421</v>
          </cell>
          <cell r="B5497">
            <v>5491</v>
          </cell>
          <cell r="C5497" t="str">
            <v>IASWD2503000115</v>
          </cell>
          <cell r="D5497">
            <v>45721</v>
          </cell>
          <cell r="E5497">
            <v>46337</v>
          </cell>
          <cell r="F5497" t="str">
            <v>64421</v>
          </cell>
          <cell r="G5497" t="str">
            <v>光聖一</v>
          </cell>
          <cell r="H5497">
            <v>300000</v>
          </cell>
          <cell r="I5497">
            <v>3.75</v>
          </cell>
          <cell r="J5497">
            <v>46337</v>
          </cell>
          <cell r="K5497">
            <v>100</v>
          </cell>
          <cell r="L5497">
            <v>46317</v>
          </cell>
          <cell r="M5497">
            <v>-2188</v>
          </cell>
          <cell r="N5497">
            <v>297812</v>
          </cell>
        </row>
        <row r="5498">
          <cell r="A5498">
            <v>25484</v>
          </cell>
          <cell r="B5498">
            <v>5492</v>
          </cell>
          <cell r="C5498" t="str">
            <v>IASWD2503000116</v>
          </cell>
          <cell r="D5498">
            <v>45721</v>
          </cell>
          <cell r="E5498">
            <v>46678</v>
          </cell>
          <cell r="F5498" t="str">
            <v>25484</v>
          </cell>
          <cell r="G5498" t="str">
            <v>華固四</v>
          </cell>
          <cell r="H5498">
            <v>5500000</v>
          </cell>
          <cell r="I5498">
            <v>3</v>
          </cell>
          <cell r="J5498">
            <v>46678</v>
          </cell>
          <cell r="K5498">
            <v>100</v>
          </cell>
          <cell r="L5498">
            <v>46658</v>
          </cell>
          <cell r="M5498">
            <v>-32096</v>
          </cell>
          <cell r="N5498">
            <v>5467904</v>
          </cell>
        </row>
        <row r="5499">
          <cell r="A5499">
            <v>15364</v>
          </cell>
          <cell r="B5499">
            <v>5493</v>
          </cell>
          <cell r="C5499" t="str">
            <v>IASWD2503000117</v>
          </cell>
          <cell r="D5499">
            <v>45721</v>
          </cell>
          <cell r="E5499">
            <v>46246</v>
          </cell>
          <cell r="F5499" t="str">
            <v>15364</v>
          </cell>
          <cell r="G5499" t="str">
            <v>和大四</v>
          </cell>
          <cell r="H5499">
            <v>100000</v>
          </cell>
          <cell r="I5499">
            <v>3.75</v>
          </cell>
          <cell r="J5499">
            <v>46246</v>
          </cell>
          <cell r="K5499">
            <v>100</v>
          </cell>
          <cell r="L5499">
            <v>46226</v>
          </cell>
          <cell r="M5499">
            <v>-729</v>
          </cell>
          <cell r="N5499">
            <v>99271</v>
          </cell>
        </row>
        <row r="5500">
          <cell r="A5500">
            <v>15142</v>
          </cell>
          <cell r="B5500">
            <v>5494</v>
          </cell>
          <cell r="C5500" t="str">
            <v>IASWD2503000118</v>
          </cell>
          <cell r="D5500">
            <v>45721</v>
          </cell>
          <cell r="E5500">
            <v>46765</v>
          </cell>
          <cell r="F5500" t="str">
            <v>15142</v>
          </cell>
          <cell r="G5500" t="str">
            <v>亞力二</v>
          </cell>
          <cell r="H5500">
            <v>400000</v>
          </cell>
          <cell r="I5500">
            <v>3.5</v>
          </cell>
          <cell r="J5500">
            <v>46765</v>
          </cell>
          <cell r="K5500">
            <v>100.75190000000001</v>
          </cell>
          <cell r="L5500">
            <v>46745</v>
          </cell>
          <cell r="M5500">
            <v>-2723</v>
          </cell>
          <cell r="N5500">
            <v>397277</v>
          </cell>
        </row>
        <row r="5501">
          <cell r="A5501">
            <v>61965</v>
          </cell>
          <cell r="B5501">
            <v>5495</v>
          </cell>
          <cell r="C5501" t="str">
            <v>IASWD2503000119</v>
          </cell>
          <cell r="D5501">
            <v>45721</v>
          </cell>
          <cell r="E5501">
            <v>46200</v>
          </cell>
          <cell r="F5501" t="str">
            <v>61965</v>
          </cell>
          <cell r="G5501" t="str">
            <v>帆宣五</v>
          </cell>
          <cell r="H5501">
            <v>100000</v>
          </cell>
          <cell r="I5501">
            <v>3</v>
          </cell>
          <cell r="J5501">
            <v>46200</v>
          </cell>
          <cell r="K5501">
            <v>100</v>
          </cell>
          <cell r="L5501">
            <v>46182</v>
          </cell>
          <cell r="M5501">
            <v>-584</v>
          </cell>
          <cell r="N5501">
            <v>99416</v>
          </cell>
        </row>
        <row r="5502">
          <cell r="A5502">
            <v>33121</v>
          </cell>
          <cell r="B5502">
            <v>5496</v>
          </cell>
          <cell r="C5502" t="str">
            <v>IASWD2503000120</v>
          </cell>
          <cell r="D5502">
            <v>45721</v>
          </cell>
          <cell r="E5502">
            <v>46563</v>
          </cell>
          <cell r="F5502" t="str">
            <v>33121</v>
          </cell>
          <cell r="G5502" t="str">
            <v>弘憶股一</v>
          </cell>
          <cell r="H5502">
            <v>200000</v>
          </cell>
          <cell r="I5502">
            <v>3.35</v>
          </cell>
          <cell r="J5502">
            <v>46563</v>
          </cell>
          <cell r="K5502">
            <v>100</v>
          </cell>
          <cell r="L5502">
            <v>46545</v>
          </cell>
          <cell r="M5502">
            <v>-1303</v>
          </cell>
          <cell r="N5502">
            <v>198697</v>
          </cell>
        </row>
        <row r="5503">
          <cell r="A5503">
            <v>25483</v>
          </cell>
          <cell r="B5503">
            <v>5497</v>
          </cell>
          <cell r="C5503" t="str">
            <v>IASWD2503000121</v>
          </cell>
          <cell r="D5503">
            <v>45721</v>
          </cell>
          <cell r="E5503">
            <v>46662</v>
          </cell>
          <cell r="F5503" t="str">
            <v>25483</v>
          </cell>
          <cell r="G5503" t="str">
            <v>華固三</v>
          </cell>
          <cell r="H5503">
            <v>200000</v>
          </cell>
          <cell r="I5503">
            <v>3</v>
          </cell>
          <cell r="J5503">
            <v>46662</v>
          </cell>
          <cell r="K5503">
            <v>100</v>
          </cell>
          <cell r="L5503">
            <v>46644</v>
          </cell>
          <cell r="M5503">
            <v>-1167</v>
          </cell>
          <cell r="N5503">
            <v>198833</v>
          </cell>
        </row>
        <row r="5504">
          <cell r="A5504">
            <v>33121</v>
          </cell>
          <cell r="B5504">
            <v>5498</v>
          </cell>
          <cell r="C5504" t="str">
            <v>IASWD2503000122</v>
          </cell>
          <cell r="D5504">
            <v>45721</v>
          </cell>
          <cell r="E5504">
            <v>46563</v>
          </cell>
          <cell r="F5504" t="str">
            <v>33121</v>
          </cell>
          <cell r="G5504" t="str">
            <v>弘憶股一</v>
          </cell>
          <cell r="H5504">
            <v>200000</v>
          </cell>
          <cell r="I5504">
            <v>3.35</v>
          </cell>
          <cell r="J5504">
            <v>46563</v>
          </cell>
          <cell r="K5504">
            <v>100</v>
          </cell>
          <cell r="L5504">
            <v>46545</v>
          </cell>
          <cell r="M5504">
            <v>-1303</v>
          </cell>
          <cell r="N5504">
            <v>198697</v>
          </cell>
        </row>
        <row r="5505">
          <cell r="A5505">
            <v>64145</v>
          </cell>
          <cell r="B5505">
            <v>5499</v>
          </cell>
          <cell r="C5505" t="str">
            <v>IASWD2503000123</v>
          </cell>
          <cell r="D5505">
            <v>45721</v>
          </cell>
          <cell r="E5505">
            <v>46250</v>
          </cell>
          <cell r="F5505" t="str">
            <v>64145</v>
          </cell>
          <cell r="G5505" t="str">
            <v>樺漢五</v>
          </cell>
          <cell r="H5505">
            <v>100000</v>
          </cell>
          <cell r="I5505">
            <v>3</v>
          </cell>
          <cell r="J5505">
            <v>46250</v>
          </cell>
          <cell r="K5505">
            <v>100</v>
          </cell>
          <cell r="L5505">
            <v>46231</v>
          </cell>
          <cell r="M5505">
            <v>-584</v>
          </cell>
          <cell r="N5505">
            <v>99416</v>
          </cell>
        </row>
        <row r="5506">
          <cell r="A5506">
            <v>26417</v>
          </cell>
          <cell r="B5506">
            <v>5500</v>
          </cell>
          <cell r="C5506" t="str">
            <v>IASWD2503000124</v>
          </cell>
          <cell r="D5506">
            <v>45721</v>
          </cell>
          <cell r="E5506">
            <v>46594</v>
          </cell>
          <cell r="F5506" t="str">
            <v>26417</v>
          </cell>
          <cell r="G5506" t="str">
            <v>正德七</v>
          </cell>
          <cell r="H5506">
            <v>200000</v>
          </cell>
          <cell r="I5506">
            <v>3.75</v>
          </cell>
          <cell r="J5506">
            <v>46594</v>
          </cell>
          <cell r="K5506">
            <v>100</v>
          </cell>
          <cell r="L5506">
            <v>46574</v>
          </cell>
          <cell r="M5506">
            <v>-1459</v>
          </cell>
          <cell r="N5506">
            <v>198541</v>
          </cell>
        </row>
        <row r="5507">
          <cell r="A5507">
            <v>15364</v>
          </cell>
          <cell r="B5507">
            <v>5501</v>
          </cell>
          <cell r="C5507" t="str">
            <v>IASWD2503000125</v>
          </cell>
          <cell r="D5507">
            <v>45721</v>
          </cell>
          <cell r="E5507">
            <v>46246</v>
          </cell>
          <cell r="F5507" t="str">
            <v>15364</v>
          </cell>
          <cell r="G5507" t="str">
            <v>和大四</v>
          </cell>
          <cell r="H5507">
            <v>200000</v>
          </cell>
          <cell r="I5507">
            <v>3.75</v>
          </cell>
          <cell r="J5507">
            <v>46246</v>
          </cell>
          <cell r="K5507">
            <v>100</v>
          </cell>
          <cell r="L5507">
            <v>46226</v>
          </cell>
          <cell r="M5507">
            <v>-1459</v>
          </cell>
          <cell r="N5507">
            <v>198541</v>
          </cell>
        </row>
        <row r="5508">
          <cell r="A5508">
            <v>15142</v>
          </cell>
          <cell r="B5508">
            <v>5502</v>
          </cell>
          <cell r="C5508" t="str">
            <v>IASWD2503000126</v>
          </cell>
          <cell r="D5508">
            <v>45721</v>
          </cell>
          <cell r="E5508">
            <v>46765</v>
          </cell>
          <cell r="F5508" t="str">
            <v>15142</v>
          </cell>
          <cell r="G5508" t="str">
            <v>亞力二</v>
          </cell>
          <cell r="H5508">
            <v>100000</v>
          </cell>
          <cell r="I5508">
            <v>3.5</v>
          </cell>
          <cell r="J5508">
            <v>46765</v>
          </cell>
          <cell r="K5508">
            <v>100.75190000000001</v>
          </cell>
          <cell r="L5508">
            <v>46745</v>
          </cell>
          <cell r="M5508">
            <v>-681</v>
          </cell>
          <cell r="N5508">
            <v>99319</v>
          </cell>
        </row>
        <row r="5509">
          <cell r="A5509">
            <v>61965</v>
          </cell>
          <cell r="B5509">
            <v>5503</v>
          </cell>
          <cell r="C5509" t="str">
            <v>IASWD2503000127</v>
          </cell>
          <cell r="D5509">
            <v>45721</v>
          </cell>
          <cell r="E5509">
            <v>46200</v>
          </cell>
          <cell r="F5509" t="str">
            <v>61965</v>
          </cell>
          <cell r="G5509" t="str">
            <v>帆宣五</v>
          </cell>
          <cell r="H5509">
            <v>100000</v>
          </cell>
          <cell r="I5509">
            <v>3</v>
          </cell>
          <cell r="J5509">
            <v>46200</v>
          </cell>
          <cell r="K5509">
            <v>100</v>
          </cell>
          <cell r="L5509">
            <v>46182</v>
          </cell>
          <cell r="M5509">
            <v>-584</v>
          </cell>
          <cell r="N5509">
            <v>99416</v>
          </cell>
        </row>
        <row r="5510">
          <cell r="A5510">
            <v>49794</v>
          </cell>
          <cell r="B5510">
            <v>5504</v>
          </cell>
          <cell r="C5510" t="str">
            <v>IASWD2503000128</v>
          </cell>
          <cell r="D5510">
            <v>45721</v>
          </cell>
          <cell r="E5510">
            <v>46381</v>
          </cell>
          <cell r="F5510" t="str">
            <v>49794</v>
          </cell>
          <cell r="G5510" t="str">
            <v>華星光四</v>
          </cell>
          <cell r="H5510">
            <v>100000</v>
          </cell>
          <cell r="I5510">
            <v>4</v>
          </cell>
          <cell r="J5510">
            <v>46381</v>
          </cell>
          <cell r="K5510">
            <v>100</v>
          </cell>
          <cell r="L5510">
            <v>46363</v>
          </cell>
          <cell r="M5510">
            <v>-778</v>
          </cell>
          <cell r="N5510">
            <v>99222</v>
          </cell>
        </row>
        <row r="5511">
          <cell r="A5511">
            <v>61965</v>
          </cell>
          <cell r="B5511">
            <v>5505</v>
          </cell>
          <cell r="C5511" t="str">
            <v>IASWD2503000129</v>
          </cell>
          <cell r="D5511">
            <v>45721</v>
          </cell>
          <cell r="E5511">
            <v>46200</v>
          </cell>
          <cell r="F5511" t="str">
            <v>61965</v>
          </cell>
          <cell r="G5511" t="str">
            <v>帆宣五</v>
          </cell>
          <cell r="H5511">
            <v>300000</v>
          </cell>
          <cell r="I5511">
            <v>3</v>
          </cell>
          <cell r="J5511">
            <v>46200</v>
          </cell>
          <cell r="K5511">
            <v>100</v>
          </cell>
          <cell r="L5511">
            <v>46182</v>
          </cell>
          <cell r="M5511">
            <v>-1751</v>
          </cell>
          <cell r="N5511">
            <v>298249</v>
          </cell>
        </row>
        <row r="5512">
          <cell r="A5512">
            <v>15364</v>
          </cell>
          <cell r="B5512">
            <v>5506</v>
          </cell>
          <cell r="C5512" t="str">
            <v>IASWD2503000130</v>
          </cell>
          <cell r="D5512">
            <v>45721</v>
          </cell>
          <cell r="E5512">
            <v>46246</v>
          </cell>
          <cell r="F5512" t="str">
            <v>15364</v>
          </cell>
          <cell r="G5512" t="str">
            <v>和大四</v>
          </cell>
          <cell r="H5512">
            <v>100000</v>
          </cell>
          <cell r="I5512">
            <v>3.75</v>
          </cell>
          <cell r="J5512">
            <v>46246</v>
          </cell>
          <cell r="K5512">
            <v>100</v>
          </cell>
          <cell r="L5512">
            <v>46226</v>
          </cell>
          <cell r="M5512">
            <v>-729</v>
          </cell>
          <cell r="N5512">
            <v>99271</v>
          </cell>
        </row>
        <row r="5513">
          <cell r="A5513">
            <v>80506</v>
          </cell>
          <cell r="B5513">
            <v>5507</v>
          </cell>
          <cell r="C5513" t="str">
            <v>IASWD2503000131</v>
          </cell>
          <cell r="D5513">
            <v>45721</v>
          </cell>
          <cell r="E5513">
            <v>45983</v>
          </cell>
          <cell r="F5513" t="str">
            <v>80506</v>
          </cell>
          <cell r="G5513" t="str">
            <v>廣積六</v>
          </cell>
          <cell r="H5513">
            <v>500000</v>
          </cell>
          <cell r="I5513">
            <v>3.25</v>
          </cell>
          <cell r="J5513">
            <v>45983</v>
          </cell>
          <cell r="K5513">
            <v>100.75</v>
          </cell>
          <cell r="L5513">
            <v>45965</v>
          </cell>
          <cell r="M5513">
            <v>-3161</v>
          </cell>
          <cell r="N5513">
            <v>496839</v>
          </cell>
        </row>
        <row r="5514">
          <cell r="A5514">
            <v>25483</v>
          </cell>
          <cell r="B5514">
            <v>5508</v>
          </cell>
          <cell r="C5514" t="str">
            <v>IASWD2503000132</v>
          </cell>
          <cell r="D5514">
            <v>45721</v>
          </cell>
          <cell r="E5514">
            <v>46662</v>
          </cell>
          <cell r="F5514" t="str">
            <v>25483</v>
          </cell>
          <cell r="G5514" t="str">
            <v>華固三</v>
          </cell>
          <cell r="H5514">
            <v>2000000</v>
          </cell>
          <cell r="I5514">
            <v>3</v>
          </cell>
          <cell r="J5514">
            <v>46662</v>
          </cell>
          <cell r="K5514">
            <v>100</v>
          </cell>
          <cell r="L5514">
            <v>46644</v>
          </cell>
          <cell r="M5514">
            <v>-11671</v>
          </cell>
          <cell r="N5514">
            <v>1988329</v>
          </cell>
        </row>
        <row r="5515">
          <cell r="A5515">
            <v>61875</v>
          </cell>
          <cell r="B5515">
            <v>5509</v>
          </cell>
          <cell r="C5515" t="str">
            <v>IASWD2503000133</v>
          </cell>
          <cell r="D5515">
            <v>45721</v>
          </cell>
          <cell r="E5515">
            <v>46578</v>
          </cell>
          <cell r="F5515" t="str">
            <v>61875</v>
          </cell>
          <cell r="G5515" t="str">
            <v>萬潤五</v>
          </cell>
          <cell r="H5515">
            <v>100000</v>
          </cell>
          <cell r="I5515">
            <v>3</v>
          </cell>
          <cell r="J5515">
            <v>46578</v>
          </cell>
          <cell r="K5515">
            <v>100</v>
          </cell>
          <cell r="L5515">
            <v>46560</v>
          </cell>
          <cell r="M5515">
            <v>-584</v>
          </cell>
          <cell r="N5515">
            <v>99416</v>
          </cell>
        </row>
        <row r="5516">
          <cell r="A5516">
            <v>64145</v>
          </cell>
          <cell r="B5516">
            <v>5510</v>
          </cell>
          <cell r="C5516" t="str">
            <v>IASWD2503000134</v>
          </cell>
          <cell r="D5516">
            <v>45721</v>
          </cell>
          <cell r="E5516">
            <v>46250</v>
          </cell>
          <cell r="F5516" t="str">
            <v>64145</v>
          </cell>
          <cell r="G5516" t="str">
            <v>樺漢五</v>
          </cell>
          <cell r="H5516">
            <v>200000</v>
          </cell>
          <cell r="I5516">
            <v>3</v>
          </cell>
          <cell r="J5516">
            <v>46250</v>
          </cell>
          <cell r="K5516">
            <v>100</v>
          </cell>
          <cell r="L5516">
            <v>46231</v>
          </cell>
          <cell r="M5516">
            <v>-1167</v>
          </cell>
          <cell r="N5516">
            <v>198833</v>
          </cell>
        </row>
        <row r="5517">
          <cell r="A5517">
            <v>64145</v>
          </cell>
          <cell r="B5517">
            <v>5511</v>
          </cell>
          <cell r="C5517" t="str">
            <v>IASWD2503000135</v>
          </cell>
          <cell r="D5517">
            <v>45721</v>
          </cell>
          <cell r="E5517">
            <v>46250</v>
          </cell>
          <cell r="F5517" t="str">
            <v>64145</v>
          </cell>
          <cell r="G5517" t="str">
            <v>樺漢五</v>
          </cell>
          <cell r="H5517">
            <v>100000</v>
          </cell>
          <cell r="I5517">
            <v>3</v>
          </cell>
          <cell r="J5517">
            <v>46250</v>
          </cell>
          <cell r="K5517">
            <v>100</v>
          </cell>
          <cell r="L5517">
            <v>46231</v>
          </cell>
          <cell r="M5517">
            <v>-584</v>
          </cell>
          <cell r="N5517">
            <v>99416</v>
          </cell>
        </row>
        <row r="5518">
          <cell r="A5518">
            <v>84333</v>
          </cell>
          <cell r="B5518">
            <v>5512</v>
          </cell>
          <cell r="C5518" t="str">
            <v>IASWD2503000136</v>
          </cell>
          <cell r="D5518">
            <v>45721</v>
          </cell>
          <cell r="E5518">
            <v>46169</v>
          </cell>
          <cell r="F5518" t="str">
            <v>84333</v>
          </cell>
          <cell r="G5518" t="str">
            <v>弘帆三</v>
          </cell>
          <cell r="H5518">
            <v>500000</v>
          </cell>
          <cell r="I5518">
            <v>4</v>
          </cell>
          <cell r="J5518">
            <v>46169</v>
          </cell>
          <cell r="K5518">
            <v>100.5</v>
          </cell>
          <cell r="L5518">
            <v>46149</v>
          </cell>
          <cell r="M5518">
            <v>-3890</v>
          </cell>
          <cell r="N5518">
            <v>496110</v>
          </cell>
        </row>
        <row r="5519">
          <cell r="A5519">
            <v>26417</v>
          </cell>
          <cell r="B5519">
            <v>5513</v>
          </cell>
          <cell r="C5519" t="str">
            <v>IASWD2503000137</v>
          </cell>
          <cell r="D5519">
            <v>45721</v>
          </cell>
          <cell r="E5519">
            <v>46594</v>
          </cell>
          <cell r="F5519" t="str">
            <v>26417</v>
          </cell>
          <cell r="G5519" t="str">
            <v>正德七</v>
          </cell>
          <cell r="H5519">
            <v>400000</v>
          </cell>
          <cell r="I5519">
            <v>3.75</v>
          </cell>
          <cell r="J5519">
            <v>46594</v>
          </cell>
          <cell r="K5519">
            <v>100</v>
          </cell>
          <cell r="L5519">
            <v>46574</v>
          </cell>
          <cell r="M5519">
            <v>-2918</v>
          </cell>
          <cell r="N5519">
            <v>397082</v>
          </cell>
        </row>
        <row r="5520">
          <cell r="A5520">
            <v>37022</v>
          </cell>
          <cell r="B5520">
            <v>5514</v>
          </cell>
          <cell r="C5520" t="str">
            <v>IASWD2503000138</v>
          </cell>
          <cell r="D5520">
            <v>45721</v>
          </cell>
          <cell r="E5520">
            <v>46702</v>
          </cell>
          <cell r="F5520" t="str">
            <v>37022</v>
          </cell>
          <cell r="G5520" t="str">
            <v>大聯大二</v>
          </cell>
          <cell r="H5520">
            <v>200000</v>
          </cell>
          <cell r="I5520">
            <v>2.7</v>
          </cell>
          <cell r="J5520">
            <v>46702</v>
          </cell>
          <cell r="K5520">
            <v>100</v>
          </cell>
          <cell r="L5520">
            <v>46682</v>
          </cell>
          <cell r="M5520">
            <v>-1050</v>
          </cell>
          <cell r="N5520">
            <v>198950</v>
          </cell>
        </row>
        <row r="5521">
          <cell r="A5521">
            <v>15142</v>
          </cell>
          <cell r="B5521">
            <v>5515</v>
          </cell>
          <cell r="C5521" t="str">
            <v>IASWD2503000139</v>
          </cell>
          <cell r="D5521">
            <v>45721</v>
          </cell>
          <cell r="E5521">
            <v>46765</v>
          </cell>
          <cell r="F5521" t="str">
            <v>15142</v>
          </cell>
          <cell r="G5521" t="str">
            <v>亞力二</v>
          </cell>
          <cell r="H5521">
            <v>100000</v>
          </cell>
          <cell r="I5521">
            <v>3.5</v>
          </cell>
          <cell r="J5521">
            <v>46765</v>
          </cell>
          <cell r="K5521">
            <v>100.75190000000001</v>
          </cell>
          <cell r="L5521">
            <v>46745</v>
          </cell>
          <cell r="M5521">
            <v>-681</v>
          </cell>
          <cell r="N5521">
            <v>99319</v>
          </cell>
        </row>
        <row r="5522">
          <cell r="A5522">
            <v>33121</v>
          </cell>
          <cell r="B5522">
            <v>5516</v>
          </cell>
          <cell r="C5522" t="str">
            <v>IASWD2503000140</v>
          </cell>
          <cell r="D5522">
            <v>45721</v>
          </cell>
          <cell r="E5522">
            <v>46563</v>
          </cell>
          <cell r="F5522" t="str">
            <v>33121</v>
          </cell>
          <cell r="G5522" t="str">
            <v>弘憶股一</v>
          </cell>
          <cell r="H5522">
            <v>1000000</v>
          </cell>
          <cell r="I5522">
            <v>3.35</v>
          </cell>
          <cell r="J5522">
            <v>46563</v>
          </cell>
          <cell r="K5522">
            <v>100</v>
          </cell>
          <cell r="L5522">
            <v>46545</v>
          </cell>
          <cell r="M5522">
            <v>-6516</v>
          </cell>
          <cell r="N5522">
            <v>993484</v>
          </cell>
        </row>
        <row r="5523">
          <cell r="A5523">
            <v>15142</v>
          </cell>
          <cell r="B5523">
            <v>5517</v>
          </cell>
          <cell r="C5523" t="str">
            <v>IASWD2503000142</v>
          </cell>
          <cell r="D5523">
            <v>45721</v>
          </cell>
          <cell r="E5523">
            <v>46765</v>
          </cell>
          <cell r="F5523" t="str">
            <v>15142</v>
          </cell>
          <cell r="G5523" t="str">
            <v>亞力二</v>
          </cell>
          <cell r="H5523">
            <v>200000</v>
          </cell>
          <cell r="I5523">
            <v>3.5</v>
          </cell>
          <cell r="J5523">
            <v>46765</v>
          </cell>
          <cell r="K5523">
            <v>100.75190000000001</v>
          </cell>
          <cell r="L5523">
            <v>46745</v>
          </cell>
          <cell r="M5523">
            <v>-1362</v>
          </cell>
          <cell r="N5523">
            <v>198638</v>
          </cell>
        </row>
        <row r="5524">
          <cell r="A5524">
            <v>15364</v>
          </cell>
          <cell r="B5524">
            <v>5518</v>
          </cell>
          <cell r="C5524" t="str">
            <v>IASWD2503000143</v>
          </cell>
          <cell r="D5524">
            <v>45721</v>
          </cell>
          <cell r="E5524">
            <v>46246</v>
          </cell>
          <cell r="F5524" t="str">
            <v>15364</v>
          </cell>
          <cell r="G5524" t="str">
            <v>和大四</v>
          </cell>
          <cell r="H5524">
            <v>100000</v>
          </cell>
          <cell r="I5524">
            <v>3.75</v>
          </cell>
          <cell r="J5524">
            <v>46246</v>
          </cell>
          <cell r="K5524">
            <v>100</v>
          </cell>
          <cell r="L5524">
            <v>46226</v>
          </cell>
          <cell r="M5524">
            <v>-729</v>
          </cell>
          <cell r="N5524">
            <v>99271</v>
          </cell>
        </row>
        <row r="5525">
          <cell r="A5525">
            <v>25483</v>
          </cell>
          <cell r="B5525">
            <v>5519</v>
          </cell>
          <cell r="C5525" t="str">
            <v>IASWD2503000144</v>
          </cell>
          <cell r="D5525">
            <v>45721</v>
          </cell>
          <cell r="E5525">
            <v>46662</v>
          </cell>
          <cell r="F5525" t="str">
            <v>25483</v>
          </cell>
          <cell r="G5525" t="str">
            <v>華固三</v>
          </cell>
          <cell r="H5525">
            <v>5200000</v>
          </cell>
          <cell r="I5525">
            <v>3</v>
          </cell>
          <cell r="J5525">
            <v>46662</v>
          </cell>
          <cell r="K5525">
            <v>100</v>
          </cell>
          <cell r="L5525">
            <v>46644</v>
          </cell>
          <cell r="M5525">
            <v>-30345</v>
          </cell>
          <cell r="N5525">
            <v>5169655</v>
          </cell>
        </row>
        <row r="5526">
          <cell r="A5526">
            <v>61965</v>
          </cell>
          <cell r="B5526">
            <v>5520</v>
          </cell>
          <cell r="C5526" t="str">
            <v>IASWD2503000145</v>
          </cell>
          <cell r="D5526">
            <v>45721</v>
          </cell>
          <cell r="E5526">
            <v>46200</v>
          </cell>
          <cell r="F5526" t="str">
            <v>61965</v>
          </cell>
          <cell r="G5526" t="str">
            <v>帆宣五</v>
          </cell>
          <cell r="H5526">
            <v>100000</v>
          </cell>
          <cell r="I5526">
            <v>3</v>
          </cell>
          <cell r="J5526">
            <v>46200</v>
          </cell>
          <cell r="K5526">
            <v>100</v>
          </cell>
          <cell r="L5526">
            <v>46182</v>
          </cell>
          <cell r="M5526">
            <v>-584</v>
          </cell>
          <cell r="N5526">
            <v>99416</v>
          </cell>
        </row>
        <row r="5527">
          <cell r="A5527">
            <v>61875</v>
          </cell>
          <cell r="B5527">
            <v>5521</v>
          </cell>
          <cell r="C5527" t="str">
            <v>IASWD2503000146</v>
          </cell>
          <cell r="D5527">
            <v>45721</v>
          </cell>
          <cell r="E5527">
            <v>46578</v>
          </cell>
          <cell r="F5527" t="str">
            <v>61875</v>
          </cell>
          <cell r="G5527" t="str">
            <v>萬潤五</v>
          </cell>
          <cell r="H5527">
            <v>100000</v>
          </cell>
          <cell r="I5527">
            <v>3</v>
          </cell>
          <cell r="J5527">
            <v>46578</v>
          </cell>
          <cell r="K5527">
            <v>100</v>
          </cell>
          <cell r="L5527">
            <v>46560</v>
          </cell>
          <cell r="M5527">
            <v>-584</v>
          </cell>
          <cell r="N5527">
            <v>99416</v>
          </cell>
        </row>
        <row r="5528">
          <cell r="A5528">
            <v>15364</v>
          </cell>
          <cell r="B5528">
            <v>5522</v>
          </cell>
          <cell r="C5528" t="str">
            <v>IASWD2503000147</v>
          </cell>
          <cell r="D5528">
            <v>45721</v>
          </cell>
          <cell r="E5528">
            <v>46246</v>
          </cell>
          <cell r="F5528" t="str">
            <v>15364</v>
          </cell>
          <cell r="G5528" t="str">
            <v>和大四</v>
          </cell>
          <cell r="H5528">
            <v>100000</v>
          </cell>
          <cell r="I5528">
            <v>3.75</v>
          </cell>
          <cell r="J5528">
            <v>46246</v>
          </cell>
          <cell r="K5528">
            <v>100</v>
          </cell>
          <cell r="L5528">
            <v>46226</v>
          </cell>
          <cell r="M5528">
            <v>-729</v>
          </cell>
          <cell r="N5528">
            <v>99271</v>
          </cell>
        </row>
        <row r="5529">
          <cell r="A5529">
            <v>25483</v>
          </cell>
          <cell r="B5529">
            <v>5523</v>
          </cell>
          <cell r="C5529" t="str">
            <v>IASWD2503000148</v>
          </cell>
          <cell r="D5529">
            <v>45721</v>
          </cell>
          <cell r="E5529">
            <v>46662</v>
          </cell>
          <cell r="F5529" t="str">
            <v>25483</v>
          </cell>
          <cell r="G5529" t="str">
            <v>華固三</v>
          </cell>
          <cell r="H5529">
            <v>1100000</v>
          </cell>
          <cell r="I5529">
            <v>3</v>
          </cell>
          <cell r="J5529">
            <v>46662</v>
          </cell>
          <cell r="K5529">
            <v>100</v>
          </cell>
          <cell r="L5529">
            <v>46644</v>
          </cell>
          <cell r="M5529">
            <v>-6419</v>
          </cell>
          <cell r="N5529">
            <v>1093581</v>
          </cell>
        </row>
        <row r="5530">
          <cell r="A5530">
            <v>15142</v>
          </cell>
          <cell r="B5530">
            <v>5524</v>
          </cell>
          <cell r="C5530" t="str">
            <v>IASWD2503000149</v>
          </cell>
          <cell r="D5530">
            <v>45722</v>
          </cell>
          <cell r="E5530">
            <v>46765</v>
          </cell>
          <cell r="F5530" t="str">
            <v>15142</v>
          </cell>
          <cell r="G5530" t="str">
            <v>亞力二</v>
          </cell>
          <cell r="H5530">
            <v>100000</v>
          </cell>
          <cell r="I5530">
            <v>3.5</v>
          </cell>
          <cell r="J5530">
            <v>46765</v>
          </cell>
          <cell r="K5530">
            <v>100.75190000000001</v>
          </cell>
          <cell r="L5530">
            <v>46745</v>
          </cell>
          <cell r="M5530">
            <v>-671</v>
          </cell>
          <cell r="N5530">
            <v>99329</v>
          </cell>
        </row>
        <row r="5531">
          <cell r="A5531">
            <v>64145</v>
          </cell>
          <cell r="B5531">
            <v>5525</v>
          </cell>
          <cell r="C5531" t="str">
            <v>IASWD2503000150</v>
          </cell>
          <cell r="D5531">
            <v>45722</v>
          </cell>
          <cell r="E5531">
            <v>46250</v>
          </cell>
          <cell r="F5531" t="str">
            <v>64145</v>
          </cell>
          <cell r="G5531" t="str">
            <v>樺漢五</v>
          </cell>
          <cell r="H5531">
            <v>700000</v>
          </cell>
          <cell r="I5531">
            <v>3</v>
          </cell>
          <cell r="J5531">
            <v>46250</v>
          </cell>
          <cell r="K5531">
            <v>100</v>
          </cell>
          <cell r="L5531">
            <v>46231</v>
          </cell>
          <cell r="M5531">
            <v>-4027</v>
          </cell>
          <cell r="N5531">
            <v>695973</v>
          </cell>
        </row>
        <row r="5532">
          <cell r="A5532">
            <v>15364</v>
          </cell>
          <cell r="B5532">
            <v>5526</v>
          </cell>
          <cell r="C5532" t="str">
            <v>IASWD2503000151</v>
          </cell>
          <cell r="D5532">
            <v>45722</v>
          </cell>
          <cell r="E5532">
            <v>46246</v>
          </cell>
          <cell r="F5532" t="str">
            <v>15364</v>
          </cell>
          <cell r="G5532" t="str">
            <v>和大四</v>
          </cell>
          <cell r="H5532">
            <v>100000</v>
          </cell>
          <cell r="I5532">
            <v>3.75</v>
          </cell>
          <cell r="J5532">
            <v>46246</v>
          </cell>
          <cell r="K5532">
            <v>100</v>
          </cell>
          <cell r="L5532">
            <v>46226</v>
          </cell>
          <cell r="M5532">
            <v>-719</v>
          </cell>
          <cell r="N5532">
            <v>99281</v>
          </cell>
        </row>
        <row r="5533">
          <cell r="A5533">
            <v>15364</v>
          </cell>
          <cell r="B5533">
            <v>5527</v>
          </cell>
          <cell r="C5533" t="str">
            <v>IASWD2503000152</v>
          </cell>
          <cell r="D5533">
            <v>45722</v>
          </cell>
          <cell r="E5533">
            <v>46246</v>
          </cell>
          <cell r="F5533" t="str">
            <v>15364</v>
          </cell>
          <cell r="G5533" t="str">
            <v>和大四</v>
          </cell>
          <cell r="H5533">
            <v>100000</v>
          </cell>
          <cell r="I5533">
            <v>3.75</v>
          </cell>
          <cell r="J5533">
            <v>46246</v>
          </cell>
          <cell r="K5533">
            <v>100</v>
          </cell>
          <cell r="L5533">
            <v>46226</v>
          </cell>
          <cell r="M5533">
            <v>-719</v>
          </cell>
          <cell r="N5533">
            <v>99281</v>
          </cell>
        </row>
        <row r="5534">
          <cell r="A5534">
            <v>15364</v>
          </cell>
          <cell r="B5534">
            <v>5528</v>
          </cell>
          <cell r="C5534" t="str">
            <v>IASWD2503000153</v>
          </cell>
          <cell r="D5534">
            <v>45722</v>
          </cell>
          <cell r="E5534">
            <v>46246</v>
          </cell>
          <cell r="F5534" t="str">
            <v>15364</v>
          </cell>
          <cell r="G5534" t="str">
            <v>和大四</v>
          </cell>
          <cell r="H5534">
            <v>100000</v>
          </cell>
          <cell r="I5534">
            <v>3.75</v>
          </cell>
          <cell r="J5534">
            <v>46246</v>
          </cell>
          <cell r="K5534">
            <v>100</v>
          </cell>
          <cell r="L5534">
            <v>46226</v>
          </cell>
          <cell r="M5534">
            <v>-719</v>
          </cell>
          <cell r="N5534">
            <v>99281</v>
          </cell>
        </row>
        <row r="5535">
          <cell r="A5535">
            <v>61973</v>
          </cell>
          <cell r="B5535">
            <v>5529</v>
          </cell>
          <cell r="C5535" t="str">
            <v>IASWD2503000154</v>
          </cell>
          <cell r="D5535">
            <v>45722</v>
          </cell>
          <cell r="E5535">
            <v>46675</v>
          </cell>
          <cell r="F5535" t="str">
            <v>61973</v>
          </cell>
          <cell r="G5535" t="str">
            <v>佳必琪三</v>
          </cell>
          <cell r="H5535">
            <v>100000</v>
          </cell>
          <cell r="I5535">
            <v>3</v>
          </cell>
          <cell r="J5535">
            <v>46675</v>
          </cell>
          <cell r="K5535">
            <v>100</v>
          </cell>
          <cell r="L5535">
            <v>46657</v>
          </cell>
          <cell r="M5535">
            <v>-575</v>
          </cell>
          <cell r="N5535">
            <v>99425</v>
          </cell>
        </row>
        <row r="5536">
          <cell r="A5536">
            <v>25483</v>
          </cell>
          <cell r="B5536">
            <v>5530</v>
          </cell>
          <cell r="C5536" t="str">
            <v>IASWD2503000155</v>
          </cell>
          <cell r="D5536">
            <v>45722</v>
          </cell>
          <cell r="E5536">
            <v>46662</v>
          </cell>
          <cell r="F5536" t="str">
            <v>25483</v>
          </cell>
          <cell r="G5536" t="str">
            <v>華固三</v>
          </cell>
          <cell r="H5536">
            <v>1600000</v>
          </cell>
          <cell r="I5536">
            <v>3</v>
          </cell>
          <cell r="J5536">
            <v>46662</v>
          </cell>
          <cell r="K5536">
            <v>100</v>
          </cell>
          <cell r="L5536">
            <v>46644</v>
          </cell>
          <cell r="M5536">
            <v>-9205</v>
          </cell>
          <cell r="N5536">
            <v>1590795</v>
          </cell>
        </row>
        <row r="5537">
          <cell r="A5537">
            <v>15142</v>
          </cell>
          <cell r="B5537">
            <v>5531</v>
          </cell>
          <cell r="C5537" t="str">
            <v>IASWD2503000156</v>
          </cell>
          <cell r="D5537">
            <v>45722</v>
          </cell>
          <cell r="E5537">
            <v>46765</v>
          </cell>
          <cell r="F5537" t="str">
            <v>15142</v>
          </cell>
          <cell r="G5537" t="str">
            <v>亞力二</v>
          </cell>
          <cell r="H5537">
            <v>100000</v>
          </cell>
          <cell r="I5537">
            <v>3.5</v>
          </cell>
          <cell r="J5537">
            <v>46765</v>
          </cell>
          <cell r="K5537">
            <v>100.75190000000001</v>
          </cell>
          <cell r="L5537">
            <v>46745</v>
          </cell>
          <cell r="M5537">
            <v>-671</v>
          </cell>
          <cell r="N5537">
            <v>99329</v>
          </cell>
        </row>
        <row r="5538">
          <cell r="A5538">
            <v>68301</v>
          </cell>
          <cell r="B5538">
            <v>5532</v>
          </cell>
          <cell r="C5538" t="str">
            <v>IASWD2503000157</v>
          </cell>
          <cell r="D5538">
            <v>45722</v>
          </cell>
          <cell r="E5538">
            <v>46249</v>
          </cell>
          <cell r="F5538" t="str">
            <v>68301</v>
          </cell>
          <cell r="G5538" t="str">
            <v>汎銓一</v>
          </cell>
          <cell r="H5538">
            <v>200000</v>
          </cell>
          <cell r="I5538">
            <v>3</v>
          </cell>
          <cell r="J5538">
            <v>46249</v>
          </cell>
          <cell r="K5538">
            <v>100</v>
          </cell>
          <cell r="L5538">
            <v>46231</v>
          </cell>
          <cell r="M5538">
            <v>-1151</v>
          </cell>
          <cell r="N5538">
            <v>198849</v>
          </cell>
        </row>
        <row r="5539">
          <cell r="A5539">
            <v>25484</v>
          </cell>
          <cell r="B5539">
            <v>5533</v>
          </cell>
          <cell r="C5539" t="str">
            <v>IASWD2503000158</v>
          </cell>
          <cell r="D5539">
            <v>45722</v>
          </cell>
          <cell r="E5539">
            <v>46678</v>
          </cell>
          <cell r="F5539" t="str">
            <v>25484</v>
          </cell>
          <cell r="G5539" t="str">
            <v>華固四</v>
          </cell>
          <cell r="H5539">
            <v>2000000</v>
          </cell>
          <cell r="I5539">
            <v>3</v>
          </cell>
          <cell r="J5539">
            <v>46678</v>
          </cell>
          <cell r="K5539">
            <v>100</v>
          </cell>
          <cell r="L5539">
            <v>46658</v>
          </cell>
          <cell r="M5539">
            <v>-11507</v>
          </cell>
          <cell r="N5539">
            <v>1988493</v>
          </cell>
        </row>
        <row r="5540">
          <cell r="A5540">
            <v>15364</v>
          </cell>
          <cell r="B5540">
            <v>5534</v>
          </cell>
          <cell r="C5540" t="str">
            <v>IASWD2503000159</v>
          </cell>
          <cell r="D5540">
            <v>45722</v>
          </cell>
          <cell r="E5540">
            <v>46246</v>
          </cell>
          <cell r="F5540" t="str">
            <v>15364</v>
          </cell>
          <cell r="G5540" t="str">
            <v>和大四</v>
          </cell>
          <cell r="H5540">
            <v>100000</v>
          </cell>
          <cell r="I5540">
            <v>3.75</v>
          </cell>
          <cell r="J5540">
            <v>46246</v>
          </cell>
          <cell r="K5540">
            <v>100</v>
          </cell>
          <cell r="L5540">
            <v>46226</v>
          </cell>
          <cell r="M5540">
            <v>-719</v>
          </cell>
          <cell r="N5540">
            <v>99281</v>
          </cell>
        </row>
        <row r="5541">
          <cell r="A5541">
            <v>61965</v>
          </cell>
          <cell r="B5541">
            <v>5535</v>
          </cell>
          <cell r="C5541" t="str">
            <v>IASWD2503000160</v>
          </cell>
          <cell r="D5541">
            <v>45722</v>
          </cell>
          <cell r="E5541">
            <v>46200</v>
          </cell>
          <cell r="F5541" t="str">
            <v>61965</v>
          </cell>
          <cell r="G5541" t="str">
            <v>帆宣五</v>
          </cell>
          <cell r="H5541">
            <v>200000</v>
          </cell>
          <cell r="I5541">
            <v>3</v>
          </cell>
          <cell r="J5541">
            <v>46200</v>
          </cell>
          <cell r="K5541">
            <v>100</v>
          </cell>
          <cell r="L5541">
            <v>46182</v>
          </cell>
          <cell r="M5541">
            <v>-1151</v>
          </cell>
          <cell r="N5541">
            <v>198849</v>
          </cell>
        </row>
        <row r="5542">
          <cell r="A5542">
            <v>64145</v>
          </cell>
          <cell r="B5542">
            <v>5536</v>
          </cell>
          <cell r="C5542" t="str">
            <v>IASWD2503000161</v>
          </cell>
          <cell r="D5542">
            <v>45722</v>
          </cell>
          <cell r="E5542">
            <v>46250</v>
          </cell>
          <cell r="F5542" t="str">
            <v>64145</v>
          </cell>
          <cell r="G5542" t="str">
            <v>樺漢五</v>
          </cell>
          <cell r="H5542">
            <v>100000</v>
          </cell>
          <cell r="I5542">
            <v>3</v>
          </cell>
          <cell r="J5542">
            <v>46250</v>
          </cell>
          <cell r="K5542">
            <v>100</v>
          </cell>
          <cell r="L5542">
            <v>46231</v>
          </cell>
          <cell r="M5542">
            <v>-575</v>
          </cell>
          <cell r="N5542">
            <v>99425</v>
          </cell>
        </row>
        <row r="5543">
          <cell r="A5543">
            <v>36804</v>
          </cell>
          <cell r="B5543">
            <v>5537</v>
          </cell>
          <cell r="C5543" t="str">
            <v>IASWD2503000162</v>
          </cell>
          <cell r="D5543">
            <v>45722</v>
          </cell>
          <cell r="E5543">
            <v>45948</v>
          </cell>
          <cell r="F5543" t="str">
            <v>36804</v>
          </cell>
          <cell r="G5543" t="str">
            <v>家登四</v>
          </cell>
          <cell r="H5543">
            <v>100000</v>
          </cell>
          <cell r="I5543">
            <v>3.2</v>
          </cell>
          <cell r="J5543">
            <v>45948</v>
          </cell>
          <cell r="K5543">
            <v>100</v>
          </cell>
          <cell r="L5543">
            <v>45926</v>
          </cell>
          <cell r="M5543">
            <v>-614</v>
          </cell>
          <cell r="N5543">
            <v>99386</v>
          </cell>
        </row>
        <row r="5544">
          <cell r="A5544">
            <v>15142</v>
          </cell>
          <cell r="B5544">
            <v>5538</v>
          </cell>
          <cell r="C5544" t="str">
            <v>IASWD2503000163</v>
          </cell>
          <cell r="D5544">
            <v>45722</v>
          </cell>
          <cell r="E5544">
            <v>46765</v>
          </cell>
          <cell r="F5544" t="str">
            <v>15142</v>
          </cell>
          <cell r="G5544" t="str">
            <v>亞力二</v>
          </cell>
          <cell r="H5544">
            <v>100000</v>
          </cell>
          <cell r="I5544">
            <v>3.5</v>
          </cell>
          <cell r="J5544">
            <v>46765</v>
          </cell>
          <cell r="K5544">
            <v>100.75190000000001</v>
          </cell>
          <cell r="L5544">
            <v>46745</v>
          </cell>
          <cell r="M5544">
            <v>-671</v>
          </cell>
          <cell r="N5544">
            <v>99329</v>
          </cell>
        </row>
        <row r="5545">
          <cell r="A5545">
            <v>25484</v>
          </cell>
          <cell r="B5545">
            <v>5539</v>
          </cell>
          <cell r="C5545" t="str">
            <v>IASWD2503000164</v>
          </cell>
          <cell r="D5545">
            <v>45722</v>
          </cell>
          <cell r="E5545">
            <v>46678</v>
          </cell>
          <cell r="F5545" t="str">
            <v>25484</v>
          </cell>
          <cell r="G5545" t="str">
            <v>華固四</v>
          </cell>
          <cell r="H5545">
            <v>200000</v>
          </cell>
          <cell r="I5545">
            <v>3</v>
          </cell>
          <cell r="J5545">
            <v>46678</v>
          </cell>
          <cell r="K5545">
            <v>100</v>
          </cell>
          <cell r="L5545">
            <v>46658</v>
          </cell>
          <cell r="M5545">
            <v>-1151</v>
          </cell>
          <cell r="N5545">
            <v>198849</v>
          </cell>
        </row>
        <row r="5546">
          <cell r="A5546">
            <v>84333</v>
          </cell>
          <cell r="B5546">
            <v>5540</v>
          </cell>
          <cell r="C5546" t="str">
            <v>IASWD2503000165</v>
          </cell>
          <cell r="D5546">
            <v>45722</v>
          </cell>
          <cell r="E5546">
            <v>46169</v>
          </cell>
          <cell r="F5546" t="str">
            <v>84333</v>
          </cell>
          <cell r="G5546" t="str">
            <v>弘帆三</v>
          </cell>
          <cell r="H5546">
            <v>200000</v>
          </cell>
          <cell r="I5546">
            <v>4</v>
          </cell>
          <cell r="J5546">
            <v>46169</v>
          </cell>
          <cell r="K5546">
            <v>100.5</v>
          </cell>
          <cell r="L5546">
            <v>46149</v>
          </cell>
          <cell r="M5546">
            <v>-1534</v>
          </cell>
          <cell r="N5546">
            <v>198466</v>
          </cell>
        </row>
        <row r="5547">
          <cell r="A5547">
            <v>37022</v>
          </cell>
          <cell r="B5547">
            <v>5541</v>
          </cell>
          <cell r="C5547" t="str">
            <v>IASWD2503000166</v>
          </cell>
          <cell r="D5547">
            <v>45722</v>
          </cell>
          <cell r="E5547">
            <v>46702</v>
          </cell>
          <cell r="F5547" t="str">
            <v>37022</v>
          </cell>
          <cell r="G5547" t="str">
            <v>大聯大二</v>
          </cell>
          <cell r="H5547">
            <v>100000</v>
          </cell>
          <cell r="I5547">
            <v>2.7</v>
          </cell>
          <cell r="J5547">
            <v>46702</v>
          </cell>
          <cell r="K5547">
            <v>100</v>
          </cell>
          <cell r="L5547">
            <v>46682</v>
          </cell>
          <cell r="M5547">
            <v>-518</v>
          </cell>
          <cell r="N5547">
            <v>99482</v>
          </cell>
        </row>
        <row r="5548">
          <cell r="A5548">
            <v>37022</v>
          </cell>
          <cell r="B5548">
            <v>5542</v>
          </cell>
          <cell r="C5548" t="str">
            <v>IASWD2503000167</v>
          </cell>
          <cell r="D5548">
            <v>45722</v>
          </cell>
          <cell r="E5548">
            <v>46702</v>
          </cell>
          <cell r="F5548" t="str">
            <v>37022</v>
          </cell>
          <cell r="G5548" t="str">
            <v>大聯大二</v>
          </cell>
          <cell r="H5548">
            <v>100000</v>
          </cell>
          <cell r="I5548">
            <v>2.7</v>
          </cell>
          <cell r="J5548">
            <v>46702</v>
          </cell>
          <cell r="K5548">
            <v>100</v>
          </cell>
          <cell r="L5548">
            <v>46682</v>
          </cell>
          <cell r="M5548">
            <v>-518</v>
          </cell>
          <cell r="N5548">
            <v>99482</v>
          </cell>
        </row>
        <row r="5549">
          <cell r="A5549">
            <v>64145</v>
          </cell>
          <cell r="B5549">
            <v>5543</v>
          </cell>
          <cell r="C5549" t="str">
            <v>IASWD2503000168</v>
          </cell>
          <cell r="D5549">
            <v>45722</v>
          </cell>
          <cell r="E5549">
            <v>46250</v>
          </cell>
          <cell r="F5549" t="str">
            <v>64145</v>
          </cell>
          <cell r="G5549" t="str">
            <v>樺漢五</v>
          </cell>
          <cell r="H5549">
            <v>100000</v>
          </cell>
          <cell r="I5549">
            <v>3</v>
          </cell>
          <cell r="J5549">
            <v>46250</v>
          </cell>
          <cell r="K5549">
            <v>100</v>
          </cell>
          <cell r="L5549">
            <v>46231</v>
          </cell>
          <cell r="M5549">
            <v>-575</v>
          </cell>
          <cell r="N5549">
            <v>99425</v>
          </cell>
        </row>
        <row r="5550">
          <cell r="A5550">
            <v>34834</v>
          </cell>
          <cell r="B5550">
            <v>5544</v>
          </cell>
          <cell r="C5550" t="str">
            <v>IASWD2503000169</v>
          </cell>
          <cell r="D5550">
            <v>45722</v>
          </cell>
          <cell r="E5550">
            <v>46529</v>
          </cell>
          <cell r="F5550" t="str">
            <v>34834</v>
          </cell>
          <cell r="G5550" t="str">
            <v>力致四</v>
          </cell>
          <cell r="H5550">
            <v>100000</v>
          </cell>
          <cell r="I5550">
            <v>3.75</v>
          </cell>
          <cell r="J5550">
            <v>46529</v>
          </cell>
          <cell r="K5550">
            <v>100</v>
          </cell>
          <cell r="L5550">
            <v>46511</v>
          </cell>
          <cell r="M5550">
            <v>-719</v>
          </cell>
          <cell r="N5550">
            <v>99281</v>
          </cell>
        </row>
        <row r="5551">
          <cell r="A5551">
            <v>64145</v>
          </cell>
          <cell r="B5551">
            <v>5545</v>
          </cell>
          <cell r="C5551" t="str">
            <v>IASWD2503000170</v>
          </cell>
          <cell r="D5551">
            <v>45722</v>
          </cell>
          <cell r="E5551">
            <v>46250</v>
          </cell>
          <cell r="F5551" t="str">
            <v>64145</v>
          </cell>
          <cell r="G5551" t="str">
            <v>樺漢五</v>
          </cell>
          <cell r="H5551">
            <v>100000</v>
          </cell>
          <cell r="I5551">
            <v>3</v>
          </cell>
          <cell r="J5551">
            <v>46250</v>
          </cell>
          <cell r="K5551">
            <v>100</v>
          </cell>
          <cell r="L5551">
            <v>46231</v>
          </cell>
          <cell r="M5551">
            <v>-575</v>
          </cell>
          <cell r="N5551">
            <v>99425</v>
          </cell>
        </row>
        <row r="5552">
          <cell r="A5552">
            <v>25483</v>
          </cell>
          <cell r="B5552">
            <v>5546</v>
          </cell>
          <cell r="C5552" t="str">
            <v>IASWD2503000171</v>
          </cell>
          <cell r="D5552">
            <v>45722</v>
          </cell>
          <cell r="E5552">
            <v>46662</v>
          </cell>
          <cell r="F5552" t="str">
            <v>25483</v>
          </cell>
          <cell r="G5552" t="str">
            <v>華固三</v>
          </cell>
          <cell r="H5552">
            <v>900000</v>
          </cell>
          <cell r="I5552">
            <v>3</v>
          </cell>
          <cell r="J5552">
            <v>46662</v>
          </cell>
          <cell r="K5552">
            <v>100</v>
          </cell>
          <cell r="L5552">
            <v>46644</v>
          </cell>
          <cell r="M5552">
            <v>-5178</v>
          </cell>
          <cell r="N5552">
            <v>894822</v>
          </cell>
        </row>
        <row r="5553">
          <cell r="A5553">
            <v>64145</v>
          </cell>
          <cell r="B5553">
            <v>5547</v>
          </cell>
          <cell r="C5553" t="str">
            <v>IASWD2503000173</v>
          </cell>
          <cell r="D5553">
            <v>45722</v>
          </cell>
          <cell r="E5553">
            <v>46250</v>
          </cell>
          <cell r="F5553" t="str">
            <v>64145</v>
          </cell>
          <cell r="G5553" t="str">
            <v>樺漢五</v>
          </cell>
          <cell r="H5553">
            <v>100000</v>
          </cell>
          <cell r="I5553">
            <v>3</v>
          </cell>
          <cell r="J5553">
            <v>46250</v>
          </cell>
          <cell r="K5553">
            <v>100</v>
          </cell>
          <cell r="L5553">
            <v>46231</v>
          </cell>
          <cell r="M5553">
            <v>-575</v>
          </cell>
          <cell r="N5553">
            <v>99425</v>
          </cell>
        </row>
        <row r="5554">
          <cell r="A5554">
            <v>64145</v>
          </cell>
          <cell r="B5554">
            <v>5548</v>
          </cell>
          <cell r="C5554" t="str">
            <v>IASWD2503000174</v>
          </cell>
          <cell r="D5554">
            <v>45722</v>
          </cell>
          <cell r="E5554">
            <v>46250</v>
          </cell>
          <cell r="F5554" t="str">
            <v>64145</v>
          </cell>
          <cell r="G5554" t="str">
            <v>樺漢五</v>
          </cell>
          <cell r="H5554">
            <v>300000</v>
          </cell>
          <cell r="I5554">
            <v>3</v>
          </cell>
          <cell r="J5554">
            <v>46250</v>
          </cell>
          <cell r="K5554">
            <v>100</v>
          </cell>
          <cell r="L5554">
            <v>46231</v>
          </cell>
          <cell r="M5554">
            <v>-1726</v>
          </cell>
          <cell r="N5554">
            <v>298274</v>
          </cell>
        </row>
        <row r="5555">
          <cell r="A5555">
            <v>25483</v>
          </cell>
          <cell r="B5555">
            <v>5549</v>
          </cell>
          <cell r="C5555" t="str">
            <v>IASWD2503000175</v>
          </cell>
          <cell r="D5555">
            <v>45722</v>
          </cell>
          <cell r="E5555">
            <v>46662</v>
          </cell>
          <cell r="F5555" t="str">
            <v>25483</v>
          </cell>
          <cell r="G5555" t="str">
            <v>華固三</v>
          </cell>
          <cell r="H5555">
            <v>1200000</v>
          </cell>
          <cell r="I5555">
            <v>3</v>
          </cell>
          <cell r="J5555">
            <v>46662</v>
          </cell>
          <cell r="K5555">
            <v>100</v>
          </cell>
          <cell r="L5555">
            <v>46644</v>
          </cell>
          <cell r="M5555">
            <v>-6904</v>
          </cell>
          <cell r="N5555">
            <v>1193096</v>
          </cell>
        </row>
        <row r="5556">
          <cell r="A5556">
            <v>61973</v>
          </cell>
          <cell r="B5556">
            <v>5550</v>
          </cell>
          <cell r="C5556" t="str">
            <v>IASWD2503000176</v>
          </cell>
          <cell r="D5556">
            <v>45722</v>
          </cell>
          <cell r="E5556">
            <v>46675</v>
          </cell>
          <cell r="F5556" t="str">
            <v>61973</v>
          </cell>
          <cell r="G5556" t="str">
            <v>佳必琪三</v>
          </cell>
          <cell r="H5556">
            <v>100000</v>
          </cell>
          <cell r="I5556">
            <v>3</v>
          </cell>
          <cell r="J5556">
            <v>46675</v>
          </cell>
          <cell r="K5556">
            <v>100</v>
          </cell>
          <cell r="L5556">
            <v>46657</v>
          </cell>
          <cell r="M5556">
            <v>-575</v>
          </cell>
          <cell r="N5556">
            <v>99425</v>
          </cell>
        </row>
        <row r="5557">
          <cell r="A5557">
            <v>64145</v>
          </cell>
          <cell r="B5557">
            <v>5551</v>
          </cell>
          <cell r="C5557" t="str">
            <v>IASWD2503000177</v>
          </cell>
          <cell r="D5557">
            <v>45723</v>
          </cell>
          <cell r="E5557">
            <v>46250</v>
          </cell>
          <cell r="F5557" t="str">
            <v>64145</v>
          </cell>
          <cell r="G5557" t="str">
            <v>樺漢五</v>
          </cell>
          <cell r="H5557">
            <v>100000</v>
          </cell>
          <cell r="I5557">
            <v>3</v>
          </cell>
          <cell r="J5557">
            <v>46250</v>
          </cell>
          <cell r="K5557">
            <v>100</v>
          </cell>
          <cell r="L5557">
            <v>46231</v>
          </cell>
          <cell r="M5557">
            <v>-567</v>
          </cell>
          <cell r="N5557">
            <v>99433</v>
          </cell>
        </row>
        <row r="5558">
          <cell r="A5558">
            <v>64145</v>
          </cell>
          <cell r="B5558">
            <v>5552</v>
          </cell>
          <cell r="C5558" t="str">
            <v>IASWD2503000178</v>
          </cell>
          <cell r="D5558">
            <v>45723</v>
          </cell>
          <cell r="E5558">
            <v>46250</v>
          </cell>
          <cell r="F5558" t="str">
            <v>64145</v>
          </cell>
          <cell r="G5558" t="str">
            <v>樺漢五</v>
          </cell>
          <cell r="H5558">
            <v>100000</v>
          </cell>
          <cell r="I5558">
            <v>3</v>
          </cell>
          <cell r="J5558">
            <v>46250</v>
          </cell>
          <cell r="K5558">
            <v>100</v>
          </cell>
          <cell r="L5558">
            <v>46231</v>
          </cell>
          <cell r="M5558">
            <v>-567</v>
          </cell>
          <cell r="N5558">
            <v>99433</v>
          </cell>
        </row>
        <row r="5559">
          <cell r="A5559">
            <v>37022</v>
          </cell>
          <cell r="B5559">
            <v>5553</v>
          </cell>
          <cell r="C5559" t="str">
            <v>IASWD2503000179</v>
          </cell>
          <cell r="D5559">
            <v>45723</v>
          </cell>
          <cell r="E5559">
            <v>46702</v>
          </cell>
          <cell r="F5559" t="str">
            <v>37022</v>
          </cell>
          <cell r="G5559" t="str">
            <v>大聯大二</v>
          </cell>
          <cell r="H5559">
            <v>200000</v>
          </cell>
          <cell r="I5559">
            <v>2.7</v>
          </cell>
          <cell r="J5559">
            <v>46702</v>
          </cell>
          <cell r="K5559">
            <v>100</v>
          </cell>
          <cell r="L5559">
            <v>46682</v>
          </cell>
          <cell r="M5559">
            <v>-1021</v>
          </cell>
          <cell r="N5559">
            <v>198979</v>
          </cell>
        </row>
        <row r="5560">
          <cell r="A5560">
            <v>15364</v>
          </cell>
          <cell r="B5560">
            <v>5554</v>
          </cell>
          <cell r="C5560" t="str">
            <v>IASWD2503000180</v>
          </cell>
          <cell r="D5560">
            <v>45723</v>
          </cell>
          <cell r="E5560">
            <v>46246</v>
          </cell>
          <cell r="F5560" t="str">
            <v>15364</v>
          </cell>
          <cell r="G5560" t="str">
            <v>和大四</v>
          </cell>
          <cell r="H5560">
            <v>100000</v>
          </cell>
          <cell r="I5560">
            <v>3.75</v>
          </cell>
          <cell r="J5560">
            <v>46246</v>
          </cell>
          <cell r="K5560">
            <v>100</v>
          </cell>
          <cell r="L5560">
            <v>46226</v>
          </cell>
          <cell r="M5560">
            <v>-709</v>
          </cell>
          <cell r="N5560">
            <v>99291</v>
          </cell>
        </row>
        <row r="5561">
          <cell r="A5561">
            <v>84333</v>
          </cell>
          <cell r="B5561">
            <v>5555</v>
          </cell>
          <cell r="C5561" t="str">
            <v>IASWD2503000181</v>
          </cell>
          <cell r="D5561">
            <v>45723</v>
          </cell>
          <cell r="E5561">
            <v>46169</v>
          </cell>
          <cell r="F5561" t="str">
            <v>84333</v>
          </cell>
          <cell r="G5561" t="str">
            <v>弘帆三</v>
          </cell>
          <cell r="H5561">
            <v>100000</v>
          </cell>
          <cell r="I5561">
            <v>4</v>
          </cell>
          <cell r="J5561">
            <v>46169</v>
          </cell>
          <cell r="K5561">
            <v>100.5</v>
          </cell>
          <cell r="L5561">
            <v>46149</v>
          </cell>
          <cell r="M5561">
            <v>-756</v>
          </cell>
          <cell r="N5561">
            <v>99244</v>
          </cell>
        </row>
        <row r="5562">
          <cell r="A5562">
            <v>15364</v>
          </cell>
          <cell r="B5562">
            <v>5556</v>
          </cell>
          <cell r="C5562" t="str">
            <v>IASWD2503000182</v>
          </cell>
          <cell r="D5562">
            <v>45723</v>
          </cell>
          <cell r="E5562">
            <v>46246</v>
          </cell>
          <cell r="F5562" t="str">
            <v>15364</v>
          </cell>
          <cell r="G5562" t="str">
            <v>和大四</v>
          </cell>
          <cell r="H5562">
            <v>100000</v>
          </cell>
          <cell r="I5562">
            <v>3.75</v>
          </cell>
          <cell r="J5562">
            <v>46246</v>
          </cell>
          <cell r="K5562">
            <v>100</v>
          </cell>
          <cell r="L5562">
            <v>46226</v>
          </cell>
          <cell r="M5562">
            <v>-709</v>
          </cell>
          <cell r="N5562">
            <v>99291</v>
          </cell>
        </row>
        <row r="5563">
          <cell r="A5563">
            <v>37022</v>
          </cell>
          <cell r="B5563">
            <v>5557</v>
          </cell>
          <cell r="C5563" t="str">
            <v>IASWD2503000183</v>
          </cell>
          <cell r="D5563">
            <v>45723</v>
          </cell>
          <cell r="E5563">
            <v>46702</v>
          </cell>
          <cell r="F5563" t="str">
            <v>37022</v>
          </cell>
          <cell r="G5563" t="str">
            <v>大聯大二</v>
          </cell>
          <cell r="H5563">
            <v>500000</v>
          </cell>
          <cell r="I5563">
            <v>2.7</v>
          </cell>
          <cell r="J5563">
            <v>46702</v>
          </cell>
          <cell r="K5563">
            <v>100</v>
          </cell>
          <cell r="L5563">
            <v>46682</v>
          </cell>
          <cell r="M5563">
            <v>-2552</v>
          </cell>
          <cell r="N5563">
            <v>497448</v>
          </cell>
        </row>
        <row r="5564">
          <cell r="A5564">
            <v>33121</v>
          </cell>
          <cell r="B5564">
            <v>5558</v>
          </cell>
          <cell r="C5564" t="str">
            <v>IASWD2503000184</v>
          </cell>
          <cell r="D5564">
            <v>45723</v>
          </cell>
          <cell r="E5564">
            <v>46563</v>
          </cell>
          <cell r="F5564" t="str">
            <v>33121</v>
          </cell>
          <cell r="G5564" t="str">
            <v>弘憶股一</v>
          </cell>
          <cell r="H5564">
            <v>500000</v>
          </cell>
          <cell r="I5564">
            <v>3.35</v>
          </cell>
          <cell r="J5564">
            <v>46563</v>
          </cell>
          <cell r="K5564">
            <v>100</v>
          </cell>
          <cell r="L5564">
            <v>46545</v>
          </cell>
          <cell r="M5564">
            <v>-3166</v>
          </cell>
          <cell r="N5564">
            <v>496834</v>
          </cell>
        </row>
        <row r="5565">
          <cell r="A5565">
            <v>64145</v>
          </cell>
          <cell r="B5565">
            <v>5559</v>
          </cell>
          <cell r="C5565" t="str">
            <v>IASWD2503000185</v>
          </cell>
          <cell r="D5565">
            <v>45723</v>
          </cell>
          <cell r="E5565">
            <v>46250</v>
          </cell>
          <cell r="F5565" t="str">
            <v>64145</v>
          </cell>
          <cell r="G5565" t="str">
            <v>樺漢五</v>
          </cell>
          <cell r="H5565">
            <v>100000</v>
          </cell>
          <cell r="I5565">
            <v>3</v>
          </cell>
          <cell r="J5565">
            <v>46250</v>
          </cell>
          <cell r="K5565">
            <v>100</v>
          </cell>
          <cell r="L5565">
            <v>46231</v>
          </cell>
          <cell r="M5565">
            <v>-567</v>
          </cell>
          <cell r="N5565">
            <v>99433</v>
          </cell>
        </row>
        <row r="5566">
          <cell r="A5566">
            <v>15364</v>
          </cell>
          <cell r="B5566">
            <v>5560</v>
          </cell>
          <cell r="C5566" t="str">
            <v>IASWD2503000186</v>
          </cell>
          <cell r="D5566">
            <v>45723</v>
          </cell>
          <cell r="E5566">
            <v>46246</v>
          </cell>
          <cell r="F5566" t="str">
            <v>15364</v>
          </cell>
          <cell r="G5566" t="str">
            <v>和大四</v>
          </cell>
          <cell r="H5566">
            <v>100000</v>
          </cell>
          <cell r="I5566">
            <v>3.75</v>
          </cell>
          <cell r="J5566">
            <v>46246</v>
          </cell>
          <cell r="K5566">
            <v>100</v>
          </cell>
          <cell r="L5566">
            <v>46226</v>
          </cell>
          <cell r="M5566">
            <v>-709</v>
          </cell>
          <cell r="N5566">
            <v>99291</v>
          </cell>
        </row>
        <row r="5567">
          <cell r="A5567">
            <v>33121</v>
          </cell>
          <cell r="B5567">
            <v>5561</v>
          </cell>
          <cell r="C5567" t="str">
            <v>IASWD2503000187</v>
          </cell>
          <cell r="D5567">
            <v>45723</v>
          </cell>
          <cell r="E5567">
            <v>46563</v>
          </cell>
          <cell r="F5567" t="str">
            <v>33121</v>
          </cell>
          <cell r="G5567" t="str">
            <v>弘憶股一</v>
          </cell>
          <cell r="H5567">
            <v>200000</v>
          </cell>
          <cell r="I5567">
            <v>3.35</v>
          </cell>
          <cell r="J5567">
            <v>46563</v>
          </cell>
          <cell r="K5567">
            <v>100</v>
          </cell>
          <cell r="L5567">
            <v>46545</v>
          </cell>
          <cell r="M5567">
            <v>-1267</v>
          </cell>
          <cell r="N5567">
            <v>198733</v>
          </cell>
        </row>
        <row r="5568">
          <cell r="A5568">
            <v>25483</v>
          </cell>
          <cell r="B5568">
            <v>5562</v>
          </cell>
          <cell r="C5568" t="str">
            <v>IASWD2503000188</v>
          </cell>
          <cell r="D5568">
            <v>45723</v>
          </cell>
          <cell r="E5568">
            <v>46662</v>
          </cell>
          <cell r="F5568" t="str">
            <v>25483</v>
          </cell>
          <cell r="G5568" t="str">
            <v>華固三</v>
          </cell>
          <cell r="H5568">
            <v>400000</v>
          </cell>
          <cell r="I5568">
            <v>3</v>
          </cell>
          <cell r="J5568">
            <v>46662</v>
          </cell>
          <cell r="K5568">
            <v>100</v>
          </cell>
          <cell r="L5568">
            <v>46644</v>
          </cell>
          <cell r="M5568">
            <v>-2268</v>
          </cell>
          <cell r="N5568">
            <v>397732</v>
          </cell>
        </row>
        <row r="5569">
          <cell r="A5569">
            <v>15364</v>
          </cell>
          <cell r="B5569">
            <v>5563</v>
          </cell>
          <cell r="C5569" t="str">
            <v>IASWD2503000189</v>
          </cell>
          <cell r="D5569">
            <v>45723</v>
          </cell>
          <cell r="E5569">
            <v>46246</v>
          </cell>
          <cell r="F5569" t="str">
            <v>15364</v>
          </cell>
          <cell r="G5569" t="str">
            <v>和大四</v>
          </cell>
          <cell r="H5569">
            <v>200000</v>
          </cell>
          <cell r="I5569">
            <v>3.75</v>
          </cell>
          <cell r="J5569">
            <v>46246</v>
          </cell>
          <cell r="K5569">
            <v>100</v>
          </cell>
          <cell r="L5569">
            <v>46226</v>
          </cell>
          <cell r="M5569">
            <v>-1418</v>
          </cell>
          <cell r="N5569">
            <v>198582</v>
          </cell>
        </row>
        <row r="5570">
          <cell r="A5570">
            <v>64145</v>
          </cell>
          <cell r="B5570">
            <v>5564</v>
          </cell>
          <cell r="C5570" t="str">
            <v>IASWD2503000190</v>
          </cell>
          <cell r="D5570">
            <v>45723</v>
          </cell>
          <cell r="E5570">
            <v>46250</v>
          </cell>
          <cell r="F5570" t="str">
            <v>64145</v>
          </cell>
          <cell r="G5570" t="str">
            <v>樺漢五</v>
          </cell>
          <cell r="H5570">
            <v>100000</v>
          </cell>
          <cell r="I5570">
            <v>3</v>
          </cell>
          <cell r="J5570">
            <v>46250</v>
          </cell>
          <cell r="K5570">
            <v>100</v>
          </cell>
          <cell r="L5570">
            <v>46231</v>
          </cell>
          <cell r="M5570">
            <v>-567</v>
          </cell>
          <cell r="N5570">
            <v>99433</v>
          </cell>
        </row>
        <row r="5571">
          <cell r="A5571">
            <v>15142</v>
          </cell>
          <cell r="B5571">
            <v>5565</v>
          </cell>
          <cell r="C5571" t="str">
            <v>IASWD2503000191</v>
          </cell>
          <cell r="D5571">
            <v>45723</v>
          </cell>
          <cell r="E5571">
            <v>46765</v>
          </cell>
          <cell r="F5571" t="str">
            <v>15142</v>
          </cell>
          <cell r="G5571" t="str">
            <v>亞力二</v>
          </cell>
          <cell r="H5571">
            <v>200000</v>
          </cell>
          <cell r="I5571">
            <v>3.5</v>
          </cell>
          <cell r="J5571">
            <v>46765</v>
          </cell>
          <cell r="K5571">
            <v>100.75190000000001</v>
          </cell>
          <cell r="L5571">
            <v>46745</v>
          </cell>
          <cell r="M5571">
            <v>-1323</v>
          </cell>
          <cell r="N5571">
            <v>198677</v>
          </cell>
        </row>
        <row r="5572">
          <cell r="A5572">
            <v>84333</v>
          </cell>
          <cell r="B5572">
            <v>5566</v>
          </cell>
          <cell r="C5572" t="str">
            <v>IASWD2503000192</v>
          </cell>
          <cell r="D5572">
            <v>45723</v>
          </cell>
          <cell r="E5572">
            <v>46169</v>
          </cell>
          <cell r="F5572" t="str">
            <v>84333</v>
          </cell>
          <cell r="G5572" t="str">
            <v>弘帆三</v>
          </cell>
          <cell r="H5572">
            <v>100000</v>
          </cell>
          <cell r="I5572">
            <v>4</v>
          </cell>
          <cell r="J5572">
            <v>46169</v>
          </cell>
          <cell r="K5572">
            <v>100.5</v>
          </cell>
          <cell r="L5572">
            <v>46149</v>
          </cell>
          <cell r="M5572">
            <v>-756</v>
          </cell>
          <cell r="N5572">
            <v>99244</v>
          </cell>
        </row>
        <row r="5573">
          <cell r="A5573">
            <v>64145</v>
          </cell>
          <cell r="B5573">
            <v>5567</v>
          </cell>
          <cell r="C5573" t="str">
            <v>IASWD2503000193</v>
          </cell>
          <cell r="D5573">
            <v>45723</v>
          </cell>
          <cell r="E5573">
            <v>46250</v>
          </cell>
          <cell r="F5573" t="str">
            <v>64145</v>
          </cell>
          <cell r="G5573" t="str">
            <v>樺漢五</v>
          </cell>
          <cell r="H5573">
            <v>200000</v>
          </cell>
          <cell r="I5573">
            <v>3</v>
          </cell>
          <cell r="J5573">
            <v>46250</v>
          </cell>
          <cell r="K5573">
            <v>100</v>
          </cell>
          <cell r="L5573">
            <v>46231</v>
          </cell>
          <cell r="M5573">
            <v>-1134</v>
          </cell>
          <cell r="N5573">
            <v>198866</v>
          </cell>
        </row>
        <row r="5574">
          <cell r="A5574">
            <v>33121</v>
          </cell>
          <cell r="B5574">
            <v>5568</v>
          </cell>
          <cell r="C5574" t="str">
            <v>IASWD2503000194</v>
          </cell>
          <cell r="D5574">
            <v>45723</v>
          </cell>
          <cell r="E5574">
            <v>46563</v>
          </cell>
          <cell r="F5574" t="str">
            <v>33121</v>
          </cell>
          <cell r="G5574" t="str">
            <v>弘憶股一</v>
          </cell>
          <cell r="H5574">
            <v>100000</v>
          </cell>
          <cell r="I5574">
            <v>3.35</v>
          </cell>
          <cell r="J5574">
            <v>46563</v>
          </cell>
          <cell r="K5574">
            <v>100</v>
          </cell>
          <cell r="L5574">
            <v>46545</v>
          </cell>
          <cell r="M5574">
            <v>-633</v>
          </cell>
          <cell r="N5574">
            <v>99367</v>
          </cell>
        </row>
        <row r="5575">
          <cell r="A5575">
            <v>15364</v>
          </cell>
          <cell r="B5575">
            <v>5569</v>
          </cell>
          <cell r="C5575" t="str">
            <v>IASWD2503000195</v>
          </cell>
          <cell r="D5575">
            <v>45723</v>
          </cell>
          <cell r="E5575">
            <v>46246</v>
          </cell>
          <cell r="F5575" t="str">
            <v>15364</v>
          </cell>
          <cell r="G5575" t="str">
            <v>和大四</v>
          </cell>
          <cell r="H5575">
            <v>100000</v>
          </cell>
          <cell r="I5575">
            <v>3.75</v>
          </cell>
          <cell r="J5575">
            <v>46246</v>
          </cell>
          <cell r="K5575">
            <v>100</v>
          </cell>
          <cell r="L5575">
            <v>46226</v>
          </cell>
          <cell r="M5575">
            <v>-709</v>
          </cell>
          <cell r="N5575">
            <v>99291</v>
          </cell>
        </row>
        <row r="5576">
          <cell r="A5576">
            <v>37022</v>
          </cell>
          <cell r="B5576">
            <v>5570</v>
          </cell>
          <cell r="C5576" t="str">
            <v>IASWD2503000197</v>
          </cell>
          <cell r="D5576">
            <v>45723</v>
          </cell>
          <cell r="E5576">
            <v>46702</v>
          </cell>
          <cell r="F5576" t="str">
            <v>37022</v>
          </cell>
          <cell r="G5576" t="str">
            <v>大聯大二</v>
          </cell>
          <cell r="H5576">
            <v>500000</v>
          </cell>
          <cell r="I5576">
            <v>2.7</v>
          </cell>
          <cell r="J5576">
            <v>46702</v>
          </cell>
          <cell r="K5576">
            <v>100</v>
          </cell>
          <cell r="L5576">
            <v>46682</v>
          </cell>
          <cell r="M5576">
            <v>-2552</v>
          </cell>
          <cell r="N5576">
            <v>497448</v>
          </cell>
        </row>
        <row r="5577">
          <cell r="A5577">
            <v>68301</v>
          </cell>
          <cell r="B5577">
            <v>5571</v>
          </cell>
          <cell r="C5577" t="str">
            <v>IASWD2503000198</v>
          </cell>
          <cell r="D5577">
            <v>45723</v>
          </cell>
          <cell r="E5577">
            <v>46249</v>
          </cell>
          <cell r="F5577" t="str">
            <v>68301</v>
          </cell>
          <cell r="G5577" t="str">
            <v>汎銓一</v>
          </cell>
          <cell r="H5577">
            <v>200000</v>
          </cell>
          <cell r="I5577">
            <v>3</v>
          </cell>
          <cell r="J5577">
            <v>46249</v>
          </cell>
          <cell r="K5577">
            <v>100</v>
          </cell>
          <cell r="L5577">
            <v>46231</v>
          </cell>
          <cell r="M5577">
            <v>-1134</v>
          </cell>
          <cell r="N5577">
            <v>198866</v>
          </cell>
        </row>
        <row r="5578">
          <cell r="A5578">
            <v>64145</v>
          </cell>
          <cell r="B5578">
            <v>5572</v>
          </cell>
          <cell r="C5578" t="str">
            <v>IASWD2503000199</v>
          </cell>
          <cell r="D5578">
            <v>45723</v>
          </cell>
          <cell r="E5578">
            <v>46250</v>
          </cell>
          <cell r="F5578" t="str">
            <v>64145</v>
          </cell>
          <cell r="G5578" t="str">
            <v>樺漢五</v>
          </cell>
          <cell r="H5578">
            <v>300000</v>
          </cell>
          <cell r="I5578">
            <v>3</v>
          </cell>
          <cell r="J5578">
            <v>46250</v>
          </cell>
          <cell r="K5578">
            <v>100</v>
          </cell>
          <cell r="L5578">
            <v>46231</v>
          </cell>
          <cell r="M5578">
            <v>-1701</v>
          </cell>
          <cell r="N5578">
            <v>298299</v>
          </cell>
        </row>
        <row r="5579">
          <cell r="A5579">
            <v>64145</v>
          </cell>
          <cell r="B5579">
            <v>5573</v>
          </cell>
          <cell r="C5579" t="str">
            <v>IASWD2503000200</v>
          </cell>
          <cell r="D5579">
            <v>45723</v>
          </cell>
          <cell r="E5579">
            <v>46250</v>
          </cell>
          <cell r="F5579" t="str">
            <v>64145</v>
          </cell>
          <cell r="G5579" t="str">
            <v>樺漢五</v>
          </cell>
          <cell r="H5579">
            <v>100000</v>
          </cell>
          <cell r="I5579">
            <v>3</v>
          </cell>
          <cell r="J5579">
            <v>46250</v>
          </cell>
          <cell r="K5579">
            <v>100</v>
          </cell>
          <cell r="L5579">
            <v>46231</v>
          </cell>
          <cell r="M5579">
            <v>-567</v>
          </cell>
          <cell r="N5579">
            <v>99433</v>
          </cell>
        </row>
        <row r="5580">
          <cell r="A5580">
            <v>33121</v>
          </cell>
          <cell r="B5580">
            <v>5574</v>
          </cell>
          <cell r="C5580" t="str">
            <v>IASWD2503000201</v>
          </cell>
          <cell r="D5580">
            <v>45723</v>
          </cell>
          <cell r="E5580">
            <v>46563</v>
          </cell>
          <cell r="F5580" t="str">
            <v>33121</v>
          </cell>
          <cell r="G5580" t="str">
            <v>弘憶股一</v>
          </cell>
          <cell r="H5580">
            <v>900000</v>
          </cell>
          <cell r="I5580">
            <v>3.35</v>
          </cell>
          <cell r="J5580">
            <v>46563</v>
          </cell>
          <cell r="K5580">
            <v>100</v>
          </cell>
          <cell r="L5580">
            <v>46545</v>
          </cell>
          <cell r="M5580">
            <v>-5700</v>
          </cell>
          <cell r="N5580">
            <v>894300</v>
          </cell>
        </row>
        <row r="5581">
          <cell r="A5581">
            <v>25483</v>
          </cell>
          <cell r="B5581">
            <v>5575</v>
          </cell>
          <cell r="C5581" t="str">
            <v>IASWD2503000202</v>
          </cell>
          <cell r="D5581">
            <v>45723</v>
          </cell>
          <cell r="E5581">
            <v>46662</v>
          </cell>
          <cell r="F5581" t="str">
            <v>25483</v>
          </cell>
          <cell r="G5581" t="str">
            <v>華固三</v>
          </cell>
          <cell r="H5581">
            <v>200000</v>
          </cell>
          <cell r="I5581">
            <v>3</v>
          </cell>
          <cell r="J5581">
            <v>46662</v>
          </cell>
          <cell r="K5581">
            <v>100</v>
          </cell>
          <cell r="L5581">
            <v>46644</v>
          </cell>
          <cell r="M5581">
            <v>-1134</v>
          </cell>
          <cell r="N5581">
            <v>198866</v>
          </cell>
        </row>
        <row r="5582">
          <cell r="A5582">
            <v>61965</v>
          </cell>
          <cell r="B5582">
            <v>5576</v>
          </cell>
          <cell r="C5582" t="str">
            <v>IASWD2503000203</v>
          </cell>
          <cell r="D5582">
            <v>45723</v>
          </cell>
          <cell r="E5582">
            <v>46200</v>
          </cell>
          <cell r="F5582" t="str">
            <v>61965</v>
          </cell>
          <cell r="G5582" t="str">
            <v>帆宣五</v>
          </cell>
          <cell r="H5582">
            <v>100000</v>
          </cell>
          <cell r="I5582">
            <v>3</v>
          </cell>
          <cell r="J5582">
            <v>46200</v>
          </cell>
          <cell r="K5582">
            <v>100</v>
          </cell>
          <cell r="L5582">
            <v>46182</v>
          </cell>
          <cell r="M5582">
            <v>-567</v>
          </cell>
          <cell r="N5582">
            <v>99433</v>
          </cell>
        </row>
        <row r="5583">
          <cell r="A5583">
            <v>64145</v>
          </cell>
          <cell r="B5583">
            <v>5577</v>
          </cell>
          <cell r="C5583" t="str">
            <v>IASWD2503000204</v>
          </cell>
          <cell r="D5583">
            <v>45723</v>
          </cell>
          <cell r="E5583">
            <v>46250</v>
          </cell>
          <cell r="F5583" t="str">
            <v>64145</v>
          </cell>
          <cell r="G5583" t="str">
            <v>樺漢五</v>
          </cell>
          <cell r="H5583">
            <v>100000</v>
          </cell>
          <cell r="I5583">
            <v>3</v>
          </cell>
          <cell r="J5583">
            <v>46250</v>
          </cell>
          <cell r="K5583">
            <v>100</v>
          </cell>
          <cell r="L5583">
            <v>46231</v>
          </cell>
          <cell r="M5583">
            <v>-567</v>
          </cell>
          <cell r="N5583">
            <v>99433</v>
          </cell>
        </row>
        <row r="5584">
          <cell r="A5584">
            <v>64145</v>
          </cell>
          <cell r="B5584">
            <v>5578</v>
          </cell>
          <cell r="C5584" t="str">
            <v>IASWD2503000205</v>
          </cell>
          <cell r="D5584">
            <v>45723</v>
          </cell>
          <cell r="E5584">
            <v>46250</v>
          </cell>
          <cell r="F5584" t="str">
            <v>64145</v>
          </cell>
          <cell r="G5584" t="str">
            <v>樺漢五</v>
          </cell>
          <cell r="H5584">
            <v>100000</v>
          </cell>
          <cell r="I5584">
            <v>3</v>
          </cell>
          <cell r="J5584">
            <v>46250</v>
          </cell>
          <cell r="K5584">
            <v>100</v>
          </cell>
          <cell r="L5584">
            <v>46231</v>
          </cell>
          <cell r="M5584">
            <v>-567</v>
          </cell>
          <cell r="N5584">
            <v>99433</v>
          </cell>
        </row>
        <row r="5585">
          <cell r="A5585">
            <v>15364</v>
          </cell>
          <cell r="B5585">
            <v>5579</v>
          </cell>
          <cell r="C5585" t="str">
            <v>IASWD2503000206</v>
          </cell>
          <cell r="D5585">
            <v>45723</v>
          </cell>
          <cell r="E5585">
            <v>46246</v>
          </cell>
          <cell r="F5585" t="str">
            <v>15364</v>
          </cell>
          <cell r="G5585" t="str">
            <v>和大四</v>
          </cell>
          <cell r="H5585">
            <v>200000</v>
          </cell>
          <cell r="I5585">
            <v>3.75</v>
          </cell>
          <cell r="J5585">
            <v>46246</v>
          </cell>
          <cell r="K5585">
            <v>100</v>
          </cell>
          <cell r="L5585">
            <v>46226</v>
          </cell>
          <cell r="M5585">
            <v>-1418</v>
          </cell>
          <cell r="N5585">
            <v>198582</v>
          </cell>
        </row>
        <row r="5586">
          <cell r="A5586">
            <v>84332</v>
          </cell>
          <cell r="B5586">
            <v>5580</v>
          </cell>
          <cell r="C5586" t="str">
            <v>IASWD2503000207</v>
          </cell>
          <cell r="D5586">
            <v>45723</v>
          </cell>
          <cell r="E5586">
            <v>46166</v>
          </cell>
          <cell r="F5586" t="str">
            <v>84332</v>
          </cell>
          <cell r="G5586" t="str">
            <v>弘帆二</v>
          </cell>
          <cell r="H5586">
            <v>200000</v>
          </cell>
          <cell r="I5586">
            <v>4</v>
          </cell>
          <cell r="J5586">
            <v>46166</v>
          </cell>
          <cell r="K5586">
            <v>100.5</v>
          </cell>
          <cell r="L5586">
            <v>46147</v>
          </cell>
          <cell r="M5586">
            <v>-1512</v>
          </cell>
          <cell r="N5586">
            <v>198488</v>
          </cell>
        </row>
        <row r="5587">
          <cell r="A5587">
            <v>84332</v>
          </cell>
          <cell r="B5587">
            <v>5581</v>
          </cell>
          <cell r="C5587" t="str">
            <v>IASWD2503000208</v>
          </cell>
          <cell r="D5587">
            <v>45723</v>
          </cell>
          <cell r="E5587">
            <v>46166</v>
          </cell>
          <cell r="F5587" t="str">
            <v>84332</v>
          </cell>
          <cell r="G5587" t="str">
            <v>弘帆二</v>
          </cell>
          <cell r="H5587">
            <v>200000</v>
          </cell>
          <cell r="I5587">
            <v>4</v>
          </cell>
          <cell r="J5587">
            <v>46166</v>
          </cell>
          <cell r="K5587">
            <v>100.5</v>
          </cell>
          <cell r="L5587">
            <v>46147</v>
          </cell>
          <cell r="M5587">
            <v>-1512</v>
          </cell>
          <cell r="N5587">
            <v>198488</v>
          </cell>
        </row>
        <row r="5588">
          <cell r="A5588">
            <v>25483</v>
          </cell>
          <cell r="B5588">
            <v>5582</v>
          </cell>
          <cell r="C5588" t="str">
            <v>IASWD2503000209</v>
          </cell>
          <cell r="D5588">
            <v>45723</v>
          </cell>
          <cell r="E5588">
            <v>46662</v>
          </cell>
          <cell r="F5588" t="str">
            <v>25483</v>
          </cell>
          <cell r="G5588" t="str">
            <v>華固三</v>
          </cell>
          <cell r="H5588">
            <v>200000</v>
          </cell>
          <cell r="I5588">
            <v>3</v>
          </cell>
          <cell r="J5588">
            <v>46662</v>
          </cell>
          <cell r="K5588">
            <v>100</v>
          </cell>
          <cell r="L5588">
            <v>46644</v>
          </cell>
          <cell r="M5588">
            <v>-1134</v>
          </cell>
          <cell r="N5588">
            <v>198866</v>
          </cell>
        </row>
        <row r="5589">
          <cell r="A5589">
            <v>15364</v>
          </cell>
          <cell r="B5589">
            <v>5583</v>
          </cell>
          <cell r="C5589" t="str">
            <v>IASWD2503000210</v>
          </cell>
          <cell r="D5589">
            <v>45723</v>
          </cell>
          <cell r="E5589">
            <v>46246</v>
          </cell>
          <cell r="F5589" t="str">
            <v>15364</v>
          </cell>
          <cell r="G5589" t="str">
            <v>和大四</v>
          </cell>
          <cell r="H5589">
            <v>100000</v>
          </cell>
          <cell r="I5589">
            <v>3.75</v>
          </cell>
          <cell r="J5589">
            <v>46246</v>
          </cell>
          <cell r="K5589">
            <v>100</v>
          </cell>
          <cell r="L5589">
            <v>46226</v>
          </cell>
          <cell r="M5589">
            <v>-709</v>
          </cell>
          <cell r="N5589">
            <v>99291</v>
          </cell>
        </row>
        <row r="5590">
          <cell r="A5590">
            <v>33121</v>
          </cell>
          <cell r="B5590">
            <v>5584</v>
          </cell>
          <cell r="C5590" t="str">
            <v>IASWD2503000211</v>
          </cell>
          <cell r="D5590">
            <v>45723</v>
          </cell>
          <cell r="E5590">
            <v>46563</v>
          </cell>
          <cell r="F5590" t="str">
            <v>33121</v>
          </cell>
          <cell r="G5590" t="str">
            <v>弘憶股一</v>
          </cell>
          <cell r="H5590">
            <v>700000</v>
          </cell>
          <cell r="I5590">
            <v>3.35</v>
          </cell>
          <cell r="J5590">
            <v>46563</v>
          </cell>
          <cell r="K5590">
            <v>100</v>
          </cell>
          <cell r="L5590">
            <v>46545</v>
          </cell>
          <cell r="M5590">
            <v>-4433</v>
          </cell>
          <cell r="N5590">
            <v>695567</v>
          </cell>
        </row>
        <row r="5591">
          <cell r="A5591">
            <v>64145</v>
          </cell>
          <cell r="B5591">
            <v>5585</v>
          </cell>
          <cell r="C5591" t="str">
            <v>IASWD2503000212</v>
          </cell>
          <cell r="D5591">
            <v>45723</v>
          </cell>
          <cell r="E5591">
            <v>46250</v>
          </cell>
          <cell r="F5591" t="str">
            <v>64145</v>
          </cell>
          <cell r="G5591" t="str">
            <v>樺漢五</v>
          </cell>
          <cell r="H5591">
            <v>200000</v>
          </cell>
          <cell r="I5591">
            <v>3</v>
          </cell>
          <cell r="J5591">
            <v>46250</v>
          </cell>
          <cell r="K5591">
            <v>100</v>
          </cell>
          <cell r="L5591">
            <v>46231</v>
          </cell>
          <cell r="M5591">
            <v>-1134</v>
          </cell>
          <cell r="N5591">
            <v>198866</v>
          </cell>
        </row>
        <row r="5592">
          <cell r="A5592">
            <v>15364</v>
          </cell>
          <cell r="B5592">
            <v>5586</v>
          </cell>
          <cell r="C5592" t="str">
            <v>IASWD2503000213</v>
          </cell>
          <cell r="D5592">
            <v>45723</v>
          </cell>
          <cell r="E5592">
            <v>46246</v>
          </cell>
          <cell r="F5592" t="str">
            <v>15364</v>
          </cell>
          <cell r="G5592" t="str">
            <v>和大四</v>
          </cell>
          <cell r="H5592">
            <v>100000</v>
          </cell>
          <cell r="I5592">
            <v>3.75</v>
          </cell>
          <cell r="J5592">
            <v>46246</v>
          </cell>
          <cell r="K5592">
            <v>100</v>
          </cell>
          <cell r="L5592">
            <v>46226</v>
          </cell>
          <cell r="M5592">
            <v>-709</v>
          </cell>
          <cell r="N5592">
            <v>99291</v>
          </cell>
        </row>
        <row r="5593">
          <cell r="A5593">
            <v>64145</v>
          </cell>
          <cell r="B5593">
            <v>5587</v>
          </cell>
          <cell r="C5593" t="str">
            <v>IASWD2503000214</v>
          </cell>
          <cell r="D5593">
            <v>45723</v>
          </cell>
          <cell r="E5593">
            <v>46250</v>
          </cell>
          <cell r="F5593" t="str">
            <v>64145</v>
          </cell>
          <cell r="G5593" t="str">
            <v>樺漢五</v>
          </cell>
          <cell r="H5593">
            <v>100000</v>
          </cell>
          <cell r="I5593">
            <v>3</v>
          </cell>
          <cell r="J5593">
            <v>46250</v>
          </cell>
          <cell r="K5593">
            <v>100</v>
          </cell>
          <cell r="L5593">
            <v>46231</v>
          </cell>
          <cell r="M5593">
            <v>-567</v>
          </cell>
          <cell r="N5593">
            <v>99433</v>
          </cell>
        </row>
        <row r="5594">
          <cell r="A5594">
            <v>64145</v>
          </cell>
          <cell r="B5594">
            <v>5588</v>
          </cell>
          <cell r="C5594" t="str">
            <v>IASWD2503000215</v>
          </cell>
          <cell r="D5594">
            <v>45723</v>
          </cell>
          <cell r="E5594">
            <v>46250</v>
          </cell>
          <cell r="F5594" t="str">
            <v>64145</v>
          </cell>
          <cell r="G5594" t="str">
            <v>樺漢五</v>
          </cell>
          <cell r="H5594">
            <v>100000</v>
          </cell>
          <cell r="I5594">
            <v>3</v>
          </cell>
          <cell r="J5594">
            <v>46250</v>
          </cell>
          <cell r="K5594">
            <v>100</v>
          </cell>
          <cell r="L5594">
            <v>46231</v>
          </cell>
          <cell r="M5594">
            <v>-567</v>
          </cell>
          <cell r="N5594">
            <v>99433</v>
          </cell>
        </row>
        <row r="5595">
          <cell r="A5595">
            <v>22283</v>
          </cell>
          <cell r="B5595">
            <v>5589</v>
          </cell>
          <cell r="C5595" t="str">
            <v>IASWD2503000216</v>
          </cell>
          <cell r="D5595">
            <v>45726</v>
          </cell>
          <cell r="E5595">
            <v>46628</v>
          </cell>
          <cell r="F5595" t="str">
            <v>22283</v>
          </cell>
          <cell r="G5595" t="str">
            <v>劍麟三</v>
          </cell>
          <cell r="H5595">
            <v>100000</v>
          </cell>
          <cell r="I5595">
            <v>3</v>
          </cell>
          <cell r="J5595">
            <v>46628</v>
          </cell>
          <cell r="K5595">
            <v>100</v>
          </cell>
          <cell r="L5595">
            <v>46609</v>
          </cell>
          <cell r="M5595">
            <v>-542</v>
          </cell>
          <cell r="N5595">
            <v>99458</v>
          </cell>
        </row>
        <row r="5596">
          <cell r="A5596">
            <v>34912</v>
          </cell>
          <cell r="B5596">
            <v>5590</v>
          </cell>
          <cell r="C5596" t="str">
            <v>IASWD2503000217</v>
          </cell>
          <cell r="D5596">
            <v>45726</v>
          </cell>
          <cell r="E5596">
            <v>46627</v>
          </cell>
          <cell r="F5596" t="str">
            <v>34912</v>
          </cell>
          <cell r="G5596" t="str">
            <v>昇達科二</v>
          </cell>
          <cell r="H5596">
            <v>200000</v>
          </cell>
          <cell r="I5596">
            <v>3</v>
          </cell>
          <cell r="J5596">
            <v>46627</v>
          </cell>
          <cell r="K5596">
            <v>100</v>
          </cell>
          <cell r="L5596">
            <v>46609</v>
          </cell>
          <cell r="M5596">
            <v>-1085</v>
          </cell>
          <cell r="N5596">
            <v>198915</v>
          </cell>
        </row>
        <row r="5597">
          <cell r="A5597">
            <v>15364</v>
          </cell>
          <cell r="B5597">
            <v>5591</v>
          </cell>
          <cell r="C5597" t="str">
            <v>IASWD2503000218</v>
          </cell>
          <cell r="D5597">
            <v>45726</v>
          </cell>
          <cell r="E5597">
            <v>46246</v>
          </cell>
          <cell r="F5597" t="str">
            <v>15364</v>
          </cell>
          <cell r="G5597" t="str">
            <v>和大四</v>
          </cell>
          <cell r="H5597">
            <v>300000</v>
          </cell>
          <cell r="I5597">
            <v>3.75</v>
          </cell>
          <cell r="J5597">
            <v>46246</v>
          </cell>
          <cell r="K5597">
            <v>100</v>
          </cell>
          <cell r="L5597">
            <v>46226</v>
          </cell>
          <cell r="M5597">
            <v>-2034</v>
          </cell>
          <cell r="N5597">
            <v>297966</v>
          </cell>
        </row>
        <row r="5598">
          <cell r="A5598">
            <v>37022</v>
          </cell>
          <cell r="B5598">
            <v>5592</v>
          </cell>
          <cell r="C5598" t="str">
            <v>IASWD2503000219</v>
          </cell>
          <cell r="D5598">
            <v>45726</v>
          </cell>
          <cell r="E5598">
            <v>46702</v>
          </cell>
          <cell r="F5598" t="str">
            <v>37022</v>
          </cell>
          <cell r="G5598" t="str">
            <v>大聯大二</v>
          </cell>
          <cell r="H5598">
            <v>100000</v>
          </cell>
          <cell r="I5598">
            <v>2.7</v>
          </cell>
          <cell r="J5598">
            <v>46702</v>
          </cell>
          <cell r="K5598">
            <v>100</v>
          </cell>
          <cell r="L5598">
            <v>46682</v>
          </cell>
          <cell r="M5598">
            <v>-488</v>
          </cell>
          <cell r="N5598">
            <v>99512</v>
          </cell>
        </row>
        <row r="5599">
          <cell r="A5599">
            <v>64145</v>
          </cell>
          <cell r="B5599">
            <v>5593</v>
          </cell>
          <cell r="C5599" t="str">
            <v>IASWD2503000220</v>
          </cell>
          <cell r="D5599">
            <v>45726</v>
          </cell>
          <cell r="E5599">
            <v>46250</v>
          </cell>
          <cell r="F5599" t="str">
            <v>64145</v>
          </cell>
          <cell r="G5599" t="str">
            <v>樺漢五</v>
          </cell>
          <cell r="H5599">
            <v>100000</v>
          </cell>
          <cell r="I5599">
            <v>3</v>
          </cell>
          <cell r="J5599">
            <v>46250</v>
          </cell>
          <cell r="K5599">
            <v>100</v>
          </cell>
          <cell r="L5599">
            <v>46231</v>
          </cell>
          <cell r="M5599">
            <v>-542</v>
          </cell>
          <cell r="N5599">
            <v>99458</v>
          </cell>
        </row>
        <row r="5600">
          <cell r="A5600">
            <v>37022</v>
          </cell>
          <cell r="B5600">
            <v>5594</v>
          </cell>
          <cell r="C5600" t="str">
            <v>IASWD2503000221</v>
          </cell>
          <cell r="D5600">
            <v>45726</v>
          </cell>
          <cell r="E5600">
            <v>46702</v>
          </cell>
          <cell r="F5600" t="str">
            <v>37022</v>
          </cell>
          <cell r="G5600" t="str">
            <v>大聯大二</v>
          </cell>
          <cell r="H5600">
            <v>300000</v>
          </cell>
          <cell r="I5600">
            <v>2.7</v>
          </cell>
          <cell r="J5600">
            <v>46702</v>
          </cell>
          <cell r="K5600">
            <v>100</v>
          </cell>
          <cell r="L5600">
            <v>46682</v>
          </cell>
          <cell r="M5600">
            <v>-1465</v>
          </cell>
          <cell r="N5600">
            <v>298535</v>
          </cell>
        </row>
        <row r="5601">
          <cell r="A5601">
            <v>37022</v>
          </cell>
          <cell r="B5601">
            <v>5595</v>
          </cell>
          <cell r="C5601" t="str">
            <v>IASWD2503000222</v>
          </cell>
          <cell r="D5601">
            <v>45726</v>
          </cell>
          <cell r="E5601">
            <v>46702</v>
          </cell>
          <cell r="F5601" t="str">
            <v>37022</v>
          </cell>
          <cell r="G5601" t="str">
            <v>大聯大二</v>
          </cell>
          <cell r="H5601">
            <v>600000</v>
          </cell>
          <cell r="I5601">
            <v>2.7</v>
          </cell>
          <cell r="J5601">
            <v>46702</v>
          </cell>
          <cell r="K5601">
            <v>100</v>
          </cell>
          <cell r="L5601">
            <v>46682</v>
          </cell>
          <cell r="M5601">
            <v>-2929</v>
          </cell>
          <cell r="N5601">
            <v>597071</v>
          </cell>
        </row>
        <row r="5602">
          <cell r="A5602">
            <v>15142</v>
          </cell>
          <cell r="B5602">
            <v>5596</v>
          </cell>
          <cell r="C5602" t="str">
            <v>IASWD2503000223</v>
          </cell>
          <cell r="D5602">
            <v>45726</v>
          </cell>
          <cell r="E5602">
            <v>46765</v>
          </cell>
          <cell r="F5602" t="str">
            <v>15142</v>
          </cell>
          <cell r="G5602" t="str">
            <v>亞力二</v>
          </cell>
          <cell r="H5602">
            <v>100000</v>
          </cell>
          <cell r="I5602">
            <v>3.5</v>
          </cell>
          <cell r="J5602">
            <v>46765</v>
          </cell>
          <cell r="K5602">
            <v>100.75190000000001</v>
          </cell>
          <cell r="L5602">
            <v>46745</v>
          </cell>
          <cell r="M5602">
            <v>-633</v>
          </cell>
          <cell r="N5602">
            <v>99367</v>
          </cell>
        </row>
        <row r="5603">
          <cell r="A5603">
            <v>37022</v>
          </cell>
          <cell r="B5603">
            <v>5597</v>
          </cell>
          <cell r="C5603" t="str">
            <v>IASWD2503000224</v>
          </cell>
          <cell r="D5603">
            <v>45726</v>
          </cell>
          <cell r="E5603">
            <v>46702</v>
          </cell>
          <cell r="F5603" t="str">
            <v>37022</v>
          </cell>
          <cell r="G5603" t="str">
            <v>大聯大二</v>
          </cell>
          <cell r="H5603">
            <v>100000</v>
          </cell>
          <cell r="I5603">
            <v>2.7</v>
          </cell>
          <cell r="J5603">
            <v>46702</v>
          </cell>
          <cell r="K5603">
            <v>100</v>
          </cell>
          <cell r="L5603">
            <v>46682</v>
          </cell>
          <cell r="M5603">
            <v>-488</v>
          </cell>
          <cell r="N5603">
            <v>99512</v>
          </cell>
        </row>
        <row r="5604">
          <cell r="A5604">
            <v>37022</v>
          </cell>
          <cell r="B5604">
            <v>5598</v>
          </cell>
          <cell r="C5604" t="str">
            <v>IASWD2503000225</v>
          </cell>
          <cell r="D5604">
            <v>45726</v>
          </cell>
          <cell r="E5604">
            <v>46702</v>
          </cell>
          <cell r="F5604" t="str">
            <v>37022</v>
          </cell>
          <cell r="G5604" t="str">
            <v>大聯大二</v>
          </cell>
          <cell r="H5604">
            <v>100000</v>
          </cell>
          <cell r="I5604">
            <v>2.7</v>
          </cell>
          <cell r="J5604">
            <v>46702</v>
          </cell>
          <cell r="K5604">
            <v>100</v>
          </cell>
          <cell r="L5604">
            <v>46682</v>
          </cell>
          <cell r="M5604">
            <v>-488</v>
          </cell>
          <cell r="N5604">
            <v>99512</v>
          </cell>
        </row>
        <row r="5605">
          <cell r="A5605">
            <v>64145</v>
          </cell>
          <cell r="B5605">
            <v>5599</v>
          </cell>
          <cell r="C5605" t="str">
            <v>IASWD2503000226</v>
          </cell>
          <cell r="D5605">
            <v>45726</v>
          </cell>
          <cell r="E5605">
            <v>46250</v>
          </cell>
          <cell r="F5605" t="str">
            <v>64145</v>
          </cell>
          <cell r="G5605" t="str">
            <v>樺漢五</v>
          </cell>
          <cell r="H5605">
            <v>100000</v>
          </cell>
          <cell r="I5605">
            <v>3</v>
          </cell>
          <cell r="J5605">
            <v>46250</v>
          </cell>
          <cell r="K5605">
            <v>100</v>
          </cell>
          <cell r="L5605">
            <v>46231</v>
          </cell>
          <cell r="M5605">
            <v>-542</v>
          </cell>
          <cell r="N5605">
            <v>99458</v>
          </cell>
        </row>
        <row r="5606">
          <cell r="A5606">
            <v>49794</v>
          </cell>
          <cell r="B5606">
            <v>5600</v>
          </cell>
          <cell r="C5606" t="str">
            <v>IASWD2503000227</v>
          </cell>
          <cell r="D5606">
            <v>45726</v>
          </cell>
          <cell r="E5606">
            <v>46381</v>
          </cell>
          <cell r="F5606" t="str">
            <v>49794</v>
          </cell>
          <cell r="G5606" t="str">
            <v>華星光四</v>
          </cell>
          <cell r="H5606">
            <v>100000</v>
          </cell>
          <cell r="I5606">
            <v>4</v>
          </cell>
          <cell r="J5606">
            <v>46381</v>
          </cell>
          <cell r="K5606">
            <v>100</v>
          </cell>
          <cell r="L5606">
            <v>46363</v>
          </cell>
          <cell r="M5606">
            <v>-723</v>
          </cell>
          <cell r="N5606">
            <v>99277</v>
          </cell>
        </row>
        <row r="5607">
          <cell r="A5607">
            <v>37022</v>
          </cell>
          <cell r="B5607">
            <v>5601</v>
          </cell>
          <cell r="C5607" t="str">
            <v>IASWD2503000228</v>
          </cell>
          <cell r="D5607">
            <v>45726</v>
          </cell>
          <cell r="E5607">
            <v>46702</v>
          </cell>
          <cell r="F5607" t="str">
            <v>37022</v>
          </cell>
          <cell r="G5607" t="str">
            <v>大聯大二</v>
          </cell>
          <cell r="H5607">
            <v>500000</v>
          </cell>
          <cell r="I5607">
            <v>2.7</v>
          </cell>
          <cell r="J5607">
            <v>46702</v>
          </cell>
          <cell r="K5607">
            <v>100</v>
          </cell>
          <cell r="L5607">
            <v>46682</v>
          </cell>
          <cell r="M5607">
            <v>-2441</v>
          </cell>
          <cell r="N5607">
            <v>497559</v>
          </cell>
        </row>
        <row r="5608">
          <cell r="A5608">
            <v>15364</v>
          </cell>
          <cell r="B5608">
            <v>5602</v>
          </cell>
          <cell r="C5608" t="str">
            <v>IASWD2503000229</v>
          </cell>
          <cell r="D5608">
            <v>45726</v>
          </cell>
          <cell r="E5608">
            <v>46246</v>
          </cell>
          <cell r="F5608" t="str">
            <v>15364</v>
          </cell>
          <cell r="G5608" t="str">
            <v>和大四</v>
          </cell>
          <cell r="H5608">
            <v>300000</v>
          </cell>
          <cell r="I5608">
            <v>3.75</v>
          </cell>
          <cell r="J5608">
            <v>46246</v>
          </cell>
          <cell r="K5608">
            <v>100</v>
          </cell>
          <cell r="L5608">
            <v>46226</v>
          </cell>
          <cell r="M5608">
            <v>-2034</v>
          </cell>
          <cell r="N5608">
            <v>297966</v>
          </cell>
        </row>
        <row r="5609">
          <cell r="A5609">
            <v>36804</v>
          </cell>
          <cell r="B5609">
            <v>5603</v>
          </cell>
          <cell r="C5609" t="str">
            <v>IASWD2503000230</v>
          </cell>
          <cell r="D5609">
            <v>45726</v>
          </cell>
          <cell r="E5609">
            <v>45948</v>
          </cell>
          <cell r="F5609" t="str">
            <v>36804</v>
          </cell>
          <cell r="G5609" t="str">
            <v>家登四</v>
          </cell>
          <cell r="H5609">
            <v>100000</v>
          </cell>
          <cell r="I5609">
            <v>3.2</v>
          </cell>
          <cell r="J5609">
            <v>45948</v>
          </cell>
          <cell r="K5609">
            <v>100</v>
          </cell>
          <cell r="L5609">
            <v>45926</v>
          </cell>
          <cell r="M5609">
            <v>-579</v>
          </cell>
          <cell r="N5609">
            <v>99421</v>
          </cell>
        </row>
        <row r="5610">
          <cell r="A5610">
            <v>64145</v>
          </cell>
          <cell r="B5610">
            <v>5604</v>
          </cell>
          <cell r="C5610" t="str">
            <v>IASWD2503000231</v>
          </cell>
          <cell r="D5610">
            <v>45726</v>
          </cell>
          <cell r="E5610">
            <v>46250</v>
          </cell>
          <cell r="F5610" t="str">
            <v>64145</v>
          </cell>
          <cell r="G5610" t="str">
            <v>樺漢五</v>
          </cell>
          <cell r="H5610">
            <v>100000</v>
          </cell>
          <cell r="I5610">
            <v>3</v>
          </cell>
          <cell r="J5610">
            <v>46250</v>
          </cell>
          <cell r="K5610">
            <v>100</v>
          </cell>
          <cell r="L5610">
            <v>46231</v>
          </cell>
          <cell r="M5610">
            <v>-542</v>
          </cell>
          <cell r="N5610">
            <v>99458</v>
          </cell>
        </row>
        <row r="5611">
          <cell r="A5611">
            <v>15364</v>
          </cell>
          <cell r="B5611">
            <v>5605</v>
          </cell>
          <cell r="C5611" t="str">
            <v>IASWD2503000233</v>
          </cell>
          <cell r="D5611">
            <v>45726</v>
          </cell>
          <cell r="E5611">
            <v>46246</v>
          </cell>
          <cell r="F5611" t="str">
            <v>15364</v>
          </cell>
          <cell r="G5611" t="str">
            <v>和大四</v>
          </cell>
          <cell r="H5611">
            <v>100000</v>
          </cell>
          <cell r="I5611">
            <v>3.75</v>
          </cell>
          <cell r="J5611">
            <v>46246</v>
          </cell>
          <cell r="K5611">
            <v>100</v>
          </cell>
          <cell r="L5611">
            <v>46226</v>
          </cell>
          <cell r="M5611">
            <v>-678</v>
          </cell>
          <cell r="N5611">
            <v>99322</v>
          </cell>
        </row>
        <row r="5612">
          <cell r="A5612">
            <v>36894</v>
          </cell>
          <cell r="B5612">
            <v>5606</v>
          </cell>
          <cell r="C5612" t="str">
            <v>IASWD2503000234</v>
          </cell>
          <cell r="D5612">
            <v>45726</v>
          </cell>
          <cell r="E5612">
            <v>46086</v>
          </cell>
          <cell r="F5612" t="str">
            <v>36894</v>
          </cell>
          <cell r="G5612" t="str">
            <v>湧德四</v>
          </cell>
          <cell r="H5612">
            <v>100000</v>
          </cell>
          <cell r="I5612">
            <v>3.25</v>
          </cell>
          <cell r="J5612">
            <v>46086</v>
          </cell>
          <cell r="K5612">
            <v>100</v>
          </cell>
          <cell r="L5612">
            <v>46066</v>
          </cell>
          <cell r="M5612">
            <v>-588</v>
          </cell>
          <cell r="N5612">
            <v>99412</v>
          </cell>
        </row>
        <row r="5613">
          <cell r="A5613">
            <v>15364</v>
          </cell>
          <cell r="B5613">
            <v>5607</v>
          </cell>
          <cell r="C5613" t="str">
            <v>IASWD2503000235</v>
          </cell>
          <cell r="D5613">
            <v>45726</v>
          </cell>
          <cell r="E5613">
            <v>46246</v>
          </cell>
          <cell r="F5613" t="str">
            <v>15364</v>
          </cell>
          <cell r="G5613" t="str">
            <v>和大四</v>
          </cell>
          <cell r="H5613">
            <v>100000</v>
          </cell>
          <cell r="I5613">
            <v>3.75</v>
          </cell>
          <cell r="J5613">
            <v>46246</v>
          </cell>
          <cell r="K5613">
            <v>100</v>
          </cell>
          <cell r="L5613">
            <v>46226</v>
          </cell>
          <cell r="M5613">
            <v>-678</v>
          </cell>
          <cell r="N5613">
            <v>99322</v>
          </cell>
        </row>
        <row r="5614">
          <cell r="A5614">
            <v>15364</v>
          </cell>
          <cell r="B5614">
            <v>5608</v>
          </cell>
          <cell r="C5614" t="str">
            <v>IASWD2503000236</v>
          </cell>
          <cell r="D5614">
            <v>45726</v>
          </cell>
          <cell r="E5614">
            <v>46246</v>
          </cell>
          <cell r="F5614" t="str">
            <v>15364</v>
          </cell>
          <cell r="G5614" t="str">
            <v>和大四</v>
          </cell>
          <cell r="H5614">
            <v>100000</v>
          </cell>
          <cell r="I5614">
            <v>3.75</v>
          </cell>
          <cell r="J5614">
            <v>46246</v>
          </cell>
          <cell r="K5614">
            <v>100</v>
          </cell>
          <cell r="L5614">
            <v>46226</v>
          </cell>
          <cell r="M5614">
            <v>-678</v>
          </cell>
          <cell r="N5614">
            <v>99322</v>
          </cell>
        </row>
        <row r="5615">
          <cell r="A5615">
            <v>61843</v>
          </cell>
          <cell r="B5615">
            <v>5609</v>
          </cell>
          <cell r="C5615" t="str">
            <v>IASWD2503000237</v>
          </cell>
          <cell r="D5615">
            <v>45727</v>
          </cell>
          <cell r="E5615">
            <v>46452</v>
          </cell>
          <cell r="F5615" t="str">
            <v>61843</v>
          </cell>
          <cell r="G5615" t="str">
            <v>大豐電三</v>
          </cell>
          <cell r="H5615">
            <v>100000</v>
          </cell>
          <cell r="I5615">
            <v>3.75</v>
          </cell>
          <cell r="J5615">
            <v>46452</v>
          </cell>
          <cell r="K5615">
            <v>101.50749999999999</v>
          </cell>
          <cell r="L5615">
            <v>46434</v>
          </cell>
          <cell r="M5615">
            <v>-668</v>
          </cell>
          <cell r="N5615">
            <v>99332</v>
          </cell>
        </row>
        <row r="5616">
          <cell r="A5616">
            <v>34912</v>
          </cell>
          <cell r="B5616">
            <v>5610</v>
          </cell>
          <cell r="C5616" t="str">
            <v>IASWD2503000238</v>
          </cell>
          <cell r="D5616">
            <v>45727</v>
          </cell>
          <cell r="E5616">
            <v>46627</v>
          </cell>
          <cell r="F5616" t="str">
            <v>34912</v>
          </cell>
          <cell r="G5616" t="str">
            <v>昇達科二</v>
          </cell>
          <cell r="H5616">
            <v>100000</v>
          </cell>
          <cell r="I5616">
            <v>3</v>
          </cell>
          <cell r="J5616">
            <v>46627</v>
          </cell>
          <cell r="K5616">
            <v>100</v>
          </cell>
          <cell r="L5616">
            <v>46609</v>
          </cell>
          <cell r="M5616">
            <v>-534</v>
          </cell>
          <cell r="N5616">
            <v>99466</v>
          </cell>
        </row>
        <row r="5617">
          <cell r="A5617">
            <v>64145</v>
          </cell>
          <cell r="B5617">
            <v>5611</v>
          </cell>
          <cell r="C5617" t="str">
            <v>IASWD2503000239</v>
          </cell>
          <cell r="D5617">
            <v>45727</v>
          </cell>
          <cell r="E5617">
            <v>46250</v>
          </cell>
          <cell r="F5617" t="str">
            <v>64145</v>
          </cell>
          <cell r="G5617" t="str">
            <v>樺漢五</v>
          </cell>
          <cell r="H5617">
            <v>200000</v>
          </cell>
          <cell r="I5617">
            <v>3</v>
          </cell>
          <cell r="J5617">
            <v>46250</v>
          </cell>
          <cell r="K5617">
            <v>100</v>
          </cell>
          <cell r="L5617">
            <v>46231</v>
          </cell>
          <cell r="M5617">
            <v>-1068</v>
          </cell>
          <cell r="N5617">
            <v>198932</v>
          </cell>
        </row>
        <row r="5618">
          <cell r="A5618">
            <v>49794</v>
          </cell>
          <cell r="B5618">
            <v>5612</v>
          </cell>
          <cell r="C5618" t="str">
            <v>IASWD2503000240</v>
          </cell>
          <cell r="D5618">
            <v>45727</v>
          </cell>
          <cell r="E5618">
            <v>46381</v>
          </cell>
          <cell r="F5618" t="str">
            <v>49794</v>
          </cell>
          <cell r="G5618" t="str">
            <v>華星光四</v>
          </cell>
          <cell r="H5618">
            <v>100000</v>
          </cell>
          <cell r="I5618">
            <v>4</v>
          </cell>
          <cell r="J5618">
            <v>46381</v>
          </cell>
          <cell r="K5618">
            <v>100</v>
          </cell>
          <cell r="L5618">
            <v>46363</v>
          </cell>
          <cell r="M5618">
            <v>-712</v>
          </cell>
          <cell r="N5618">
            <v>99288</v>
          </cell>
        </row>
        <row r="5619">
          <cell r="A5619">
            <v>34163</v>
          </cell>
          <cell r="B5619">
            <v>5613</v>
          </cell>
          <cell r="C5619" t="str">
            <v>IASWD2503000241</v>
          </cell>
          <cell r="D5619">
            <v>45727</v>
          </cell>
          <cell r="E5619">
            <v>46047</v>
          </cell>
          <cell r="F5619" t="str">
            <v>34163</v>
          </cell>
          <cell r="G5619" t="str">
            <v>融程電三</v>
          </cell>
          <cell r="H5619">
            <v>100000</v>
          </cell>
          <cell r="I5619">
            <v>3</v>
          </cell>
          <cell r="J5619">
            <v>46047</v>
          </cell>
          <cell r="K5619">
            <v>100.5</v>
          </cell>
          <cell r="L5619">
            <v>46028</v>
          </cell>
          <cell r="M5619">
            <v>-534</v>
          </cell>
          <cell r="N5619">
            <v>99466</v>
          </cell>
        </row>
        <row r="5620">
          <cell r="A5620">
            <v>64145</v>
          </cell>
          <cell r="B5620">
            <v>5614</v>
          </cell>
          <cell r="C5620" t="str">
            <v>IASWD2503000242</v>
          </cell>
          <cell r="D5620">
            <v>45727</v>
          </cell>
          <cell r="E5620">
            <v>46250</v>
          </cell>
          <cell r="F5620" t="str">
            <v>64145</v>
          </cell>
          <cell r="G5620" t="str">
            <v>樺漢五</v>
          </cell>
          <cell r="H5620">
            <v>200000</v>
          </cell>
          <cell r="I5620">
            <v>3</v>
          </cell>
          <cell r="J5620">
            <v>46250</v>
          </cell>
          <cell r="K5620">
            <v>100</v>
          </cell>
          <cell r="L5620">
            <v>46231</v>
          </cell>
          <cell r="M5620">
            <v>-1068</v>
          </cell>
          <cell r="N5620">
            <v>198932</v>
          </cell>
        </row>
        <row r="5621">
          <cell r="A5621">
            <v>61875</v>
          </cell>
          <cell r="B5621">
            <v>5615</v>
          </cell>
          <cell r="C5621" t="str">
            <v>IASWD2503000243</v>
          </cell>
          <cell r="D5621">
            <v>45727</v>
          </cell>
          <cell r="E5621">
            <v>46578</v>
          </cell>
          <cell r="F5621" t="str">
            <v>61875</v>
          </cell>
          <cell r="G5621" t="str">
            <v>萬潤五</v>
          </cell>
          <cell r="H5621">
            <v>100000</v>
          </cell>
          <cell r="I5621">
            <v>3</v>
          </cell>
          <cell r="J5621">
            <v>46578</v>
          </cell>
          <cell r="K5621">
            <v>100</v>
          </cell>
          <cell r="L5621">
            <v>46560</v>
          </cell>
          <cell r="M5621">
            <v>-534</v>
          </cell>
          <cell r="N5621">
            <v>99466</v>
          </cell>
        </row>
        <row r="5622">
          <cell r="A5622">
            <v>64145</v>
          </cell>
          <cell r="B5622">
            <v>5616</v>
          </cell>
          <cell r="C5622" t="str">
            <v>IASWD2503000244</v>
          </cell>
          <cell r="D5622">
            <v>45727</v>
          </cell>
          <cell r="E5622">
            <v>46250</v>
          </cell>
          <cell r="F5622" t="str">
            <v>64145</v>
          </cell>
          <cell r="G5622" t="str">
            <v>樺漢五</v>
          </cell>
          <cell r="H5622">
            <v>400000</v>
          </cell>
          <cell r="I5622">
            <v>3</v>
          </cell>
          <cell r="J5622">
            <v>46250</v>
          </cell>
          <cell r="K5622">
            <v>100</v>
          </cell>
          <cell r="L5622">
            <v>46231</v>
          </cell>
          <cell r="M5622">
            <v>-2137</v>
          </cell>
          <cell r="N5622">
            <v>397863</v>
          </cell>
        </row>
        <row r="5623">
          <cell r="A5623">
            <v>30336</v>
          </cell>
          <cell r="B5623">
            <v>5617</v>
          </cell>
          <cell r="C5623" t="str">
            <v>IASWD2503000245</v>
          </cell>
          <cell r="D5623">
            <v>45727</v>
          </cell>
          <cell r="E5623">
            <v>45809</v>
          </cell>
          <cell r="F5623" t="str">
            <v>30336</v>
          </cell>
          <cell r="G5623" t="str">
            <v>威健六</v>
          </cell>
          <cell r="H5623">
            <v>100000</v>
          </cell>
          <cell r="I5623">
            <v>3.5</v>
          </cell>
          <cell r="J5623">
            <v>45809</v>
          </cell>
          <cell r="K5623">
            <v>101.5</v>
          </cell>
          <cell r="L5623">
            <v>45789</v>
          </cell>
          <cell r="M5623">
            <v>-623</v>
          </cell>
          <cell r="N5623">
            <v>99377</v>
          </cell>
        </row>
        <row r="5624">
          <cell r="A5624">
            <v>64145</v>
          </cell>
          <cell r="B5624">
            <v>5618</v>
          </cell>
          <cell r="C5624" t="str">
            <v>IASWD2503000246</v>
          </cell>
          <cell r="D5624">
            <v>45727</v>
          </cell>
          <cell r="E5624">
            <v>46250</v>
          </cell>
          <cell r="F5624" t="str">
            <v>64145</v>
          </cell>
          <cell r="G5624" t="str">
            <v>樺漢五</v>
          </cell>
          <cell r="H5624">
            <v>100000</v>
          </cell>
          <cell r="I5624">
            <v>3</v>
          </cell>
          <cell r="J5624">
            <v>46250</v>
          </cell>
          <cell r="K5624">
            <v>100</v>
          </cell>
          <cell r="L5624">
            <v>46231</v>
          </cell>
          <cell r="M5624">
            <v>-534</v>
          </cell>
          <cell r="N5624">
            <v>99466</v>
          </cell>
        </row>
        <row r="5625">
          <cell r="A5625">
            <v>64145</v>
          </cell>
          <cell r="B5625">
            <v>5619</v>
          </cell>
          <cell r="C5625" t="str">
            <v>IASWD2503000247</v>
          </cell>
          <cell r="D5625">
            <v>45727</v>
          </cell>
          <cell r="E5625">
            <v>46250</v>
          </cell>
          <cell r="F5625" t="str">
            <v>64145</v>
          </cell>
          <cell r="G5625" t="str">
            <v>樺漢五</v>
          </cell>
          <cell r="H5625">
            <v>300000</v>
          </cell>
          <cell r="I5625">
            <v>3</v>
          </cell>
          <cell r="J5625">
            <v>46250</v>
          </cell>
          <cell r="K5625">
            <v>100</v>
          </cell>
          <cell r="L5625">
            <v>46231</v>
          </cell>
          <cell r="M5625">
            <v>-1603</v>
          </cell>
          <cell r="N5625">
            <v>298397</v>
          </cell>
        </row>
        <row r="5626">
          <cell r="A5626">
            <v>30882</v>
          </cell>
          <cell r="B5626">
            <v>5620</v>
          </cell>
          <cell r="C5626" t="str">
            <v>IASWD2503000248</v>
          </cell>
          <cell r="D5626">
            <v>45727</v>
          </cell>
          <cell r="E5626">
            <v>46262</v>
          </cell>
          <cell r="F5626" t="str">
            <v>30882</v>
          </cell>
          <cell r="G5626" t="str">
            <v>艾訊二</v>
          </cell>
          <cell r="H5626">
            <v>300000</v>
          </cell>
          <cell r="I5626">
            <v>3.25</v>
          </cell>
          <cell r="J5626">
            <v>46262</v>
          </cell>
          <cell r="K5626">
            <v>100</v>
          </cell>
          <cell r="L5626">
            <v>46244</v>
          </cell>
          <cell r="M5626">
            <v>-1736</v>
          </cell>
          <cell r="N5626">
            <v>298264</v>
          </cell>
        </row>
        <row r="5627">
          <cell r="A5627">
            <v>36804</v>
          </cell>
          <cell r="B5627">
            <v>5621</v>
          </cell>
          <cell r="C5627" t="str">
            <v>IASWD2503000249</v>
          </cell>
          <cell r="D5627">
            <v>45727</v>
          </cell>
          <cell r="E5627">
            <v>45948</v>
          </cell>
          <cell r="F5627" t="str">
            <v>36804</v>
          </cell>
          <cell r="G5627" t="str">
            <v>家登四</v>
          </cell>
          <cell r="H5627">
            <v>100000</v>
          </cell>
          <cell r="I5627">
            <v>3.2</v>
          </cell>
          <cell r="J5627">
            <v>45948</v>
          </cell>
          <cell r="K5627">
            <v>100</v>
          </cell>
          <cell r="L5627">
            <v>45926</v>
          </cell>
          <cell r="M5627">
            <v>-570</v>
          </cell>
          <cell r="N5627">
            <v>99430</v>
          </cell>
        </row>
        <row r="5628">
          <cell r="A5628">
            <v>34793</v>
          </cell>
          <cell r="B5628">
            <v>5622</v>
          </cell>
          <cell r="C5628" t="str">
            <v>IASWD2503000250</v>
          </cell>
          <cell r="D5628">
            <v>45727</v>
          </cell>
          <cell r="E5628">
            <v>46409</v>
          </cell>
          <cell r="F5628" t="str">
            <v>34793</v>
          </cell>
          <cell r="G5628" t="str">
            <v>安勤三</v>
          </cell>
          <cell r="H5628">
            <v>200000</v>
          </cell>
          <cell r="I5628">
            <v>3</v>
          </cell>
          <cell r="J5628">
            <v>46409</v>
          </cell>
          <cell r="K5628">
            <v>100</v>
          </cell>
          <cell r="L5628">
            <v>46391</v>
          </cell>
          <cell r="M5628">
            <v>-1068</v>
          </cell>
          <cell r="N5628">
            <v>198932</v>
          </cell>
        </row>
        <row r="5629">
          <cell r="A5629">
            <v>64145</v>
          </cell>
          <cell r="B5629">
            <v>5623</v>
          </cell>
          <cell r="C5629" t="str">
            <v>IASWD2503000251</v>
          </cell>
          <cell r="D5629">
            <v>45727</v>
          </cell>
          <cell r="E5629">
            <v>46250</v>
          </cell>
          <cell r="F5629" t="str">
            <v>64145</v>
          </cell>
          <cell r="G5629" t="str">
            <v>樺漢五</v>
          </cell>
          <cell r="H5629">
            <v>100000</v>
          </cell>
          <cell r="I5629">
            <v>3</v>
          </cell>
          <cell r="J5629">
            <v>46250</v>
          </cell>
          <cell r="K5629">
            <v>100</v>
          </cell>
          <cell r="L5629">
            <v>46231</v>
          </cell>
          <cell r="M5629">
            <v>-534</v>
          </cell>
          <cell r="N5629">
            <v>99466</v>
          </cell>
        </row>
        <row r="5630">
          <cell r="A5630">
            <v>15364</v>
          </cell>
          <cell r="B5630">
            <v>5624</v>
          </cell>
          <cell r="C5630" t="str">
            <v>IASWD2503000252</v>
          </cell>
          <cell r="D5630">
            <v>45727</v>
          </cell>
          <cell r="E5630">
            <v>46246</v>
          </cell>
          <cell r="F5630" t="str">
            <v>15364</v>
          </cell>
          <cell r="G5630" t="str">
            <v>和大四</v>
          </cell>
          <cell r="H5630">
            <v>100000</v>
          </cell>
          <cell r="I5630">
            <v>3.75</v>
          </cell>
          <cell r="J5630">
            <v>46246</v>
          </cell>
          <cell r="K5630">
            <v>100</v>
          </cell>
          <cell r="L5630">
            <v>46226</v>
          </cell>
          <cell r="M5630">
            <v>-668</v>
          </cell>
          <cell r="N5630">
            <v>99332</v>
          </cell>
        </row>
        <row r="5631">
          <cell r="A5631">
            <v>15364</v>
          </cell>
          <cell r="B5631">
            <v>5625</v>
          </cell>
          <cell r="C5631" t="str">
            <v>IASWD2503000253</v>
          </cell>
          <cell r="D5631">
            <v>45727</v>
          </cell>
          <cell r="E5631">
            <v>46246</v>
          </cell>
          <cell r="F5631" t="str">
            <v>15364</v>
          </cell>
          <cell r="G5631" t="str">
            <v>和大四</v>
          </cell>
          <cell r="H5631">
            <v>100000</v>
          </cell>
          <cell r="I5631">
            <v>3.75</v>
          </cell>
          <cell r="J5631">
            <v>46246</v>
          </cell>
          <cell r="K5631">
            <v>100</v>
          </cell>
          <cell r="L5631">
            <v>46226</v>
          </cell>
          <cell r="M5631">
            <v>-668</v>
          </cell>
          <cell r="N5631">
            <v>99332</v>
          </cell>
        </row>
        <row r="5632">
          <cell r="A5632">
            <v>64145</v>
          </cell>
          <cell r="B5632">
            <v>5626</v>
          </cell>
          <cell r="C5632" t="str">
            <v>IASWD2503000254</v>
          </cell>
          <cell r="D5632">
            <v>45727</v>
          </cell>
          <cell r="E5632">
            <v>46250</v>
          </cell>
          <cell r="F5632" t="str">
            <v>64145</v>
          </cell>
          <cell r="G5632" t="str">
            <v>樺漢五</v>
          </cell>
          <cell r="H5632">
            <v>300000</v>
          </cell>
          <cell r="I5632">
            <v>3</v>
          </cell>
          <cell r="J5632">
            <v>46250</v>
          </cell>
          <cell r="K5632">
            <v>100</v>
          </cell>
          <cell r="L5632">
            <v>46231</v>
          </cell>
          <cell r="M5632">
            <v>-1603</v>
          </cell>
          <cell r="N5632">
            <v>298397</v>
          </cell>
        </row>
        <row r="5633">
          <cell r="A5633">
            <v>61973</v>
          </cell>
          <cell r="B5633">
            <v>5627</v>
          </cell>
          <cell r="C5633" t="str">
            <v>IASWD2503000255</v>
          </cell>
          <cell r="D5633">
            <v>45727</v>
          </cell>
          <cell r="E5633">
            <v>46675</v>
          </cell>
          <cell r="F5633" t="str">
            <v>61973</v>
          </cell>
          <cell r="G5633" t="str">
            <v>佳必琪三</v>
          </cell>
          <cell r="H5633">
            <v>100000</v>
          </cell>
          <cell r="I5633">
            <v>3</v>
          </cell>
          <cell r="J5633">
            <v>46675</v>
          </cell>
          <cell r="K5633">
            <v>100</v>
          </cell>
          <cell r="L5633">
            <v>46657</v>
          </cell>
          <cell r="M5633">
            <v>-534</v>
          </cell>
          <cell r="N5633">
            <v>99466</v>
          </cell>
        </row>
        <row r="5634">
          <cell r="A5634">
            <v>61965</v>
          </cell>
          <cell r="B5634">
            <v>5628</v>
          </cell>
          <cell r="C5634" t="str">
            <v>IASWD2503000256</v>
          </cell>
          <cell r="D5634">
            <v>45727</v>
          </cell>
          <cell r="E5634">
            <v>46200</v>
          </cell>
          <cell r="F5634" t="str">
            <v>61965</v>
          </cell>
          <cell r="G5634" t="str">
            <v>帆宣五</v>
          </cell>
          <cell r="H5634">
            <v>100000</v>
          </cell>
          <cell r="I5634">
            <v>3</v>
          </cell>
          <cell r="J5634">
            <v>46200</v>
          </cell>
          <cell r="K5634">
            <v>100</v>
          </cell>
          <cell r="L5634">
            <v>46182</v>
          </cell>
          <cell r="M5634">
            <v>-534</v>
          </cell>
          <cell r="N5634">
            <v>99466</v>
          </cell>
        </row>
        <row r="5635">
          <cell r="A5635">
            <v>64145</v>
          </cell>
          <cell r="B5635">
            <v>5629</v>
          </cell>
          <cell r="C5635" t="str">
            <v>IASWD2503000257</v>
          </cell>
          <cell r="D5635">
            <v>45727</v>
          </cell>
          <cell r="E5635">
            <v>46250</v>
          </cell>
          <cell r="F5635" t="str">
            <v>64145</v>
          </cell>
          <cell r="G5635" t="str">
            <v>樺漢五</v>
          </cell>
          <cell r="H5635">
            <v>100000</v>
          </cell>
          <cell r="I5635">
            <v>3</v>
          </cell>
          <cell r="J5635">
            <v>46250</v>
          </cell>
          <cell r="K5635">
            <v>100</v>
          </cell>
          <cell r="L5635">
            <v>46231</v>
          </cell>
          <cell r="M5635">
            <v>-534</v>
          </cell>
          <cell r="N5635">
            <v>99466</v>
          </cell>
        </row>
        <row r="5636">
          <cell r="A5636">
            <v>64145</v>
          </cell>
          <cell r="B5636">
            <v>5630</v>
          </cell>
          <cell r="C5636" t="str">
            <v>IASWD2503000258</v>
          </cell>
          <cell r="D5636">
            <v>45727</v>
          </cell>
          <cell r="E5636">
            <v>46250</v>
          </cell>
          <cell r="F5636" t="str">
            <v>64145</v>
          </cell>
          <cell r="G5636" t="str">
            <v>樺漢五</v>
          </cell>
          <cell r="H5636">
            <v>200000</v>
          </cell>
          <cell r="I5636">
            <v>3</v>
          </cell>
          <cell r="J5636">
            <v>46250</v>
          </cell>
          <cell r="K5636">
            <v>100</v>
          </cell>
          <cell r="L5636">
            <v>46231</v>
          </cell>
          <cell r="M5636">
            <v>-1068</v>
          </cell>
          <cell r="N5636">
            <v>198932</v>
          </cell>
        </row>
        <row r="5637">
          <cell r="A5637">
            <v>15364</v>
          </cell>
          <cell r="B5637">
            <v>5631</v>
          </cell>
          <cell r="C5637" t="str">
            <v>IASWD2503000259</v>
          </cell>
          <cell r="D5637">
            <v>45727</v>
          </cell>
          <cell r="E5637">
            <v>46246</v>
          </cell>
          <cell r="F5637" t="str">
            <v>15364</v>
          </cell>
          <cell r="G5637" t="str">
            <v>和大四</v>
          </cell>
          <cell r="H5637">
            <v>100000</v>
          </cell>
          <cell r="I5637">
            <v>3.75</v>
          </cell>
          <cell r="J5637">
            <v>46246</v>
          </cell>
          <cell r="K5637">
            <v>100</v>
          </cell>
          <cell r="L5637">
            <v>46226</v>
          </cell>
          <cell r="M5637">
            <v>-668</v>
          </cell>
          <cell r="N5637">
            <v>99332</v>
          </cell>
        </row>
        <row r="5638">
          <cell r="A5638">
            <v>64145</v>
          </cell>
          <cell r="B5638">
            <v>5632</v>
          </cell>
          <cell r="C5638" t="str">
            <v>IASWD2503000260</v>
          </cell>
          <cell r="D5638">
            <v>45727</v>
          </cell>
          <cell r="E5638">
            <v>46250</v>
          </cell>
          <cell r="F5638" t="str">
            <v>64145</v>
          </cell>
          <cell r="G5638" t="str">
            <v>樺漢五</v>
          </cell>
          <cell r="H5638">
            <v>100000</v>
          </cell>
          <cell r="I5638">
            <v>3</v>
          </cell>
          <cell r="J5638">
            <v>46250</v>
          </cell>
          <cell r="K5638">
            <v>100</v>
          </cell>
          <cell r="L5638">
            <v>46231</v>
          </cell>
          <cell r="M5638">
            <v>-534</v>
          </cell>
          <cell r="N5638">
            <v>99466</v>
          </cell>
        </row>
        <row r="5639">
          <cell r="A5639">
            <v>49794</v>
          </cell>
          <cell r="B5639">
            <v>5633</v>
          </cell>
          <cell r="C5639" t="str">
            <v>IASWD2503000261</v>
          </cell>
          <cell r="D5639">
            <v>45727</v>
          </cell>
          <cell r="E5639">
            <v>46381</v>
          </cell>
          <cell r="F5639" t="str">
            <v>49794</v>
          </cell>
          <cell r="G5639" t="str">
            <v>華星光四</v>
          </cell>
          <cell r="H5639">
            <v>400000</v>
          </cell>
          <cell r="I5639">
            <v>4</v>
          </cell>
          <cell r="J5639">
            <v>46381</v>
          </cell>
          <cell r="K5639">
            <v>100</v>
          </cell>
          <cell r="L5639">
            <v>46363</v>
          </cell>
          <cell r="M5639">
            <v>-2849</v>
          </cell>
          <cell r="N5639">
            <v>397151</v>
          </cell>
        </row>
        <row r="5640">
          <cell r="A5640">
            <v>64145</v>
          </cell>
          <cell r="B5640">
            <v>5634</v>
          </cell>
          <cell r="C5640" t="str">
            <v>IASWD2503000262</v>
          </cell>
          <cell r="D5640">
            <v>45727</v>
          </cell>
          <cell r="E5640">
            <v>46250</v>
          </cell>
          <cell r="F5640" t="str">
            <v>64145</v>
          </cell>
          <cell r="G5640" t="str">
            <v>樺漢五</v>
          </cell>
          <cell r="H5640">
            <v>100000</v>
          </cell>
          <cell r="I5640">
            <v>3</v>
          </cell>
          <cell r="J5640">
            <v>46250</v>
          </cell>
          <cell r="K5640">
            <v>100</v>
          </cell>
          <cell r="L5640">
            <v>46231</v>
          </cell>
          <cell r="M5640">
            <v>-534</v>
          </cell>
          <cell r="N5640">
            <v>99466</v>
          </cell>
        </row>
        <row r="5641">
          <cell r="A5641">
            <v>64145</v>
          </cell>
          <cell r="B5641">
            <v>5635</v>
          </cell>
          <cell r="C5641" t="str">
            <v>IASWD2503000263</v>
          </cell>
          <cell r="D5641">
            <v>45727</v>
          </cell>
          <cell r="E5641">
            <v>46250</v>
          </cell>
          <cell r="F5641" t="str">
            <v>64145</v>
          </cell>
          <cell r="G5641" t="str">
            <v>樺漢五</v>
          </cell>
          <cell r="H5641">
            <v>300000</v>
          </cell>
          <cell r="I5641">
            <v>3</v>
          </cell>
          <cell r="J5641">
            <v>46250</v>
          </cell>
          <cell r="K5641">
            <v>100</v>
          </cell>
          <cell r="L5641">
            <v>46231</v>
          </cell>
          <cell r="M5641">
            <v>-1603</v>
          </cell>
          <cell r="N5641">
            <v>298397</v>
          </cell>
        </row>
        <row r="5642">
          <cell r="A5642">
            <v>64145</v>
          </cell>
          <cell r="B5642">
            <v>5636</v>
          </cell>
          <cell r="C5642" t="str">
            <v>IASWD2503000264</v>
          </cell>
          <cell r="D5642">
            <v>45727</v>
          </cell>
          <cell r="E5642">
            <v>46250</v>
          </cell>
          <cell r="F5642" t="str">
            <v>64145</v>
          </cell>
          <cell r="G5642" t="str">
            <v>樺漢五</v>
          </cell>
          <cell r="H5642">
            <v>200000</v>
          </cell>
          <cell r="I5642">
            <v>3</v>
          </cell>
          <cell r="J5642">
            <v>46250</v>
          </cell>
          <cell r="K5642">
            <v>100</v>
          </cell>
          <cell r="L5642">
            <v>46231</v>
          </cell>
          <cell r="M5642">
            <v>-1068</v>
          </cell>
          <cell r="N5642">
            <v>198932</v>
          </cell>
        </row>
        <row r="5643">
          <cell r="A5643">
            <v>15142</v>
          </cell>
          <cell r="B5643">
            <v>5637</v>
          </cell>
          <cell r="C5643" t="str">
            <v>IASWD2503000265</v>
          </cell>
          <cell r="D5643">
            <v>45727</v>
          </cell>
          <cell r="E5643">
            <v>46765</v>
          </cell>
          <cell r="F5643" t="str">
            <v>15142</v>
          </cell>
          <cell r="G5643" t="str">
            <v>亞力二</v>
          </cell>
          <cell r="H5643">
            <v>100000</v>
          </cell>
          <cell r="I5643">
            <v>3.5</v>
          </cell>
          <cell r="J5643">
            <v>46765</v>
          </cell>
          <cell r="K5643">
            <v>100.75190000000001</v>
          </cell>
          <cell r="L5643">
            <v>46745</v>
          </cell>
          <cell r="M5643">
            <v>-623</v>
          </cell>
          <cell r="N5643">
            <v>99377</v>
          </cell>
        </row>
        <row r="5644">
          <cell r="A5644">
            <v>84332</v>
          </cell>
          <cell r="B5644">
            <v>5638</v>
          </cell>
          <cell r="C5644" t="str">
            <v>IASWD2503000266</v>
          </cell>
          <cell r="D5644">
            <v>45728</v>
          </cell>
          <cell r="E5644">
            <v>46166</v>
          </cell>
          <cell r="F5644" t="str">
            <v>84332</v>
          </cell>
          <cell r="G5644" t="str">
            <v>弘帆二</v>
          </cell>
          <cell r="H5644">
            <v>300000</v>
          </cell>
          <cell r="I5644">
            <v>4</v>
          </cell>
          <cell r="J5644">
            <v>46166</v>
          </cell>
          <cell r="K5644">
            <v>100.5</v>
          </cell>
          <cell r="L5644">
            <v>46147</v>
          </cell>
          <cell r="M5644">
            <v>-2104</v>
          </cell>
          <cell r="N5644">
            <v>297896</v>
          </cell>
        </row>
        <row r="5645">
          <cell r="A5645">
            <v>64145</v>
          </cell>
          <cell r="B5645">
            <v>5639</v>
          </cell>
          <cell r="C5645" t="str">
            <v>IASWD2503000267</v>
          </cell>
          <cell r="D5645">
            <v>45728</v>
          </cell>
          <cell r="E5645">
            <v>46250</v>
          </cell>
          <cell r="F5645" t="str">
            <v>64145</v>
          </cell>
          <cell r="G5645" t="str">
            <v>樺漢五</v>
          </cell>
          <cell r="H5645">
            <v>100000</v>
          </cell>
          <cell r="I5645">
            <v>3</v>
          </cell>
          <cell r="J5645">
            <v>46250</v>
          </cell>
          <cell r="K5645">
            <v>100</v>
          </cell>
          <cell r="L5645">
            <v>46231</v>
          </cell>
          <cell r="M5645">
            <v>-526</v>
          </cell>
          <cell r="N5645">
            <v>99474</v>
          </cell>
        </row>
        <row r="5646">
          <cell r="A5646">
            <v>64145</v>
          </cell>
          <cell r="B5646">
            <v>5640</v>
          </cell>
          <cell r="C5646" t="str">
            <v>IASWD2503000268</v>
          </cell>
          <cell r="D5646">
            <v>45728</v>
          </cell>
          <cell r="E5646">
            <v>46250</v>
          </cell>
          <cell r="F5646" t="str">
            <v>64145</v>
          </cell>
          <cell r="G5646" t="str">
            <v>樺漢五</v>
          </cell>
          <cell r="H5646">
            <v>200000</v>
          </cell>
          <cell r="I5646">
            <v>3</v>
          </cell>
          <cell r="J5646">
            <v>46250</v>
          </cell>
          <cell r="K5646">
            <v>100</v>
          </cell>
          <cell r="L5646">
            <v>46231</v>
          </cell>
          <cell r="M5646">
            <v>-1052</v>
          </cell>
          <cell r="N5646">
            <v>198948</v>
          </cell>
        </row>
        <row r="5647">
          <cell r="A5647">
            <v>64145</v>
          </cell>
          <cell r="B5647">
            <v>5641</v>
          </cell>
          <cell r="C5647" t="str">
            <v>IASWD2503000269</v>
          </cell>
          <cell r="D5647">
            <v>45728</v>
          </cell>
          <cell r="E5647">
            <v>46250</v>
          </cell>
          <cell r="F5647" t="str">
            <v>64145</v>
          </cell>
          <cell r="G5647" t="str">
            <v>樺漢五</v>
          </cell>
          <cell r="H5647">
            <v>100000</v>
          </cell>
          <cell r="I5647">
            <v>3</v>
          </cell>
          <cell r="J5647">
            <v>46250</v>
          </cell>
          <cell r="K5647">
            <v>100</v>
          </cell>
          <cell r="L5647">
            <v>46231</v>
          </cell>
          <cell r="M5647">
            <v>-526</v>
          </cell>
          <cell r="N5647">
            <v>99474</v>
          </cell>
        </row>
        <row r="5648">
          <cell r="A5648">
            <v>15364</v>
          </cell>
          <cell r="B5648">
            <v>5642</v>
          </cell>
          <cell r="C5648" t="str">
            <v>IASWD2503000270</v>
          </cell>
          <cell r="D5648">
            <v>45728</v>
          </cell>
          <cell r="E5648">
            <v>46246</v>
          </cell>
          <cell r="F5648" t="str">
            <v>15364</v>
          </cell>
          <cell r="G5648" t="str">
            <v>和大四</v>
          </cell>
          <cell r="H5648">
            <v>100000</v>
          </cell>
          <cell r="I5648">
            <v>3.75</v>
          </cell>
          <cell r="J5648">
            <v>46246</v>
          </cell>
          <cell r="K5648">
            <v>100</v>
          </cell>
          <cell r="L5648">
            <v>46226</v>
          </cell>
          <cell r="M5648">
            <v>-658</v>
          </cell>
          <cell r="N5648">
            <v>99342</v>
          </cell>
        </row>
        <row r="5649">
          <cell r="A5649">
            <v>61843</v>
          </cell>
          <cell r="B5649">
            <v>5643</v>
          </cell>
          <cell r="C5649" t="str">
            <v>IASWD2503000271</v>
          </cell>
          <cell r="D5649">
            <v>45728</v>
          </cell>
          <cell r="E5649">
            <v>46452</v>
          </cell>
          <cell r="F5649" t="str">
            <v>61843</v>
          </cell>
          <cell r="G5649" t="str">
            <v>大豐電三</v>
          </cell>
          <cell r="H5649">
            <v>900000</v>
          </cell>
          <cell r="I5649">
            <v>3.75</v>
          </cell>
          <cell r="J5649">
            <v>46452</v>
          </cell>
          <cell r="K5649">
            <v>101.50749999999999</v>
          </cell>
          <cell r="L5649">
            <v>46434</v>
          </cell>
          <cell r="M5649">
            <v>-5918</v>
          </cell>
          <cell r="N5649">
            <v>894082</v>
          </cell>
        </row>
        <row r="5650">
          <cell r="A5650">
            <v>30336</v>
          </cell>
          <cell r="B5650">
            <v>5644</v>
          </cell>
          <cell r="C5650" t="str">
            <v>IASWD2503000272</v>
          </cell>
          <cell r="D5650">
            <v>45728</v>
          </cell>
          <cell r="E5650">
            <v>45809</v>
          </cell>
          <cell r="F5650" t="str">
            <v>30336</v>
          </cell>
          <cell r="G5650" t="str">
            <v>威健六</v>
          </cell>
          <cell r="H5650">
            <v>200000</v>
          </cell>
          <cell r="I5650">
            <v>3.5</v>
          </cell>
          <cell r="J5650">
            <v>45809</v>
          </cell>
          <cell r="K5650">
            <v>101.5</v>
          </cell>
          <cell r="L5650">
            <v>45789</v>
          </cell>
          <cell r="M5650">
            <v>-1227</v>
          </cell>
          <cell r="N5650">
            <v>198773</v>
          </cell>
        </row>
        <row r="5651">
          <cell r="A5651">
            <v>15364</v>
          </cell>
          <cell r="B5651">
            <v>5645</v>
          </cell>
          <cell r="C5651" t="str">
            <v>IASWD2503000273</v>
          </cell>
          <cell r="D5651">
            <v>45728</v>
          </cell>
          <cell r="E5651">
            <v>46246</v>
          </cell>
          <cell r="F5651" t="str">
            <v>15364</v>
          </cell>
          <cell r="G5651" t="str">
            <v>和大四</v>
          </cell>
          <cell r="H5651">
            <v>100000</v>
          </cell>
          <cell r="I5651">
            <v>3.75</v>
          </cell>
          <cell r="J5651">
            <v>46246</v>
          </cell>
          <cell r="K5651">
            <v>100</v>
          </cell>
          <cell r="L5651">
            <v>46226</v>
          </cell>
          <cell r="M5651">
            <v>-658</v>
          </cell>
          <cell r="N5651">
            <v>99342</v>
          </cell>
        </row>
        <row r="5652">
          <cell r="A5652">
            <v>15364</v>
          </cell>
          <cell r="B5652">
            <v>5646</v>
          </cell>
          <cell r="C5652" t="str">
            <v>IASWD2503000274</v>
          </cell>
          <cell r="D5652">
            <v>45728</v>
          </cell>
          <cell r="E5652">
            <v>46246</v>
          </cell>
          <cell r="F5652" t="str">
            <v>15364</v>
          </cell>
          <cell r="G5652" t="str">
            <v>和大四</v>
          </cell>
          <cell r="H5652">
            <v>100000</v>
          </cell>
          <cell r="I5652">
            <v>3.75</v>
          </cell>
          <cell r="J5652">
            <v>46246</v>
          </cell>
          <cell r="K5652">
            <v>100</v>
          </cell>
          <cell r="L5652">
            <v>46226</v>
          </cell>
          <cell r="M5652">
            <v>-658</v>
          </cell>
          <cell r="N5652">
            <v>99342</v>
          </cell>
        </row>
        <row r="5653">
          <cell r="A5653">
            <v>49793</v>
          </cell>
          <cell r="B5653">
            <v>5647</v>
          </cell>
          <cell r="C5653" t="str">
            <v>IASWD2503000275</v>
          </cell>
          <cell r="D5653">
            <v>45728</v>
          </cell>
          <cell r="E5653">
            <v>46365</v>
          </cell>
          <cell r="F5653" t="str">
            <v>49793</v>
          </cell>
          <cell r="G5653" t="str">
            <v>華星光三</v>
          </cell>
          <cell r="H5653">
            <v>100000</v>
          </cell>
          <cell r="I5653">
            <v>4</v>
          </cell>
          <cell r="J5653">
            <v>46365</v>
          </cell>
          <cell r="K5653">
            <v>101.0025</v>
          </cell>
          <cell r="L5653">
            <v>46345</v>
          </cell>
          <cell r="M5653">
            <v>-701</v>
          </cell>
          <cell r="N5653">
            <v>99299</v>
          </cell>
        </row>
        <row r="5654">
          <cell r="A5654">
            <v>15364</v>
          </cell>
          <cell r="B5654">
            <v>5648</v>
          </cell>
          <cell r="C5654" t="str">
            <v>IASWD2503000276</v>
          </cell>
          <cell r="D5654">
            <v>45728</v>
          </cell>
          <cell r="E5654">
            <v>46246</v>
          </cell>
          <cell r="F5654" t="str">
            <v>15364</v>
          </cell>
          <cell r="G5654" t="str">
            <v>和大四</v>
          </cell>
          <cell r="H5654">
            <v>100000</v>
          </cell>
          <cell r="I5654">
            <v>3.75</v>
          </cell>
          <cell r="J5654">
            <v>46246</v>
          </cell>
          <cell r="K5654">
            <v>100</v>
          </cell>
          <cell r="L5654">
            <v>46226</v>
          </cell>
          <cell r="M5654">
            <v>-658</v>
          </cell>
          <cell r="N5654">
            <v>99342</v>
          </cell>
        </row>
        <row r="5655">
          <cell r="A5655">
            <v>64145</v>
          </cell>
          <cell r="B5655">
            <v>5649</v>
          </cell>
          <cell r="C5655" t="str">
            <v>IASWD2503000277</v>
          </cell>
          <cell r="D5655">
            <v>45728</v>
          </cell>
          <cell r="E5655">
            <v>46250</v>
          </cell>
          <cell r="F5655" t="str">
            <v>64145</v>
          </cell>
          <cell r="G5655" t="str">
            <v>樺漢五</v>
          </cell>
          <cell r="H5655">
            <v>100000</v>
          </cell>
          <cell r="I5655">
            <v>3</v>
          </cell>
          <cell r="J5655">
            <v>46250</v>
          </cell>
          <cell r="K5655">
            <v>100</v>
          </cell>
          <cell r="L5655">
            <v>46231</v>
          </cell>
          <cell r="M5655">
            <v>-526</v>
          </cell>
          <cell r="N5655">
            <v>99474</v>
          </cell>
        </row>
        <row r="5656">
          <cell r="A5656">
            <v>15364</v>
          </cell>
          <cell r="B5656">
            <v>5650</v>
          </cell>
          <cell r="C5656" t="str">
            <v>IASWD2503000278</v>
          </cell>
          <cell r="D5656">
            <v>45728</v>
          </cell>
          <cell r="E5656">
            <v>46246</v>
          </cell>
          <cell r="F5656" t="str">
            <v>15364</v>
          </cell>
          <cell r="G5656" t="str">
            <v>和大四</v>
          </cell>
          <cell r="H5656">
            <v>100000</v>
          </cell>
          <cell r="I5656">
            <v>3.75</v>
          </cell>
          <cell r="J5656">
            <v>46246</v>
          </cell>
          <cell r="K5656">
            <v>100</v>
          </cell>
          <cell r="L5656">
            <v>46226</v>
          </cell>
          <cell r="M5656">
            <v>-658</v>
          </cell>
          <cell r="N5656">
            <v>99342</v>
          </cell>
        </row>
        <row r="5657">
          <cell r="A5657">
            <v>61875</v>
          </cell>
          <cell r="B5657">
            <v>5651</v>
          </cell>
          <cell r="C5657" t="str">
            <v>IASWD2503000279</v>
          </cell>
          <cell r="D5657">
            <v>45728</v>
          </cell>
          <cell r="E5657">
            <v>46578</v>
          </cell>
          <cell r="F5657" t="str">
            <v>61875</v>
          </cell>
          <cell r="G5657" t="str">
            <v>萬潤五</v>
          </cell>
          <cell r="H5657">
            <v>100000</v>
          </cell>
          <cell r="I5657">
            <v>3</v>
          </cell>
          <cell r="J5657">
            <v>46578</v>
          </cell>
          <cell r="K5657">
            <v>100</v>
          </cell>
          <cell r="L5657">
            <v>46560</v>
          </cell>
          <cell r="M5657">
            <v>-526</v>
          </cell>
          <cell r="N5657">
            <v>99474</v>
          </cell>
        </row>
        <row r="5658">
          <cell r="A5658">
            <v>15364</v>
          </cell>
          <cell r="B5658">
            <v>5652</v>
          </cell>
          <cell r="C5658" t="str">
            <v>IASWD2503000280</v>
          </cell>
          <cell r="D5658">
            <v>45728</v>
          </cell>
          <cell r="E5658">
            <v>46246</v>
          </cell>
          <cell r="F5658" t="str">
            <v>15364</v>
          </cell>
          <cell r="G5658" t="str">
            <v>和大四</v>
          </cell>
          <cell r="H5658">
            <v>1000000</v>
          </cell>
          <cell r="I5658">
            <v>3.75</v>
          </cell>
          <cell r="J5658">
            <v>46246</v>
          </cell>
          <cell r="K5658">
            <v>100</v>
          </cell>
          <cell r="L5658">
            <v>46226</v>
          </cell>
          <cell r="M5658">
            <v>-6575</v>
          </cell>
          <cell r="N5658">
            <v>993425</v>
          </cell>
        </row>
        <row r="5659">
          <cell r="A5659">
            <v>49794</v>
          </cell>
          <cell r="B5659">
            <v>5653</v>
          </cell>
          <cell r="C5659" t="str">
            <v>IASWD2503000281</v>
          </cell>
          <cell r="D5659">
            <v>45728</v>
          </cell>
          <cell r="E5659">
            <v>46381</v>
          </cell>
          <cell r="F5659" t="str">
            <v>49794</v>
          </cell>
          <cell r="G5659" t="str">
            <v>華星光四</v>
          </cell>
          <cell r="H5659">
            <v>100000</v>
          </cell>
          <cell r="I5659">
            <v>4</v>
          </cell>
          <cell r="J5659">
            <v>46381</v>
          </cell>
          <cell r="K5659">
            <v>100</v>
          </cell>
          <cell r="L5659">
            <v>46363</v>
          </cell>
          <cell r="M5659">
            <v>-701</v>
          </cell>
          <cell r="N5659">
            <v>99299</v>
          </cell>
        </row>
        <row r="5660">
          <cell r="A5660">
            <v>15364</v>
          </cell>
          <cell r="B5660">
            <v>5654</v>
          </cell>
          <cell r="C5660" t="str">
            <v>IASWD2503000282</v>
          </cell>
          <cell r="D5660">
            <v>45728</v>
          </cell>
          <cell r="E5660">
            <v>46246</v>
          </cell>
          <cell r="F5660" t="str">
            <v>15364</v>
          </cell>
          <cell r="G5660" t="str">
            <v>和大四</v>
          </cell>
          <cell r="H5660">
            <v>300000</v>
          </cell>
          <cell r="I5660">
            <v>3.75</v>
          </cell>
          <cell r="J5660">
            <v>46246</v>
          </cell>
          <cell r="K5660">
            <v>100</v>
          </cell>
          <cell r="L5660">
            <v>46226</v>
          </cell>
          <cell r="M5660">
            <v>-1973</v>
          </cell>
          <cell r="N5660">
            <v>298027</v>
          </cell>
        </row>
        <row r="5661">
          <cell r="A5661">
            <v>30455</v>
          </cell>
          <cell r="B5661">
            <v>5655</v>
          </cell>
          <cell r="C5661" t="str">
            <v>IASWD2503000283</v>
          </cell>
          <cell r="D5661">
            <v>45729</v>
          </cell>
          <cell r="E5661">
            <v>46808</v>
          </cell>
          <cell r="F5661" t="str">
            <v>30455</v>
          </cell>
          <cell r="G5661" t="str">
            <v>台灣大五</v>
          </cell>
          <cell r="H5661">
            <v>100000</v>
          </cell>
          <cell r="I5661">
            <v>2.2999999999999998</v>
          </cell>
          <cell r="J5661">
            <v>46808</v>
          </cell>
          <cell r="K5661">
            <v>100</v>
          </cell>
          <cell r="L5661">
            <v>46790</v>
          </cell>
          <cell r="M5661">
            <v>-397</v>
          </cell>
          <cell r="N5661">
            <v>99603</v>
          </cell>
        </row>
        <row r="5662">
          <cell r="A5662">
            <v>33902</v>
          </cell>
          <cell r="B5662">
            <v>5656</v>
          </cell>
          <cell r="C5662" t="str">
            <v>IASWD2503000284</v>
          </cell>
          <cell r="D5662">
            <v>45729</v>
          </cell>
          <cell r="E5662">
            <v>46804</v>
          </cell>
          <cell r="F5662" t="str">
            <v>33902</v>
          </cell>
          <cell r="G5662" t="str">
            <v>旭軟二</v>
          </cell>
          <cell r="H5662">
            <v>200000</v>
          </cell>
          <cell r="I5662">
            <v>2.2999999999999998</v>
          </cell>
          <cell r="J5662">
            <v>46804</v>
          </cell>
          <cell r="K5662">
            <v>100</v>
          </cell>
          <cell r="L5662">
            <v>46784</v>
          </cell>
          <cell r="M5662">
            <v>-794</v>
          </cell>
          <cell r="N5662">
            <v>199206</v>
          </cell>
        </row>
        <row r="5663">
          <cell r="A5663">
            <v>64145</v>
          </cell>
          <cell r="B5663">
            <v>5657</v>
          </cell>
          <cell r="C5663" t="str">
            <v>IASWD2503000285</v>
          </cell>
          <cell r="D5663">
            <v>45729</v>
          </cell>
          <cell r="E5663">
            <v>46250</v>
          </cell>
          <cell r="F5663" t="str">
            <v>64145</v>
          </cell>
          <cell r="G5663" t="str">
            <v>樺漢五</v>
          </cell>
          <cell r="H5663">
            <v>100000</v>
          </cell>
          <cell r="I5663">
            <v>3</v>
          </cell>
          <cell r="J5663">
            <v>46250</v>
          </cell>
          <cell r="K5663">
            <v>100</v>
          </cell>
          <cell r="L5663">
            <v>46231</v>
          </cell>
          <cell r="M5663">
            <v>-518</v>
          </cell>
          <cell r="N5663">
            <v>99482</v>
          </cell>
        </row>
        <row r="5664">
          <cell r="A5664">
            <v>64145</v>
          </cell>
          <cell r="B5664">
            <v>5658</v>
          </cell>
          <cell r="C5664" t="str">
            <v>IASWD2503000286</v>
          </cell>
          <cell r="D5664">
            <v>45729</v>
          </cell>
          <cell r="E5664">
            <v>46250</v>
          </cell>
          <cell r="F5664" t="str">
            <v>64145</v>
          </cell>
          <cell r="G5664" t="str">
            <v>樺漢五</v>
          </cell>
          <cell r="H5664">
            <v>500000</v>
          </cell>
          <cell r="I5664">
            <v>3</v>
          </cell>
          <cell r="J5664">
            <v>46250</v>
          </cell>
          <cell r="K5664">
            <v>100</v>
          </cell>
          <cell r="L5664">
            <v>46231</v>
          </cell>
          <cell r="M5664">
            <v>-2589</v>
          </cell>
          <cell r="N5664">
            <v>497411</v>
          </cell>
        </row>
        <row r="5665">
          <cell r="A5665">
            <v>61965</v>
          </cell>
          <cell r="B5665">
            <v>5659</v>
          </cell>
          <cell r="C5665" t="str">
            <v>IASWD2503000287</v>
          </cell>
          <cell r="D5665">
            <v>45729</v>
          </cell>
          <cell r="E5665">
            <v>46200</v>
          </cell>
          <cell r="F5665" t="str">
            <v>61965</v>
          </cell>
          <cell r="G5665" t="str">
            <v>帆宣五</v>
          </cell>
          <cell r="H5665">
            <v>100000</v>
          </cell>
          <cell r="I5665">
            <v>3</v>
          </cell>
          <cell r="J5665">
            <v>46200</v>
          </cell>
          <cell r="K5665">
            <v>100</v>
          </cell>
          <cell r="L5665">
            <v>46182</v>
          </cell>
          <cell r="M5665">
            <v>-518</v>
          </cell>
          <cell r="N5665">
            <v>99482</v>
          </cell>
        </row>
        <row r="5666">
          <cell r="A5666">
            <v>61394</v>
          </cell>
          <cell r="B5666">
            <v>5660</v>
          </cell>
          <cell r="C5666" t="str">
            <v>IASWD2503000288</v>
          </cell>
          <cell r="D5666">
            <v>45729</v>
          </cell>
          <cell r="E5666">
            <v>46047</v>
          </cell>
          <cell r="F5666" t="str">
            <v>61394</v>
          </cell>
          <cell r="G5666" t="str">
            <v>亞翔四</v>
          </cell>
          <cell r="H5666">
            <v>200000</v>
          </cell>
          <cell r="I5666">
            <v>3</v>
          </cell>
          <cell r="J5666">
            <v>46047</v>
          </cell>
          <cell r="K5666">
            <v>101.0025</v>
          </cell>
          <cell r="L5666">
            <v>46028</v>
          </cell>
          <cell r="M5666">
            <v>-1036</v>
          </cell>
          <cell r="N5666">
            <v>198964</v>
          </cell>
        </row>
        <row r="5667">
          <cell r="A5667">
            <v>15364</v>
          </cell>
          <cell r="B5667">
            <v>5661</v>
          </cell>
          <cell r="C5667" t="str">
            <v>IASWD2503000289</v>
          </cell>
          <cell r="D5667">
            <v>45729</v>
          </cell>
          <cell r="E5667">
            <v>46246</v>
          </cell>
          <cell r="F5667" t="str">
            <v>15364</v>
          </cell>
          <cell r="G5667" t="str">
            <v>和大四</v>
          </cell>
          <cell r="H5667">
            <v>100000</v>
          </cell>
          <cell r="I5667">
            <v>3.75</v>
          </cell>
          <cell r="J5667">
            <v>46246</v>
          </cell>
          <cell r="K5667">
            <v>100</v>
          </cell>
          <cell r="L5667">
            <v>46226</v>
          </cell>
          <cell r="M5667">
            <v>-647</v>
          </cell>
          <cell r="N5667">
            <v>99353</v>
          </cell>
        </row>
        <row r="5668">
          <cell r="A5668">
            <v>15364</v>
          </cell>
          <cell r="B5668">
            <v>5662</v>
          </cell>
          <cell r="C5668" t="str">
            <v>IASWD2503000290</v>
          </cell>
          <cell r="D5668">
            <v>45729</v>
          </cell>
          <cell r="E5668">
            <v>46246</v>
          </cell>
          <cell r="F5668" t="str">
            <v>15364</v>
          </cell>
          <cell r="G5668" t="str">
            <v>和大四</v>
          </cell>
          <cell r="H5668">
            <v>100000</v>
          </cell>
          <cell r="I5668">
            <v>3.75</v>
          </cell>
          <cell r="J5668">
            <v>46246</v>
          </cell>
          <cell r="K5668">
            <v>100</v>
          </cell>
          <cell r="L5668">
            <v>46226</v>
          </cell>
          <cell r="M5668">
            <v>-647</v>
          </cell>
          <cell r="N5668">
            <v>99353</v>
          </cell>
        </row>
        <row r="5669">
          <cell r="A5669">
            <v>61843</v>
          </cell>
          <cell r="B5669">
            <v>5663</v>
          </cell>
          <cell r="C5669" t="str">
            <v>IASWD2503000291</v>
          </cell>
          <cell r="D5669">
            <v>45729</v>
          </cell>
          <cell r="E5669">
            <v>46452</v>
          </cell>
          <cell r="F5669" t="str">
            <v>61843</v>
          </cell>
          <cell r="G5669" t="str">
            <v>大豐電三</v>
          </cell>
          <cell r="H5669">
            <v>800000</v>
          </cell>
          <cell r="I5669">
            <v>3.75</v>
          </cell>
          <cell r="J5669">
            <v>46452</v>
          </cell>
          <cell r="K5669">
            <v>101.50749999999999</v>
          </cell>
          <cell r="L5669">
            <v>46434</v>
          </cell>
          <cell r="M5669">
            <v>-5178</v>
          </cell>
          <cell r="N5669">
            <v>794822</v>
          </cell>
        </row>
        <row r="5670">
          <cell r="A5670">
            <v>34912</v>
          </cell>
          <cell r="B5670">
            <v>5664</v>
          </cell>
          <cell r="C5670" t="str">
            <v>IASWD2503000292</v>
          </cell>
          <cell r="D5670">
            <v>45729</v>
          </cell>
          <cell r="E5670">
            <v>46627</v>
          </cell>
          <cell r="F5670" t="str">
            <v>34912</v>
          </cell>
          <cell r="G5670" t="str">
            <v>昇達科二</v>
          </cell>
          <cell r="H5670">
            <v>100000</v>
          </cell>
          <cell r="I5670">
            <v>3</v>
          </cell>
          <cell r="J5670">
            <v>46627</v>
          </cell>
          <cell r="K5670">
            <v>100</v>
          </cell>
          <cell r="L5670">
            <v>46609</v>
          </cell>
          <cell r="M5670">
            <v>-518</v>
          </cell>
          <cell r="N5670">
            <v>99482</v>
          </cell>
        </row>
        <row r="5671">
          <cell r="A5671">
            <v>64145</v>
          </cell>
          <cell r="B5671">
            <v>5665</v>
          </cell>
          <cell r="C5671" t="str">
            <v>IASWD2503000293</v>
          </cell>
          <cell r="D5671">
            <v>45729</v>
          </cell>
          <cell r="E5671">
            <v>46250</v>
          </cell>
          <cell r="F5671" t="str">
            <v>64145</v>
          </cell>
          <cell r="G5671" t="str">
            <v>樺漢五</v>
          </cell>
          <cell r="H5671">
            <v>100000</v>
          </cell>
          <cell r="I5671">
            <v>3</v>
          </cell>
          <cell r="J5671">
            <v>46250</v>
          </cell>
          <cell r="K5671">
            <v>100</v>
          </cell>
          <cell r="L5671">
            <v>46231</v>
          </cell>
          <cell r="M5671">
            <v>-518</v>
          </cell>
          <cell r="N5671">
            <v>99482</v>
          </cell>
        </row>
        <row r="5672">
          <cell r="A5672">
            <v>84332</v>
          </cell>
          <cell r="B5672">
            <v>5666</v>
          </cell>
          <cell r="C5672" t="str">
            <v>IASWD2503000294</v>
          </cell>
          <cell r="D5672">
            <v>45729</v>
          </cell>
          <cell r="E5672">
            <v>46166</v>
          </cell>
          <cell r="F5672" t="str">
            <v>84332</v>
          </cell>
          <cell r="G5672" t="str">
            <v>弘帆二</v>
          </cell>
          <cell r="H5672">
            <v>200000</v>
          </cell>
          <cell r="I5672">
            <v>4</v>
          </cell>
          <cell r="J5672">
            <v>46166</v>
          </cell>
          <cell r="K5672">
            <v>100.5</v>
          </cell>
          <cell r="L5672">
            <v>46147</v>
          </cell>
          <cell r="M5672">
            <v>-1381</v>
          </cell>
          <cell r="N5672">
            <v>198619</v>
          </cell>
        </row>
        <row r="5673">
          <cell r="A5673">
            <v>99211</v>
          </cell>
          <cell r="B5673">
            <v>5667</v>
          </cell>
          <cell r="C5673" t="str">
            <v>IASWD2503000295</v>
          </cell>
          <cell r="D5673">
            <v>45729</v>
          </cell>
          <cell r="E5673">
            <v>46551</v>
          </cell>
          <cell r="F5673" t="str">
            <v>99211</v>
          </cell>
          <cell r="G5673" t="str">
            <v>巨大一</v>
          </cell>
          <cell r="H5673">
            <v>200000</v>
          </cell>
          <cell r="I5673">
            <v>2.9</v>
          </cell>
          <cell r="J5673">
            <v>46551</v>
          </cell>
          <cell r="K5673">
            <v>100</v>
          </cell>
          <cell r="L5673">
            <v>46532</v>
          </cell>
          <cell r="M5673">
            <v>-1001</v>
          </cell>
          <cell r="N5673">
            <v>198999</v>
          </cell>
        </row>
        <row r="5674">
          <cell r="A5674">
            <v>30454</v>
          </cell>
          <cell r="B5674">
            <v>5668</v>
          </cell>
          <cell r="C5674" t="str">
            <v>IASWD2503000296</v>
          </cell>
          <cell r="D5674">
            <v>45729</v>
          </cell>
          <cell r="E5674">
            <v>46807</v>
          </cell>
          <cell r="F5674" t="str">
            <v>30454</v>
          </cell>
          <cell r="G5674" t="str">
            <v>台灣大四</v>
          </cell>
          <cell r="H5674">
            <v>700000</v>
          </cell>
          <cell r="I5674">
            <v>2.2999999999999998</v>
          </cell>
          <cell r="J5674">
            <v>46807</v>
          </cell>
          <cell r="K5674">
            <v>100</v>
          </cell>
          <cell r="L5674">
            <v>46787</v>
          </cell>
          <cell r="M5674">
            <v>-2779</v>
          </cell>
          <cell r="N5674">
            <v>697221</v>
          </cell>
        </row>
        <row r="5675">
          <cell r="A5675">
            <v>84332</v>
          </cell>
          <cell r="B5675">
            <v>5669</v>
          </cell>
          <cell r="C5675" t="str">
            <v>IASWD2503000297</v>
          </cell>
          <cell r="D5675">
            <v>45729</v>
          </cell>
          <cell r="E5675">
            <v>46166</v>
          </cell>
          <cell r="F5675" t="str">
            <v>84332</v>
          </cell>
          <cell r="G5675" t="str">
            <v>弘帆二</v>
          </cell>
          <cell r="H5675">
            <v>100000</v>
          </cell>
          <cell r="I5675">
            <v>4</v>
          </cell>
          <cell r="J5675">
            <v>46166</v>
          </cell>
          <cell r="K5675">
            <v>100.5</v>
          </cell>
          <cell r="L5675">
            <v>46147</v>
          </cell>
          <cell r="M5675">
            <v>-690</v>
          </cell>
          <cell r="N5675">
            <v>99310</v>
          </cell>
        </row>
        <row r="5676">
          <cell r="A5676">
            <v>15364</v>
          </cell>
          <cell r="B5676">
            <v>5670</v>
          </cell>
          <cell r="C5676" t="str">
            <v>IASWD2503000298</v>
          </cell>
          <cell r="D5676">
            <v>45729</v>
          </cell>
          <cell r="E5676">
            <v>46246</v>
          </cell>
          <cell r="F5676" t="str">
            <v>15364</v>
          </cell>
          <cell r="G5676" t="str">
            <v>和大四</v>
          </cell>
          <cell r="H5676">
            <v>100000</v>
          </cell>
          <cell r="I5676">
            <v>3.75</v>
          </cell>
          <cell r="J5676">
            <v>46246</v>
          </cell>
          <cell r="K5676">
            <v>100</v>
          </cell>
          <cell r="L5676">
            <v>46226</v>
          </cell>
          <cell r="M5676">
            <v>-647</v>
          </cell>
          <cell r="N5676">
            <v>99353</v>
          </cell>
        </row>
        <row r="5677">
          <cell r="A5677">
            <v>64145</v>
          </cell>
          <cell r="B5677">
            <v>5671</v>
          </cell>
          <cell r="C5677" t="str">
            <v>IASWD2503000299</v>
          </cell>
          <cell r="D5677">
            <v>45729</v>
          </cell>
          <cell r="E5677">
            <v>46250</v>
          </cell>
          <cell r="F5677" t="str">
            <v>64145</v>
          </cell>
          <cell r="G5677" t="str">
            <v>樺漢五</v>
          </cell>
          <cell r="H5677">
            <v>100000</v>
          </cell>
          <cell r="I5677">
            <v>3</v>
          </cell>
          <cell r="J5677">
            <v>46250</v>
          </cell>
          <cell r="K5677">
            <v>100</v>
          </cell>
          <cell r="L5677">
            <v>46231</v>
          </cell>
          <cell r="M5677">
            <v>-518</v>
          </cell>
          <cell r="N5677">
            <v>99482</v>
          </cell>
        </row>
        <row r="5678">
          <cell r="A5678">
            <v>64145</v>
          </cell>
          <cell r="B5678">
            <v>5672</v>
          </cell>
          <cell r="C5678" t="str">
            <v>IASWD2503000300</v>
          </cell>
          <cell r="D5678">
            <v>45729</v>
          </cell>
          <cell r="E5678">
            <v>46250</v>
          </cell>
          <cell r="F5678" t="str">
            <v>64145</v>
          </cell>
          <cell r="G5678" t="str">
            <v>樺漢五</v>
          </cell>
          <cell r="H5678">
            <v>300000</v>
          </cell>
          <cell r="I5678">
            <v>3</v>
          </cell>
          <cell r="J5678">
            <v>46250</v>
          </cell>
          <cell r="K5678">
            <v>100</v>
          </cell>
          <cell r="L5678">
            <v>46231</v>
          </cell>
          <cell r="M5678">
            <v>-1553</v>
          </cell>
          <cell r="N5678">
            <v>298447</v>
          </cell>
        </row>
        <row r="5679">
          <cell r="A5679">
            <v>33902</v>
          </cell>
          <cell r="B5679">
            <v>5673</v>
          </cell>
          <cell r="C5679" t="str">
            <v>IASWD2503000301</v>
          </cell>
          <cell r="D5679">
            <v>45729</v>
          </cell>
          <cell r="E5679">
            <v>46804</v>
          </cell>
          <cell r="F5679" t="str">
            <v>33902</v>
          </cell>
          <cell r="G5679" t="str">
            <v>旭軟二</v>
          </cell>
          <cell r="H5679">
            <v>200000</v>
          </cell>
          <cell r="I5679">
            <v>2.2999999999999998</v>
          </cell>
          <cell r="J5679">
            <v>46804</v>
          </cell>
          <cell r="K5679">
            <v>100</v>
          </cell>
          <cell r="L5679">
            <v>46784</v>
          </cell>
          <cell r="M5679">
            <v>-794</v>
          </cell>
          <cell r="N5679">
            <v>199206</v>
          </cell>
        </row>
        <row r="5680">
          <cell r="A5680">
            <v>35266</v>
          </cell>
          <cell r="B5680">
            <v>5674</v>
          </cell>
          <cell r="C5680" t="str">
            <v>IASWD2503000302</v>
          </cell>
          <cell r="D5680">
            <v>45729</v>
          </cell>
          <cell r="E5680">
            <v>46416</v>
          </cell>
          <cell r="F5680" t="str">
            <v>35266</v>
          </cell>
          <cell r="G5680" t="str">
            <v>凡甲六</v>
          </cell>
          <cell r="H5680">
            <v>100000</v>
          </cell>
          <cell r="I5680">
            <v>2.9</v>
          </cell>
          <cell r="J5680">
            <v>46416</v>
          </cell>
          <cell r="K5680">
            <v>100</v>
          </cell>
          <cell r="L5680">
            <v>46398</v>
          </cell>
          <cell r="M5680">
            <v>-501</v>
          </cell>
          <cell r="N5680">
            <v>99499</v>
          </cell>
        </row>
        <row r="5681">
          <cell r="A5681">
            <v>34163</v>
          </cell>
          <cell r="B5681">
            <v>5675</v>
          </cell>
          <cell r="C5681" t="str">
            <v>IASWD2503000303</v>
          </cell>
          <cell r="D5681">
            <v>45729</v>
          </cell>
          <cell r="E5681">
            <v>46047</v>
          </cell>
          <cell r="F5681" t="str">
            <v>34163</v>
          </cell>
          <cell r="G5681" t="str">
            <v>融程電三</v>
          </cell>
          <cell r="H5681">
            <v>100000</v>
          </cell>
          <cell r="I5681">
            <v>3</v>
          </cell>
          <cell r="J5681">
            <v>46047</v>
          </cell>
          <cell r="K5681">
            <v>100.5</v>
          </cell>
          <cell r="L5681">
            <v>46028</v>
          </cell>
          <cell r="M5681">
            <v>-518</v>
          </cell>
          <cell r="N5681">
            <v>99482</v>
          </cell>
        </row>
        <row r="5682">
          <cell r="A5682">
            <v>68301</v>
          </cell>
          <cell r="B5682">
            <v>5676</v>
          </cell>
          <cell r="C5682" t="str">
            <v>IASWD2503000304</v>
          </cell>
          <cell r="D5682">
            <v>45729</v>
          </cell>
          <cell r="E5682">
            <v>46249</v>
          </cell>
          <cell r="F5682" t="str">
            <v>68301</v>
          </cell>
          <cell r="G5682" t="str">
            <v>汎銓一</v>
          </cell>
          <cell r="H5682">
            <v>100000</v>
          </cell>
          <cell r="I5682">
            <v>3</v>
          </cell>
          <cell r="J5682">
            <v>46249</v>
          </cell>
          <cell r="K5682">
            <v>100</v>
          </cell>
          <cell r="L5682">
            <v>46231</v>
          </cell>
          <cell r="M5682">
            <v>-518</v>
          </cell>
          <cell r="N5682">
            <v>99482</v>
          </cell>
        </row>
        <row r="5683">
          <cell r="A5683">
            <v>64145</v>
          </cell>
          <cell r="B5683">
            <v>5677</v>
          </cell>
          <cell r="C5683" t="str">
            <v>IASWD2503000305</v>
          </cell>
          <cell r="D5683">
            <v>45730</v>
          </cell>
          <cell r="E5683">
            <v>46250</v>
          </cell>
          <cell r="F5683" t="str">
            <v>64145</v>
          </cell>
          <cell r="G5683" t="str">
            <v>樺漢五</v>
          </cell>
          <cell r="H5683">
            <v>100000</v>
          </cell>
          <cell r="I5683">
            <v>3</v>
          </cell>
          <cell r="J5683">
            <v>46250</v>
          </cell>
          <cell r="K5683">
            <v>100</v>
          </cell>
          <cell r="L5683">
            <v>46231</v>
          </cell>
          <cell r="M5683">
            <v>-510</v>
          </cell>
          <cell r="N5683">
            <v>99490</v>
          </cell>
        </row>
        <row r="5684">
          <cell r="A5684">
            <v>30454</v>
          </cell>
          <cell r="B5684">
            <v>5678</v>
          </cell>
          <cell r="C5684" t="str">
            <v>IASWD2503000306</v>
          </cell>
          <cell r="D5684">
            <v>45730</v>
          </cell>
          <cell r="E5684">
            <v>46807</v>
          </cell>
          <cell r="F5684" t="str">
            <v>30454</v>
          </cell>
          <cell r="G5684" t="str">
            <v>台灣大四</v>
          </cell>
          <cell r="H5684">
            <v>200000</v>
          </cell>
          <cell r="I5684">
            <v>2.2999999999999998</v>
          </cell>
          <cell r="J5684">
            <v>46807</v>
          </cell>
          <cell r="K5684">
            <v>100</v>
          </cell>
          <cell r="L5684">
            <v>46787</v>
          </cell>
          <cell r="M5684">
            <v>-781</v>
          </cell>
          <cell r="N5684">
            <v>199219</v>
          </cell>
        </row>
        <row r="5685">
          <cell r="A5685">
            <v>61906</v>
          </cell>
          <cell r="B5685">
            <v>5679</v>
          </cell>
          <cell r="C5685" t="str">
            <v>IASWD2503000307</v>
          </cell>
          <cell r="D5685">
            <v>45730</v>
          </cell>
          <cell r="E5685">
            <v>45961</v>
          </cell>
          <cell r="F5685" t="str">
            <v>61906</v>
          </cell>
          <cell r="G5685" t="str">
            <v>萬泰科六</v>
          </cell>
          <cell r="H5685">
            <v>100000</v>
          </cell>
          <cell r="I5685">
            <v>3.75</v>
          </cell>
          <cell r="J5685">
            <v>45961</v>
          </cell>
          <cell r="K5685">
            <v>100</v>
          </cell>
          <cell r="L5685">
            <v>45943</v>
          </cell>
          <cell r="M5685">
            <v>-637</v>
          </cell>
          <cell r="N5685">
            <v>99363</v>
          </cell>
        </row>
        <row r="5686">
          <cell r="A5686">
            <v>99211</v>
          </cell>
          <cell r="B5686">
            <v>5680</v>
          </cell>
          <cell r="C5686" t="str">
            <v>IASWD2503000308</v>
          </cell>
          <cell r="D5686">
            <v>45730</v>
          </cell>
          <cell r="E5686">
            <v>46551</v>
          </cell>
          <cell r="F5686" t="str">
            <v>99211</v>
          </cell>
          <cell r="G5686" t="str">
            <v>巨大一</v>
          </cell>
          <cell r="H5686">
            <v>300000</v>
          </cell>
          <cell r="I5686">
            <v>2.9</v>
          </cell>
          <cell r="J5686">
            <v>46551</v>
          </cell>
          <cell r="K5686">
            <v>100</v>
          </cell>
          <cell r="L5686">
            <v>46532</v>
          </cell>
          <cell r="M5686">
            <v>-1478</v>
          </cell>
          <cell r="N5686">
            <v>298522</v>
          </cell>
        </row>
        <row r="5687">
          <cell r="A5687">
            <v>61906</v>
          </cell>
          <cell r="B5687">
            <v>5681</v>
          </cell>
          <cell r="C5687" t="str">
            <v>IASWD2503000309</v>
          </cell>
          <cell r="D5687">
            <v>45730</v>
          </cell>
          <cell r="E5687">
            <v>45961</v>
          </cell>
          <cell r="F5687" t="str">
            <v>61906</v>
          </cell>
          <cell r="G5687" t="str">
            <v>萬泰科六</v>
          </cell>
          <cell r="H5687">
            <v>200000</v>
          </cell>
          <cell r="I5687">
            <v>3.75</v>
          </cell>
          <cell r="J5687">
            <v>45961</v>
          </cell>
          <cell r="K5687">
            <v>100</v>
          </cell>
          <cell r="L5687">
            <v>45943</v>
          </cell>
          <cell r="M5687">
            <v>-1274</v>
          </cell>
          <cell r="N5687">
            <v>198726</v>
          </cell>
        </row>
        <row r="5688">
          <cell r="A5688">
            <v>99211</v>
          </cell>
          <cell r="B5688">
            <v>5682</v>
          </cell>
          <cell r="C5688" t="str">
            <v>IASWD2503000310</v>
          </cell>
          <cell r="D5688">
            <v>45730</v>
          </cell>
          <cell r="E5688">
            <v>46551</v>
          </cell>
          <cell r="F5688" t="str">
            <v>99211</v>
          </cell>
          <cell r="G5688" t="str">
            <v>巨大一</v>
          </cell>
          <cell r="H5688">
            <v>500000</v>
          </cell>
          <cell r="I5688">
            <v>2.9</v>
          </cell>
          <cell r="J5688">
            <v>46551</v>
          </cell>
          <cell r="K5688">
            <v>100</v>
          </cell>
          <cell r="L5688">
            <v>46532</v>
          </cell>
          <cell r="M5688">
            <v>-2463</v>
          </cell>
          <cell r="N5688">
            <v>497537</v>
          </cell>
        </row>
        <row r="5689">
          <cell r="A5689">
            <v>15364</v>
          </cell>
          <cell r="B5689">
            <v>5683</v>
          </cell>
          <cell r="C5689" t="str">
            <v>IASWD2503000311</v>
          </cell>
          <cell r="D5689">
            <v>45730</v>
          </cell>
          <cell r="E5689">
            <v>46246</v>
          </cell>
          <cell r="F5689" t="str">
            <v>15364</v>
          </cell>
          <cell r="G5689" t="str">
            <v>和大四</v>
          </cell>
          <cell r="H5689">
            <v>500000</v>
          </cell>
          <cell r="I5689">
            <v>3.75</v>
          </cell>
          <cell r="J5689">
            <v>46246</v>
          </cell>
          <cell r="K5689">
            <v>100</v>
          </cell>
          <cell r="L5689">
            <v>46226</v>
          </cell>
          <cell r="M5689">
            <v>-3185</v>
          </cell>
          <cell r="N5689">
            <v>496815</v>
          </cell>
        </row>
        <row r="5690">
          <cell r="A5690">
            <v>61843</v>
          </cell>
          <cell r="B5690">
            <v>5684</v>
          </cell>
          <cell r="C5690" t="str">
            <v>IASWD2503000312</v>
          </cell>
          <cell r="D5690">
            <v>45730</v>
          </cell>
          <cell r="E5690">
            <v>46452</v>
          </cell>
          <cell r="F5690" t="str">
            <v>61843</v>
          </cell>
          <cell r="G5690" t="str">
            <v>大豐電三</v>
          </cell>
          <cell r="H5690">
            <v>100000</v>
          </cell>
          <cell r="I5690">
            <v>3.75</v>
          </cell>
          <cell r="J5690">
            <v>46452</v>
          </cell>
          <cell r="K5690">
            <v>101.50749999999999</v>
          </cell>
          <cell r="L5690">
            <v>46434</v>
          </cell>
          <cell r="M5690">
            <v>-637</v>
          </cell>
          <cell r="N5690">
            <v>99363</v>
          </cell>
        </row>
        <row r="5691">
          <cell r="A5691">
            <v>61906</v>
          </cell>
          <cell r="B5691">
            <v>5685</v>
          </cell>
          <cell r="C5691" t="str">
            <v>IASWD2503000313</v>
          </cell>
          <cell r="D5691">
            <v>45730</v>
          </cell>
          <cell r="E5691">
            <v>45961</v>
          </cell>
          <cell r="F5691" t="str">
            <v>61906</v>
          </cell>
          <cell r="G5691" t="str">
            <v>萬泰科六</v>
          </cell>
          <cell r="H5691">
            <v>500000</v>
          </cell>
          <cell r="I5691">
            <v>3.75</v>
          </cell>
          <cell r="J5691">
            <v>45961</v>
          </cell>
          <cell r="K5691">
            <v>100</v>
          </cell>
          <cell r="L5691">
            <v>45943</v>
          </cell>
          <cell r="M5691">
            <v>-3185</v>
          </cell>
          <cell r="N5691">
            <v>496815</v>
          </cell>
        </row>
        <row r="5692">
          <cell r="A5692">
            <v>64145</v>
          </cell>
          <cell r="B5692">
            <v>5686</v>
          </cell>
          <cell r="C5692" t="str">
            <v>IASWD2503000314</v>
          </cell>
          <cell r="D5692">
            <v>45730</v>
          </cell>
          <cell r="E5692">
            <v>46250</v>
          </cell>
          <cell r="F5692" t="str">
            <v>64145</v>
          </cell>
          <cell r="G5692" t="str">
            <v>樺漢五</v>
          </cell>
          <cell r="H5692">
            <v>100000</v>
          </cell>
          <cell r="I5692">
            <v>3</v>
          </cell>
          <cell r="J5692">
            <v>46250</v>
          </cell>
          <cell r="K5692">
            <v>100</v>
          </cell>
          <cell r="L5692">
            <v>46231</v>
          </cell>
          <cell r="M5692">
            <v>-510</v>
          </cell>
          <cell r="N5692">
            <v>99490</v>
          </cell>
        </row>
        <row r="5693">
          <cell r="A5693">
            <v>35871</v>
          </cell>
          <cell r="B5693">
            <v>5687</v>
          </cell>
          <cell r="C5693" t="str">
            <v>IASWD2503000315</v>
          </cell>
          <cell r="D5693">
            <v>45730</v>
          </cell>
          <cell r="E5693">
            <v>46193</v>
          </cell>
          <cell r="F5693" t="str">
            <v>35871</v>
          </cell>
          <cell r="G5693" t="str">
            <v>閎康一</v>
          </cell>
          <cell r="H5693">
            <v>100000</v>
          </cell>
          <cell r="I5693">
            <v>2.6</v>
          </cell>
          <cell r="J5693">
            <v>46193</v>
          </cell>
          <cell r="K5693">
            <v>100</v>
          </cell>
          <cell r="L5693">
            <v>46175</v>
          </cell>
          <cell r="M5693">
            <v>-442</v>
          </cell>
          <cell r="N5693">
            <v>99558</v>
          </cell>
        </row>
        <row r="5694">
          <cell r="A5694">
            <v>15364</v>
          </cell>
          <cell r="B5694">
            <v>5688</v>
          </cell>
          <cell r="C5694" t="str">
            <v>IASWD2503000316</v>
          </cell>
          <cell r="D5694">
            <v>45730</v>
          </cell>
          <cell r="E5694">
            <v>46246</v>
          </cell>
          <cell r="F5694" t="str">
            <v>15364</v>
          </cell>
          <cell r="G5694" t="str">
            <v>和大四</v>
          </cell>
          <cell r="H5694">
            <v>1000000</v>
          </cell>
          <cell r="I5694">
            <v>3.75</v>
          </cell>
          <cell r="J5694">
            <v>46246</v>
          </cell>
          <cell r="K5694">
            <v>100</v>
          </cell>
          <cell r="L5694">
            <v>46226</v>
          </cell>
          <cell r="M5694">
            <v>-6370</v>
          </cell>
          <cell r="N5694">
            <v>993630</v>
          </cell>
        </row>
        <row r="5695">
          <cell r="A5695">
            <v>67152</v>
          </cell>
          <cell r="B5695">
            <v>5689</v>
          </cell>
          <cell r="C5695" t="str">
            <v>IASWD2503000317</v>
          </cell>
          <cell r="D5695">
            <v>45730</v>
          </cell>
          <cell r="E5695">
            <v>46405</v>
          </cell>
          <cell r="F5695" t="str">
            <v>67152</v>
          </cell>
          <cell r="G5695" t="str">
            <v>嘉基二</v>
          </cell>
          <cell r="H5695">
            <v>100000</v>
          </cell>
          <cell r="I5695">
            <v>3</v>
          </cell>
          <cell r="J5695">
            <v>46405</v>
          </cell>
          <cell r="K5695">
            <v>100</v>
          </cell>
          <cell r="L5695">
            <v>46385</v>
          </cell>
          <cell r="M5695">
            <v>-510</v>
          </cell>
          <cell r="N5695">
            <v>99490</v>
          </cell>
        </row>
        <row r="5696">
          <cell r="A5696">
            <v>15364</v>
          </cell>
          <cell r="B5696">
            <v>5690</v>
          </cell>
          <cell r="C5696" t="str">
            <v>IASWD2503000318</v>
          </cell>
          <cell r="D5696">
            <v>45730</v>
          </cell>
          <cell r="E5696">
            <v>46246</v>
          </cell>
          <cell r="F5696" t="str">
            <v>15364</v>
          </cell>
          <cell r="G5696" t="str">
            <v>和大四</v>
          </cell>
          <cell r="H5696">
            <v>100000</v>
          </cell>
          <cell r="I5696">
            <v>3.75</v>
          </cell>
          <cell r="J5696">
            <v>46246</v>
          </cell>
          <cell r="K5696">
            <v>100</v>
          </cell>
          <cell r="L5696">
            <v>46226</v>
          </cell>
          <cell r="M5696">
            <v>-637</v>
          </cell>
          <cell r="N5696">
            <v>99363</v>
          </cell>
        </row>
        <row r="5697">
          <cell r="A5697">
            <v>64145</v>
          </cell>
          <cell r="B5697">
            <v>5691</v>
          </cell>
          <cell r="C5697" t="str">
            <v>IASWD2503000319</v>
          </cell>
          <cell r="D5697">
            <v>45730</v>
          </cell>
          <cell r="E5697">
            <v>46250</v>
          </cell>
          <cell r="F5697" t="str">
            <v>64145</v>
          </cell>
          <cell r="G5697" t="str">
            <v>樺漢五</v>
          </cell>
          <cell r="H5697">
            <v>100000</v>
          </cell>
          <cell r="I5697">
            <v>3</v>
          </cell>
          <cell r="J5697">
            <v>46250</v>
          </cell>
          <cell r="K5697">
            <v>100</v>
          </cell>
          <cell r="L5697">
            <v>46231</v>
          </cell>
          <cell r="M5697">
            <v>-510</v>
          </cell>
          <cell r="N5697">
            <v>99490</v>
          </cell>
        </row>
        <row r="5698">
          <cell r="A5698">
            <v>30454</v>
          </cell>
          <cell r="B5698">
            <v>5692</v>
          </cell>
          <cell r="C5698" t="str">
            <v>IASWD2503000320</v>
          </cell>
          <cell r="D5698">
            <v>45730</v>
          </cell>
          <cell r="E5698">
            <v>46807</v>
          </cell>
          <cell r="F5698" t="str">
            <v>30454</v>
          </cell>
          <cell r="G5698" t="str">
            <v>台灣大四</v>
          </cell>
          <cell r="H5698">
            <v>100000</v>
          </cell>
          <cell r="I5698">
            <v>2.2999999999999998</v>
          </cell>
          <cell r="J5698">
            <v>46807</v>
          </cell>
          <cell r="K5698">
            <v>100</v>
          </cell>
          <cell r="L5698">
            <v>46787</v>
          </cell>
          <cell r="M5698">
            <v>-391</v>
          </cell>
          <cell r="N5698">
            <v>99609</v>
          </cell>
        </row>
        <row r="5699">
          <cell r="A5699">
            <v>64145</v>
          </cell>
          <cell r="B5699">
            <v>5693</v>
          </cell>
          <cell r="C5699" t="str">
            <v>IASWD2503000321</v>
          </cell>
          <cell r="D5699">
            <v>45730</v>
          </cell>
          <cell r="E5699">
            <v>46250</v>
          </cell>
          <cell r="F5699" t="str">
            <v>64145</v>
          </cell>
          <cell r="G5699" t="str">
            <v>樺漢五</v>
          </cell>
          <cell r="H5699">
            <v>100000</v>
          </cell>
          <cell r="I5699">
            <v>3</v>
          </cell>
          <cell r="J5699">
            <v>46250</v>
          </cell>
          <cell r="K5699">
            <v>100</v>
          </cell>
          <cell r="L5699">
            <v>46231</v>
          </cell>
          <cell r="M5699">
            <v>-510</v>
          </cell>
          <cell r="N5699">
            <v>99490</v>
          </cell>
        </row>
        <row r="5700">
          <cell r="A5700">
            <v>84332</v>
          </cell>
          <cell r="B5700">
            <v>5694</v>
          </cell>
          <cell r="C5700" t="str">
            <v>IASWD2503000322</v>
          </cell>
          <cell r="D5700">
            <v>45733</v>
          </cell>
          <cell r="E5700">
            <v>46166</v>
          </cell>
          <cell r="F5700" t="str">
            <v>84332</v>
          </cell>
          <cell r="G5700" t="str">
            <v>弘帆二</v>
          </cell>
          <cell r="H5700">
            <v>500000</v>
          </cell>
          <cell r="I5700">
            <v>4</v>
          </cell>
          <cell r="J5700">
            <v>46166</v>
          </cell>
          <cell r="K5700">
            <v>100.5</v>
          </cell>
          <cell r="L5700">
            <v>46147</v>
          </cell>
          <cell r="M5700">
            <v>-3233</v>
          </cell>
          <cell r="N5700">
            <v>496767</v>
          </cell>
        </row>
        <row r="5701">
          <cell r="A5701">
            <v>64145</v>
          </cell>
          <cell r="B5701">
            <v>5695</v>
          </cell>
          <cell r="C5701" t="str">
            <v>IASWD2503000323</v>
          </cell>
          <cell r="D5701">
            <v>45733</v>
          </cell>
          <cell r="E5701">
            <v>46250</v>
          </cell>
          <cell r="F5701" t="str">
            <v>64145</v>
          </cell>
          <cell r="G5701" t="str">
            <v>樺漢五</v>
          </cell>
          <cell r="H5701">
            <v>100000</v>
          </cell>
          <cell r="I5701">
            <v>3</v>
          </cell>
          <cell r="J5701">
            <v>46250</v>
          </cell>
          <cell r="K5701">
            <v>100</v>
          </cell>
          <cell r="L5701">
            <v>46231</v>
          </cell>
          <cell r="M5701">
            <v>-485</v>
          </cell>
          <cell r="N5701">
            <v>99515</v>
          </cell>
        </row>
        <row r="5702">
          <cell r="A5702">
            <v>99211</v>
          </cell>
          <cell r="B5702">
            <v>5696</v>
          </cell>
          <cell r="C5702" t="str">
            <v>IASWD2503000324</v>
          </cell>
          <cell r="D5702">
            <v>45733</v>
          </cell>
          <cell r="E5702">
            <v>46551</v>
          </cell>
          <cell r="F5702" t="str">
            <v>99211</v>
          </cell>
          <cell r="G5702" t="str">
            <v>巨大一</v>
          </cell>
          <cell r="H5702">
            <v>200000</v>
          </cell>
          <cell r="I5702">
            <v>2.9</v>
          </cell>
          <cell r="J5702">
            <v>46551</v>
          </cell>
          <cell r="K5702">
            <v>100</v>
          </cell>
          <cell r="L5702">
            <v>46532</v>
          </cell>
          <cell r="M5702">
            <v>-938</v>
          </cell>
          <cell r="N5702">
            <v>199062</v>
          </cell>
        </row>
        <row r="5703">
          <cell r="A5703">
            <v>64145</v>
          </cell>
          <cell r="B5703">
            <v>5697</v>
          </cell>
          <cell r="C5703" t="str">
            <v>IASWD2503000325</v>
          </cell>
          <cell r="D5703">
            <v>45733</v>
          </cell>
          <cell r="E5703">
            <v>46250</v>
          </cell>
          <cell r="F5703" t="str">
            <v>64145</v>
          </cell>
          <cell r="G5703" t="str">
            <v>樺漢五</v>
          </cell>
          <cell r="H5703">
            <v>100000</v>
          </cell>
          <cell r="I5703">
            <v>3</v>
          </cell>
          <cell r="J5703">
            <v>46250</v>
          </cell>
          <cell r="K5703">
            <v>100</v>
          </cell>
          <cell r="L5703">
            <v>46231</v>
          </cell>
          <cell r="M5703">
            <v>-485</v>
          </cell>
          <cell r="N5703">
            <v>99515</v>
          </cell>
        </row>
        <row r="5704">
          <cell r="A5704">
            <v>15364</v>
          </cell>
          <cell r="B5704">
            <v>5698</v>
          </cell>
          <cell r="C5704" t="str">
            <v>IASWD2503000326</v>
          </cell>
          <cell r="D5704">
            <v>45733</v>
          </cell>
          <cell r="E5704">
            <v>46246</v>
          </cell>
          <cell r="F5704" t="str">
            <v>15364</v>
          </cell>
          <cell r="G5704" t="str">
            <v>和大四</v>
          </cell>
          <cell r="H5704">
            <v>200000</v>
          </cell>
          <cell r="I5704">
            <v>3.75</v>
          </cell>
          <cell r="J5704">
            <v>46246</v>
          </cell>
          <cell r="K5704">
            <v>100</v>
          </cell>
          <cell r="L5704">
            <v>46226</v>
          </cell>
          <cell r="M5704">
            <v>-1212</v>
          </cell>
          <cell r="N5704">
            <v>198788</v>
          </cell>
        </row>
        <row r="5705">
          <cell r="A5705">
            <v>64145</v>
          </cell>
          <cell r="B5705">
            <v>5699</v>
          </cell>
          <cell r="C5705" t="str">
            <v>IASWD2503000327</v>
          </cell>
          <cell r="D5705">
            <v>45733</v>
          </cell>
          <cell r="E5705">
            <v>46250</v>
          </cell>
          <cell r="F5705" t="str">
            <v>64145</v>
          </cell>
          <cell r="G5705" t="str">
            <v>樺漢五</v>
          </cell>
          <cell r="H5705">
            <v>100000</v>
          </cell>
          <cell r="I5705">
            <v>3</v>
          </cell>
          <cell r="J5705">
            <v>46250</v>
          </cell>
          <cell r="K5705">
            <v>100</v>
          </cell>
          <cell r="L5705">
            <v>46231</v>
          </cell>
          <cell r="M5705">
            <v>-485</v>
          </cell>
          <cell r="N5705">
            <v>99515</v>
          </cell>
        </row>
        <row r="5706">
          <cell r="A5706">
            <v>84333</v>
          </cell>
          <cell r="B5706">
            <v>5700</v>
          </cell>
          <cell r="C5706" t="str">
            <v>IASWD2503000328</v>
          </cell>
          <cell r="D5706">
            <v>45733</v>
          </cell>
          <cell r="E5706">
            <v>46169</v>
          </cell>
          <cell r="F5706" t="str">
            <v>84333</v>
          </cell>
          <cell r="G5706" t="str">
            <v>弘帆三</v>
          </cell>
          <cell r="H5706">
            <v>600000</v>
          </cell>
          <cell r="I5706">
            <v>4</v>
          </cell>
          <cell r="J5706">
            <v>46169</v>
          </cell>
          <cell r="K5706">
            <v>100.5</v>
          </cell>
          <cell r="L5706">
            <v>46149</v>
          </cell>
          <cell r="M5706">
            <v>-3879</v>
          </cell>
          <cell r="N5706">
            <v>596121</v>
          </cell>
        </row>
        <row r="5707">
          <cell r="A5707">
            <v>34793</v>
          </cell>
          <cell r="B5707">
            <v>5701</v>
          </cell>
          <cell r="C5707" t="str">
            <v>IASWD2503000329</v>
          </cell>
          <cell r="D5707">
            <v>45733</v>
          </cell>
          <cell r="E5707">
            <v>46409</v>
          </cell>
          <cell r="F5707" t="str">
            <v>34793</v>
          </cell>
          <cell r="G5707" t="str">
            <v>安勤三</v>
          </cell>
          <cell r="H5707">
            <v>100000</v>
          </cell>
          <cell r="I5707">
            <v>3</v>
          </cell>
          <cell r="J5707">
            <v>46409</v>
          </cell>
          <cell r="K5707">
            <v>100</v>
          </cell>
          <cell r="L5707">
            <v>46391</v>
          </cell>
          <cell r="M5707">
            <v>-485</v>
          </cell>
          <cell r="N5707">
            <v>99515</v>
          </cell>
        </row>
        <row r="5708">
          <cell r="A5708">
            <v>64145</v>
          </cell>
          <cell r="B5708">
            <v>5702</v>
          </cell>
          <cell r="C5708" t="str">
            <v>IASWD2503000330</v>
          </cell>
          <cell r="D5708">
            <v>45733</v>
          </cell>
          <cell r="E5708">
            <v>46250</v>
          </cell>
          <cell r="F5708" t="str">
            <v>64145</v>
          </cell>
          <cell r="G5708" t="str">
            <v>樺漢五</v>
          </cell>
          <cell r="H5708">
            <v>200000</v>
          </cell>
          <cell r="I5708">
            <v>3</v>
          </cell>
          <cell r="J5708">
            <v>46250</v>
          </cell>
          <cell r="K5708">
            <v>100</v>
          </cell>
          <cell r="L5708">
            <v>46231</v>
          </cell>
          <cell r="M5708">
            <v>-970</v>
          </cell>
          <cell r="N5708">
            <v>199030</v>
          </cell>
        </row>
        <row r="5709">
          <cell r="A5709">
            <v>49794</v>
          </cell>
          <cell r="B5709">
            <v>5703</v>
          </cell>
          <cell r="C5709" t="str">
            <v>IASWD2503000331</v>
          </cell>
          <cell r="D5709">
            <v>45733</v>
          </cell>
          <cell r="E5709">
            <v>46381</v>
          </cell>
          <cell r="F5709" t="str">
            <v>49794</v>
          </cell>
          <cell r="G5709" t="str">
            <v>華星光四</v>
          </cell>
          <cell r="H5709">
            <v>100000</v>
          </cell>
          <cell r="I5709">
            <v>4</v>
          </cell>
          <cell r="J5709">
            <v>46381</v>
          </cell>
          <cell r="K5709">
            <v>100</v>
          </cell>
          <cell r="L5709">
            <v>46363</v>
          </cell>
          <cell r="M5709">
            <v>-647</v>
          </cell>
          <cell r="N5709">
            <v>99353</v>
          </cell>
        </row>
        <row r="5710">
          <cell r="A5710">
            <v>61906</v>
          </cell>
          <cell r="B5710">
            <v>5704</v>
          </cell>
          <cell r="C5710" t="str">
            <v>IASWD2503000332</v>
          </cell>
          <cell r="D5710">
            <v>45733</v>
          </cell>
          <cell r="E5710">
            <v>45961</v>
          </cell>
          <cell r="F5710" t="str">
            <v>61906</v>
          </cell>
          <cell r="G5710" t="str">
            <v>萬泰科六</v>
          </cell>
          <cell r="H5710">
            <v>100000</v>
          </cell>
          <cell r="I5710">
            <v>3.75</v>
          </cell>
          <cell r="J5710">
            <v>45961</v>
          </cell>
          <cell r="K5710">
            <v>100</v>
          </cell>
          <cell r="L5710">
            <v>45943</v>
          </cell>
          <cell r="M5710">
            <v>-606</v>
          </cell>
          <cell r="N5710">
            <v>99394</v>
          </cell>
        </row>
        <row r="5711">
          <cell r="A5711">
            <v>61906</v>
          </cell>
          <cell r="B5711">
            <v>5705</v>
          </cell>
          <cell r="C5711" t="str">
            <v>IASWD2503000333</v>
          </cell>
          <cell r="D5711">
            <v>45733</v>
          </cell>
          <cell r="E5711">
            <v>45961</v>
          </cell>
          <cell r="F5711" t="str">
            <v>61906</v>
          </cell>
          <cell r="G5711" t="str">
            <v>萬泰科六</v>
          </cell>
          <cell r="H5711">
            <v>800000</v>
          </cell>
          <cell r="I5711">
            <v>3.75</v>
          </cell>
          <cell r="J5711">
            <v>45961</v>
          </cell>
          <cell r="K5711">
            <v>100</v>
          </cell>
          <cell r="L5711">
            <v>45943</v>
          </cell>
          <cell r="M5711">
            <v>-4849</v>
          </cell>
          <cell r="N5711">
            <v>795151</v>
          </cell>
        </row>
        <row r="5712">
          <cell r="A5712">
            <v>61875</v>
          </cell>
          <cell r="B5712">
            <v>5706</v>
          </cell>
          <cell r="C5712" t="str">
            <v>IASWD2503000334</v>
          </cell>
          <cell r="D5712">
            <v>45733</v>
          </cell>
          <cell r="E5712">
            <v>46578</v>
          </cell>
          <cell r="F5712" t="str">
            <v>61875</v>
          </cell>
          <cell r="G5712" t="str">
            <v>萬潤五</v>
          </cell>
          <cell r="H5712">
            <v>100000</v>
          </cell>
          <cell r="I5712">
            <v>3</v>
          </cell>
          <cell r="J5712">
            <v>46578</v>
          </cell>
          <cell r="K5712">
            <v>100</v>
          </cell>
          <cell r="L5712">
            <v>46560</v>
          </cell>
          <cell r="M5712">
            <v>-485</v>
          </cell>
          <cell r="N5712">
            <v>99515</v>
          </cell>
        </row>
        <row r="5713">
          <cell r="A5713">
            <v>67531</v>
          </cell>
          <cell r="B5713">
            <v>5707</v>
          </cell>
          <cell r="C5713" t="str">
            <v>IASWD2503000335</v>
          </cell>
          <cell r="D5713">
            <v>45733</v>
          </cell>
          <cell r="E5713">
            <v>46563</v>
          </cell>
          <cell r="F5713" t="str">
            <v>67531</v>
          </cell>
          <cell r="G5713" t="str">
            <v>龍德造船一</v>
          </cell>
          <cell r="H5713">
            <v>100000</v>
          </cell>
          <cell r="I5713">
            <v>3.25</v>
          </cell>
          <cell r="J5713">
            <v>46563</v>
          </cell>
          <cell r="K5713">
            <v>100</v>
          </cell>
          <cell r="L5713">
            <v>46545</v>
          </cell>
          <cell r="M5713">
            <v>-525</v>
          </cell>
          <cell r="N5713">
            <v>99475</v>
          </cell>
        </row>
        <row r="5714">
          <cell r="A5714">
            <v>35871</v>
          </cell>
          <cell r="B5714">
            <v>5708</v>
          </cell>
          <cell r="C5714" t="str">
            <v>IASWD2503000336</v>
          </cell>
          <cell r="D5714">
            <v>45733</v>
          </cell>
          <cell r="E5714">
            <v>46193</v>
          </cell>
          <cell r="F5714" t="str">
            <v>35871</v>
          </cell>
          <cell r="G5714" t="str">
            <v>閎康一</v>
          </cell>
          <cell r="H5714">
            <v>100000</v>
          </cell>
          <cell r="I5714">
            <v>2.6</v>
          </cell>
          <cell r="J5714">
            <v>46193</v>
          </cell>
          <cell r="K5714">
            <v>100</v>
          </cell>
          <cell r="L5714">
            <v>46175</v>
          </cell>
          <cell r="M5714">
            <v>-420</v>
          </cell>
          <cell r="N5714">
            <v>99580</v>
          </cell>
        </row>
        <row r="5715">
          <cell r="A5715">
            <v>34834</v>
          </cell>
          <cell r="B5715">
            <v>5709</v>
          </cell>
          <cell r="C5715" t="str">
            <v>IASWD2503000337</v>
          </cell>
          <cell r="D5715">
            <v>45733</v>
          </cell>
          <cell r="E5715">
            <v>46529</v>
          </cell>
          <cell r="F5715" t="str">
            <v>34834</v>
          </cell>
          <cell r="G5715" t="str">
            <v>力致四</v>
          </cell>
          <cell r="H5715">
            <v>100000</v>
          </cell>
          <cell r="I5715">
            <v>3.75</v>
          </cell>
          <cell r="J5715">
            <v>46529</v>
          </cell>
          <cell r="K5715">
            <v>100</v>
          </cell>
          <cell r="L5715">
            <v>46511</v>
          </cell>
          <cell r="M5715">
            <v>-606</v>
          </cell>
          <cell r="N5715">
            <v>99394</v>
          </cell>
        </row>
        <row r="5716">
          <cell r="A5716">
            <v>84333</v>
          </cell>
          <cell r="B5716">
            <v>5710</v>
          </cell>
          <cell r="C5716" t="str">
            <v>IASWD2503000338</v>
          </cell>
          <cell r="D5716">
            <v>45733</v>
          </cell>
          <cell r="E5716">
            <v>46169</v>
          </cell>
          <cell r="F5716" t="str">
            <v>84333</v>
          </cell>
          <cell r="G5716" t="str">
            <v>弘帆三</v>
          </cell>
          <cell r="H5716">
            <v>100000</v>
          </cell>
          <cell r="I5716">
            <v>4</v>
          </cell>
          <cell r="J5716">
            <v>46169</v>
          </cell>
          <cell r="K5716">
            <v>100.5</v>
          </cell>
          <cell r="L5716">
            <v>46149</v>
          </cell>
          <cell r="M5716">
            <v>-647</v>
          </cell>
          <cell r="N5716">
            <v>99353</v>
          </cell>
        </row>
        <row r="5717">
          <cell r="A5717">
            <v>61965</v>
          </cell>
          <cell r="B5717">
            <v>5711</v>
          </cell>
          <cell r="C5717" t="str">
            <v>IASWD2503000339</v>
          </cell>
          <cell r="D5717">
            <v>45734</v>
          </cell>
          <cell r="E5717">
            <v>46200</v>
          </cell>
          <cell r="F5717" t="str">
            <v>61965</v>
          </cell>
          <cell r="G5717" t="str">
            <v>帆宣五</v>
          </cell>
          <cell r="H5717">
            <v>1000000</v>
          </cell>
          <cell r="I5717">
            <v>3</v>
          </cell>
          <cell r="J5717">
            <v>46200</v>
          </cell>
          <cell r="K5717">
            <v>100</v>
          </cell>
          <cell r="L5717">
            <v>46182</v>
          </cell>
          <cell r="M5717">
            <v>-4767</v>
          </cell>
          <cell r="N5717">
            <v>995233</v>
          </cell>
        </row>
        <row r="5718">
          <cell r="A5718">
            <v>24361</v>
          </cell>
          <cell r="B5718">
            <v>5712</v>
          </cell>
          <cell r="C5718" t="str">
            <v>IASWD2503000340</v>
          </cell>
          <cell r="D5718">
            <v>45734</v>
          </cell>
          <cell r="E5718">
            <v>45911</v>
          </cell>
          <cell r="F5718" t="str">
            <v>24361</v>
          </cell>
          <cell r="G5718" t="str">
            <v>偉詮電一</v>
          </cell>
          <cell r="H5718">
            <v>200000</v>
          </cell>
          <cell r="I5718">
            <v>3.75</v>
          </cell>
          <cell r="J5718">
            <v>45911</v>
          </cell>
          <cell r="K5718">
            <v>100.50060000000001</v>
          </cell>
          <cell r="L5718">
            <v>45891</v>
          </cell>
          <cell r="M5718">
            <v>-1192</v>
          </cell>
          <cell r="N5718">
            <v>198808</v>
          </cell>
        </row>
        <row r="5719">
          <cell r="A5719">
            <v>35482</v>
          </cell>
          <cell r="B5719">
            <v>5713</v>
          </cell>
          <cell r="C5719" t="str">
            <v>IASWD2503000341</v>
          </cell>
          <cell r="D5719">
            <v>45734</v>
          </cell>
          <cell r="E5719">
            <v>46395</v>
          </cell>
          <cell r="F5719" t="str">
            <v>35482</v>
          </cell>
          <cell r="G5719" t="str">
            <v>兆利二</v>
          </cell>
          <cell r="H5719">
            <v>100000</v>
          </cell>
          <cell r="I5719">
            <v>2.8</v>
          </cell>
          <cell r="J5719">
            <v>46395</v>
          </cell>
          <cell r="K5719">
            <v>100</v>
          </cell>
          <cell r="L5719">
            <v>46377</v>
          </cell>
          <cell r="M5719">
            <v>-445</v>
          </cell>
          <cell r="N5719">
            <v>99555</v>
          </cell>
        </row>
        <row r="5720">
          <cell r="A5720">
            <v>35266</v>
          </cell>
          <cell r="B5720">
            <v>5714</v>
          </cell>
          <cell r="C5720" t="str">
            <v>IASWD2503000342</v>
          </cell>
          <cell r="D5720">
            <v>45734</v>
          </cell>
          <cell r="E5720">
            <v>46416</v>
          </cell>
          <cell r="F5720" t="str">
            <v>35266</v>
          </cell>
          <cell r="G5720" t="str">
            <v>凡甲六</v>
          </cell>
          <cell r="H5720">
            <v>200000</v>
          </cell>
          <cell r="I5720">
            <v>2.9</v>
          </cell>
          <cell r="J5720">
            <v>46416</v>
          </cell>
          <cell r="K5720">
            <v>100</v>
          </cell>
          <cell r="L5720">
            <v>46398</v>
          </cell>
          <cell r="M5720">
            <v>-922</v>
          </cell>
          <cell r="N5720">
            <v>199078</v>
          </cell>
        </row>
        <row r="5721">
          <cell r="A5721">
            <v>64145</v>
          </cell>
          <cell r="B5721">
            <v>5715</v>
          </cell>
          <cell r="C5721" t="str">
            <v>IASWD2503000343</v>
          </cell>
          <cell r="D5721">
            <v>45734</v>
          </cell>
          <cell r="E5721">
            <v>46250</v>
          </cell>
          <cell r="F5721" t="str">
            <v>64145</v>
          </cell>
          <cell r="G5721" t="str">
            <v>樺漢五</v>
          </cell>
          <cell r="H5721">
            <v>200000</v>
          </cell>
          <cell r="I5721">
            <v>3</v>
          </cell>
          <cell r="J5721">
            <v>46250</v>
          </cell>
          <cell r="K5721">
            <v>100</v>
          </cell>
          <cell r="L5721">
            <v>46231</v>
          </cell>
          <cell r="M5721">
            <v>-953</v>
          </cell>
          <cell r="N5721">
            <v>199047</v>
          </cell>
        </row>
        <row r="5722">
          <cell r="A5722">
            <v>45721</v>
          </cell>
          <cell r="B5722">
            <v>5716</v>
          </cell>
          <cell r="C5722" t="str">
            <v>IASWD2503000344</v>
          </cell>
          <cell r="D5722">
            <v>45734</v>
          </cell>
          <cell r="E5722">
            <v>46219</v>
          </cell>
          <cell r="F5722" t="str">
            <v>45721</v>
          </cell>
          <cell r="G5722" t="str">
            <v>駐龍一</v>
          </cell>
          <cell r="H5722">
            <v>100000</v>
          </cell>
          <cell r="I5722">
            <v>3.5</v>
          </cell>
          <cell r="J5722">
            <v>46219</v>
          </cell>
          <cell r="K5722">
            <v>100</v>
          </cell>
          <cell r="L5722">
            <v>46199</v>
          </cell>
          <cell r="M5722">
            <v>-556</v>
          </cell>
          <cell r="N5722">
            <v>99444</v>
          </cell>
        </row>
        <row r="5723">
          <cell r="A5723">
            <v>15364</v>
          </cell>
          <cell r="B5723">
            <v>5717</v>
          </cell>
          <cell r="C5723" t="str">
            <v>IASWD2503000345</v>
          </cell>
          <cell r="D5723">
            <v>45734</v>
          </cell>
          <cell r="E5723">
            <v>46246</v>
          </cell>
          <cell r="F5723" t="str">
            <v>15364</v>
          </cell>
          <cell r="G5723" t="str">
            <v>和大四</v>
          </cell>
          <cell r="H5723">
            <v>100000</v>
          </cell>
          <cell r="I5723">
            <v>3.75</v>
          </cell>
          <cell r="J5723">
            <v>46246</v>
          </cell>
          <cell r="K5723">
            <v>100</v>
          </cell>
          <cell r="L5723">
            <v>46226</v>
          </cell>
          <cell r="M5723">
            <v>-596</v>
          </cell>
          <cell r="N5723">
            <v>99404</v>
          </cell>
        </row>
        <row r="5724">
          <cell r="A5724">
            <v>67531</v>
          </cell>
          <cell r="B5724">
            <v>5718</v>
          </cell>
          <cell r="C5724" t="str">
            <v>IASWD2503000346</v>
          </cell>
          <cell r="D5724">
            <v>45735</v>
          </cell>
          <cell r="E5724">
            <v>46563</v>
          </cell>
          <cell r="F5724" t="str">
            <v>67531</v>
          </cell>
          <cell r="G5724" t="str">
            <v>龍德造船一</v>
          </cell>
          <cell r="H5724">
            <v>200000</v>
          </cell>
          <cell r="I5724">
            <v>3.25</v>
          </cell>
          <cell r="J5724">
            <v>46563</v>
          </cell>
          <cell r="K5724">
            <v>100</v>
          </cell>
          <cell r="L5724">
            <v>46545</v>
          </cell>
          <cell r="M5724">
            <v>-1015</v>
          </cell>
          <cell r="N5724">
            <v>198985</v>
          </cell>
        </row>
        <row r="5725">
          <cell r="A5725">
            <v>34793</v>
          </cell>
          <cell r="B5725">
            <v>5719</v>
          </cell>
          <cell r="C5725" t="str">
            <v>IASWD2503000347</v>
          </cell>
          <cell r="D5725">
            <v>45735</v>
          </cell>
          <cell r="E5725">
            <v>46409</v>
          </cell>
          <cell r="F5725" t="str">
            <v>34793</v>
          </cell>
          <cell r="G5725" t="str">
            <v>安勤三</v>
          </cell>
          <cell r="H5725">
            <v>100000</v>
          </cell>
          <cell r="I5725">
            <v>3</v>
          </cell>
          <cell r="J5725">
            <v>46409</v>
          </cell>
          <cell r="K5725">
            <v>100</v>
          </cell>
          <cell r="L5725">
            <v>46391</v>
          </cell>
          <cell r="M5725">
            <v>-468</v>
          </cell>
          <cell r="N5725">
            <v>99532</v>
          </cell>
        </row>
        <row r="5726">
          <cell r="A5726">
            <v>15364</v>
          </cell>
          <cell r="B5726">
            <v>5720</v>
          </cell>
          <cell r="C5726" t="str">
            <v>IASWD2503000348</v>
          </cell>
          <cell r="D5726">
            <v>45735</v>
          </cell>
          <cell r="E5726">
            <v>46246</v>
          </cell>
          <cell r="F5726" t="str">
            <v>15364</v>
          </cell>
          <cell r="G5726" t="str">
            <v>和大四</v>
          </cell>
          <cell r="H5726">
            <v>100000</v>
          </cell>
          <cell r="I5726">
            <v>3.75</v>
          </cell>
          <cell r="J5726">
            <v>46246</v>
          </cell>
          <cell r="K5726">
            <v>100</v>
          </cell>
          <cell r="L5726">
            <v>46226</v>
          </cell>
          <cell r="M5726">
            <v>-586</v>
          </cell>
          <cell r="N5726">
            <v>99414</v>
          </cell>
        </row>
        <row r="5727">
          <cell r="A5727">
            <v>61965</v>
          </cell>
          <cell r="B5727">
            <v>5721</v>
          </cell>
          <cell r="C5727" t="str">
            <v>IASWD2503000349</v>
          </cell>
          <cell r="D5727">
            <v>45735</v>
          </cell>
          <cell r="E5727">
            <v>46200</v>
          </cell>
          <cell r="F5727" t="str">
            <v>61965</v>
          </cell>
          <cell r="G5727" t="str">
            <v>帆宣五</v>
          </cell>
          <cell r="H5727">
            <v>200000</v>
          </cell>
          <cell r="I5727">
            <v>3</v>
          </cell>
          <cell r="J5727">
            <v>46200</v>
          </cell>
          <cell r="K5727">
            <v>100</v>
          </cell>
          <cell r="L5727">
            <v>46182</v>
          </cell>
          <cell r="M5727">
            <v>-937</v>
          </cell>
          <cell r="N5727">
            <v>199063</v>
          </cell>
        </row>
        <row r="5728">
          <cell r="A5728">
            <v>15364</v>
          </cell>
          <cell r="B5728">
            <v>5722</v>
          </cell>
          <cell r="C5728" t="str">
            <v>IASWD2503000350</v>
          </cell>
          <cell r="D5728">
            <v>45735</v>
          </cell>
          <cell r="E5728">
            <v>46246</v>
          </cell>
          <cell r="F5728" t="str">
            <v>15364</v>
          </cell>
          <cell r="G5728" t="str">
            <v>和大四</v>
          </cell>
          <cell r="H5728">
            <v>200000</v>
          </cell>
          <cell r="I5728">
            <v>3.75</v>
          </cell>
          <cell r="J5728">
            <v>46246</v>
          </cell>
          <cell r="K5728">
            <v>100</v>
          </cell>
          <cell r="L5728">
            <v>46226</v>
          </cell>
          <cell r="M5728">
            <v>-1171</v>
          </cell>
          <cell r="N5728">
            <v>198829</v>
          </cell>
        </row>
        <row r="5729">
          <cell r="A5729">
            <v>45721</v>
          </cell>
          <cell r="B5729">
            <v>5723</v>
          </cell>
          <cell r="C5729" t="str">
            <v>IASWD2503000351</v>
          </cell>
          <cell r="D5729">
            <v>45735</v>
          </cell>
          <cell r="E5729">
            <v>46219</v>
          </cell>
          <cell r="F5729" t="str">
            <v>45721</v>
          </cell>
          <cell r="G5729" t="str">
            <v>駐龍一</v>
          </cell>
          <cell r="H5729">
            <v>200000</v>
          </cell>
          <cell r="I5729">
            <v>3.5</v>
          </cell>
          <cell r="J5729">
            <v>46219</v>
          </cell>
          <cell r="K5729">
            <v>100</v>
          </cell>
          <cell r="L5729">
            <v>46199</v>
          </cell>
          <cell r="M5729">
            <v>-1093</v>
          </cell>
          <cell r="N5729">
            <v>198907</v>
          </cell>
        </row>
        <row r="5730">
          <cell r="A5730">
            <v>64145</v>
          </cell>
          <cell r="B5730">
            <v>5724</v>
          </cell>
          <cell r="C5730" t="str">
            <v>IASWD2503000352</v>
          </cell>
          <cell r="D5730">
            <v>45735</v>
          </cell>
          <cell r="E5730">
            <v>46250</v>
          </cell>
          <cell r="F5730" t="str">
            <v>64145</v>
          </cell>
          <cell r="G5730" t="str">
            <v>樺漢五</v>
          </cell>
          <cell r="H5730">
            <v>100000</v>
          </cell>
          <cell r="I5730">
            <v>3</v>
          </cell>
          <cell r="J5730">
            <v>46250</v>
          </cell>
          <cell r="K5730">
            <v>100</v>
          </cell>
          <cell r="L5730">
            <v>46231</v>
          </cell>
          <cell r="M5730">
            <v>-468</v>
          </cell>
          <cell r="N5730">
            <v>99532</v>
          </cell>
        </row>
        <row r="5731">
          <cell r="A5731">
            <v>45721</v>
          </cell>
          <cell r="B5731">
            <v>5725</v>
          </cell>
          <cell r="C5731" t="str">
            <v>IASWD2503000353</v>
          </cell>
          <cell r="D5731">
            <v>45735</v>
          </cell>
          <cell r="E5731">
            <v>46219</v>
          </cell>
          <cell r="F5731" t="str">
            <v>45721</v>
          </cell>
          <cell r="G5731" t="str">
            <v>駐龍一</v>
          </cell>
          <cell r="H5731">
            <v>200000</v>
          </cell>
          <cell r="I5731">
            <v>3.5</v>
          </cell>
          <cell r="J5731">
            <v>46219</v>
          </cell>
          <cell r="K5731">
            <v>100</v>
          </cell>
          <cell r="L5731">
            <v>46199</v>
          </cell>
          <cell r="M5731">
            <v>-1093</v>
          </cell>
          <cell r="N5731">
            <v>198907</v>
          </cell>
        </row>
        <row r="5732">
          <cell r="A5732">
            <v>45721</v>
          </cell>
          <cell r="B5732">
            <v>5726</v>
          </cell>
          <cell r="C5732" t="str">
            <v>IASWD2503000354</v>
          </cell>
          <cell r="D5732">
            <v>45735</v>
          </cell>
          <cell r="E5732">
            <v>46219</v>
          </cell>
          <cell r="F5732" t="str">
            <v>45721</v>
          </cell>
          <cell r="G5732" t="str">
            <v>駐龍一</v>
          </cell>
          <cell r="H5732">
            <v>700000</v>
          </cell>
          <cell r="I5732">
            <v>3.5</v>
          </cell>
          <cell r="J5732">
            <v>46219</v>
          </cell>
          <cell r="K5732">
            <v>100</v>
          </cell>
          <cell r="L5732">
            <v>46199</v>
          </cell>
          <cell r="M5732">
            <v>-3826</v>
          </cell>
          <cell r="N5732">
            <v>696174</v>
          </cell>
        </row>
        <row r="5733">
          <cell r="A5733">
            <v>64145</v>
          </cell>
          <cell r="B5733">
            <v>5727</v>
          </cell>
          <cell r="C5733" t="str">
            <v>IASWD2503000355</v>
          </cell>
          <cell r="D5733">
            <v>45735</v>
          </cell>
          <cell r="E5733">
            <v>46250</v>
          </cell>
          <cell r="F5733" t="str">
            <v>64145</v>
          </cell>
          <cell r="G5733" t="str">
            <v>樺漢五</v>
          </cell>
          <cell r="H5733">
            <v>100000</v>
          </cell>
          <cell r="I5733">
            <v>3</v>
          </cell>
          <cell r="J5733">
            <v>46250</v>
          </cell>
          <cell r="K5733">
            <v>100</v>
          </cell>
          <cell r="L5733">
            <v>46231</v>
          </cell>
          <cell r="M5733">
            <v>-468</v>
          </cell>
          <cell r="N5733">
            <v>99532</v>
          </cell>
        </row>
        <row r="5734">
          <cell r="A5734">
            <v>15364</v>
          </cell>
          <cell r="B5734">
            <v>5728</v>
          </cell>
          <cell r="C5734" t="str">
            <v>IASWD2503000356</v>
          </cell>
          <cell r="D5734">
            <v>45735</v>
          </cell>
          <cell r="E5734">
            <v>46246</v>
          </cell>
          <cell r="F5734" t="str">
            <v>15364</v>
          </cell>
          <cell r="G5734" t="str">
            <v>和大四</v>
          </cell>
          <cell r="H5734">
            <v>100000</v>
          </cell>
          <cell r="I5734">
            <v>3.75</v>
          </cell>
          <cell r="J5734">
            <v>46246</v>
          </cell>
          <cell r="K5734">
            <v>100</v>
          </cell>
          <cell r="L5734">
            <v>46226</v>
          </cell>
          <cell r="M5734">
            <v>-586</v>
          </cell>
          <cell r="N5734">
            <v>99414</v>
          </cell>
        </row>
        <row r="5735">
          <cell r="A5735">
            <v>33902</v>
          </cell>
          <cell r="B5735">
            <v>5729</v>
          </cell>
          <cell r="C5735" t="str">
            <v>IASWD2503000357</v>
          </cell>
          <cell r="D5735">
            <v>45735</v>
          </cell>
          <cell r="E5735">
            <v>46804</v>
          </cell>
          <cell r="F5735" t="str">
            <v>33902</v>
          </cell>
          <cell r="G5735" t="str">
            <v>旭軟二</v>
          </cell>
          <cell r="H5735">
            <v>100000</v>
          </cell>
          <cell r="I5735">
            <v>2.2999999999999998</v>
          </cell>
          <cell r="J5735">
            <v>46804</v>
          </cell>
          <cell r="K5735">
            <v>100</v>
          </cell>
          <cell r="L5735">
            <v>46784</v>
          </cell>
          <cell r="M5735">
            <v>-359</v>
          </cell>
          <cell r="N5735">
            <v>99641</v>
          </cell>
        </row>
        <row r="5736">
          <cell r="A5736">
            <v>45721</v>
          </cell>
          <cell r="B5736">
            <v>5730</v>
          </cell>
          <cell r="C5736" t="str">
            <v>IASWD2503000358</v>
          </cell>
          <cell r="D5736">
            <v>45735</v>
          </cell>
          <cell r="E5736">
            <v>46219</v>
          </cell>
          <cell r="F5736" t="str">
            <v>45721</v>
          </cell>
          <cell r="G5736" t="str">
            <v>駐龍一</v>
          </cell>
          <cell r="H5736">
            <v>200000</v>
          </cell>
          <cell r="I5736">
            <v>3.5</v>
          </cell>
          <cell r="J5736">
            <v>46219</v>
          </cell>
          <cell r="K5736">
            <v>100</v>
          </cell>
          <cell r="L5736">
            <v>46199</v>
          </cell>
          <cell r="M5736">
            <v>-1093</v>
          </cell>
          <cell r="N5736">
            <v>198907</v>
          </cell>
        </row>
        <row r="5737">
          <cell r="A5737">
            <v>15364</v>
          </cell>
          <cell r="B5737">
            <v>5731</v>
          </cell>
          <cell r="C5737" t="str">
            <v>IASWD2503000359</v>
          </cell>
          <cell r="D5737">
            <v>45735</v>
          </cell>
          <cell r="E5737">
            <v>46246</v>
          </cell>
          <cell r="F5737" t="str">
            <v>15364</v>
          </cell>
          <cell r="G5737" t="str">
            <v>和大四</v>
          </cell>
          <cell r="H5737">
            <v>100000</v>
          </cell>
          <cell r="I5737">
            <v>3.75</v>
          </cell>
          <cell r="J5737">
            <v>46246</v>
          </cell>
          <cell r="K5737">
            <v>100</v>
          </cell>
          <cell r="L5737">
            <v>46226</v>
          </cell>
          <cell r="M5737">
            <v>-586</v>
          </cell>
          <cell r="N5737">
            <v>99414</v>
          </cell>
        </row>
        <row r="5738">
          <cell r="A5738">
            <v>99211</v>
          </cell>
          <cell r="B5738">
            <v>5732</v>
          </cell>
          <cell r="C5738" t="str">
            <v>IASWD2503000360</v>
          </cell>
          <cell r="D5738">
            <v>45735</v>
          </cell>
          <cell r="E5738">
            <v>46551</v>
          </cell>
          <cell r="F5738" t="str">
            <v>99211</v>
          </cell>
          <cell r="G5738" t="str">
            <v>巨大一</v>
          </cell>
          <cell r="H5738">
            <v>100000</v>
          </cell>
          <cell r="I5738">
            <v>2.9</v>
          </cell>
          <cell r="J5738">
            <v>46551</v>
          </cell>
          <cell r="K5738">
            <v>100</v>
          </cell>
          <cell r="L5738">
            <v>46532</v>
          </cell>
          <cell r="M5738">
            <v>-453</v>
          </cell>
          <cell r="N5738">
            <v>99547</v>
          </cell>
        </row>
        <row r="5739">
          <cell r="A5739">
            <v>30337</v>
          </cell>
          <cell r="B5739">
            <v>5733</v>
          </cell>
          <cell r="C5739" t="str">
            <v>IASWD2503000361</v>
          </cell>
          <cell r="D5739">
            <v>45735</v>
          </cell>
          <cell r="E5739">
            <v>46641</v>
          </cell>
          <cell r="F5739" t="str">
            <v>30337</v>
          </cell>
          <cell r="G5739" t="str">
            <v>威健七</v>
          </cell>
          <cell r="H5739">
            <v>100000</v>
          </cell>
          <cell r="I5739">
            <v>3.75</v>
          </cell>
          <cell r="J5739">
            <v>46641</v>
          </cell>
          <cell r="K5739">
            <v>100</v>
          </cell>
          <cell r="L5739">
            <v>46623</v>
          </cell>
          <cell r="M5739">
            <v>-586</v>
          </cell>
          <cell r="N5739">
            <v>99414</v>
          </cell>
        </row>
        <row r="5740">
          <cell r="A5740">
            <v>61973</v>
          </cell>
          <cell r="B5740">
            <v>5734</v>
          </cell>
          <cell r="C5740" t="str">
            <v>IASWD2503000362</v>
          </cell>
          <cell r="D5740">
            <v>45736</v>
          </cell>
          <cell r="E5740">
            <v>46675</v>
          </cell>
          <cell r="F5740" t="str">
            <v>61973</v>
          </cell>
          <cell r="G5740" t="str">
            <v>佳必琪三</v>
          </cell>
          <cell r="H5740">
            <v>100000</v>
          </cell>
          <cell r="I5740">
            <v>3</v>
          </cell>
          <cell r="J5740">
            <v>46675</v>
          </cell>
          <cell r="K5740">
            <v>100</v>
          </cell>
          <cell r="L5740">
            <v>46657</v>
          </cell>
          <cell r="M5740">
            <v>-460</v>
          </cell>
          <cell r="N5740">
            <v>99540</v>
          </cell>
        </row>
        <row r="5741">
          <cell r="A5741">
            <v>64145</v>
          </cell>
          <cell r="B5741">
            <v>5735</v>
          </cell>
          <cell r="C5741" t="str">
            <v>IASWD2503000363</v>
          </cell>
          <cell r="D5741">
            <v>45736</v>
          </cell>
          <cell r="E5741">
            <v>46250</v>
          </cell>
          <cell r="F5741" t="str">
            <v>64145</v>
          </cell>
          <cell r="G5741" t="str">
            <v>樺漢五</v>
          </cell>
          <cell r="H5741">
            <v>200000</v>
          </cell>
          <cell r="I5741">
            <v>3</v>
          </cell>
          <cell r="J5741">
            <v>46250</v>
          </cell>
          <cell r="K5741">
            <v>100</v>
          </cell>
          <cell r="L5741">
            <v>46231</v>
          </cell>
          <cell r="M5741">
            <v>-921</v>
          </cell>
          <cell r="N5741">
            <v>199079</v>
          </cell>
        </row>
        <row r="5742">
          <cell r="A5742">
            <v>64145</v>
          </cell>
          <cell r="B5742">
            <v>5736</v>
          </cell>
          <cell r="C5742" t="str">
            <v>IASWD2503000364</v>
          </cell>
          <cell r="D5742">
            <v>45736</v>
          </cell>
          <cell r="E5742">
            <v>46250</v>
          </cell>
          <cell r="F5742" t="str">
            <v>64145</v>
          </cell>
          <cell r="G5742" t="str">
            <v>樺漢五</v>
          </cell>
          <cell r="H5742">
            <v>100000</v>
          </cell>
          <cell r="I5742">
            <v>3</v>
          </cell>
          <cell r="J5742">
            <v>46250</v>
          </cell>
          <cell r="K5742">
            <v>100</v>
          </cell>
          <cell r="L5742">
            <v>46231</v>
          </cell>
          <cell r="M5742">
            <v>-460</v>
          </cell>
          <cell r="N5742">
            <v>99540</v>
          </cell>
        </row>
        <row r="5743">
          <cell r="A5743">
            <v>99211</v>
          </cell>
          <cell r="B5743">
            <v>5737</v>
          </cell>
          <cell r="C5743" t="str">
            <v>IASWD2503000365</v>
          </cell>
          <cell r="D5743">
            <v>45736</v>
          </cell>
          <cell r="E5743">
            <v>46551</v>
          </cell>
          <cell r="F5743" t="str">
            <v>99211</v>
          </cell>
          <cell r="G5743" t="str">
            <v>巨大一</v>
          </cell>
          <cell r="H5743">
            <v>600000</v>
          </cell>
          <cell r="I5743">
            <v>2.9</v>
          </cell>
          <cell r="J5743">
            <v>46551</v>
          </cell>
          <cell r="K5743">
            <v>100</v>
          </cell>
          <cell r="L5743">
            <v>46532</v>
          </cell>
          <cell r="M5743">
            <v>-2670</v>
          </cell>
          <cell r="N5743">
            <v>597330</v>
          </cell>
        </row>
        <row r="5744">
          <cell r="A5744">
            <v>64145</v>
          </cell>
          <cell r="B5744">
            <v>5738</v>
          </cell>
          <cell r="C5744" t="str">
            <v>IASWD2503000366</v>
          </cell>
          <cell r="D5744">
            <v>45736</v>
          </cell>
          <cell r="E5744">
            <v>46250</v>
          </cell>
          <cell r="F5744" t="str">
            <v>64145</v>
          </cell>
          <cell r="G5744" t="str">
            <v>樺漢五</v>
          </cell>
          <cell r="H5744">
            <v>1900000</v>
          </cell>
          <cell r="I5744">
            <v>3</v>
          </cell>
          <cell r="J5744">
            <v>46250</v>
          </cell>
          <cell r="K5744">
            <v>100</v>
          </cell>
          <cell r="L5744">
            <v>46231</v>
          </cell>
          <cell r="M5744">
            <v>-8745</v>
          </cell>
          <cell r="N5744">
            <v>1891255</v>
          </cell>
        </row>
        <row r="5745">
          <cell r="A5745">
            <v>68301</v>
          </cell>
          <cell r="B5745">
            <v>5739</v>
          </cell>
          <cell r="C5745" t="str">
            <v>IASWD2503000367</v>
          </cell>
          <cell r="D5745">
            <v>45736</v>
          </cell>
          <cell r="E5745">
            <v>46249</v>
          </cell>
          <cell r="F5745" t="str">
            <v>68301</v>
          </cell>
          <cell r="G5745" t="str">
            <v>汎銓一</v>
          </cell>
          <cell r="H5745">
            <v>100000</v>
          </cell>
          <cell r="I5745">
            <v>3</v>
          </cell>
          <cell r="J5745">
            <v>46249</v>
          </cell>
          <cell r="K5745">
            <v>100</v>
          </cell>
          <cell r="L5745">
            <v>46231</v>
          </cell>
          <cell r="M5745">
            <v>-460</v>
          </cell>
          <cell r="N5745">
            <v>99540</v>
          </cell>
        </row>
        <row r="5746">
          <cell r="A5746">
            <v>30337</v>
          </cell>
          <cell r="B5746">
            <v>5740</v>
          </cell>
          <cell r="C5746" t="str">
            <v>IASWD2503000368</v>
          </cell>
          <cell r="D5746">
            <v>45736</v>
          </cell>
          <cell r="E5746">
            <v>46641</v>
          </cell>
          <cell r="F5746" t="str">
            <v>30337</v>
          </cell>
          <cell r="G5746" t="str">
            <v>威健七</v>
          </cell>
          <cell r="H5746">
            <v>100000</v>
          </cell>
          <cell r="I5746">
            <v>3.75</v>
          </cell>
          <cell r="J5746">
            <v>46641</v>
          </cell>
          <cell r="K5746">
            <v>100</v>
          </cell>
          <cell r="L5746">
            <v>46623</v>
          </cell>
          <cell r="M5746">
            <v>-575</v>
          </cell>
          <cell r="N5746">
            <v>99425</v>
          </cell>
        </row>
        <row r="5747">
          <cell r="A5747">
            <v>61906</v>
          </cell>
          <cell r="B5747">
            <v>5741</v>
          </cell>
          <cell r="C5747" t="str">
            <v>IASWD2503000369</v>
          </cell>
          <cell r="D5747">
            <v>45736</v>
          </cell>
          <cell r="E5747">
            <v>45961</v>
          </cell>
          <cell r="F5747" t="str">
            <v>61906</v>
          </cell>
          <cell r="G5747" t="str">
            <v>萬泰科六</v>
          </cell>
          <cell r="H5747">
            <v>100000</v>
          </cell>
          <cell r="I5747">
            <v>3.75</v>
          </cell>
          <cell r="J5747">
            <v>45961</v>
          </cell>
          <cell r="K5747">
            <v>100</v>
          </cell>
          <cell r="L5747">
            <v>45943</v>
          </cell>
          <cell r="M5747">
            <v>-575</v>
          </cell>
          <cell r="N5747">
            <v>99425</v>
          </cell>
        </row>
        <row r="5748">
          <cell r="A5748">
            <v>24361</v>
          </cell>
          <cell r="B5748">
            <v>5742</v>
          </cell>
          <cell r="C5748" t="str">
            <v>IASWD2503000370</v>
          </cell>
          <cell r="D5748">
            <v>45736</v>
          </cell>
          <cell r="E5748">
            <v>45911</v>
          </cell>
          <cell r="F5748" t="str">
            <v>24361</v>
          </cell>
          <cell r="G5748" t="str">
            <v>偉詮電一</v>
          </cell>
          <cell r="H5748">
            <v>100000</v>
          </cell>
          <cell r="I5748">
            <v>3.75</v>
          </cell>
          <cell r="J5748">
            <v>45911</v>
          </cell>
          <cell r="K5748">
            <v>100.50060000000001</v>
          </cell>
          <cell r="L5748">
            <v>45891</v>
          </cell>
          <cell r="M5748">
            <v>-575</v>
          </cell>
          <cell r="N5748">
            <v>99425</v>
          </cell>
        </row>
        <row r="5749">
          <cell r="A5749">
            <v>22283</v>
          </cell>
          <cell r="B5749">
            <v>5743</v>
          </cell>
          <cell r="C5749" t="str">
            <v>IASWD2503000371</v>
          </cell>
          <cell r="D5749">
            <v>45736</v>
          </cell>
          <cell r="E5749">
            <v>46628</v>
          </cell>
          <cell r="F5749" t="str">
            <v>22283</v>
          </cell>
          <cell r="G5749" t="str">
            <v>劍麟三</v>
          </cell>
          <cell r="H5749">
            <v>1800000</v>
          </cell>
          <cell r="I5749">
            <v>3</v>
          </cell>
          <cell r="J5749">
            <v>46628</v>
          </cell>
          <cell r="K5749">
            <v>100</v>
          </cell>
          <cell r="L5749">
            <v>46609</v>
          </cell>
          <cell r="M5749">
            <v>-8285</v>
          </cell>
          <cell r="N5749">
            <v>1791715</v>
          </cell>
        </row>
        <row r="5750">
          <cell r="A5750">
            <v>34912</v>
          </cell>
          <cell r="B5750">
            <v>5744</v>
          </cell>
          <cell r="C5750" t="str">
            <v>IASWD2503000372</v>
          </cell>
          <cell r="D5750">
            <v>45736</v>
          </cell>
          <cell r="E5750">
            <v>46627</v>
          </cell>
          <cell r="F5750" t="str">
            <v>34912</v>
          </cell>
          <cell r="G5750" t="str">
            <v>昇達科二</v>
          </cell>
          <cell r="H5750">
            <v>500000</v>
          </cell>
          <cell r="I5750">
            <v>3</v>
          </cell>
          <cell r="J5750">
            <v>46627</v>
          </cell>
          <cell r="K5750">
            <v>100</v>
          </cell>
          <cell r="L5750">
            <v>46609</v>
          </cell>
          <cell r="M5750">
            <v>-2301</v>
          </cell>
          <cell r="N5750">
            <v>497699</v>
          </cell>
        </row>
        <row r="5751">
          <cell r="A5751">
            <v>34793</v>
          </cell>
          <cell r="B5751">
            <v>5745</v>
          </cell>
          <cell r="C5751" t="str">
            <v>IASWD2503000373</v>
          </cell>
          <cell r="D5751">
            <v>45736</v>
          </cell>
          <cell r="E5751">
            <v>46409</v>
          </cell>
          <cell r="F5751" t="str">
            <v>34793</v>
          </cell>
          <cell r="G5751" t="str">
            <v>安勤三</v>
          </cell>
          <cell r="H5751">
            <v>100000</v>
          </cell>
          <cell r="I5751">
            <v>3</v>
          </cell>
          <cell r="J5751">
            <v>46409</v>
          </cell>
          <cell r="K5751">
            <v>100</v>
          </cell>
          <cell r="L5751">
            <v>46391</v>
          </cell>
          <cell r="M5751">
            <v>-460</v>
          </cell>
          <cell r="N5751">
            <v>99540</v>
          </cell>
        </row>
        <row r="5752">
          <cell r="A5752">
            <v>30337</v>
          </cell>
          <cell r="B5752">
            <v>5746</v>
          </cell>
          <cell r="C5752" t="str">
            <v>IASWD2503000374</v>
          </cell>
          <cell r="D5752">
            <v>45736</v>
          </cell>
          <cell r="E5752">
            <v>46641</v>
          </cell>
          <cell r="F5752" t="str">
            <v>30337</v>
          </cell>
          <cell r="G5752" t="str">
            <v>威健七</v>
          </cell>
          <cell r="H5752">
            <v>200000</v>
          </cell>
          <cell r="I5752">
            <v>3.75</v>
          </cell>
          <cell r="J5752">
            <v>46641</v>
          </cell>
          <cell r="K5752">
            <v>100</v>
          </cell>
          <cell r="L5752">
            <v>46623</v>
          </cell>
          <cell r="M5752">
            <v>-1151</v>
          </cell>
          <cell r="N5752">
            <v>198849</v>
          </cell>
        </row>
        <row r="5753">
          <cell r="A5753">
            <v>61394</v>
          </cell>
          <cell r="B5753">
            <v>5747</v>
          </cell>
          <cell r="C5753" t="str">
            <v>IASWD2503000375</v>
          </cell>
          <cell r="D5753">
            <v>45736</v>
          </cell>
          <cell r="E5753">
            <v>46047</v>
          </cell>
          <cell r="F5753" t="str">
            <v>61394</v>
          </cell>
          <cell r="G5753" t="str">
            <v>亞翔四</v>
          </cell>
          <cell r="H5753">
            <v>200000</v>
          </cell>
          <cell r="I5753">
            <v>3</v>
          </cell>
          <cell r="J5753">
            <v>46047</v>
          </cell>
          <cell r="K5753">
            <v>101.0025</v>
          </cell>
          <cell r="L5753">
            <v>46028</v>
          </cell>
          <cell r="M5753">
            <v>-921</v>
          </cell>
          <cell r="N5753">
            <v>199079</v>
          </cell>
        </row>
        <row r="5754">
          <cell r="A5754">
            <v>34834</v>
          </cell>
          <cell r="B5754">
            <v>5748</v>
          </cell>
          <cell r="C5754" t="str">
            <v>IASWD2503000376</v>
          </cell>
          <cell r="D5754">
            <v>45736</v>
          </cell>
          <cell r="E5754">
            <v>46529</v>
          </cell>
          <cell r="F5754" t="str">
            <v>34834</v>
          </cell>
          <cell r="G5754" t="str">
            <v>力致四</v>
          </cell>
          <cell r="H5754">
            <v>300000</v>
          </cell>
          <cell r="I5754">
            <v>3.75</v>
          </cell>
          <cell r="J5754">
            <v>46529</v>
          </cell>
          <cell r="K5754">
            <v>100</v>
          </cell>
          <cell r="L5754">
            <v>46511</v>
          </cell>
          <cell r="M5754">
            <v>-1726</v>
          </cell>
          <cell r="N5754">
            <v>298274</v>
          </cell>
        </row>
        <row r="5755">
          <cell r="A5755">
            <v>64145</v>
          </cell>
          <cell r="B5755">
            <v>5749</v>
          </cell>
          <cell r="C5755" t="str">
            <v>IASWD2503000377</v>
          </cell>
          <cell r="D5755">
            <v>45737</v>
          </cell>
          <cell r="E5755">
            <v>46250</v>
          </cell>
          <cell r="F5755" t="str">
            <v>64145</v>
          </cell>
          <cell r="G5755" t="str">
            <v>樺漢五</v>
          </cell>
          <cell r="H5755">
            <v>4600000</v>
          </cell>
          <cell r="I5755">
            <v>3</v>
          </cell>
          <cell r="J5755">
            <v>46250</v>
          </cell>
          <cell r="K5755">
            <v>100</v>
          </cell>
          <cell r="L5755">
            <v>46231</v>
          </cell>
          <cell r="M5755">
            <v>-20795</v>
          </cell>
          <cell r="N5755">
            <v>4579205</v>
          </cell>
        </row>
        <row r="5756">
          <cell r="A5756">
            <v>15364</v>
          </cell>
          <cell r="B5756">
            <v>5750</v>
          </cell>
          <cell r="C5756" t="str">
            <v>IASWD2503000378</v>
          </cell>
          <cell r="D5756">
            <v>45737</v>
          </cell>
          <cell r="E5756">
            <v>46246</v>
          </cell>
          <cell r="F5756" t="str">
            <v>15364</v>
          </cell>
          <cell r="G5756" t="str">
            <v>和大四</v>
          </cell>
          <cell r="H5756">
            <v>100000</v>
          </cell>
          <cell r="I5756">
            <v>3.75</v>
          </cell>
          <cell r="J5756">
            <v>46246</v>
          </cell>
          <cell r="K5756">
            <v>100</v>
          </cell>
          <cell r="L5756">
            <v>46226</v>
          </cell>
          <cell r="M5756">
            <v>-565</v>
          </cell>
          <cell r="N5756">
            <v>99435</v>
          </cell>
        </row>
        <row r="5757">
          <cell r="A5757">
            <v>61965</v>
          </cell>
          <cell r="B5757">
            <v>5751</v>
          </cell>
          <cell r="C5757" t="str">
            <v>IASWD2503000379</v>
          </cell>
          <cell r="D5757">
            <v>45737</v>
          </cell>
          <cell r="E5757">
            <v>46200</v>
          </cell>
          <cell r="F5757" t="str">
            <v>61965</v>
          </cell>
          <cell r="G5757" t="str">
            <v>帆宣五</v>
          </cell>
          <cell r="H5757">
            <v>500000</v>
          </cell>
          <cell r="I5757">
            <v>3</v>
          </cell>
          <cell r="J5757">
            <v>46200</v>
          </cell>
          <cell r="K5757">
            <v>100</v>
          </cell>
          <cell r="L5757">
            <v>46182</v>
          </cell>
          <cell r="M5757">
            <v>-2260</v>
          </cell>
          <cell r="N5757">
            <v>497740</v>
          </cell>
        </row>
        <row r="5758">
          <cell r="A5758">
            <v>34163</v>
          </cell>
          <cell r="B5758">
            <v>5752</v>
          </cell>
          <cell r="C5758" t="str">
            <v>IASWD2503000380</v>
          </cell>
          <cell r="D5758">
            <v>45737</v>
          </cell>
          <cell r="E5758">
            <v>46047</v>
          </cell>
          <cell r="F5758" t="str">
            <v>34163</v>
          </cell>
          <cell r="G5758" t="str">
            <v>融程電三</v>
          </cell>
          <cell r="H5758">
            <v>100000</v>
          </cell>
          <cell r="I5758">
            <v>3</v>
          </cell>
          <cell r="J5758">
            <v>46047</v>
          </cell>
          <cell r="K5758">
            <v>100.5</v>
          </cell>
          <cell r="L5758">
            <v>46028</v>
          </cell>
          <cell r="M5758">
            <v>-452</v>
          </cell>
          <cell r="N5758">
            <v>99548</v>
          </cell>
        </row>
        <row r="5759">
          <cell r="A5759">
            <v>15142</v>
          </cell>
          <cell r="B5759">
            <v>5753</v>
          </cell>
          <cell r="C5759" t="str">
            <v>IASWD2503000381</v>
          </cell>
          <cell r="D5759">
            <v>45737</v>
          </cell>
          <cell r="E5759">
            <v>46765</v>
          </cell>
          <cell r="F5759" t="str">
            <v>15142</v>
          </cell>
          <cell r="G5759" t="str">
            <v>亞力二</v>
          </cell>
          <cell r="H5759">
            <v>100000</v>
          </cell>
          <cell r="I5759">
            <v>3.5</v>
          </cell>
          <cell r="J5759">
            <v>46765</v>
          </cell>
          <cell r="K5759">
            <v>100.75190000000001</v>
          </cell>
          <cell r="L5759">
            <v>46745</v>
          </cell>
          <cell r="M5759">
            <v>-527</v>
          </cell>
          <cell r="N5759">
            <v>99473</v>
          </cell>
        </row>
        <row r="5760">
          <cell r="A5760">
            <v>61875</v>
          </cell>
          <cell r="B5760">
            <v>5754</v>
          </cell>
          <cell r="C5760" t="str">
            <v>IASWD2503000382</v>
          </cell>
          <cell r="D5760">
            <v>45737</v>
          </cell>
          <cell r="E5760">
            <v>46578</v>
          </cell>
          <cell r="F5760" t="str">
            <v>61875</v>
          </cell>
          <cell r="G5760" t="str">
            <v>萬潤五</v>
          </cell>
          <cell r="H5760">
            <v>800000</v>
          </cell>
          <cell r="I5760">
            <v>3</v>
          </cell>
          <cell r="J5760">
            <v>46578</v>
          </cell>
          <cell r="K5760">
            <v>100</v>
          </cell>
          <cell r="L5760">
            <v>46560</v>
          </cell>
          <cell r="M5760">
            <v>-3616</v>
          </cell>
          <cell r="N5760">
            <v>796384</v>
          </cell>
        </row>
        <row r="5761">
          <cell r="A5761">
            <v>61906</v>
          </cell>
          <cell r="B5761">
            <v>5755</v>
          </cell>
          <cell r="C5761" t="str">
            <v>IASWD2503000383</v>
          </cell>
          <cell r="D5761">
            <v>45737</v>
          </cell>
          <cell r="E5761">
            <v>45961</v>
          </cell>
          <cell r="F5761" t="str">
            <v>61906</v>
          </cell>
          <cell r="G5761" t="str">
            <v>萬泰科六</v>
          </cell>
          <cell r="H5761">
            <v>100000</v>
          </cell>
          <cell r="I5761">
            <v>3.75</v>
          </cell>
          <cell r="J5761">
            <v>45961</v>
          </cell>
          <cell r="K5761">
            <v>100</v>
          </cell>
          <cell r="L5761">
            <v>45943</v>
          </cell>
          <cell r="M5761">
            <v>-565</v>
          </cell>
          <cell r="N5761">
            <v>99435</v>
          </cell>
        </row>
        <row r="5762">
          <cell r="A5762">
            <v>61394</v>
          </cell>
          <cell r="B5762">
            <v>5756</v>
          </cell>
          <cell r="C5762" t="str">
            <v>IASWD2503000384</v>
          </cell>
          <cell r="D5762">
            <v>45737</v>
          </cell>
          <cell r="E5762">
            <v>46047</v>
          </cell>
          <cell r="F5762" t="str">
            <v>61394</v>
          </cell>
          <cell r="G5762" t="str">
            <v>亞翔四</v>
          </cell>
          <cell r="H5762">
            <v>100000</v>
          </cell>
          <cell r="I5762">
            <v>3</v>
          </cell>
          <cell r="J5762">
            <v>46047</v>
          </cell>
          <cell r="K5762">
            <v>101.0025</v>
          </cell>
          <cell r="L5762">
            <v>46028</v>
          </cell>
          <cell r="M5762">
            <v>-452</v>
          </cell>
          <cell r="N5762">
            <v>99548</v>
          </cell>
        </row>
        <row r="5763">
          <cell r="A5763">
            <v>15364</v>
          </cell>
          <cell r="B5763">
            <v>5757</v>
          </cell>
          <cell r="C5763" t="str">
            <v>IASWD2503000385</v>
          </cell>
          <cell r="D5763">
            <v>45737</v>
          </cell>
          <cell r="E5763">
            <v>46246</v>
          </cell>
          <cell r="F5763" t="str">
            <v>15364</v>
          </cell>
          <cell r="G5763" t="str">
            <v>和大四</v>
          </cell>
          <cell r="H5763">
            <v>100000</v>
          </cell>
          <cell r="I5763">
            <v>3.75</v>
          </cell>
          <cell r="J5763">
            <v>46246</v>
          </cell>
          <cell r="K5763">
            <v>100</v>
          </cell>
          <cell r="L5763">
            <v>46226</v>
          </cell>
          <cell r="M5763">
            <v>-565</v>
          </cell>
          <cell r="N5763">
            <v>99435</v>
          </cell>
        </row>
        <row r="5764">
          <cell r="A5764">
            <v>15364</v>
          </cell>
          <cell r="B5764">
            <v>5758</v>
          </cell>
          <cell r="C5764" t="str">
            <v>IASWD2503000386</v>
          </cell>
          <cell r="D5764">
            <v>45737</v>
          </cell>
          <cell r="E5764">
            <v>46246</v>
          </cell>
          <cell r="F5764" t="str">
            <v>15364</v>
          </cell>
          <cell r="G5764" t="str">
            <v>和大四</v>
          </cell>
          <cell r="H5764">
            <v>200000</v>
          </cell>
          <cell r="I5764">
            <v>3.75</v>
          </cell>
          <cell r="J5764">
            <v>46246</v>
          </cell>
          <cell r="K5764">
            <v>100</v>
          </cell>
          <cell r="L5764">
            <v>46226</v>
          </cell>
          <cell r="M5764">
            <v>-1130</v>
          </cell>
          <cell r="N5764">
            <v>198870</v>
          </cell>
        </row>
        <row r="5765">
          <cell r="A5765">
            <v>34163</v>
          </cell>
          <cell r="B5765">
            <v>5759</v>
          </cell>
          <cell r="C5765" t="str">
            <v>IASWD2503000387</v>
          </cell>
          <cell r="D5765">
            <v>45737</v>
          </cell>
          <cell r="E5765">
            <v>46047</v>
          </cell>
          <cell r="F5765" t="str">
            <v>34163</v>
          </cell>
          <cell r="G5765" t="str">
            <v>融程電三</v>
          </cell>
          <cell r="H5765">
            <v>100000</v>
          </cell>
          <cell r="I5765">
            <v>3</v>
          </cell>
          <cell r="J5765">
            <v>46047</v>
          </cell>
          <cell r="K5765">
            <v>100.5</v>
          </cell>
          <cell r="L5765">
            <v>46028</v>
          </cell>
          <cell r="M5765">
            <v>-452</v>
          </cell>
          <cell r="N5765">
            <v>99548</v>
          </cell>
        </row>
        <row r="5766">
          <cell r="A5766">
            <v>80914</v>
          </cell>
          <cell r="B5766">
            <v>5760</v>
          </cell>
          <cell r="C5766" t="str">
            <v>IASWD2503000388</v>
          </cell>
          <cell r="D5766">
            <v>45737</v>
          </cell>
          <cell r="E5766">
            <v>46249</v>
          </cell>
          <cell r="F5766" t="str">
            <v>80914</v>
          </cell>
          <cell r="G5766" t="str">
            <v>翔名四</v>
          </cell>
          <cell r="H5766">
            <v>100000</v>
          </cell>
          <cell r="I5766">
            <v>3</v>
          </cell>
          <cell r="J5766">
            <v>46249</v>
          </cell>
          <cell r="K5766">
            <v>100.25</v>
          </cell>
          <cell r="L5766">
            <v>46231</v>
          </cell>
          <cell r="M5766">
            <v>-452</v>
          </cell>
          <cell r="N5766">
            <v>99548</v>
          </cell>
        </row>
        <row r="5767">
          <cell r="A5767">
            <v>22283</v>
          </cell>
          <cell r="B5767">
            <v>5761</v>
          </cell>
          <cell r="C5767" t="str">
            <v>IASWD2503000389</v>
          </cell>
          <cell r="D5767">
            <v>45737</v>
          </cell>
          <cell r="E5767">
            <v>46628</v>
          </cell>
          <cell r="F5767" t="str">
            <v>22283</v>
          </cell>
          <cell r="G5767" t="str">
            <v>劍麟三</v>
          </cell>
          <cell r="H5767">
            <v>100000</v>
          </cell>
          <cell r="I5767">
            <v>3</v>
          </cell>
          <cell r="J5767">
            <v>46628</v>
          </cell>
          <cell r="K5767">
            <v>100</v>
          </cell>
          <cell r="L5767">
            <v>46609</v>
          </cell>
          <cell r="M5767">
            <v>-452</v>
          </cell>
          <cell r="N5767">
            <v>99548</v>
          </cell>
        </row>
        <row r="5768">
          <cell r="A5768">
            <v>61906</v>
          </cell>
          <cell r="B5768">
            <v>5762</v>
          </cell>
          <cell r="C5768" t="str">
            <v>IASWD2503000390</v>
          </cell>
          <cell r="D5768">
            <v>45737</v>
          </cell>
          <cell r="E5768">
            <v>45961</v>
          </cell>
          <cell r="F5768" t="str">
            <v>61906</v>
          </cell>
          <cell r="G5768" t="str">
            <v>萬泰科六</v>
          </cell>
          <cell r="H5768">
            <v>100000</v>
          </cell>
          <cell r="I5768">
            <v>3.75</v>
          </cell>
          <cell r="J5768">
            <v>45961</v>
          </cell>
          <cell r="K5768">
            <v>100</v>
          </cell>
          <cell r="L5768">
            <v>45943</v>
          </cell>
          <cell r="M5768">
            <v>-565</v>
          </cell>
          <cell r="N5768">
            <v>99435</v>
          </cell>
        </row>
        <row r="5769">
          <cell r="A5769">
            <v>61906</v>
          </cell>
          <cell r="B5769">
            <v>5763</v>
          </cell>
          <cell r="C5769" t="str">
            <v>IASWD2503000391</v>
          </cell>
          <cell r="D5769">
            <v>45737</v>
          </cell>
          <cell r="E5769">
            <v>45961</v>
          </cell>
          <cell r="F5769" t="str">
            <v>61906</v>
          </cell>
          <cell r="G5769" t="str">
            <v>萬泰科六</v>
          </cell>
          <cell r="H5769">
            <v>300000</v>
          </cell>
          <cell r="I5769">
            <v>3.75</v>
          </cell>
          <cell r="J5769">
            <v>45961</v>
          </cell>
          <cell r="K5769">
            <v>100</v>
          </cell>
          <cell r="L5769">
            <v>45943</v>
          </cell>
          <cell r="M5769">
            <v>-1695</v>
          </cell>
          <cell r="N5769">
            <v>298305</v>
          </cell>
        </row>
        <row r="5770">
          <cell r="A5770">
            <v>67531</v>
          </cell>
          <cell r="B5770">
            <v>5764</v>
          </cell>
          <cell r="C5770" t="str">
            <v>IASWD2503000392</v>
          </cell>
          <cell r="D5770">
            <v>45740</v>
          </cell>
          <cell r="E5770">
            <v>46563</v>
          </cell>
          <cell r="F5770" t="str">
            <v>67531</v>
          </cell>
          <cell r="G5770" t="str">
            <v>龍德造船一</v>
          </cell>
          <cell r="H5770">
            <v>100000</v>
          </cell>
          <cell r="I5770">
            <v>3.25</v>
          </cell>
          <cell r="J5770">
            <v>46563</v>
          </cell>
          <cell r="K5770">
            <v>100</v>
          </cell>
          <cell r="L5770">
            <v>46545</v>
          </cell>
          <cell r="M5770">
            <v>-463</v>
          </cell>
          <cell r="N5770">
            <v>99537</v>
          </cell>
        </row>
        <row r="5771">
          <cell r="A5771">
            <v>45721</v>
          </cell>
          <cell r="B5771">
            <v>5765</v>
          </cell>
          <cell r="C5771" t="str">
            <v>IASWD2503000393</v>
          </cell>
          <cell r="D5771">
            <v>45740</v>
          </cell>
          <cell r="E5771">
            <v>46219</v>
          </cell>
          <cell r="F5771" t="str">
            <v>45721</v>
          </cell>
          <cell r="G5771" t="str">
            <v>駐龍一</v>
          </cell>
          <cell r="H5771">
            <v>100000</v>
          </cell>
          <cell r="I5771">
            <v>3.5</v>
          </cell>
          <cell r="J5771">
            <v>46219</v>
          </cell>
          <cell r="K5771">
            <v>100</v>
          </cell>
          <cell r="L5771">
            <v>46199</v>
          </cell>
          <cell r="M5771">
            <v>-499</v>
          </cell>
          <cell r="N5771">
            <v>99501</v>
          </cell>
        </row>
        <row r="5772">
          <cell r="A5772">
            <v>61965</v>
          </cell>
          <cell r="B5772">
            <v>5766</v>
          </cell>
          <cell r="C5772" t="str">
            <v>IASWD2503000394</v>
          </cell>
          <cell r="D5772">
            <v>45740</v>
          </cell>
          <cell r="E5772">
            <v>46200</v>
          </cell>
          <cell r="F5772" t="str">
            <v>61965</v>
          </cell>
          <cell r="G5772" t="str">
            <v>帆宣五</v>
          </cell>
          <cell r="H5772">
            <v>100000</v>
          </cell>
          <cell r="I5772">
            <v>3</v>
          </cell>
          <cell r="J5772">
            <v>46200</v>
          </cell>
          <cell r="K5772">
            <v>100</v>
          </cell>
          <cell r="L5772">
            <v>46182</v>
          </cell>
          <cell r="M5772">
            <v>-427</v>
          </cell>
          <cell r="N5772">
            <v>99573</v>
          </cell>
        </row>
        <row r="5773">
          <cell r="A5773">
            <v>34912</v>
          </cell>
          <cell r="B5773">
            <v>5767</v>
          </cell>
          <cell r="C5773" t="str">
            <v>IASWD2503000395</v>
          </cell>
          <cell r="D5773">
            <v>45740</v>
          </cell>
          <cell r="E5773">
            <v>46627</v>
          </cell>
          <cell r="F5773" t="str">
            <v>34912</v>
          </cell>
          <cell r="G5773" t="str">
            <v>昇達科二</v>
          </cell>
          <cell r="H5773">
            <v>100000</v>
          </cell>
          <cell r="I5773">
            <v>3</v>
          </cell>
          <cell r="J5773">
            <v>46627</v>
          </cell>
          <cell r="K5773">
            <v>100</v>
          </cell>
          <cell r="L5773">
            <v>46609</v>
          </cell>
          <cell r="M5773">
            <v>-427</v>
          </cell>
          <cell r="N5773">
            <v>99573</v>
          </cell>
        </row>
        <row r="5774">
          <cell r="A5774">
            <v>15142</v>
          </cell>
          <cell r="B5774">
            <v>5768</v>
          </cell>
          <cell r="C5774" t="str">
            <v>IASWD2503000396</v>
          </cell>
          <cell r="D5774">
            <v>45740</v>
          </cell>
          <cell r="E5774">
            <v>46765</v>
          </cell>
          <cell r="F5774" t="str">
            <v>15142</v>
          </cell>
          <cell r="G5774" t="str">
            <v>亞力二</v>
          </cell>
          <cell r="H5774">
            <v>200000</v>
          </cell>
          <cell r="I5774">
            <v>3.5</v>
          </cell>
          <cell r="J5774">
            <v>46765</v>
          </cell>
          <cell r="K5774">
            <v>100.75190000000001</v>
          </cell>
          <cell r="L5774">
            <v>46745</v>
          </cell>
          <cell r="M5774">
            <v>-997</v>
          </cell>
          <cell r="N5774">
            <v>199003</v>
          </cell>
        </row>
        <row r="5775">
          <cell r="A5775">
            <v>67531</v>
          </cell>
          <cell r="B5775">
            <v>5769</v>
          </cell>
          <cell r="C5775" t="str">
            <v>IASWD2503000397</v>
          </cell>
          <cell r="D5775">
            <v>45740</v>
          </cell>
          <cell r="E5775">
            <v>46563</v>
          </cell>
          <cell r="F5775" t="str">
            <v>67531</v>
          </cell>
          <cell r="G5775" t="str">
            <v>龍德造船一</v>
          </cell>
          <cell r="H5775">
            <v>100000</v>
          </cell>
          <cell r="I5775">
            <v>3.25</v>
          </cell>
          <cell r="J5775">
            <v>46563</v>
          </cell>
          <cell r="K5775">
            <v>100</v>
          </cell>
          <cell r="L5775">
            <v>46545</v>
          </cell>
          <cell r="M5775">
            <v>-463</v>
          </cell>
          <cell r="N5775">
            <v>99537</v>
          </cell>
        </row>
        <row r="5776">
          <cell r="A5776">
            <v>61973</v>
          </cell>
          <cell r="B5776">
            <v>5770</v>
          </cell>
          <cell r="C5776" t="str">
            <v>IASWD2503000398</v>
          </cell>
          <cell r="D5776">
            <v>45740</v>
          </cell>
          <cell r="E5776">
            <v>46675</v>
          </cell>
          <cell r="F5776" t="str">
            <v>61973</v>
          </cell>
          <cell r="G5776" t="str">
            <v>佳必琪三</v>
          </cell>
          <cell r="H5776">
            <v>100000</v>
          </cell>
          <cell r="I5776">
            <v>3</v>
          </cell>
          <cell r="J5776">
            <v>46675</v>
          </cell>
          <cell r="K5776">
            <v>100</v>
          </cell>
          <cell r="L5776">
            <v>46657</v>
          </cell>
          <cell r="M5776">
            <v>-427</v>
          </cell>
          <cell r="N5776">
            <v>99573</v>
          </cell>
        </row>
        <row r="5777">
          <cell r="A5777">
            <v>99211</v>
          </cell>
          <cell r="B5777">
            <v>5771</v>
          </cell>
          <cell r="C5777" t="str">
            <v>IASWD2503000399</v>
          </cell>
          <cell r="D5777">
            <v>45740</v>
          </cell>
          <cell r="E5777">
            <v>46551</v>
          </cell>
          <cell r="F5777" t="str">
            <v>99211</v>
          </cell>
          <cell r="G5777" t="str">
            <v>巨大一</v>
          </cell>
          <cell r="H5777">
            <v>700000</v>
          </cell>
          <cell r="I5777">
            <v>2.9</v>
          </cell>
          <cell r="J5777">
            <v>46551</v>
          </cell>
          <cell r="K5777">
            <v>100</v>
          </cell>
          <cell r="L5777">
            <v>46532</v>
          </cell>
          <cell r="M5777">
            <v>-2892</v>
          </cell>
          <cell r="N5777">
            <v>697108</v>
          </cell>
        </row>
        <row r="5778">
          <cell r="A5778">
            <v>67531</v>
          </cell>
          <cell r="B5778">
            <v>5772</v>
          </cell>
          <cell r="C5778" t="str">
            <v>IASWD2503000400</v>
          </cell>
          <cell r="D5778">
            <v>45740</v>
          </cell>
          <cell r="E5778">
            <v>46563</v>
          </cell>
          <cell r="F5778" t="str">
            <v>67531</v>
          </cell>
          <cell r="G5778" t="str">
            <v>龍德造船一</v>
          </cell>
          <cell r="H5778">
            <v>100000</v>
          </cell>
          <cell r="I5778">
            <v>3.25</v>
          </cell>
          <cell r="J5778">
            <v>46563</v>
          </cell>
          <cell r="K5778">
            <v>100</v>
          </cell>
          <cell r="L5778">
            <v>46545</v>
          </cell>
          <cell r="M5778">
            <v>-463</v>
          </cell>
          <cell r="N5778">
            <v>99537</v>
          </cell>
        </row>
        <row r="5779">
          <cell r="A5779">
            <v>64145</v>
          </cell>
          <cell r="B5779">
            <v>5773</v>
          </cell>
          <cell r="C5779" t="str">
            <v>IASWD2503000401</v>
          </cell>
          <cell r="D5779">
            <v>45740</v>
          </cell>
          <cell r="E5779">
            <v>46250</v>
          </cell>
          <cell r="F5779" t="str">
            <v>64145</v>
          </cell>
          <cell r="G5779" t="str">
            <v>樺漢五</v>
          </cell>
          <cell r="H5779">
            <v>100000</v>
          </cell>
          <cell r="I5779">
            <v>3</v>
          </cell>
          <cell r="J5779">
            <v>46250</v>
          </cell>
          <cell r="K5779">
            <v>100</v>
          </cell>
          <cell r="L5779">
            <v>46231</v>
          </cell>
          <cell r="M5779">
            <v>-427</v>
          </cell>
          <cell r="N5779">
            <v>99573</v>
          </cell>
        </row>
        <row r="5780">
          <cell r="A5780">
            <v>15142</v>
          </cell>
          <cell r="B5780">
            <v>5774</v>
          </cell>
          <cell r="C5780" t="str">
            <v>IASWD2503000402</v>
          </cell>
          <cell r="D5780">
            <v>45740</v>
          </cell>
          <cell r="E5780">
            <v>46765</v>
          </cell>
          <cell r="F5780" t="str">
            <v>15142</v>
          </cell>
          <cell r="G5780" t="str">
            <v>亞力二</v>
          </cell>
          <cell r="H5780">
            <v>100000</v>
          </cell>
          <cell r="I5780">
            <v>3.5</v>
          </cell>
          <cell r="J5780">
            <v>46765</v>
          </cell>
          <cell r="K5780">
            <v>100.75190000000001</v>
          </cell>
          <cell r="L5780">
            <v>46745</v>
          </cell>
          <cell r="M5780">
            <v>-499</v>
          </cell>
          <cell r="N5780">
            <v>99501</v>
          </cell>
        </row>
        <row r="5781">
          <cell r="A5781">
            <v>15364</v>
          </cell>
          <cell r="B5781">
            <v>5775</v>
          </cell>
          <cell r="C5781" t="str">
            <v>IASWD2503000403</v>
          </cell>
          <cell r="D5781">
            <v>45740</v>
          </cell>
          <cell r="E5781">
            <v>46246</v>
          </cell>
          <cell r="F5781" t="str">
            <v>15364</v>
          </cell>
          <cell r="G5781" t="str">
            <v>和大四</v>
          </cell>
          <cell r="H5781">
            <v>100000</v>
          </cell>
          <cell r="I5781">
            <v>3.75</v>
          </cell>
          <cell r="J5781">
            <v>46246</v>
          </cell>
          <cell r="K5781">
            <v>100</v>
          </cell>
          <cell r="L5781">
            <v>46226</v>
          </cell>
          <cell r="M5781">
            <v>-534</v>
          </cell>
          <cell r="N5781">
            <v>99466</v>
          </cell>
        </row>
        <row r="5782">
          <cell r="A5782">
            <v>15364</v>
          </cell>
          <cell r="B5782">
            <v>5776</v>
          </cell>
          <cell r="C5782" t="str">
            <v>IASWD2503000404</v>
          </cell>
          <cell r="D5782">
            <v>45740</v>
          </cell>
          <cell r="E5782">
            <v>46246</v>
          </cell>
          <cell r="F5782" t="str">
            <v>15364</v>
          </cell>
          <cell r="G5782" t="str">
            <v>和大四</v>
          </cell>
          <cell r="H5782">
            <v>100000</v>
          </cell>
          <cell r="I5782">
            <v>3.75</v>
          </cell>
          <cell r="J5782">
            <v>46246</v>
          </cell>
          <cell r="K5782">
            <v>100</v>
          </cell>
          <cell r="L5782">
            <v>46226</v>
          </cell>
          <cell r="M5782">
            <v>-534</v>
          </cell>
          <cell r="N5782">
            <v>99466</v>
          </cell>
        </row>
        <row r="5783">
          <cell r="A5783">
            <v>65096</v>
          </cell>
          <cell r="B5783">
            <v>5777</v>
          </cell>
          <cell r="C5783" t="str">
            <v>IASWD2503000405</v>
          </cell>
          <cell r="D5783">
            <v>45740</v>
          </cell>
          <cell r="E5783">
            <v>46206</v>
          </cell>
          <cell r="F5783" t="str">
            <v>65096</v>
          </cell>
          <cell r="G5783" t="str">
            <v>聚和六</v>
          </cell>
          <cell r="H5783">
            <v>300000</v>
          </cell>
          <cell r="I5783">
            <v>3.25</v>
          </cell>
          <cell r="J5783">
            <v>46206</v>
          </cell>
          <cell r="K5783">
            <v>100</v>
          </cell>
          <cell r="L5783">
            <v>46188</v>
          </cell>
          <cell r="M5783">
            <v>-1389</v>
          </cell>
          <cell r="N5783">
            <v>298611</v>
          </cell>
        </row>
        <row r="5784">
          <cell r="A5784">
            <v>49066</v>
          </cell>
          <cell r="B5784">
            <v>5778</v>
          </cell>
          <cell r="C5784" t="str">
            <v>IASWD2503000406</v>
          </cell>
          <cell r="D5784">
            <v>45740</v>
          </cell>
          <cell r="E5784">
            <v>46175</v>
          </cell>
          <cell r="F5784" t="str">
            <v>49066</v>
          </cell>
          <cell r="G5784" t="str">
            <v>正文六</v>
          </cell>
          <cell r="H5784">
            <v>800000</v>
          </cell>
          <cell r="I5784">
            <v>3.5</v>
          </cell>
          <cell r="J5784">
            <v>46175</v>
          </cell>
          <cell r="K5784">
            <v>100</v>
          </cell>
          <cell r="L5784">
            <v>46155</v>
          </cell>
          <cell r="M5784">
            <v>-3989</v>
          </cell>
          <cell r="N5784">
            <v>796011</v>
          </cell>
        </row>
        <row r="5785">
          <cell r="A5785">
            <v>15142</v>
          </cell>
          <cell r="B5785">
            <v>5779</v>
          </cell>
          <cell r="C5785" t="str">
            <v>IASWD2503000407</v>
          </cell>
          <cell r="D5785">
            <v>45740</v>
          </cell>
          <cell r="E5785">
            <v>46765</v>
          </cell>
          <cell r="F5785" t="str">
            <v>15142</v>
          </cell>
          <cell r="G5785" t="str">
            <v>亞力二</v>
          </cell>
          <cell r="H5785">
            <v>500000</v>
          </cell>
          <cell r="I5785">
            <v>3.5</v>
          </cell>
          <cell r="J5785">
            <v>46765</v>
          </cell>
          <cell r="K5785">
            <v>100.75190000000001</v>
          </cell>
          <cell r="L5785">
            <v>46745</v>
          </cell>
          <cell r="M5785">
            <v>-2493</v>
          </cell>
          <cell r="N5785">
            <v>497507</v>
          </cell>
        </row>
        <row r="5786">
          <cell r="A5786">
            <v>15364</v>
          </cell>
          <cell r="B5786">
            <v>5780</v>
          </cell>
          <cell r="C5786" t="str">
            <v>IASWD2503000408</v>
          </cell>
          <cell r="D5786">
            <v>45740</v>
          </cell>
          <cell r="E5786">
            <v>46246</v>
          </cell>
          <cell r="F5786" t="str">
            <v>15364</v>
          </cell>
          <cell r="G5786" t="str">
            <v>和大四</v>
          </cell>
          <cell r="H5786">
            <v>400000</v>
          </cell>
          <cell r="I5786">
            <v>3.75</v>
          </cell>
          <cell r="J5786">
            <v>46246</v>
          </cell>
          <cell r="K5786">
            <v>100</v>
          </cell>
          <cell r="L5786">
            <v>46226</v>
          </cell>
          <cell r="M5786">
            <v>-2137</v>
          </cell>
          <cell r="N5786">
            <v>397863</v>
          </cell>
        </row>
        <row r="5787">
          <cell r="A5787">
            <v>34912</v>
          </cell>
          <cell r="B5787">
            <v>5781</v>
          </cell>
          <cell r="C5787" t="str">
            <v>IASWD2503000409</v>
          </cell>
          <cell r="D5787">
            <v>45740</v>
          </cell>
          <cell r="E5787">
            <v>46627</v>
          </cell>
          <cell r="F5787" t="str">
            <v>34912</v>
          </cell>
          <cell r="G5787" t="str">
            <v>昇達科二</v>
          </cell>
          <cell r="H5787">
            <v>100000</v>
          </cell>
          <cell r="I5787">
            <v>3</v>
          </cell>
          <cell r="J5787">
            <v>46627</v>
          </cell>
          <cell r="K5787">
            <v>100</v>
          </cell>
          <cell r="L5787">
            <v>46609</v>
          </cell>
          <cell r="M5787">
            <v>-427</v>
          </cell>
          <cell r="N5787">
            <v>99573</v>
          </cell>
        </row>
        <row r="5788">
          <cell r="A5788">
            <v>61973</v>
          </cell>
          <cell r="B5788">
            <v>5782</v>
          </cell>
          <cell r="C5788" t="str">
            <v>IASWD2503000410</v>
          </cell>
          <cell r="D5788">
            <v>45740</v>
          </cell>
          <cell r="E5788">
            <v>46675</v>
          </cell>
          <cell r="F5788" t="str">
            <v>61973</v>
          </cell>
          <cell r="G5788" t="str">
            <v>佳必琪三</v>
          </cell>
          <cell r="H5788">
            <v>300000</v>
          </cell>
          <cell r="I5788">
            <v>3</v>
          </cell>
          <cell r="J5788">
            <v>46675</v>
          </cell>
          <cell r="K5788">
            <v>100</v>
          </cell>
          <cell r="L5788">
            <v>46657</v>
          </cell>
          <cell r="M5788">
            <v>-1282</v>
          </cell>
          <cell r="N5788">
            <v>298718</v>
          </cell>
        </row>
        <row r="5789">
          <cell r="A5789">
            <v>64145</v>
          </cell>
          <cell r="B5789">
            <v>5783</v>
          </cell>
          <cell r="C5789" t="str">
            <v>IASWD2503000411</v>
          </cell>
          <cell r="D5789">
            <v>45740</v>
          </cell>
          <cell r="E5789">
            <v>46250</v>
          </cell>
          <cell r="F5789" t="str">
            <v>64145</v>
          </cell>
          <cell r="G5789" t="str">
            <v>樺漢五</v>
          </cell>
          <cell r="H5789">
            <v>500000</v>
          </cell>
          <cell r="I5789">
            <v>3</v>
          </cell>
          <cell r="J5789">
            <v>46250</v>
          </cell>
          <cell r="K5789">
            <v>100</v>
          </cell>
          <cell r="L5789">
            <v>46231</v>
          </cell>
          <cell r="M5789">
            <v>-2137</v>
          </cell>
          <cell r="N5789">
            <v>497863</v>
          </cell>
        </row>
        <row r="5790">
          <cell r="A5790">
            <v>15142</v>
          </cell>
          <cell r="B5790">
            <v>5784</v>
          </cell>
          <cell r="C5790" t="str">
            <v>IASWD2503000412</v>
          </cell>
          <cell r="D5790">
            <v>45741</v>
          </cell>
          <cell r="E5790">
            <v>46765</v>
          </cell>
          <cell r="F5790" t="str">
            <v>15142</v>
          </cell>
          <cell r="G5790" t="str">
            <v>亞力二</v>
          </cell>
          <cell r="H5790">
            <v>100000</v>
          </cell>
          <cell r="I5790">
            <v>3.5</v>
          </cell>
          <cell r="J5790">
            <v>46765</v>
          </cell>
          <cell r="K5790">
            <v>100.75190000000001</v>
          </cell>
          <cell r="L5790">
            <v>46745</v>
          </cell>
          <cell r="M5790">
            <v>-489</v>
          </cell>
          <cell r="N5790">
            <v>99511</v>
          </cell>
        </row>
        <row r="5791">
          <cell r="A5791">
            <v>34912</v>
          </cell>
          <cell r="B5791">
            <v>5785</v>
          </cell>
          <cell r="C5791" t="str">
            <v>IASWD2503000413</v>
          </cell>
          <cell r="D5791">
            <v>45741</v>
          </cell>
          <cell r="E5791">
            <v>46627</v>
          </cell>
          <cell r="F5791" t="str">
            <v>34912</v>
          </cell>
          <cell r="G5791" t="str">
            <v>昇達科二</v>
          </cell>
          <cell r="H5791">
            <v>100000</v>
          </cell>
          <cell r="I5791">
            <v>3</v>
          </cell>
          <cell r="J5791">
            <v>46627</v>
          </cell>
          <cell r="K5791">
            <v>100</v>
          </cell>
          <cell r="L5791">
            <v>46609</v>
          </cell>
          <cell r="M5791">
            <v>-419</v>
          </cell>
          <cell r="N5791">
            <v>99581</v>
          </cell>
        </row>
        <row r="5792">
          <cell r="A5792">
            <v>67531</v>
          </cell>
          <cell r="B5792">
            <v>5786</v>
          </cell>
          <cell r="C5792" t="str">
            <v>IASWD2503000414</v>
          </cell>
          <cell r="D5792">
            <v>45741</v>
          </cell>
          <cell r="E5792">
            <v>46563</v>
          </cell>
          <cell r="F5792" t="str">
            <v>67531</v>
          </cell>
          <cell r="G5792" t="str">
            <v>龍德造船一</v>
          </cell>
          <cell r="H5792">
            <v>500000</v>
          </cell>
          <cell r="I5792">
            <v>3.25</v>
          </cell>
          <cell r="J5792">
            <v>46563</v>
          </cell>
          <cell r="K5792">
            <v>100</v>
          </cell>
          <cell r="L5792">
            <v>46545</v>
          </cell>
          <cell r="M5792">
            <v>-2271</v>
          </cell>
          <cell r="N5792">
            <v>497729</v>
          </cell>
        </row>
        <row r="5793">
          <cell r="A5793">
            <v>15364</v>
          </cell>
          <cell r="B5793">
            <v>5787</v>
          </cell>
          <cell r="C5793" t="str">
            <v>IASWD2503000415</v>
          </cell>
          <cell r="D5793">
            <v>45741</v>
          </cell>
          <cell r="E5793">
            <v>46246</v>
          </cell>
          <cell r="F5793" t="str">
            <v>15364</v>
          </cell>
          <cell r="G5793" t="str">
            <v>和大四</v>
          </cell>
          <cell r="H5793">
            <v>100000</v>
          </cell>
          <cell r="I5793">
            <v>3.75</v>
          </cell>
          <cell r="J5793">
            <v>46246</v>
          </cell>
          <cell r="K5793">
            <v>100</v>
          </cell>
          <cell r="L5793">
            <v>46226</v>
          </cell>
          <cell r="M5793">
            <v>-524</v>
          </cell>
          <cell r="N5793">
            <v>99476</v>
          </cell>
        </row>
        <row r="5794">
          <cell r="A5794">
            <v>67531</v>
          </cell>
          <cell r="B5794">
            <v>5788</v>
          </cell>
          <cell r="C5794" t="str">
            <v>IASWD2503000416</v>
          </cell>
          <cell r="D5794">
            <v>45741</v>
          </cell>
          <cell r="E5794">
            <v>46563</v>
          </cell>
          <cell r="F5794" t="str">
            <v>67531</v>
          </cell>
          <cell r="G5794" t="str">
            <v>龍德造船一</v>
          </cell>
          <cell r="H5794">
            <v>100000</v>
          </cell>
          <cell r="I5794">
            <v>3.25</v>
          </cell>
          <cell r="J5794">
            <v>46563</v>
          </cell>
          <cell r="K5794">
            <v>100</v>
          </cell>
          <cell r="L5794">
            <v>46545</v>
          </cell>
          <cell r="M5794">
            <v>-454</v>
          </cell>
          <cell r="N5794">
            <v>99546</v>
          </cell>
        </row>
        <row r="5795">
          <cell r="A5795">
            <v>64145</v>
          </cell>
          <cell r="B5795">
            <v>5789</v>
          </cell>
          <cell r="C5795" t="str">
            <v>IASWD2503000417</v>
          </cell>
          <cell r="D5795">
            <v>45741</v>
          </cell>
          <cell r="E5795">
            <v>46250</v>
          </cell>
          <cell r="F5795" t="str">
            <v>64145</v>
          </cell>
          <cell r="G5795" t="str">
            <v>樺漢五</v>
          </cell>
          <cell r="H5795">
            <v>100000</v>
          </cell>
          <cell r="I5795">
            <v>3</v>
          </cell>
          <cell r="J5795">
            <v>46250</v>
          </cell>
          <cell r="K5795">
            <v>100</v>
          </cell>
          <cell r="L5795">
            <v>46231</v>
          </cell>
          <cell r="M5795">
            <v>-419</v>
          </cell>
          <cell r="N5795">
            <v>99581</v>
          </cell>
        </row>
        <row r="5796">
          <cell r="A5796">
            <v>15364</v>
          </cell>
          <cell r="B5796">
            <v>5790</v>
          </cell>
          <cell r="C5796" t="str">
            <v>IASWD2503000418</v>
          </cell>
          <cell r="D5796">
            <v>45741</v>
          </cell>
          <cell r="E5796">
            <v>46246</v>
          </cell>
          <cell r="F5796" t="str">
            <v>15364</v>
          </cell>
          <cell r="G5796" t="str">
            <v>和大四</v>
          </cell>
          <cell r="H5796">
            <v>100000</v>
          </cell>
          <cell r="I5796">
            <v>3.75</v>
          </cell>
          <cell r="J5796">
            <v>46246</v>
          </cell>
          <cell r="K5796">
            <v>100</v>
          </cell>
          <cell r="L5796">
            <v>46226</v>
          </cell>
          <cell r="M5796">
            <v>-524</v>
          </cell>
          <cell r="N5796">
            <v>99476</v>
          </cell>
        </row>
        <row r="5797">
          <cell r="A5797">
            <v>61973</v>
          </cell>
          <cell r="B5797">
            <v>5791</v>
          </cell>
          <cell r="C5797" t="str">
            <v>IASWD2503000419</v>
          </cell>
          <cell r="D5797">
            <v>45741</v>
          </cell>
          <cell r="E5797">
            <v>46675</v>
          </cell>
          <cell r="F5797" t="str">
            <v>61973</v>
          </cell>
          <cell r="G5797" t="str">
            <v>佳必琪三</v>
          </cell>
          <cell r="H5797">
            <v>100000</v>
          </cell>
          <cell r="I5797">
            <v>3</v>
          </cell>
          <cell r="J5797">
            <v>46675</v>
          </cell>
          <cell r="K5797">
            <v>100</v>
          </cell>
          <cell r="L5797">
            <v>46657</v>
          </cell>
          <cell r="M5797">
            <v>-419</v>
          </cell>
          <cell r="N5797">
            <v>99581</v>
          </cell>
        </row>
        <row r="5798">
          <cell r="A5798">
            <v>64145</v>
          </cell>
          <cell r="B5798">
            <v>5792</v>
          </cell>
          <cell r="C5798" t="str">
            <v>IASWD2503000420</v>
          </cell>
          <cell r="D5798">
            <v>45741</v>
          </cell>
          <cell r="E5798">
            <v>46250</v>
          </cell>
          <cell r="F5798" t="str">
            <v>64145</v>
          </cell>
          <cell r="G5798" t="str">
            <v>樺漢五</v>
          </cell>
          <cell r="H5798">
            <v>100000</v>
          </cell>
          <cell r="I5798">
            <v>3</v>
          </cell>
          <cell r="J5798">
            <v>46250</v>
          </cell>
          <cell r="K5798">
            <v>100</v>
          </cell>
          <cell r="L5798">
            <v>46231</v>
          </cell>
          <cell r="M5798">
            <v>-419</v>
          </cell>
          <cell r="N5798">
            <v>99581</v>
          </cell>
        </row>
        <row r="5799">
          <cell r="A5799">
            <v>61973</v>
          </cell>
          <cell r="B5799">
            <v>5793</v>
          </cell>
          <cell r="C5799" t="str">
            <v>IASWD2503000421</v>
          </cell>
          <cell r="D5799">
            <v>45741</v>
          </cell>
          <cell r="E5799">
            <v>46675</v>
          </cell>
          <cell r="F5799" t="str">
            <v>61973</v>
          </cell>
          <cell r="G5799" t="str">
            <v>佳必琪三</v>
          </cell>
          <cell r="H5799">
            <v>500000</v>
          </cell>
          <cell r="I5799">
            <v>3</v>
          </cell>
          <cell r="J5799">
            <v>46675</v>
          </cell>
          <cell r="K5799">
            <v>100</v>
          </cell>
          <cell r="L5799">
            <v>46657</v>
          </cell>
          <cell r="M5799">
            <v>-2096</v>
          </cell>
          <cell r="N5799">
            <v>497904</v>
          </cell>
        </row>
        <row r="5800">
          <cell r="A5800">
            <v>15364</v>
          </cell>
          <cell r="B5800">
            <v>5794</v>
          </cell>
          <cell r="C5800" t="str">
            <v>IASWD2503000422</v>
          </cell>
          <cell r="D5800">
            <v>45741</v>
          </cell>
          <cell r="E5800">
            <v>46246</v>
          </cell>
          <cell r="F5800" t="str">
            <v>15364</v>
          </cell>
          <cell r="G5800" t="str">
            <v>和大四</v>
          </cell>
          <cell r="H5800">
            <v>100000</v>
          </cell>
          <cell r="I5800">
            <v>3.75</v>
          </cell>
          <cell r="J5800">
            <v>46246</v>
          </cell>
          <cell r="K5800">
            <v>100</v>
          </cell>
          <cell r="L5800">
            <v>46226</v>
          </cell>
          <cell r="M5800">
            <v>-524</v>
          </cell>
          <cell r="N5800">
            <v>99476</v>
          </cell>
        </row>
        <row r="5801">
          <cell r="A5801">
            <v>61875</v>
          </cell>
          <cell r="B5801">
            <v>5795</v>
          </cell>
          <cell r="C5801" t="str">
            <v>IASWD2503000423</v>
          </cell>
          <cell r="D5801">
            <v>45741</v>
          </cell>
          <cell r="E5801">
            <v>46578</v>
          </cell>
          <cell r="F5801" t="str">
            <v>61875</v>
          </cell>
          <cell r="G5801" t="str">
            <v>萬潤五</v>
          </cell>
          <cell r="H5801">
            <v>100000</v>
          </cell>
          <cell r="I5801">
            <v>3</v>
          </cell>
          <cell r="J5801">
            <v>46578</v>
          </cell>
          <cell r="K5801">
            <v>100</v>
          </cell>
          <cell r="L5801">
            <v>46560</v>
          </cell>
          <cell r="M5801">
            <v>-419</v>
          </cell>
          <cell r="N5801">
            <v>99581</v>
          </cell>
        </row>
        <row r="5802">
          <cell r="A5802">
            <v>15364</v>
          </cell>
          <cell r="B5802">
            <v>5796</v>
          </cell>
          <cell r="C5802" t="str">
            <v>IASWD2503000424</v>
          </cell>
          <cell r="D5802">
            <v>45741</v>
          </cell>
          <cell r="E5802">
            <v>46246</v>
          </cell>
          <cell r="F5802" t="str">
            <v>15364</v>
          </cell>
          <cell r="G5802" t="str">
            <v>和大四</v>
          </cell>
          <cell r="H5802">
            <v>300000</v>
          </cell>
          <cell r="I5802">
            <v>3.75</v>
          </cell>
          <cell r="J5802">
            <v>46246</v>
          </cell>
          <cell r="K5802">
            <v>100</v>
          </cell>
          <cell r="L5802">
            <v>46226</v>
          </cell>
          <cell r="M5802">
            <v>-1572</v>
          </cell>
          <cell r="N5802">
            <v>298428</v>
          </cell>
        </row>
        <row r="5803">
          <cell r="A5803">
            <v>45721</v>
          </cell>
          <cell r="B5803">
            <v>5797</v>
          </cell>
          <cell r="C5803" t="str">
            <v>IASWD2503000425</v>
          </cell>
          <cell r="D5803">
            <v>45742</v>
          </cell>
          <cell r="E5803">
            <v>46219</v>
          </cell>
          <cell r="F5803" t="str">
            <v>45721</v>
          </cell>
          <cell r="G5803" t="str">
            <v>駐龍一</v>
          </cell>
          <cell r="H5803">
            <v>700000</v>
          </cell>
          <cell r="I5803">
            <v>3.5</v>
          </cell>
          <cell r="J5803">
            <v>46219</v>
          </cell>
          <cell r="K5803">
            <v>100</v>
          </cell>
          <cell r="L5803">
            <v>46199</v>
          </cell>
          <cell r="M5803">
            <v>-3356</v>
          </cell>
          <cell r="N5803">
            <v>696644</v>
          </cell>
        </row>
        <row r="5804">
          <cell r="A5804">
            <v>67531</v>
          </cell>
          <cell r="B5804">
            <v>5798</v>
          </cell>
          <cell r="C5804" t="str">
            <v>IASWD2503000426</v>
          </cell>
          <cell r="D5804">
            <v>45742</v>
          </cell>
          <cell r="E5804">
            <v>46563</v>
          </cell>
          <cell r="F5804" t="str">
            <v>67531</v>
          </cell>
          <cell r="G5804" t="str">
            <v>龍德造船一</v>
          </cell>
          <cell r="H5804">
            <v>600000</v>
          </cell>
          <cell r="I5804">
            <v>3.25</v>
          </cell>
          <cell r="J5804">
            <v>46563</v>
          </cell>
          <cell r="K5804">
            <v>100</v>
          </cell>
          <cell r="L5804">
            <v>46545</v>
          </cell>
          <cell r="M5804">
            <v>-2671</v>
          </cell>
          <cell r="N5804">
            <v>597329</v>
          </cell>
        </row>
        <row r="5805">
          <cell r="A5805">
            <v>61906</v>
          </cell>
          <cell r="B5805">
            <v>5799</v>
          </cell>
          <cell r="C5805" t="str">
            <v>IASWD2503000427</v>
          </cell>
          <cell r="D5805">
            <v>45742</v>
          </cell>
          <cell r="E5805">
            <v>45961</v>
          </cell>
          <cell r="F5805" t="str">
            <v>61906</v>
          </cell>
          <cell r="G5805" t="str">
            <v>萬泰科六</v>
          </cell>
          <cell r="H5805">
            <v>100000</v>
          </cell>
          <cell r="I5805">
            <v>3.75</v>
          </cell>
          <cell r="J5805">
            <v>45961</v>
          </cell>
          <cell r="K5805">
            <v>100</v>
          </cell>
          <cell r="L5805">
            <v>45943</v>
          </cell>
          <cell r="M5805">
            <v>-514</v>
          </cell>
          <cell r="N5805">
            <v>99486</v>
          </cell>
        </row>
        <row r="5806">
          <cell r="A5806">
            <v>61875</v>
          </cell>
          <cell r="B5806">
            <v>5800</v>
          </cell>
          <cell r="C5806" t="str">
            <v>IASWD2503000428</v>
          </cell>
          <cell r="D5806">
            <v>45742</v>
          </cell>
          <cell r="E5806">
            <v>46578</v>
          </cell>
          <cell r="F5806" t="str">
            <v>61875</v>
          </cell>
          <cell r="G5806" t="str">
            <v>萬潤五</v>
          </cell>
          <cell r="H5806">
            <v>100000</v>
          </cell>
          <cell r="I5806">
            <v>3</v>
          </cell>
          <cell r="J5806">
            <v>46578</v>
          </cell>
          <cell r="K5806">
            <v>100</v>
          </cell>
          <cell r="L5806">
            <v>46560</v>
          </cell>
          <cell r="M5806">
            <v>-411</v>
          </cell>
          <cell r="N5806">
            <v>99589</v>
          </cell>
        </row>
        <row r="5807">
          <cell r="A5807">
            <v>84332</v>
          </cell>
          <cell r="B5807">
            <v>5801</v>
          </cell>
          <cell r="C5807" t="str">
            <v>IASWD2503000429</v>
          </cell>
          <cell r="D5807">
            <v>45742</v>
          </cell>
          <cell r="E5807">
            <v>46166</v>
          </cell>
          <cell r="F5807" t="str">
            <v>84332</v>
          </cell>
          <cell r="G5807" t="str">
            <v>弘帆二</v>
          </cell>
          <cell r="H5807">
            <v>100000</v>
          </cell>
          <cell r="I5807">
            <v>4</v>
          </cell>
          <cell r="J5807">
            <v>46166</v>
          </cell>
          <cell r="K5807">
            <v>100.5</v>
          </cell>
          <cell r="L5807">
            <v>46147</v>
          </cell>
          <cell r="M5807">
            <v>-548</v>
          </cell>
          <cell r="N5807">
            <v>99452</v>
          </cell>
        </row>
        <row r="5808">
          <cell r="A5808">
            <v>33902</v>
          </cell>
          <cell r="B5808">
            <v>5802</v>
          </cell>
          <cell r="C5808" t="str">
            <v>IASWD2503000430</v>
          </cell>
          <cell r="D5808">
            <v>45742</v>
          </cell>
          <cell r="E5808">
            <v>46804</v>
          </cell>
          <cell r="F5808" t="str">
            <v>33902</v>
          </cell>
          <cell r="G5808" t="str">
            <v>旭軟二</v>
          </cell>
          <cell r="H5808">
            <v>500000</v>
          </cell>
          <cell r="I5808">
            <v>2.2999999999999998</v>
          </cell>
          <cell r="J5808">
            <v>46804</v>
          </cell>
          <cell r="K5808">
            <v>100</v>
          </cell>
          <cell r="L5808">
            <v>46784</v>
          </cell>
          <cell r="M5808">
            <v>-1575</v>
          </cell>
          <cell r="N5808">
            <v>498425</v>
          </cell>
        </row>
        <row r="5809">
          <cell r="A5809">
            <v>67531</v>
          </cell>
          <cell r="B5809">
            <v>5803</v>
          </cell>
          <cell r="C5809" t="str">
            <v>IASWD2503000431</v>
          </cell>
          <cell r="D5809">
            <v>45742</v>
          </cell>
          <cell r="E5809">
            <v>46563</v>
          </cell>
          <cell r="F5809" t="str">
            <v>67531</v>
          </cell>
          <cell r="G5809" t="str">
            <v>龍德造船一</v>
          </cell>
          <cell r="H5809">
            <v>400000</v>
          </cell>
          <cell r="I5809">
            <v>3.25</v>
          </cell>
          <cell r="J5809">
            <v>46563</v>
          </cell>
          <cell r="K5809">
            <v>100</v>
          </cell>
          <cell r="L5809">
            <v>46545</v>
          </cell>
          <cell r="M5809">
            <v>-1781</v>
          </cell>
          <cell r="N5809">
            <v>398219</v>
          </cell>
        </row>
        <row r="5810">
          <cell r="A5810">
            <v>41683</v>
          </cell>
          <cell r="B5810">
            <v>5804</v>
          </cell>
          <cell r="C5810" t="str">
            <v>IASWD2503000432</v>
          </cell>
          <cell r="D5810">
            <v>45742</v>
          </cell>
          <cell r="E5810">
            <v>45835</v>
          </cell>
          <cell r="F5810" t="str">
            <v>41683</v>
          </cell>
          <cell r="G5810" t="str">
            <v>醣聯三</v>
          </cell>
          <cell r="H5810">
            <v>100000</v>
          </cell>
          <cell r="I5810">
            <v>2.2000000000000002</v>
          </cell>
          <cell r="J5810">
            <v>45835</v>
          </cell>
          <cell r="K5810">
            <v>100</v>
          </cell>
          <cell r="L5810">
            <v>45817</v>
          </cell>
          <cell r="M5810">
            <v>-301</v>
          </cell>
          <cell r="N5810">
            <v>99699</v>
          </cell>
        </row>
        <row r="5811">
          <cell r="A5811">
            <v>15364</v>
          </cell>
          <cell r="B5811">
            <v>5805</v>
          </cell>
          <cell r="C5811" t="str">
            <v>IASWD2503000433</v>
          </cell>
          <cell r="D5811">
            <v>45742</v>
          </cell>
          <cell r="E5811">
            <v>46246</v>
          </cell>
          <cell r="F5811" t="str">
            <v>15364</v>
          </cell>
          <cell r="G5811" t="str">
            <v>和大四</v>
          </cell>
          <cell r="H5811">
            <v>100000</v>
          </cell>
          <cell r="I5811">
            <v>3.75</v>
          </cell>
          <cell r="J5811">
            <v>46246</v>
          </cell>
          <cell r="K5811">
            <v>100</v>
          </cell>
          <cell r="L5811">
            <v>46226</v>
          </cell>
          <cell r="M5811">
            <v>-514</v>
          </cell>
          <cell r="N5811">
            <v>99486</v>
          </cell>
        </row>
        <row r="5812">
          <cell r="A5812">
            <v>61973</v>
          </cell>
          <cell r="B5812">
            <v>5806</v>
          </cell>
          <cell r="C5812" t="str">
            <v>IASWD2503000434</v>
          </cell>
          <cell r="D5812">
            <v>45742</v>
          </cell>
          <cell r="E5812">
            <v>46675</v>
          </cell>
          <cell r="F5812" t="str">
            <v>61973</v>
          </cell>
          <cell r="G5812" t="str">
            <v>佳必琪三</v>
          </cell>
          <cell r="H5812">
            <v>300000</v>
          </cell>
          <cell r="I5812">
            <v>3</v>
          </cell>
          <cell r="J5812">
            <v>46675</v>
          </cell>
          <cell r="K5812">
            <v>100</v>
          </cell>
          <cell r="L5812">
            <v>46657</v>
          </cell>
          <cell r="M5812">
            <v>-1233</v>
          </cell>
          <cell r="N5812">
            <v>298767</v>
          </cell>
        </row>
        <row r="5813">
          <cell r="A5813">
            <v>15142</v>
          </cell>
          <cell r="B5813">
            <v>5807</v>
          </cell>
          <cell r="C5813" t="str">
            <v>IASWD2503000435</v>
          </cell>
          <cell r="D5813">
            <v>45742</v>
          </cell>
          <cell r="E5813">
            <v>46765</v>
          </cell>
          <cell r="F5813" t="str">
            <v>15142</v>
          </cell>
          <cell r="G5813" t="str">
            <v>亞力二</v>
          </cell>
          <cell r="H5813">
            <v>100000</v>
          </cell>
          <cell r="I5813">
            <v>3.5</v>
          </cell>
          <cell r="J5813">
            <v>46765</v>
          </cell>
          <cell r="K5813">
            <v>100.75190000000001</v>
          </cell>
          <cell r="L5813">
            <v>46745</v>
          </cell>
          <cell r="M5813">
            <v>-479</v>
          </cell>
          <cell r="N5813">
            <v>99521</v>
          </cell>
        </row>
        <row r="5814">
          <cell r="A5814">
            <v>33902</v>
          </cell>
          <cell r="B5814">
            <v>5808</v>
          </cell>
          <cell r="C5814" t="str">
            <v>IASWD2503000436</v>
          </cell>
          <cell r="D5814">
            <v>45742</v>
          </cell>
          <cell r="E5814">
            <v>46804</v>
          </cell>
          <cell r="F5814" t="str">
            <v>33902</v>
          </cell>
          <cell r="G5814" t="str">
            <v>旭軟二</v>
          </cell>
          <cell r="H5814">
            <v>100000</v>
          </cell>
          <cell r="I5814">
            <v>2.2999999999999998</v>
          </cell>
          <cell r="J5814">
            <v>46804</v>
          </cell>
          <cell r="K5814">
            <v>100</v>
          </cell>
          <cell r="L5814">
            <v>46784</v>
          </cell>
          <cell r="M5814">
            <v>-315</v>
          </cell>
          <cell r="N5814">
            <v>99685</v>
          </cell>
        </row>
        <row r="5815">
          <cell r="A5815">
            <v>15364</v>
          </cell>
          <cell r="B5815">
            <v>5809</v>
          </cell>
          <cell r="C5815" t="str">
            <v>IASWD2503000437</v>
          </cell>
          <cell r="D5815">
            <v>45742</v>
          </cell>
          <cell r="E5815">
            <v>46246</v>
          </cell>
          <cell r="F5815" t="str">
            <v>15364</v>
          </cell>
          <cell r="G5815" t="str">
            <v>和大四</v>
          </cell>
          <cell r="H5815">
            <v>800000</v>
          </cell>
          <cell r="I5815">
            <v>3.75</v>
          </cell>
          <cell r="J5815">
            <v>46246</v>
          </cell>
          <cell r="K5815">
            <v>100</v>
          </cell>
          <cell r="L5815">
            <v>46226</v>
          </cell>
          <cell r="M5815">
            <v>-4110</v>
          </cell>
          <cell r="N5815">
            <v>795890</v>
          </cell>
        </row>
        <row r="5816">
          <cell r="A5816">
            <v>15142</v>
          </cell>
          <cell r="B5816">
            <v>5810</v>
          </cell>
          <cell r="C5816" t="str">
            <v>IASWD2503000438</v>
          </cell>
          <cell r="D5816">
            <v>45742</v>
          </cell>
          <cell r="E5816">
            <v>46765</v>
          </cell>
          <cell r="F5816" t="str">
            <v>15142</v>
          </cell>
          <cell r="G5816" t="str">
            <v>亞力二</v>
          </cell>
          <cell r="H5816">
            <v>100000</v>
          </cell>
          <cell r="I5816">
            <v>3.5</v>
          </cell>
          <cell r="J5816">
            <v>46765</v>
          </cell>
          <cell r="K5816">
            <v>100.75190000000001</v>
          </cell>
          <cell r="L5816">
            <v>46745</v>
          </cell>
          <cell r="M5816">
            <v>-479</v>
          </cell>
          <cell r="N5816">
            <v>99521</v>
          </cell>
        </row>
        <row r="5817">
          <cell r="A5817">
            <v>67531</v>
          </cell>
          <cell r="B5817">
            <v>5811</v>
          </cell>
          <cell r="C5817" t="str">
            <v>IASWD2503000439</v>
          </cell>
          <cell r="D5817">
            <v>45742</v>
          </cell>
          <cell r="E5817">
            <v>46563</v>
          </cell>
          <cell r="F5817" t="str">
            <v>67531</v>
          </cell>
          <cell r="G5817" t="str">
            <v>龍德造船一</v>
          </cell>
          <cell r="H5817">
            <v>200000</v>
          </cell>
          <cell r="I5817">
            <v>3.25</v>
          </cell>
          <cell r="J5817">
            <v>46563</v>
          </cell>
          <cell r="K5817">
            <v>100</v>
          </cell>
          <cell r="L5817">
            <v>46545</v>
          </cell>
          <cell r="M5817">
            <v>-890</v>
          </cell>
          <cell r="N5817">
            <v>199110</v>
          </cell>
        </row>
        <row r="5818">
          <cell r="A5818">
            <v>61965</v>
          </cell>
          <cell r="B5818">
            <v>5812</v>
          </cell>
          <cell r="C5818" t="str">
            <v>IASWD2503000440</v>
          </cell>
          <cell r="D5818">
            <v>45742</v>
          </cell>
          <cell r="E5818">
            <v>46200</v>
          </cell>
          <cell r="F5818" t="str">
            <v>61965</v>
          </cell>
          <cell r="G5818" t="str">
            <v>帆宣五</v>
          </cell>
          <cell r="H5818">
            <v>200000</v>
          </cell>
          <cell r="I5818">
            <v>3</v>
          </cell>
          <cell r="J5818">
            <v>46200</v>
          </cell>
          <cell r="K5818">
            <v>100</v>
          </cell>
          <cell r="L5818">
            <v>46182</v>
          </cell>
          <cell r="M5818">
            <v>-822</v>
          </cell>
          <cell r="N5818">
            <v>199178</v>
          </cell>
        </row>
        <row r="5819">
          <cell r="A5819">
            <v>61965</v>
          </cell>
          <cell r="B5819">
            <v>5813</v>
          </cell>
          <cell r="C5819" t="str">
            <v>IASWD2503000441</v>
          </cell>
          <cell r="D5819">
            <v>45743</v>
          </cell>
          <cell r="E5819">
            <v>46200</v>
          </cell>
          <cell r="F5819" t="str">
            <v>61965</v>
          </cell>
          <cell r="G5819" t="str">
            <v>帆宣五</v>
          </cell>
          <cell r="H5819">
            <v>100000</v>
          </cell>
          <cell r="I5819">
            <v>3</v>
          </cell>
          <cell r="J5819">
            <v>46200</v>
          </cell>
          <cell r="K5819">
            <v>100</v>
          </cell>
          <cell r="L5819">
            <v>46182</v>
          </cell>
          <cell r="M5819">
            <v>-403</v>
          </cell>
          <cell r="N5819">
            <v>99597</v>
          </cell>
        </row>
        <row r="5820">
          <cell r="A5820">
            <v>64145</v>
          </cell>
          <cell r="B5820">
            <v>5814</v>
          </cell>
          <cell r="C5820" t="str">
            <v>IASWD2503000442</v>
          </cell>
          <cell r="D5820">
            <v>45743</v>
          </cell>
          <cell r="E5820">
            <v>46250</v>
          </cell>
          <cell r="F5820" t="str">
            <v>64145</v>
          </cell>
          <cell r="G5820" t="str">
            <v>樺漢五</v>
          </cell>
          <cell r="H5820">
            <v>300000</v>
          </cell>
          <cell r="I5820">
            <v>3</v>
          </cell>
          <cell r="J5820">
            <v>46250</v>
          </cell>
          <cell r="K5820">
            <v>100</v>
          </cell>
          <cell r="L5820">
            <v>46231</v>
          </cell>
          <cell r="M5820">
            <v>-1208</v>
          </cell>
          <cell r="N5820">
            <v>298792</v>
          </cell>
        </row>
        <row r="5821">
          <cell r="A5821">
            <v>34163</v>
          </cell>
          <cell r="B5821">
            <v>5815</v>
          </cell>
          <cell r="C5821" t="str">
            <v>IASWD2503000443</v>
          </cell>
          <cell r="D5821">
            <v>45743</v>
          </cell>
          <cell r="E5821">
            <v>46047</v>
          </cell>
          <cell r="F5821" t="str">
            <v>34163</v>
          </cell>
          <cell r="G5821" t="str">
            <v>融程電三</v>
          </cell>
          <cell r="H5821">
            <v>100000</v>
          </cell>
          <cell r="I5821">
            <v>3</v>
          </cell>
          <cell r="J5821">
            <v>46047</v>
          </cell>
          <cell r="K5821">
            <v>100.5</v>
          </cell>
          <cell r="L5821">
            <v>46028</v>
          </cell>
          <cell r="M5821">
            <v>-403</v>
          </cell>
          <cell r="N5821">
            <v>99597</v>
          </cell>
        </row>
        <row r="5822">
          <cell r="A5822">
            <v>67531</v>
          </cell>
          <cell r="B5822">
            <v>5816</v>
          </cell>
          <cell r="C5822" t="str">
            <v>IASWD2503000444</v>
          </cell>
          <cell r="D5822">
            <v>45743</v>
          </cell>
          <cell r="E5822">
            <v>46563</v>
          </cell>
          <cell r="F5822" t="str">
            <v>67531</v>
          </cell>
          <cell r="G5822" t="str">
            <v>龍德造船一</v>
          </cell>
          <cell r="H5822">
            <v>200000</v>
          </cell>
          <cell r="I5822">
            <v>3.25</v>
          </cell>
          <cell r="J5822">
            <v>46563</v>
          </cell>
          <cell r="K5822">
            <v>100</v>
          </cell>
          <cell r="L5822">
            <v>46545</v>
          </cell>
          <cell r="M5822">
            <v>-873</v>
          </cell>
          <cell r="N5822">
            <v>199127</v>
          </cell>
        </row>
        <row r="5823">
          <cell r="A5823">
            <v>84333</v>
          </cell>
          <cell r="B5823">
            <v>5817</v>
          </cell>
          <cell r="C5823" t="str">
            <v>IASWD2503000445</v>
          </cell>
          <cell r="D5823">
            <v>45743</v>
          </cell>
          <cell r="E5823">
            <v>46169</v>
          </cell>
          <cell r="F5823" t="str">
            <v>84333</v>
          </cell>
          <cell r="G5823" t="str">
            <v>弘帆三</v>
          </cell>
          <cell r="H5823">
            <v>100000</v>
          </cell>
          <cell r="I5823">
            <v>4</v>
          </cell>
          <cell r="J5823">
            <v>46169</v>
          </cell>
          <cell r="K5823">
            <v>100.5</v>
          </cell>
          <cell r="L5823">
            <v>46149</v>
          </cell>
          <cell r="M5823">
            <v>-537</v>
          </cell>
          <cell r="N5823">
            <v>99463</v>
          </cell>
        </row>
        <row r="5824">
          <cell r="A5824">
            <v>45721</v>
          </cell>
          <cell r="B5824">
            <v>5818</v>
          </cell>
          <cell r="C5824" t="str">
            <v>IASWD2503000446</v>
          </cell>
          <cell r="D5824">
            <v>45743</v>
          </cell>
          <cell r="E5824">
            <v>46219</v>
          </cell>
          <cell r="F5824" t="str">
            <v>45721</v>
          </cell>
          <cell r="G5824" t="str">
            <v>駐龍一</v>
          </cell>
          <cell r="H5824">
            <v>400000</v>
          </cell>
          <cell r="I5824">
            <v>3.5</v>
          </cell>
          <cell r="J5824">
            <v>46219</v>
          </cell>
          <cell r="K5824">
            <v>100</v>
          </cell>
          <cell r="L5824">
            <v>46199</v>
          </cell>
          <cell r="M5824">
            <v>-1879</v>
          </cell>
          <cell r="N5824">
            <v>398121</v>
          </cell>
        </row>
        <row r="5825">
          <cell r="A5825">
            <v>64145</v>
          </cell>
          <cell r="B5825">
            <v>5819</v>
          </cell>
          <cell r="C5825" t="str">
            <v>IASWD2503000447</v>
          </cell>
          <cell r="D5825">
            <v>45743</v>
          </cell>
          <cell r="E5825">
            <v>46250</v>
          </cell>
          <cell r="F5825" t="str">
            <v>64145</v>
          </cell>
          <cell r="G5825" t="str">
            <v>樺漢五</v>
          </cell>
          <cell r="H5825">
            <v>100000</v>
          </cell>
          <cell r="I5825">
            <v>3</v>
          </cell>
          <cell r="J5825">
            <v>46250</v>
          </cell>
          <cell r="K5825">
            <v>100</v>
          </cell>
          <cell r="L5825">
            <v>46231</v>
          </cell>
          <cell r="M5825">
            <v>-403</v>
          </cell>
          <cell r="N5825">
            <v>99597</v>
          </cell>
        </row>
        <row r="5826">
          <cell r="A5826">
            <v>64145</v>
          </cell>
          <cell r="B5826">
            <v>5820</v>
          </cell>
          <cell r="C5826" t="str">
            <v>IASWD2503000448</v>
          </cell>
          <cell r="D5826">
            <v>45743</v>
          </cell>
          <cell r="E5826">
            <v>46250</v>
          </cell>
          <cell r="F5826" t="str">
            <v>64145</v>
          </cell>
          <cell r="G5826" t="str">
            <v>樺漢五</v>
          </cell>
          <cell r="H5826">
            <v>800000</v>
          </cell>
          <cell r="I5826">
            <v>3</v>
          </cell>
          <cell r="J5826">
            <v>46250</v>
          </cell>
          <cell r="K5826">
            <v>100</v>
          </cell>
          <cell r="L5826">
            <v>46231</v>
          </cell>
          <cell r="M5826">
            <v>-3222</v>
          </cell>
          <cell r="N5826">
            <v>796778</v>
          </cell>
        </row>
        <row r="5827">
          <cell r="A5827">
            <v>61965</v>
          </cell>
          <cell r="B5827">
            <v>5821</v>
          </cell>
          <cell r="C5827" t="str">
            <v>IASWD2503000449</v>
          </cell>
          <cell r="D5827">
            <v>45743</v>
          </cell>
          <cell r="E5827">
            <v>46200</v>
          </cell>
          <cell r="F5827" t="str">
            <v>61965</v>
          </cell>
          <cell r="G5827" t="str">
            <v>帆宣五</v>
          </cell>
          <cell r="H5827">
            <v>1000000</v>
          </cell>
          <cell r="I5827">
            <v>3</v>
          </cell>
          <cell r="J5827">
            <v>46200</v>
          </cell>
          <cell r="K5827">
            <v>100</v>
          </cell>
          <cell r="L5827">
            <v>46182</v>
          </cell>
          <cell r="M5827">
            <v>-4027</v>
          </cell>
          <cell r="N5827">
            <v>995973</v>
          </cell>
        </row>
        <row r="5828">
          <cell r="A5828">
            <v>45491</v>
          </cell>
          <cell r="B5828">
            <v>5822</v>
          </cell>
          <cell r="C5828" t="str">
            <v>IASWD2503000450</v>
          </cell>
          <cell r="D5828">
            <v>45743</v>
          </cell>
          <cell r="E5828">
            <v>46698</v>
          </cell>
          <cell r="F5828" t="str">
            <v>45491</v>
          </cell>
          <cell r="G5828" t="str">
            <v>桓達一</v>
          </cell>
          <cell r="H5828">
            <v>100000</v>
          </cell>
          <cell r="I5828">
            <v>4</v>
          </cell>
          <cell r="J5828">
            <v>46698</v>
          </cell>
          <cell r="K5828">
            <v>100</v>
          </cell>
          <cell r="L5828">
            <v>46679</v>
          </cell>
          <cell r="M5828">
            <v>-537</v>
          </cell>
          <cell r="N5828">
            <v>99463</v>
          </cell>
        </row>
        <row r="5829">
          <cell r="A5829">
            <v>15142</v>
          </cell>
          <cell r="B5829">
            <v>5823</v>
          </cell>
          <cell r="C5829" t="str">
            <v>IASWD2503000451</v>
          </cell>
          <cell r="D5829">
            <v>45743</v>
          </cell>
          <cell r="E5829">
            <v>46765</v>
          </cell>
          <cell r="F5829" t="str">
            <v>15142</v>
          </cell>
          <cell r="G5829" t="str">
            <v>亞力二</v>
          </cell>
          <cell r="H5829">
            <v>500000</v>
          </cell>
          <cell r="I5829">
            <v>3.5</v>
          </cell>
          <cell r="J5829">
            <v>46765</v>
          </cell>
          <cell r="K5829">
            <v>100.75190000000001</v>
          </cell>
          <cell r="L5829">
            <v>46745</v>
          </cell>
          <cell r="M5829">
            <v>-2349</v>
          </cell>
          <cell r="N5829">
            <v>497651</v>
          </cell>
        </row>
        <row r="5830">
          <cell r="A5830">
            <v>34793</v>
          </cell>
          <cell r="B5830">
            <v>5824</v>
          </cell>
          <cell r="C5830" t="str">
            <v>IASWD2503000452</v>
          </cell>
          <cell r="D5830">
            <v>45743</v>
          </cell>
          <cell r="E5830">
            <v>46409</v>
          </cell>
          <cell r="F5830" t="str">
            <v>34793</v>
          </cell>
          <cell r="G5830" t="str">
            <v>安勤三</v>
          </cell>
          <cell r="H5830">
            <v>200000</v>
          </cell>
          <cell r="I5830">
            <v>3</v>
          </cell>
          <cell r="J5830">
            <v>46409</v>
          </cell>
          <cell r="K5830">
            <v>100</v>
          </cell>
          <cell r="L5830">
            <v>46391</v>
          </cell>
          <cell r="M5830">
            <v>-805</v>
          </cell>
          <cell r="N5830">
            <v>199195</v>
          </cell>
        </row>
        <row r="5831">
          <cell r="A5831">
            <v>84333</v>
          </cell>
          <cell r="B5831">
            <v>5825</v>
          </cell>
          <cell r="C5831" t="str">
            <v>IASWD2503000453</v>
          </cell>
          <cell r="D5831">
            <v>45743</v>
          </cell>
          <cell r="E5831">
            <v>46169</v>
          </cell>
          <cell r="F5831" t="str">
            <v>84333</v>
          </cell>
          <cell r="G5831" t="str">
            <v>弘帆三</v>
          </cell>
          <cell r="H5831">
            <v>100000</v>
          </cell>
          <cell r="I5831">
            <v>4</v>
          </cell>
          <cell r="J5831">
            <v>46169</v>
          </cell>
          <cell r="K5831">
            <v>100.5</v>
          </cell>
          <cell r="L5831">
            <v>46149</v>
          </cell>
          <cell r="M5831">
            <v>-537</v>
          </cell>
          <cell r="N5831">
            <v>99463</v>
          </cell>
        </row>
        <row r="5832">
          <cell r="A5832">
            <v>24361</v>
          </cell>
          <cell r="B5832">
            <v>5826</v>
          </cell>
          <cell r="C5832" t="str">
            <v>IASWD2503000454</v>
          </cell>
          <cell r="D5832">
            <v>45743</v>
          </cell>
          <cell r="E5832">
            <v>45911</v>
          </cell>
          <cell r="F5832" t="str">
            <v>24361</v>
          </cell>
          <cell r="G5832" t="str">
            <v>偉詮電一</v>
          </cell>
          <cell r="H5832">
            <v>200000</v>
          </cell>
          <cell r="I5832">
            <v>3.75</v>
          </cell>
          <cell r="J5832">
            <v>45911</v>
          </cell>
          <cell r="K5832">
            <v>100.50060000000001</v>
          </cell>
          <cell r="L5832">
            <v>45891</v>
          </cell>
          <cell r="M5832">
            <v>-1007</v>
          </cell>
          <cell r="N5832">
            <v>198993</v>
          </cell>
        </row>
        <row r="5833">
          <cell r="A5833">
            <v>49793</v>
          </cell>
          <cell r="B5833">
            <v>5827</v>
          </cell>
          <cell r="C5833" t="str">
            <v>IASWD2503000455</v>
          </cell>
          <cell r="D5833">
            <v>45743</v>
          </cell>
          <cell r="E5833">
            <v>46365</v>
          </cell>
          <cell r="F5833" t="str">
            <v>49793</v>
          </cell>
          <cell r="G5833" t="str">
            <v>華星光三</v>
          </cell>
          <cell r="H5833">
            <v>100000</v>
          </cell>
          <cell r="I5833">
            <v>4</v>
          </cell>
          <cell r="J5833">
            <v>46365</v>
          </cell>
          <cell r="K5833">
            <v>101.0025</v>
          </cell>
          <cell r="L5833">
            <v>46345</v>
          </cell>
          <cell r="M5833">
            <v>-537</v>
          </cell>
          <cell r="N5833">
            <v>99463</v>
          </cell>
        </row>
        <row r="5834">
          <cell r="A5834">
            <v>64145</v>
          </cell>
          <cell r="B5834">
            <v>5828</v>
          </cell>
          <cell r="C5834" t="str">
            <v>IASWD2503000456</v>
          </cell>
          <cell r="D5834">
            <v>45744</v>
          </cell>
          <cell r="E5834">
            <v>46250</v>
          </cell>
          <cell r="F5834" t="str">
            <v>64145</v>
          </cell>
          <cell r="G5834" t="str">
            <v>樺漢五</v>
          </cell>
          <cell r="H5834">
            <v>200000</v>
          </cell>
          <cell r="I5834">
            <v>3</v>
          </cell>
          <cell r="J5834">
            <v>46250</v>
          </cell>
          <cell r="K5834">
            <v>100</v>
          </cell>
          <cell r="L5834">
            <v>46231</v>
          </cell>
          <cell r="M5834">
            <v>-789</v>
          </cell>
          <cell r="N5834">
            <v>199211</v>
          </cell>
        </row>
        <row r="5835">
          <cell r="A5835">
            <v>15364</v>
          </cell>
          <cell r="B5835">
            <v>5829</v>
          </cell>
          <cell r="C5835" t="str">
            <v>IASWD2503000457</v>
          </cell>
          <cell r="D5835">
            <v>45744</v>
          </cell>
          <cell r="E5835">
            <v>46246</v>
          </cell>
          <cell r="F5835" t="str">
            <v>15364</v>
          </cell>
          <cell r="G5835" t="str">
            <v>和大四</v>
          </cell>
          <cell r="H5835">
            <v>100000</v>
          </cell>
          <cell r="I5835">
            <v>3.75</v>
          </cell>
          <cell r="J5835">
            <v>46246</v>
          </cell>
          <cell r="K5835">
            <v>100</v>
          </cell>
          <cell r="L5835">
            <v>46226</v>
          </cell>
          <cell r="M5835">
            <v>-493</v>
          </cell>
          <cell r="N5835">
            <v>99507</v>
          </cell>
        </row>
        <row r="5836">
          <cell r="A5836">
            <v>34793</v>
          </cell>
          <cell r="B5836">
            <v>5830</v>
          </cell>
          <cell r="C5836" t="str">
            <v>IASWD2503000458</v>
          </cell>
          <cell r="D5836">
            <v>45744</v>
          </cell>
          <cell r="E5836">
            <v>46409</v>
          </cell>
          <cell r="F5836" t="str">
            <v>34793</v>
          </cell>
          <cell r="G5836" t="str">
            <v>安勤三</v>
          </cell>
          <cell r="H5836">
            <v>100000</v>
          </cell>
          <cell r="I5836">
            <v>3</v>
          </cell>
          <cell r="J5836">
            <v>46409</v>
          </cell>
          <cell r="K5836">
            <v>100</v>
          </cell>
          <cell r="L5836">
            <v>46391</v>
          </cell>
          <cell r="M5836">
            <v>-395</v>
          </cell>
          <cell r="N5836">
            <v>99605</v>
          </cell>
        </row>
        <row r="5837">
          <cell r="A5837">
            <v>64145</v>
          </cell>
          <cell r="B5837">
            <v>5831</v>
          </cell>
          <cell r="C5837" t="str">
            <v>IASWD2503000459</v>
          </cell>
          <cell r="D5837">
            <v>45744</v>
          </cell>
          <cell r="E5837">
            <v>46250</v>
          </cell>
          <cell r="F5837" t="str">
            <v>64145</v>
          </cell>
          <cell r="G5837" t="str">
            <v>樺漢五</v>
          </cell>
          <cell r="H5837">
            <v>300000</v>
          </cell>
          <cell r="I5837">
            <v>3</v>
          </cell>
          <cell r="J5837">
            <v>46250</v>
          </cell>
          <cell r="K5837">
            <v>100</v>
          </cell>
          <cell r="L5837">
            <v>46231</v>
          </cell>
          <cell r="M5837">
            <v>-1184</v>
          </cell>
          <cell r="N5837">
            <v>298816</v>
          </cell>
        </row>
        <row r="5838">
          <cell r="A5838">
            <v>64145</v>
          </cell>
          <cell r="B5838">
            <v>5832</v>
          </cell>
          <cell r="C5838" t="str">
            <v>IASWD2503000460</v>
          </cell>
          <cell r="D5838">
            <v>45744</v>
          </cell>
          <cell r="E5838">
            <v>46250</v>
          </cell>
          <cell r="F5838" t="str">
            <v>64145</v>
          </cell>
          <cell r="G5838" t="str">
            <v>樺漢五</v>
          </cell>
          <cell r="H5838">
            <v>200000</v>
          </cell>
          <cell r="I5838">
            <v>3</v>
          </cell>
          <cell r="J5838">
            <v>46250</v>
          </cell>
          <cell r="K5838">
            <v>100</v>
          </cell>
          <cell r="L5838">
            <v>46231</v>
          </cell>
          <cell r="M5838">
            <v>-789</v>
          </cell>
          <cell r="N5838">
            <v>199211</v>
          </cell>
        </row>
        <row r="5839">
          <cell r="A5839">
            <v>15364</v>
          </cell>
          <cell r="B5839">
            <v>5833</v>
          </cell>
          <cell r="C5839" t="str">
            <v>IASWD2503000461</v>
          </cell>
          <cell r="D5839">
            <v>45744</v>
          </cell>
          <cell r="E5839">
            <v>46246</v>
          </cell>
          <cell r="F5839" t="str">
            <v>15364</v>
          </cell>
          <cell r="G5839" t="str">
            <v>和大四</v>
          </cell>
          <cell r="H5839">
            <v>700000</v>
          </cell>
          <cell r="I5839">
            <v>3.75</v>
          </cell>
          <cell r="J5839">
            <v>46246</v>
          </cell>
          <cell r="K5839">
            <v>100</v>
          </cell>
          <cell r="L5839">
            <v>46226</v>
          </cell>
          <cell r="M5839">
            <v>-3452</v>
          </cell>
          <cell r="N5839">
            <v>696548</v>
          </cell>
        </row>
        <row r="5840">
          <cell r="A5840">
            <v>61973</v>
          </cell>
          <cell r="B5840">
            <v>5834</v>
          </cell>
          <cell r="C5840" t="str">
            <v>IASWD2503000462</v>
          </cell>
          <cell r="D5840">
            <v>45744</v>
          </cell>
          <cell r="E5840">
            <v>46675</v>
          </cell>
          <cell r="F5840" t="str">
            <v>61973</v>
          </cell>
          <cell r="G5840" t="str">
            <v>佳必琪三</v>
          </cell>
          <cell r="H5840">
            <v>500000</v>
          </cell>
          <cell r="I5840">
            <v>3</v>
          </cell>
          <cell r="J5840">
            <v>46675</v>
          </cell>
          <cell r="K5840">
            <v>100</v>
          </cell>
          <cell r="L5840">
            <v>46657</v>
          </cell>
          <cell r="M5840">
            <v>-1973</v>
          </cell>
          <cell r="N5840">
            <v>498027</v>
          </cell>
        </row>
        <row r="5841">
          <cell r="A5841">
            <v>64145</v>
          </cell>
          <cell r="B5841">
            <v>5835</v>
          </cell>
          <cell r="C5841" t="str">
            <v>IASWD2503000463</v>
          </cell>
          <cell r="D5841">
            <v>45744</v>
          </cell>
          <cell r="E5841">
            <v>46250</v>
          </cell>
          <cell r="F5841" t="str">
            <v>64145</v>
          </cell>
          <cell r="G5841" t="str">
            <v>樺漢五</v>
          </cell>
          <cell r="H5841">
            <v>100000</v>
          </cell>
          <cell r="I5841">
            <v>3</v>
          </cell>
          <cell r="J5841">
            <v>46250</v>
          </cell>
          <cell r="K5841">
            <v>100</v>
          </cell>
          <cell r="L5841">
            <v>46231</v>
          </cell>
          <cell r="M5841">
            <v>-395</v>
          </cell>
          <cell r="N5841">
            <v>99605</v>
          </cell>
        </row>
        <row r="5842">
          <cell r="A5842">
            <v>22283</v>
          </cell>
          <cell r="B5842">
            <v>5836</v>
          </cell>
          <cell r="C5842" t="str">
            <v>IASWD2503000464</v>
          </cell>
          <cell r="D5842">
            <v>45744</v>
          </cell>
          <cell r="E5842">
            <v>46628</v>
          </cell>
          <cell r="F5842" t="str">
            <v>22283</v>
          </cell>
          <cell r="G5842" t="str">
            <v>劍麟三</v>
          </cell>
          <cell r="H5842">
            <v>200000</v>
          </cell>
          <cell r="I5842">
            <v>3</v>
          </cell>
          <cell r="J5842">
            <v>46628</v>
          </cell>
          <cell r="K5842">
            <v>100</v>
          </cell>
          <cell r="L5842">
            <v>46609</v>
          </cell>
          <cell r="M5842">
            <v>-789</v>
          </cell>
          <cell r="N5842">
            <v>199211</v>
          </cell>
        </row>
        <row r="5843">
          <cell r="A5843">
            <v>67531</v>
          </cell>
          <cell r="B5843">
            <v>5837</v>
          </cell>
          <cell r="C5843" t="str">
            <v>IASWD2503000465</v>
          </cell>
          <cell r="D5843">
            <v>45744</v>
          </cell>
          <cell r="E5843">
            <v>46563</v>
          </cell>
          <cell r="F5843" t="str">
            <v>67531</v>
          </cell>
          <cell r="G5843" t="str">
            <v>龍德造船一</v>
          </cell>
          <cell r="H5843">
            <v>100000</v>
          </cell>
          <cell r="I5843">
            <v>3.25</v>
          </cell>
          <cell r="J5843">
            <v>46563</v>
          </cell>
          <cell r="K5843">
            <v>100</v>
          </cell>
          <cell r="L5843">
            <v>46545</v>
          </cell>
          <cell r="M5843">
            <v>-427</v>
          </cell>
          <cell r="N5843">
            <v>99573</v>
          </cell>
        </row>
        <row r="5844">
          <cell r="A5844">
            <v>35266</v>
          </cell>
          <cell r="B5844">
            <v>5838</v>
          </cell>
          <cell r="C5844" t="str">
            <v>IASWD2503000466</v>
          </cell>
          <cell r="D5844">
            <v>45744</v>
          </cell>
          <cell r="E5844">
            <v>46416</v>
          </cell>
          <cell r="F5844" t="str">
            <v>35266</v>
          </cell>
          <cell r="G5844" t="str">
            <v>凡甲六</v>
          </cell>
          <cell r="H5844">
            <v>400000</v>
          </cell>
          <cell r="I5844">
            <v>2.9</v>
          </cell>
          <cell r="J5844">
            <v>46416</v>
          </cell>
          <cell r="K5844">
            <v>100</v>
          </cell>
          <cell r="L5844">
            <v>46398</v>
          </cell>
          <cell r="M5844">
            <v>-1525</v>
          </cell>
          <cell r="N5844">
            <v>398475</v>
          </cell>
        </row>
        <row r="5845">
          <cell r="A5845">
            <v>61394</v>
          </cell>
          <cell r="B5845">
            <v>5839</v>
          </cell>
          <cell r="C5845" t="str">
            <v>IASWD2503000467</v>
          </cell>
          <cell r="D5845">
            <v>45744</v>
          </cell>
          <cell r="E5845">
            <v>46047</v>
          </cell>
          <cell r="F5845" t="str">
            <v>61394</v>
          </cell>
          <cell r="G5845" t="str">
            <v>亞翔四</v>
          </cell>
          <cell r="H5845">
            <v>100000</v>
          </cell>
          <cell r="I5845">
            <v>3</v>
          </cell>
          <cell r="J5845">
            <v>46047</v>
          </cell>
          <cell r="K5845">
            <v>101.0025</v>
          </cell>
          <cell r="L5845">
            <v>46028</v>
          </cell>
          <cell r="M5845">
            <v>-395</v>
          </cell>
          <cell r="N5845">
            <v>99605</v>
          </cell>
        </row>
        <row r="5846">
          <cell r="A5846">
            <v>15142</v>
          </cell>
          <cell r="B5846">
            <v>5840</v>
          </cell>
          <cell r="C5846" t="str">
            <v>IASWD2503000468</v>
          </cell>
          <cell r="D5846">
            <v>45744</v>
          </cell>
          <cell r="E5846">
            <v>46765</v>
          </cell>
          <cell r="F5846" t="str">
            <v>15142</v>
          </cell>
          <cell r="G5846" t="str">
            <v>亞力二</v>
          </cell>
          <cell r="H5846">
            <v>500000</v>
          </cell>
          <cell r="I5846">
            <v>3.5</v>
          </cell>
          <cell r="J5846">
            <v>46765</v>
          </cell>
          <cell r="K5846">
            <v>100.75190000000001</v>
          </cell>
          <cell r="L5846">
            <v>46745</v>
          </cell>
          <cell r="M5846">
            <v>-2301</v>
          </cell>
          <cell r="N5846">
            <v>497699</v>
          </cell>
        </row>
        <row r="5847">
          <cell r="A5847">
            <v>30882</v>
          </cell>
          <cell r="B5847">
            <v>5841</v>
          </cell>
          <cell r="C5847" t="str">
            <v>IASWD2503000469</v>
          </cell>
          <cell r="D5847">
            <v>45744</v>
          </cell>
          <cell r="E5847">
            <v>46262</v>
          </cell>
          <cell r="F5847" t="str">
            <v>30882</v>
          </cell>
          <cell r="G5847" t="str">
            <v>艾訊二</v>
          </cell>
          <cell r="H5847">
            <v>100000</v>
          </cell>
          <cell r="I5847">
            <v>3.25</v>
          </cell>
          <cell r="J5847">
            <v>46262</v>
          </cell>
          <cell r="K5847">
            <v>100</v>
          </cell>
          <cell r="L5847">
            <v>46244</v>
          </cell>
          <cell r="M5847">
            <v>-427</v>
          </cell>
          <cell r="N5847">
            <v>99573</v>
          </cell>
        </row>
        <row r="5848">
          <cell r="A5848">
            <v>67531</v>
          </cell>
          <cell r="B5848">
            <v>5842</v>
          </cell>
          <cell r="C5848" t="str">
            <v>IASWD2503000470</v>
          </cell>
          <cell r="D5848">
            <v>45744</v>
          </cell>
          <cell r="E5848">
            <v>46563</v>
          </cell>
          <cell r="F5848" t="str">
            <v>67531</v>
          </cell>
          <cell r="G5848" t="str">
            <v>龍德造船一</v>
          </cell>
          <cell r="H5848">
            <v>100000</v>
          </cell>
          <cell r="I5848">
            <v>3.25</v>
          </cell>
          <cell r="J5848">
            <v>46563</v>
          </cell>
          <cell r="K5848">
            <v>100</v>
          </cell>
          <cell r="L5848">
            <v>46545</v>
          </cell>
          <cell r="M5848">
            <v>-427</v>
          </cell>
          <cell r="N5848">
            <v>99573</v>
          </cell>
        </row>
        <row r="5849">
          <cell r="A5849">
            <v>67531</v>
          </cell>
          <cell r="B5849">
            <v>5843</v>
          </cell>
          <cell r="C5849" t="str">
            <v>IASWD2503000471</v>
          </cell>
          <cell r="D5849">
            <v>45744</v>
          </cell>
          <cell r="E5849">
            <v>46563</v>
          </cell>
          <cell r="F5849" t="str">
            <v>67531</v>
          </cell>
          <cell r="G5849" t="str">
            <v>龍德造船一</v>
          </cell>
          <cell r="H5849">
            <v>200000</v>
          </cell>
          <cell r="I5849">
            <v>3.25</v>
          </cell>
          <cell r="J5849">
            <v>46563</v>
          </cell>
          <cell r="K5849">
            <v>100</v>
          </cell>
          <cell r="L5849">
            <v>46545</v>
          </cell>
          <cell r="M5849">
            <v>-855</v>
          </cell>
          <cell r="N5849">
            <v>199145</v>
          </cell>
        </row>
        <row r="5850">
          <cell r="A5850">
            <v>64145</v>
          </cell>
          <cell r="B5850">
            <v>5844</v>
          </cell>
          <cell r="C5850" t="str">
            <v>IASWD2503000472</v>
          </cell>
          <cell r="D5850">
            <v>45744</v>
          </cell>
          <cell r="E5850">
            <v>46250</v>
          </cell>
          <cell r="F5850" t="str">
            <v>64145</v>
          </cell>
          <cell r="G5850" t="str">
            <v>樺漢五</v>
          </cell>
          <cell r="H5850">
            <v>100000</v>
          </cell>
          <cell r="I5850">
            <v>3</v>
          </cell>
          <cell r="J5850">
            <v>46250</v>
          </cell>
          <cell r="K5850">
            <v>100</v>
          </cell>
          <cell r="L5850">
            <v>46231</v>
          </cell>
          <cell r="M5850">
            <v>-395</v>
          </cell>
          <cell r="N5850">
            <v>99605</v>
          </cell>
        </row>
        <row r="5851">
          <cell r="A5851">
            <v>35482</v>
          </cell>
          <cell r="B5851">
            <v>5845</v>
          </cell>
          <cell r="C5851" t="str">
            <v>IASWD2503000473</v>
          </cell>
          <cell r="D5851">
            <v>45744</v>
          </cell>
          <cell r="E5851">
            <v>46395</v>
          </cell>
          <cell r="F5851" t="str">
            <v>35482</v>
          </cell>
          <cell r="G5851" t="str">
            <v>兆利二</v>
          </cell>
          <cell r="H5851">
            <v>200000</v>
          </cell>
          <cell r="I5851">
            <v>2.8</v>
          </cell>
          <cell r="J5851">
            <v>46395</v>
          </cell>
          <cell r="K5851">
            <v>100</v>
          </cell>
          <cell r="L5851">
            <v>46377</v>
          </cell>
          <cell r="M5851">
            <v>-736</v>
          </cell>
          <cell r="N5851">
            <v>199264</v>
          </cell>
        </row>
        <row r="5852">
          <cell r="A5852">
            <v>64145</v>
          </cell>
          <cell r="B5852">
            <v>5846</v>
          </cell>
          <cell r="C5852" t="str">
            <v>IASWD2503000474</v>
          </cell>
          <cell r="D5852">
            <v>45744</v>
          </cell>
          <cell r="E5852">
            <v>46250</v>
          </cell>
          <cell r="F5852" t="str">
            <v>64145</v>
          </cell>
          <cell r="G5852" t="str">
            <v>樺漢五</v>
          </cell>
          <cell r="H5852">
            <v>200000</v>
          </cell>
          <cell r="I5852">
            <v>3</v>
          </cell>
          <cell r="J5852">
            <v>46250</v>
          </cell>
          <cell r="K5852">
            <v>100</v>
          </cell>
          <cell r="L5852">
            <v>46231</v>
          </cell>
          <cell r="M5852">
            <v>-789</v>
          </cell>
          <cell r="N5852">
            <v>199211</v>
          </cell>
        </row>
        <row r="5853">
          <cell r="A5853">
            <v>15364</v>
          </cell>
          <cell r="B5853">
            <v>5847</v>
          </cell>
          <cell r="C5853" t="str">
            <v>IASWD2503000475</v>
          </cell>
          <cell r="D5853">
            <v>45744</v>
          </cell>
          <cell r="E5853">
            <v>46246</v>
          </cell>
          <cell r="F5853" t="str">
            <v>15364</v>
          </cell>
          <cell r="G5853" t="str">
            <v>和大四</v>
          </cell>
          <cell r="H5853">
            <v>100000</v>
          </cell>
          <cell r="I5853">
            <v>3.75</v>
          </cell>
          <cell r="J5853">
            <v>46246</v>
          </cell>
          <cell r="K5853">
            <v>100</v>
          </cell>
          <cell r="L5853">
            <v>46226</v>
          </cell>
          <cell r="M5853">
            <v>-493</v>
          </cell>
          <cell r="N5853">
            <v>99507</v>
          </cell>
        </row>
        <row r="5854">
          <cell r="A5854">
            <v>15364</v>
          </cell>
          <cell r="B5854">
            <v>5848</v>
          </cell>
          <cell r="C5854" t="str">
            <v>IASWD2503000476</v>
          </cell>
          <cell r="D5854">
            <v>45744</v>
          </cell>
          <cell r="E5854">
            <v>46246</v>
          </cell>
          <cell r="F5854" t="str">
            <v>15364</v>
          </cell>
          <cell r="G5854" t="str">
            <v>和大四</v>
          </cell>
          <cell r="H5854">
            <v>200000</v>
          </cell>
          <cell r="I5854">
            <v>3.75</v>
          </cell>
          <cell r="J5854">
            <v>46246</v>
          </cell>
          <cell r="K5854">
            <v>100</v>
          </cell>
          <cell r="L5854">
            <v>46226</v>
          </cell>
          <cell r="M5854">
            <v>-986</v>
          </cell>
          <cell r="N5854">
            <v>199014</v>
          </cell>
        </row>
        <row r="5855">
          <cell r="A5855">
            <v>15364</v>
          </cell>
          <cell r="B5855">
            <v>5849</v>
          </cell>
          <cell r="C5855" t="str">
            <v>IASWD2503000477</v>
          </cell>
          <cell r="D5855">
            <v>45744</v>
          </cell>
          <cell r="E5855">
            <v>46246</v>
          </cell>
          <cell r="F5855" t="str">
            <v>15364</v>
          </cell>
          <cell r="G5855" t="str">
            <v>和大四</v>
          </cell>
          <cell r="H5855">
            <v>100000</v>
          </cell>
          <cell r="I5855">
            <v>3.75</v>
          </cell>
          <cell r="J5855">
            <v>46246</v>
          </cell>
          <cell r="K5855">
            <v>100</v>
          </cell>
          <cell r="L5855">
            <v>46226</v>
          </cell>
          <cell r="M5855">
            <v>-493</v>
          </cell>
          <cell r="N5855">
            <v>99507</v>
          </cell>
        </row>
        <row r="5856">
          <cell r="A5856">
            <v>15142</v>
          </cell>
          <cell r="B5856">
            <v>5850</v>
          </cell>
          <cell r="C5856" t="str">
            <v>IASWD2503000478</v>
          </cell>
          <cell r="D5856">
            <v>45744</v>
          </cell>
          <cell r="E5856">
            <v>46765</v>
          </cell>
          <cell r="F5856" t="str">
            <v>15142</v>
          </cell>
          <cell r="G5856" t="str">
            <v>亞力二</v>
          </cell>
          <cell r="H5856">
            <v>400000</v>
          </cell>
          <cell r="I5856">
            <v>3.5</v>
          </cell>
          <cell r="J5856">
            <v>46765</v>
          </cell>
          <cell r="K5856">
            <v>100.75190000000001</v>
          </cell>
          <cell r="L5856">
            <v>46745</v>
          </cell>
          <cell r="M5856">
            <v>-1841</v>
          </cell>
          <cell r="N5856">
            <v>398159</v>
          </cell>
        </row>
        <row r="5857">
          <cell r="A5857">
            <v>35482</v>
          </cell>
          <cell r="B5857">
            <v>5851</v>
          </cell>
          <cell r="C5857" t="str">
            <v>IASWD2503000479</v>
          </cell>
          <cell r="D5857">
            <v>45744</v>
          </cell>
          <cell r="E5857">
            <v>46395</v>
          </cell>
          <cell r="F5857" t="str">
            <v>35482</v>
          </cell>
          <cell r="G5857" t="str">
            <v>兆利二</v>
          </cell>
          <cell r="H5857">
            <v>100000</v>
          </cell>
          <cell r="I5857">
            <v>2.8</v>
          </cell>
          <cell r="J5857">
            <v>46395</v>
          </cell>
          <cell r="K5857">
            <v>100</v>
          </cell>
          <cell r="L5857">
            <v>46377</v>
          </cell>
          <cell r="M5857">
            <v>-368</v>
          </cell>
          <cell r="N5857">
            <v>99632</v>
          </cell>
        </row>
        <row r="5858">
          <cell r="A5858">
            <v>67531</v>
          </cell>
          <cell r="B5858">
            <v>5852</v>
          </cell>
          <cell r="C5858" t="str">
            <v>IASWD2503000480</v>
          </cell>
          <cell r="D5858">
            <v>45744</v>
          </cell>
          <cell r="E5858">
            <v>46563</v>
          </cell>
          <cell r="F5858" t="str">
            <v>67531</v>
          </cell>
          <cell r="G5858" t="str">
            <v>龍德造船一</v>
          </cell>
          <cell r="H5858">
            <v>100000</v>
          </cell>
          <cell r="I5858">
            <v>3.25</v>
          </cell>
          <cell r="J5858">
            <v>46563</v>
          </cell>
          <cell r="K5858">
            <v>100</v>
          </cell>
          <cell r="L5858">
            <v>46545</v>
          </cell>
          <cell r="M5858">
            <v>-427</v>
          </cell>
          <cell r="N5858">
            <v>99573</v>
          </cell>
        </row>
        <row r="5859">
          <cell r="A5859">
            <v>45721</v>
          </cell>
          <cell r="B5859">
            <v>5853</v>
          </cell>
          <cell r="C5859" t="str">
            <v>IASWD2503000481</v>
          </cell>
          <cell r="D5859">
            <v>45744</v>
          </cell>
          <cell r="E5859">
            <v>46219</v>
          </cell>
          <cell r="F5859" t="str">
            <v>45721</v>
          </cell>
          <cell r="G5859" t="str">
            <v>駐龍一</v>
          </cell>
          <cell r="H5859">
            <v>200000</v>
          </cell>
          <cell r="I5859">
            <v>3.5</v>
          </cell>
          <cell r="J5859">
            <v>46219</v>
          </cell>
          <cell r="K5859">
            <v>100</v>
          </cell>
          <cell r="L5859">
            <v>46199</v>
          </cell>
          <cell r="M5859">
            <v>-921</v>
          </cell>
          <cell r="N5859">
            <v>199079</v>
          </cell>
        </row>
        <row r="5860">
          <cell r="A5860">
            <v>64145</v>
          </cell>
          <cell r="B5860">
            <v>5854</v>
          </cell>
          <cell r="C5860" t="str">
            <v>IASWD2503000482</v>
          </cell>
          <cell r="D5860">
            <v>45747</v>
          </cell>
          <cell r="E5860">
            <v>46250</v>
          </cell>
          <cell r="F5860" t="str">
            <v>64145</v>
          </cell>
          <cell r="G5860" t="str">
            <v>樺漢五</v>
          </cell>
          <cell r="H5860">
            <v>100000</v>
          </cell>
          <cell r="I5860">
            <v>3</v>
          </cell>
          <cell r="J5860">
            <v>46250</v>
          </cell>
          <cell r="K5860">
            <v>100</v>
          </cell>
          <cell r="L5860">
            <v>46231</v>
          </cell>
          <cell r="M5860">
            <v>-370</v>
          </cell>
          <cell r="N5860">
            <v>99630</v>
          </cell>
        </row>
        <row r="5861">
          <cell r="A5861">
            <v>64145</v>
          </cell>
          <cell r="B5861">
            <v>5855</v>
          </cell>
          <cell r="C5861" t="str">
            <v>IASWD2503000483</v>
          </cell>
          <cell r="D5861">
            <v>45747</v>
          </cell>
          <cell r="E5861">
            <v>46250</v>
          </cell>
          <cell r="F5861" t="str">
            <v>64145</v>
          </cell>
          <cell r="G5861" t="str">
            <v>樺漢五</v>
          </cell>
          <cell r="H5861">
            <v>200000</v>
          </cell>
          <cell r="I5861">
            <v>3</v>
          </cell>
          <cell r="J5861">
            <v>46250</v>
          </cell>
          <cell r="K5861">
            <v>100</v>
          </cell>
          <cell r="L5861">
            <v>46231</v>
          </cell>
          <cell r="M5861">
            <v>-740</v>
          </cell>
          <cell r="N5861">
            <v>199260</v>
          </cell>
        </row>
        <row r="5862">
          <cell r="A5862">
            <v>15364</v>
          </cell>
          <cell r="B5862">
            <v>5856</v>
          </cell>
          <cell r="C5862" t="str">
            <v>IASWD2503000484</v>
          </cell>
          <cell r="D5862">
            <v>45747</v>
          </cell>
          <cell r="E5862">
            <v>46246</v>
          </cell>
          <cell r="F5862" t="str">
            <v>15364</v>
          </cell>
          <cell r="G5862" t="str">
            <v>和大四</v>
          </cell>
          <cell r="H5862">
            <v>100000</v>
          </cell>
          <cell r="I5862">
            <v>3.75</v>
          </cell>
          <cell r="J5862">
            <v>46246</v>
          </cell>
          <cell r="K5862">
            <v>100</v>
          </cell>
          <cell r="L5862">
            <v>46226</v>
          </cell>
          <cell r="M5862">
            <v>-462</v>
          </cell>
          <cell r="N5862">
            <v>99538</v>
          </cell>
        </row>
        <row r="5863">
          <cell r="A5863">
            <v>15142</v>
          </cell>
          <cell r="B5863">
            <v>5857</v>
          </cell>
          <cell r="C5863" t="str">
            <v>IASWD2503000485</v>
          </cell>
          <cell r="D5863">
            <v>45747</v>
          </cell>
          <cell r="E5863">
            <v>46765</v>
          </cell>
          <cell r="F5863" t="str">
            <v>15142</v>
          </cell>
          <cell r="G5863" t="str">
            <v>亞力二</v>
          </cell>
          <cell r="H5863">
            <v>100000</v>
          </cell>
          <cell r="I5863">
            <v>3.25</v>
          </cell>
          <cell r="J5863">
            <v>46765</v>
          </cell>
          <cell r="K5863">
            <v>100.75190000000001</v>
          </cell>
          <cell r="L5863">
            <v>46745</v>
          </cell>
          <cell r="M5863">
            <v>-401</v>
          </cell>
          <cell r="N5863">
            <v>99599</v>
          </cell>
        </row>
        <row r="5864">
          <cell r="A5864">
            <v>61394</v>
          </cell>
          <cell r="B5864">
            <v>5858</v>
          </cell>
          <cell r="C5864" t="str">
            <v>IASWD2503000486</v>
          </cell>
          <cell r="D5864">
            <v>45747</v>
          </cell>
          <cell r="E5864">
            <v>46047</v>
          </cell>
          <cell r="F5864" t="str">
            <v>61394</v>
          </cell>
          <cell r="G5864" t="str">
            <v>亞翔四</v>
          </cell>
          <cell r="H5864">
            <v>100000</v>
          </cell>
          <cell r="I5864">
            <v>3</v>
          </cell>
          <cell r="J5864">
            <v>46047</v>
          </cell>
          <cell r="K5864">
            <v>101.0025</v>
          </cell>
          <cell r="L5864">
            <v>46028</v>
          </cell>
          <cell r="M5864">
            <v>-370</v>
          </cell>
          <cell r="N5864">
            <v>99630</v>
          </cell>
        </row>
        <row r="5865">
          <cell r="A5865">
            <v>45721</v>
          </cell>
          <cell r="B5865">
            <v>5859</v>
          </cell>
          <cell r="C5865" t="str">
            <v>IASWD2503000487</v>
          </cell>
          <cell r="D5865">
            <v>45747</v>
          </cell>
          <cell r="E5865">
            <v>46219</v>
          </cell>
          <cell r="F5865" t="str">
            <v>45721</v>
          </cell>
          <cell r="G5865" t="str">
            <v>駐龍一</v>
          </cell>
          <cell r="H5865">
            <v>700000</v>
          </cell>
          <cell r="I5865">
            <v>3.5</v>
          </cell>
          <cell r="J5865">
            <v>46219</v>
          </cell>
          <cell r="K5865">
            <v>100</v>
          </cell>
          <cell r="L5865">
            <v>46199</v>
          </cell>
          <cell r="M5865">
            <v>-3021</v>
          </cell>
          <cell r="N5865">
            <v>696979</v>
          </cell>
        </row>
        <row r="5866">
          <cell r="A5866">
            <v>15364</v>
          </cell>
          <cell r="B5866">
            <v>5860</v>
          </cell>
          <cell r="C5866" t="str">
            <v>IASWD2503000488</v>
          </cell>
          <cell r="D5866">
            <v>45747</v>
          </cell>
          <cell r="E5866">
            <v>46246</v>
          </cell>
          <cell r="F5866" t="str">
            <v>15364</v>
          </cell>
          <cell r="G5866" t="str">
            <v>和大四</v>
          </cell>
          <cell r="H5866">
            <v>500000</v>
          </cell>
          <cell r="I5866">
            <v>3.75</v>
          </cell>
          <cell r="J5866">
            <v>46246</v>
          </cell>
          <cell r="K5866">
            <v>100</v>
          </cell>
          <cell r="L5866">
            <v>46226</v>
          </cell>
          <cell r="M5866">
            <v>-2312</v>
          </cell>
          <cell r="N5866">
            <v>497688</v>
          </cell>
        </row>
        <row r="5867">
          <cell r="A5867">
            <v>64145</v>
          </cell>
          <cell r="B5867">
            <v>5861</v>
          </cell>
          <cell r="C5867" t="str">
            <v>IASWD2503000489</v>
          </cell>
          <cell r="D5867">
            <v>45747</v>
          </cell>
          <cell r="E5867">
            <v>46250</v>
          </cell>
          <cell r="F5867" t="str">
            <v>64145</v>
          </cell>
          <cell r="G5867" t="str">
            <v>樺漢五</v>
          </cell>
          <cell r="H5867">
            <v>100000</v>
          </cell>
          <cell r="I5867">
            <v>3</v>
          </cell>
          <cell r="J5867">
            <v>46250</v>
          </cell>
          <cell r="K5867">
            <v>100</v>
          </cell>
          <cell r="L5867">
            <v>46231</v>
          </cell>
          <cell r="M5867">
            <v>-370</v>
          </cell>
          <cell r="N5867">
            <v>99630</v>
          </cell>
        </row>
        <row r="5868">
          <cell r="A5868">
            <v>99211</v>
          </cell>
          <cell r="B5868">
            <v>5862</v>
          </cell>
          <cell r="C5868" t="str">
            <v>IASWD2503000490</v>
          </cell>
          <cell r="D5868">
            <v>45747</v>
          </cell>
          <cell r="E5868">
            <v>46551</v>
          </cell>
          <cell r="F5868" t="str">
            <v>99211</v>
          </cell>
          <cell r="G5868" t="str">
            <v>巨大一</v>
          </cell>
          <cell r="H5868">
            <v>200000</v>
          </cell>
          <cell r="I5868">
            <v>2.9</v>
          </cell>
          <cell r="J5868">
            <v>46551</v>
          </cell>
          <cell r="K5868">
            <v>100</v>
          </cell>
          <cell r="L5868">
            <v>46532</v>
          </cell>
          <cell r="M5868">
            <v>-715</v>
          </cell>
          <cell r="N5868">
            <v>199285</v>
          </cell>
        </row>
        <row r="5869">
          <cell r="A5869">
            <v>61906</v>
          </cell>
          <cell r="B5869">
            <v>5863</v>
          </cell>
          <cell r="C5869" t="str">
            <v>IASWD2503000491</v>
          </cell>
          <cell r="D5869">
            <v>45747</v>
          </cell>
          <cell r="E5869">
            <v>45961</v>
          </cell>
          <cell r="F5869" t="str">
            <v>61906</v>
          </cell>
          <cell r="G5869" t="str">
            <v>萬泰科六</v>
          </cell>
          <cell r="H5869">
            <v>200000</v>
          </cell>
          <cell r="I5869">
            <v>3.75</v>
          </cell>
          <cell r="J5869">
            <v>45961</v>
          </cell>
          <cell r="K5869">
            <v>100</v>
          </cell>
          <cell r="L5869">
            <v>45943</v>
          </cell>
          <cell r="M5869">
            <v>-925</v>
          </cell>
          <cell r="N5869">
            <v>199075</v>
          </cell>
        </row>
        <row r="5870">
          <cell r="A5870">
            <v>84333</v>
          </cell>
          <cell r="B5870">
            <v>5864</v>
          </cell>
          <cell r="C5870" t="str">
            <v>IASWD2503000492</v>
          </cell>
          <cell r="D5870">
            <v>45747</v>
          </cell>
          <cell r="E5870">
            <v>46169</v>
          </cell>
          <cell r="F5870" t="str">
            <v>84333</v>
          </cell>
          <cell r="G5870" t="str">
            <v>弘帆三</v>
          </cell>
          <cell r="H5870">
            <v>100000</v>
          </cell>
          <cell r="I5870">
            <v>4</v>
          </cell>
          <cell r="J5870">
            <v>46169</v>
          </cell>
          <cell r="K5870">
            <v>100.5</v>
          </cell>
          <cell r="L5870">
            <v>46149</v>
          </cell>
          <cell r="M5870">
            <v>-493</v>
          </cell>
          <cell r="N5870">
            <v>99507</v>
          </cell>
        </row>
        <row r="5871">
          <cell r="A5871">
            <v>61843</v>
          </cell>
          <cell r="B5871">
            <v>5865</v>
          </cell>
          <cell r="C5871" t="str">
            <v>IASWD2503000493</v>
          </cell>
          <cell r="D5871">
            <v>45747</v>
          </cell>
          <cell r="E5871">
            <v>46452</v>
          </cell>
          <cell r="F5871" t="str">
            <v>61843</v>
          </cell>
          <cell r="G5871" t="str">
            <v>大豐電三</v>
          </cell>
          <cell r="H5871">
            <v>1400000</v>
          </cell>
          <cell r="I5871">
            <v>3.75</v>
          </cell>
          <cell r="J5871">
            <v>46452</v>
          </cell>
          <cell r="K5871">
            <v>101.50749999999999</v>
          </cell>
          <cell r="L5871">
            <v>46434</v>
          </cell>
          <cell r="M5871">
            <v>-6473</v>
          </cell>
          <cell r="N5871">
            <v>1393527</v>
          </cell>
        </row>
        <row r="5872">
          <cell r="A5872">
            <v>15364</v>
          </cell>
          <cell r="B5872">
            <v>5866</v>
          </cell>
          <cell r="C5872" t="str">
            <v>IASWD2503000494</v>
          </cell>
          <cell r="D5872">
            <v>45747</v>
          </cell>
          <cell r="E5872">
            <v>46246</v>
          </cell>
          <cell r="F5872" t="str">
            <v>15364</v>
          </cell>
          <cell r="G5872" t="str">
            <v>和大四</v>
          </cell>
          <cell r="H5872">
            <v>100000</v>
          </cell>
          <cell r="I5872">
            <v>3.75</v>
          </cell>
          <cell r="J5872">
            <v>46246</v>
          </cell>
          <cell r="K5872">
            <v>100</v>
          </cell>
          <cell r="L5872">
            <v>46226</v>
          </cell>
          <cell r="M5872">
            <v>-462</v>
          </cell>
          <cell r="N5872">
            <v>99538</v>
          </cell>
        </row>
        <row r="5873">
          <cell r="A5873">
            <v>64145</v>
          </cell>
          <cell r="B5873">
            <v>5867</v>
          </cell>
          <cell r="C5873" t="str">
            <v>IASWD2503000495</v>
          </cell>
          <cell r="D5873">
            <v>45747</v>
          </cell>
          <cell r="E5873">
            <v>46250</v>
          </cell>
          <cell r="F5873" t="str">
            <v>64145</v>
          </cell>
          <cell r="G5873" t="str">
            <v>樺漢五</v>
          </cell>
          <cell r="H5873">
            <v>100000</v>
          </cell>
          <cell r="I5873">
            <v>3</v>
          </cell>
          <cell r="J5873">
            <v>46250</v>
          </cell>
          <cell r="K5873">
            <v>100</v>
          </cell>
          <cell r="L5873">
            <v>46231</v>
          </cell>
          <cell r="M5873">
            <v>-370</v>
          </cell>
          <cell r="N5873">
            <v>99630</v>
          </cell>
        </row>
        <row r="5874">
          <cell r="A5874">
            <v>15364</v>
          </cell>
          <cell r="B5874">
            <v>5868</v>
          </cell>
          <cell r="C5874" t="str">
            <v>IASWD2503000496</v>
          </cell>
          <cell r="D5874">
            <v>45747</v>
          </cell>
          <cell r="E5874">
            <v>46246</v>
          </cell>
          <cell r="F5874" t="str">
            <v>15364</v>
          </cell>
          <cell r="G5874" t="str">
            <v>和大四</v>
          </cell>
          <cell r="H5874">
            <v>100000</v>
          </cell>
          <cell r="I5874">
            <v>3.75</v>
          </cell>
          <cell r="J5874">
            <v>46246</v>
          </cell>
          <cell r="K5874">
            <v>100</v>
          </cell>
          <cell r="L5874">
            <v>46226</v>
          </cell>
          <cell r="M5874">
            <v>-462</v>
          </cell>
          <cell r="N5874">
            <v>99538</v>
          </cell>
        </row>
        <row r="5875">
          <cell r="A5875">
            <v>15364</v>
          </cell>
          <cell r="B5875">
            <v>5869</v>
          </cell>
          <cell r="C5875" t="str">
            <v>IASWD2503000497</v>
          </cell>
          <cell r="D5875">
            <v>45747</v>
          </cell>
          <cell r="E5875">
            <v>46246</v>
          </cell>
          <cell r="F5875" t="str">
            <v>15364</v>
          </cell>
          <cell r="G5875" t="str">
            <v>和大四</v>
          </cell>
          <cell r="H5875">
            <v>100000</v>
          </cell>
          <cell r="I5875">
            <v>3.75</v>
          </cell>
          <cell r="J5875">
            <v>46246</v>
          </cell>
          <cell r="K5875">
            <v>100</v>
          </cell>
          <cell r="L5875">
            <v>46226</v>
          </cell>
          <cell r="M5875">
            <v>-462</v>
          </cell>
          <cell r="N5875">
            <v>99538</v>
          </cell>
        </row>
        <row r="5876">
          <cell r="A5876">
            <v>35266</v>
          </cell>
          <cell r="B5876">
            <v>5870</v>
          </cell>
          <cell r="C5876" t="str">
            <v>IASWD2503000498</v>
          </cell>
          <cell r="D5876">
            <v>45747</v>
          </cell>
          <cell r="E5876">
            <v>46416</v>
          </cell>
          <cell r="F5876" t="str">
            <v>35266</v>
          </cell>
          <cell r="G5876" t="str">
            <v>凡甲六</v>
          </cell>
          <cell r="H5876">
            <v>300000</v>
          </cell>
          <cell r="I5876">
            <v>2.9</v>
          </cell>
          <cell r="J5876">
            <v>46416</v>
          </cell>
          <cell r="K5876">
            <v>100</v>
          </cell>
          <cell r="L5876">
            <v>46398</v>
          </cell>
          <cell r="M5876">
            <v>-1073</v>
          </cell>
          <cell r="N5876">
            <v>298927</v>
          </cell>
        </row>
        <row r="5877">
          <cell r="A5877">
            <v>64145</v>
          </cell>
          <cell r="B5877">
            <v>5871</v>
          </cell>
          <cell r="C5877" t="str">
            <v>IASWD2503000499</v>
          </cell>
          <cell r="D5877">
            <v>45747</v>
          </cell>
          <cell r="E5877">
            <v>46250</v>
          </cell>
          <cell r="F5877" t="str">
            <v>64145</v>
          </cell>
          <cell r="G5877" t="str">
            <v>樺漢五</v>
          </cell>
          <cell r="H5877">
            <v>100000</v>
          </cell>
          <cell r="I5877">
            <v>3</v>
          </cell>
          <cell r="J5877">
            <v>46250</v>
          </cell>
          <cell r="K5877">
            <v>100</v>
          </cell>
          <cell r="L5877">
            <v>46231</v>
          </cell>
          <cell r="M5877">
            <v>-370</v>
          </cell>
          <cell r="N5877">
            <v>99630</v>
          </cell>
        </row>
        <row r="5878">
          <cell r="A5878">
            <v>67531</v>
          </cell>
          <cell r="B5878">
            <v>5872</v>
          </cell>
          <cell r="C5878" t="str">
            <v>IASWD2503000500</v>
          </cell>
          <cell r="D5878">
            <v>45747</v>
          </cell>
          <cell r="E5878">
            <v>46563</v>
          </cell>
          <cell r="F5878" t="str">
            <v>67531</v>
          </cell>
          <cell r="G5878" t="str">
            <v>龍德造船一</v>
          </cell>
          <cell r="H5878">
            <v>200000</v>
          </cell>
          <cell r="I5878">
            <v>3.25</v>
          </cell>
          <cell r="J5878">
            <v>46563</v>
          </cell>
          <cell r="K5878">
            <v>100</v>
          </cell>
          <cell r="L5878">
            <v>46545</v>
          </cell>
          <cell r="M5878">
            <v>-801</v>
          </cell>
          <cell r="N5878">
            <v>199199</v>
          </cell>
        </row>
        <row r="5879">
          <cell r="A5879">
            <v>64145</v>
          </cell>
          <cell r="B5879">
            <v>5873</v>
          </cell>
          <cell r="C5879" t="str">
            <v>IASWD2503000501</v>
          </cell>
          <cell r="D5879">
            <v>45747</v>
          </cell>
          <cell r="E5879">
            <v>46250</v>
          </cell>
          <cell r="F5879" t="str">
            <v>64145</v>
          </cell>
          <cell r="G5879" t="str">
            <v>樺漢五</v>
          </cell>
          <cell r="H5879">
            <v>200000</v>
          </cell>
          <cell r="I5879">
            <v>3</v>
          </cell>
          <cell r="J5879">
            <v>46250</v>
          </cell>
          <cell r="K5879">
            <v>100</v>
          </cell>
          <cell r="L5879">
            <v>46231</v>
          </cell>
          <cell r="M5879">
            <v>-740</v>
          </cell>
          <cell r="N5879">
            <v>199260</v>
          </cell>
        </row>
        <row r="5880">
          <cell r="A5880">
            <v>45721</v>
          </cell>
          <cell r="B5880">
            <v>5874</v>
          </cell>
          <cell r="C5880" t="str">
            <v>IASWD2503000502</v>
          </cell>
          <cell r="D5880">
            <v>45747</v>
          </cell>
          <cell r="E5880">
            <v>46219</v>
          </cell>
          <cell r="F5880" t="str">
            <v>45721</v>
          </cell>
          <cell r="G5880" t="str">
            <v>駐龍一</v>
          </cell>
          <cell r="H5880">
            <v>100000</v>
          </cell>
          <cell r="I5880">
            <v>3.5</v>
          </cell>
          <cell r="J5880">
            <v>46219</v>
          </cell>
          <cell r="K5880">
            <v>100</v>
          </cell>
          <cell r="L5880">
            <v>46199</v>
          </cell>
          <cell r="M5880">
            <v>-432</v>
          </cell>
          <cell r="N5880">
            <v>99568</v>
          </cell>
        </row>
        <row r="5881">
          <cell r="A5881">
            <v>34912</v>
          </cell>
          <cell r="B5881">
            <v>5875</v>
          </cell>
          <cell r="C5881" t="str">
            <v>IASWD2503000503</v>
          </cell>
          <cell r="D5881">
            <v>45747</v>
          </cell>
          <cell r="E5881">
            <v>46627</v>
          </cell>
          <cell r="F5881" t="str">
            <v>34912</v>
          </cell>
          <cell r="G5881" t="str">
            <v>昇達科二</v>
          </cell>
          <cell r="H5881">
            <v>200000</v>
          </cell>
          <cell r="I5881">
            <v>3</v>
          </cell>
          <cell r="J5881">
            <v>46627</v>
          </cell>
          <cell r="K5881">
            <v>100</v>
          </cell>
          <cell r="L5881">
            <v>46609</v>
          </cell>
          <cell r="M5881">
            <v>-740</v>
          </cell>
          <cell r="N5881">
            <v>199260</v>
          </cell>
        </row>
        <row r="5882">
          <cell r="A5882">
            <v>15142</v>
          </cell>
          <cell r="B5882">
            <v>5876</v>
          </cell>
          <cell r="C5882" t="str">
            <v>IASWD2503000504</v>
          </cell>
          <cell r="D5882">
            <v>45747</v>
          </cell>
          <cell r="E5882">
            <v>46765</v>
          </cell>
          <cell r="F5882" t="str">
            <v>15142</v>
          </cell>
          <cell r="G5882" t="str">
            <v>亞力二</v>
          </cell>
          <cell r="H5882">
            <v>300000</v>
          </cell>
          <cell r="I5882">
            <v>3.25</v>
          </cell>
          <cell r="J5882">
            <v>46765</v>
          </cell>
          <cell r="K5882">
            <v>100.75190000000001</v>
          </cell>
          <cell r="L5882">
            <v>46745</v>
          </cell>
          <cell r="M5882">
            <v>-1202</v>
          </cell>
          <cell r="N5882">
            <v>298798</v>
          </cell>
        </row>
        <row r="5883">
          <cell r="A5883">
            <v>64145</v>
          </cell>
          <cell r="B5883">
            <v>5877</v>
          </cell>
          <cell r="C5883" t="str">
            <v>IASWD2503000505</v>
          </cell>
          <cell r="D5883">
            <v>45747</v>
          </cell>
          <cell r="E5883">
            <v>46250</v>
          </cell>
          <cell r="F5883" t="str">
            <v>64145</v>
          </cell>
          <cell r="G5883" t="str">
            <v>樺漢五</v>
          </cell>
          <cell r="H5883">
            <v>100000</v>
          </cell>
          <cell r="I5883">
            <v>3</v>
          </cell>
          <cell r="J5883">
            <v>46250</v>
          </cell>
          <cell r="K5883">
            <v>100</v>
          </cell>
          <cell r="L5883">
            <v>46231</v>
          </cell>
          <cell r="M5883">
            <v>-370</v>
          </cell>
          <cell r="N5883">
            <v>99630</v>
          </cell>
        </row>
        <row r="5884">
          <cell r="A5884">
            <v>67531</v>
          </cell>
          <cell r="B5884">
            <v>5878</v>
          </cell>
          <cell r="C5884" t="str">
            <v>IASWD2503000506</v>
          </cell>
          <cell r="D5884">
            <v>45747</v>
          </cell>
          <cell r="E5884">
            <v>46563</v>
          </cell>
          <cell r="F5884" t="str">
            <v>67531</v>
          </cell>
          <cell r="G5884" t="str">
            <v>龍德造船一</v>
          </cell>
          <cell r="H5884">
            <v>100000</v>
          </cell>
          <cell r="I5884">
            <v>3.25</v>
          </cell>
          <cell r="J5884">
            <v>46563</v>
          </cell>
          <cell r="K5884">
            <v>100</v>
          </cell>
          <cell r="L5884">
            <v>46545</v>
          </cell>
          <cell r="M5884">
            <v>-401</v>
          </cell>
          <cell r="N5884">
            <v>99599</v>
          </cell>
        </row>
        <row r="5885">
          <cell r="A5885">
            <v>15364</v>
          </cell>
          <cell r="B5885">
            <v>5879</v>
          </cell>
          <cell r="C5885" t="str">
            <v>IASWD2503000507</v>
          </cell>
          <cell r="D5885">
            <v>45747</v>
          </cell>
          <cell r="E5885">
            <v>46246</v>
          </cell>
          <cell r="F5885" t="str">
            <v>15364</v>
          </cell>
          <cell r="G5885" t="str">
            <v>和大四</v>
          </cell>
          <cell r="H5885">
            <v>100000</v>
          </cell>
          <cell r="I5885">
            <v>3.75</v>
          </cell>
          <cell r="J5885">
            <v>46246</v>
          </cell>
          <cell r="K5885">
            <v>100</v>
          </cell>
          <cell r="L5885">
            <v>46226</v>
          </cell>
          <cell r="M5885">
            <v>-462</v>
          </cell>
          <cell r="N5885">
            <v>99538</v>
          </cell>
        </row>
        <row r="5886">
          <cell r="A5886">
            <v>15364</v>
          </cell>
          <cell r="B5886">
            <v>5880</v>
          </cell>
          <cell r="C5886" t="str">
            <v>IASWD2503000508</v>
          </cell>
          <cell r="D5886">
            <v>45747</v>
          </cell>
          <cell r="E5886">
            <v>46246</v>
          </cell>
          <cell r="F5886" t="str">
            <v>15364</v>
          </cell>
          <cell r="G5886" t="str">
            <v>和大四</v>
          </cell>
          <cell r="H5886">
            <v>1000000</v>
          </cell>
          <cell r="I5886">
            <v>3.75</v>
          </cell>
          <cell r="J5886">
            <v>46246</v>
          </cell>
          <cell r="K5886">
            <v>100</v>
          </cell>
          <cell r="L5886">
            <v>46226</v>
          </cell>
          <cell r="M5886">
            <v>-4623</v>
          </cell>
          <cell r="N5886">
            <v>995377</v>
          </cell>
        </row>
        <row r="5887">
          <cell r="A5887">
            <v>67531</v>
          </cell>
          <cell r="B5887">
            <v>5881</v>
          </cell>
          <cell r="C5887" t="str">
            <v>IASWD2503000509</v>
          </cell>
          <cell r="D5887">
            <v>45747</v>
          </cell>
          <cell r="E5887">
            <v>46563</v>
          </cell>
          <cell r="F5887" t="str">
            <v>67531</v>
          </cell>
          <cell r="G5887" t="str">
            <v>龍德造船一</v>
          </cell>
          <cell r="H5887">
            <v>400000</v>
          </cell>
          <cell r="I5887">
            <v>3.25</v>
          </cell>
          <cell r="J5887">
            <v>46563</v>
          </cell>
          <cell r="K5887">
            <v>100</v>
          </cell>
          <cell r="L5887">
            <v>46545</v>
          </cell>
          <cell r="M5887">
            <v>-1603</v>
          </cell>
          <cell r="N5887">
            <v>398397</v>
          </cell>
        </row>
        <row r="5888">
          <cell r="A5888">
            <v>45721</v>
          </cell>
          <cell r="B5888">
            <v>5882</v>
          </cell>
          <cell r="C5888" t="str">
            <v>IASWD2503000510</v>
          </cell>
          <cell r="D5888">
            <v>45747</v>
          </cell>
          <cell r="E5888">
            <v>46219</v>
          </cell>
          <cell r="F5888" t="str">
            <v>45721</v>
          </cell>
          <cell r="G5888" t="str">
            <v>駐龍一</v>
          </cell>
          <cell r="H5888">
            <v>100000</v>
          </cell>
          <cell r="I5888">
            <v>3.5</v>
          </cell>
          <cell r="J5888">
            <v>46219</v>
          </cell>
          <cell r="K5888">
            <v>100</v>
          </cell>
          <cell r="L5888">
            <v>46199</v>
          </cell>
          <cell r="M5888">
            <v>-432</v>
          </cell>
          <cell r="N5888">
            <v>99568</v>
          </cell>
        </row>
        <row r="5889">
          <cell r="A5889">
            <v>64145</v>
          </cell>
          <cell r="B5889">
            <v>5883</v>
          </cell>
          <cell r="C5889" t="str">
            <v>IASWD2503000511</v>
          </cell>
          <cell r="D5889">
            <v>45747</v>
          </cell>
          <cell r="E5889">
            <v>46250</v>
          </cell>
          <cell r="F5889" t="str">
            <v>64145</v>
          </cell>
          <cell r="G5889" t="str">
            <v>樺漢五</v>
          </cell>
          <cell r="H5889">
            <v>200000</v>
          </cell>
          <cell r="I5889">
            <v>3</v>
          </cell>
          <cell r="J5889">
            <v>46250</v>
          </cell>
          <cell r="K5889">
            <v>100</v>
          </cell>
          <cell r="L5889">
            <v>46231</v>
          </cell>
          <cell r="M5889">
            <v>-740</v>
          </cell>
          <cell r="N5889">
            <v>199260</v>
          </cell>
        </row>
        <row r="5890">
          <cell r="A5890">
            <v>64145</v>
          </cell>
          <cell r="B5890">
            <v>5884</v>
          </cell>
          <cell r="C5890" t="str">
            <v>IASWD2503000512</v>
          </cell>
          <cell r="D5890">
            <v>45747</v>
          </cell>
          <cell r="E5890">
            <v>46250</v>
          </cell>
          <cell r="F5890" t="str">
            <v>64145</v>
          </cell>
          <cell r="G5890" t="str">
            <v>樺漢五</v>
          </cell>
          <cell r="H5890">
            <v>200000</v>
          </cell>
          <cell r="I5890">
            <v>3</v>
          </cell>
          <cell r="J5890">
            <v>46250</v>
          </cell>
          <cell r="K5890">
            <v>100</v>
          </cell>
          <cell r="L5890">
            <v>46231</v>
          </cell>
          <cell r="M5890">
            <v>-740</v>
          </cell>
          <cell r="N5890">
            <v>199260</v>
          </cell>
        </row>
        <row r="5891">
          <cell r="A5891">
            <v>67531</v>
          </cell>
          <cell r="B5891">
            <v>5885</v>
          </cell>
          <cell r="C5891" t="str">
            <v>IASWD2503000513</v>
          </cell>
          <cell r="D5891">
            <v>45747</v>
          </cell>
          <cell r="E5891">
            <v>46563</v>
          </cell>
          <cell r="F5891" t="str">
            <v>67531</v>
          </cell>
          <cell r="G5891" t="str">
            <v>龍德造船一</v>
          </cell>
          <cell r="H5891">
            <v>200000</v>
          </cell>
          <cell r="I5891">
            <v>3.25</v>
          </cell>
          <cell r="J5891">
            <v>46563</v>
          </cell>
          <cell r="K5891">
            <v>100</v>
          </cell>
          <cell r="L5891">
            <v>46545</v>
          </cell>
          <cell r="M5891">
            <v>-801</v>
          </cell>
          <cell r="N5891">
            <v>199199</v>
          </cell>
        </row>
        <row r="5892">
          <cell r="A5892">
            <v>61906</v>
          </cell>
          <cell r="B5892">
            <v>5886</v>
          </cell>
          <cell r="C5892" t="str">
            <v>IASWD2504000001</v>
          </cell>
          <cell r="D5892">
            <v>45748</v>
          </cell>
          <cell r="E5892">
            <v>45961</v>
          </cell>
          <cell r="F5892" t="str">
            <v>61906</v>
          </cell>
          <cell r="G5892" t="str">
            <v>萬泰科六</v>
          </cell>
          <cell r="H5892">
            <v>300000</v>
          </cell>
          <cell r="I5892">
            <v>3.75</v>
          </cell>
          <cell r="J5892">
            <v>45961</v>
          </cell>
          <cell r="K5892">
            <v>100</v>
          </cell>
          <cell r="L5892">
            <v>45943</v>
          </cell>
          <cell r="M5892">
            <v>-1356</v>
          </cell>
          <cell r="N5892">
            <v>298644</v>
          </cell>
        </row>
        <row r="5893">
          <cell r="A5893">
            <v>49794</v>
          </cell>
          <cell r="B5893">
            <v>5887</v>
          </cell>
          <cell r="C5893" t="str">
            <v>IASWD2504000002</v>
          </cell>
          <cell r="D5893">
            <v>45748</v>
          </cell>
          <cell r="E5893">
            <v>46381</v>
          </cell>
          <cell r="F5893" t="str">
            <v>49794</v>
          </cell>
          <cell r="G5893" t="str">
            <v>華星光四</v>
          </cell>
          <cell r="H5893">
            <v>100000</v>
          </cell>
          <cell r="I5893">
            <v>4</v>
          </cell>
          <cell r="J5893">
            <v>46381</v>
          </cell>
          <cell r="K5893">
            <v>100</v>
          </cell>
          <cell r="L5893">
            <v>46363</v>
          </cell>
          <cell r="M5893">
            <v>-482</v>
          </cell>
          <cell r="N5893">
            <v>99518</v>
          </cell>
        </row>
        <row r="5894">
          <cell r="A5894">
            <v>67531</v>
          </cell>
          <cell r="B5894">
            <v>5888</v>
          </cell>
          <cell r="C5894" t="str">
            <v>IASWD2504000003</v>
          </cell>
          <cell r="D5894">
            <v>45748</v>
          </cell>
          <cell r="E5894">
            <v>46563</v>
          </cell>
          <cell r="F5894" t="str">
            <v>67531</v>
          </cell>
          <cell r="G5894" t="str">
            <v>龍德造船一</v>
          </cell>
          <cell r="H5894">
            <v>100000</v>
          </cell>
          <cell r="I5894">
            <v>3.25</v>
          </cell>
          <cell r="J5894">
            <v>46563</v>
          </cell>
          <cell r="K5894">
            <v>100</v>
          </cell>
          <cell r="L5894">
            <v>46545</v>
          </cell>
          <cell r="M5894">
            <v>-392</v>
          </cell>
          <cell r="N5894">
            <v>99608</v>
          </cell>
        </row>
        <row r="5895">
          <cell r="A5895">
            <v>67531</v>
          </cell>
          <cell r="B5895">
            <v>5889</v>
          </cell>
          <cell r="C5895" t="str">
            <v>IASWD2504000004</v>
          </cell>
          <cell r="D5895">
            <v>45748</v>
          </cell>
          <cell r="E5895">
            <v>46563</v>
          </cell>
          <cell r="F5895" t="str">
            <v>67531</v>
          </cell>
          <cell r="G5895" t="str">
            <v>龍德造船一</v>
          </cell>
          <cell r="H5895">
            <v>100000</v>
          </cell>
          <cell r="I5895">
            <v>3.25</v>
          </cell>
          <cell r="J5895">
            <v>46563</v>
          </cell>
          <cell r="K5895">
            <v>100</v>
          </cell>
          <cell r="L5895">
            <v>46545</v>
          </cell>
          <cell r="M5895">
            <v>-392</v>
          </cell>
          <cell r="N5895">
            <v>99608</v>
          </cell>
        </row>
        <row r="5896">
          <cell r="A5896">
            <v>61973</v>
          </cell>
          <cell r="B5896">
            <v>5890</v>
          </cell>
          <cell r="C5896" t="str">
            <v>IASWD2504000005</v>
          </cell>
          <cell r="D5896">
            <v>45748</v>
          </cell>
          <cell r="E5896">
            <v>46675</v>
          </cell>
          <cell r="F5896" t="str">
            <v>61973</v>
          </cell>
          <cell r="G5896" t="str">
            <v>佳必琪三</v>
          </cell>
          <cell r="H5896">
            <v>2500000</v>
          </cell>
          <cell r="I5896">
            <v>3</v>
          </cell>
          <cell r="J5896">
            <v>46675</v>
          </cell>
          <cell r="K5896">
            <v>100</v>
          </cell>
          <cell r="L5896">
            <v>46657</v>
          </cell>
          <cell r="M5896">
            <v>-9041</v>
          </cell>
          <cell r="N5896">
            <v>2490959</v>
          </cell>
        </row>
        <row r="5897">
          <cell r="A5897">
            <v>34163</v>
          </cell>
          <cell r="B5897">
            <v>5891</v>
          </cell>
          <cell r="C5897" t="str">
            <v>IASWD2504000006</v>
          </cell>
          <cell r="D5897">
            <v>45748</v>
          </cell>
          <cell r="E5897">
            <v>46047</v>
          </cell>
          <cell r="F5897" t="str">
            <v>34163</v>
          </cell>
          <cell r="G5897" t="str">
            <v>融程電三</v>
          </cell>
          <cell r="H5897">
            <v>100000</v>
          </cell>
          <cell r="I5897">
            <v>3</v>
          </cell>
          <cell r="J5897">
            <v>46047</v>
          </cell>
          <cell r="K5897">
            <v>100.5</v>
          </cell>
          <cell r="L5897">
            <v>46028</v>
          </cell>
          <cell r="M5897">
            <v>-362</v>
          </cell>
          <cell r="N5897">
            <v>99638</v>
          </cell>
        </row>
        <row r="5898">
          <cell r="A5898">
            <v>61973</v>
          </cell>
          <cell r="B5898">
            <v>5892</v>
          </cell>
          <cell r="C5898" t="str">
            <v>IASWD2504000007</v>
          </cell>
          <cell r="D5898">
            <v>45748</v>
          </cell>
          <cell r="E5898">
            <v>46675</v>
          </cell>
          <cell r="F5898" t="str">
            <v>61973</v>
          </cell>
          <cell r="G5898" t="str">
            <v>佳必琪三</v>
          </cell>
          <cell r="H5898">
            <v>300000</v>
          </cell>
          <cell r="I5898">
            <v>3</v>
          </cell>
          <cell r="J5898">
            <v>46675</v>
          </cell>
          <cell r="K5898">
            <v>100</v>
          </cell>
          <cell r="L5898">
            <v>46657</v>
          </cell>
          <cell r="M5898">
            <v>-1085</v>
          </cell>
          <cell r="N5898">
            <v>298915</v>
          </cell>
        </row>
        <row r="5899">
          <cell r="A5899">
            <v>49066</v>
          </cell>
          <cell r="B5899">
            <v>5893</v>
          </cell>
          <cell r="C5899" t="str">
            <v>IASWD2504000008</v>
          </cell>
          <cell r="D5899">
            <v>45748</v>
          </cell>
          <cell r="E5899">
            <v>46175</v>
          </cell>
          <cell r="F5899" t="str">
            <v>49066</v>
          </cell>
          <cell r="G5899" t="str">
            <v>正文六</v>
          </cell>
          <cell r="H5899">
            <v>200000</v>
          </cell>
          <cell r="I5899">
            <v>3.5</v>
          </cell>
          <cell r="J5899">
            <v>46175</v>
          </cell>
          <cell r="K5899">
            <v>100</v>
          </cell>
          <cell r="L5899">
            <v>46155</v>
          </cell>
          <cell r="M5899">
            <v>-844</v>
          </cell>
          <cell r="N5899">
            <v>199156</v>
          </cell>
        </row>
        <row r="5900">
          <cell r="A5900">
            <v>61965</v>
          </cell>
          <cell r="B5900">
            <v>5894</v>
          </cell>
          <cell r="C5900" t="str">
            <v>IASWD2504000009</v>
          </cell>
          <cell r="D5900">
            <v>45748</v>
          </cell>
          <cell r="E5900">
            <v>46200</v>
          </cell>
          <cell r="F5900" t="str">
            <v>61965</v>
          </cell>
          <cell r="G5900" t="str">
            <v>帆宣五</v>
          </cell>
          <cell r="H5900">
            <v>100000</v>
          </cell>
          <cell r="I5900">
            <v>3</v>
          </cell>
          <cell r="J5900">
            <v>46200</v>
          </cell>
          <cell r="K5900">
            <v>100</v>
          </cell>
          <cell r="L5900">
            <v>46182</v>
          </cell>
          <cell r="M5900">
            <v>-362</v>
          </cell>
          <cell r="N5900">
            <v>99638</v>
          </cell>
        </row>
        <row r="5901">
          <cell r="A5901">
            <v>67531</v>
          </cell>
          <cell r="B5901">
            <v>5895</v>
          </cell>
          <cell r="C5901" t="str">
            <v>IASWD2504000010</v>
          </cell>
          <cell r="D5901">
            <v>45748</v>
          </cell>
          <cell r="E5901">
            <v>46563</v>
          </cell>
          <cell r="F5901" t="str">
            <v>67531</v>
          </cell>
          <cell r="G5901" t="str">
            <v>龍德造船一</v>
          </cell>
          <cell r="H5901">
            <v>100000</v>
          </cell>
          <cell r="I5901">
            <v>3.25</v>
          </cell>
          <cell r="J5901">
            <v>46563</v>
          </cell>
          <cell r="K5901">
            <v>100</v>
          </cell>
          <cell r="L5901">
            <v>46545</v>
          </cell>
          <cell r="M5901">
            <v>-392</v>
          </cell>
          <cell r="N5901">
            <v>99608</v>
          </cell>
        </row>
        <row r="5902">
          <cell r="A5902">
            <v>61965</v>
          </cell>
          <cell r="B5902">
            <v>5896</v>
          </cell>
          <cell r="C5902" t="str">
            <v>IASWD2504000011</v>
          </cell>
          <cell r="D5902">
            <v>45748</v>
          </cell>
          <cell r="E5902">
            <v>46200</v>
          </cell>
          <cell r="F5902" t="str">
            <v>61965</v>
          </cell>
          <cell r="G5902" t="str">
            <v>帆宣五</v>
          </cell>
          <cell r="H5902">
            <v>1800000</v>
          </cell>
          <cell r="I5902">
            <v>3</v>
          </cell>
          <cell r="J5902">
            <v>46200</v>
          </cell>
          <cell r="K5902">
            <v>100</v>
          </cell>
          <cell r="L5902">
            <v>46182</v>
          </cell>
          <cell r="M5902">
            <v>-6510</v>
          </cell>
          <cell r="N5902">
            <v>1793490</v>
          </cell>
        </row>
        <row r="5903">
          <cell r="A5903">
            <v>15364</v>
          </cell>
          <cell r="B5903">
            <v>5897</v>
          </cell>
          <cell r="C5903" t="str">
            <v>IASWD2504000012</v>
          </cell>
          <cell r="D5903">
            <v>45748</v>
          </cell>
          <cell r="E5903">
            <v>46246</v>
          </cell>
          <cell r="F5903" t="str">
            <v>15364</v>
          </cell>
          <cell r="G5903" t="str">
            <v>和大四</v>
          </cell>
          <cell r="H5903">
            <v>100000</v>
          </cell>
          <cell r="I5903">
            <v>3.75</v>
          </cell>
          <cell r="J5903">
            <v>46246</v>
          </cell>
          <cell r="K5903">
            <v>100</v>
          </cell>
          <cell r="L5903">
            <v>46226</v>
          </cell>
          <cell r="M5903">
            <v>-452</v>
          </cell>
          <cell r="N5903">
            <v>99548</v>
          </cell>
        </row>
        <row r="5904">
          <cell r="A5904">
            <v>34834</v>
          </cell>
          <cell r="B5904">
            <v>5898</v>
          </cell>
          <cell r="C5904" t="str">
            <v>IASWD2504000013</v>
          </cell>
          <cell r="D5904">
            <v>45748</v>
          </cell>
          <cell r="E5904">
            <v>46529</v>
          </cell>
          <cell r="F5904" t="str">
            <v>34834</v>
          </cell>
          <cell r="G5904" t="str">
            <v>力致四</v>
          </cell>
          <cell r="H5904">
            <v>200000</v>
          </cell>
          <cell r="I5904">
            <v>3.75</v>
          </cell>
          <cell r="J5904">
            <v>46529</v>
          </cell>
          <cell r="K5904">
            <v>100</v>
          </cell>
          <cell r="L5904">
            <v>46511</v>
          </cell>
          <cell r="M5904">
            <v>-904</v>
          </cell>
          <cell r="N5904">
            <v>199096</v>
          </cell>
        </row>
        <row r="5905">
          <cell r="A5905">
            <v>64145</v>
          </cell>
          <cell r="B5905">
            <v>5899</v>
          </cell>
          <cell r="C5905" t="str">
            <v>IASWD2504000014</v>
          </cell>
          <cell r="D5905">
            <v>45748</v>
          </cell>
          <cell r="E5905">
            <v>46250</v>
          </cell>
          <cell r="F5905" t="str">
            <v>64145</v>
          </cell>
          <cell r="G5905" t="str">
            <v>樺漢五</v>
          </cell>
          <cell r="H5905">
            <v>100000</v>
          </cell>
          <cell r="I5905">
            <v>3</v>
          </cell>
          <cell r="J5905">
            <v>46250</v>
          </cell>
          <cell r="K5905">
            <v>100</v>
          </cell>
          <cell r="L5905">
            <v>46231</v>
          </cell>
          <cell r="M5905">
            <v>-362</v>
          </cell>
          <cell r="N5905">
            <v>99638</v>
          </cell>
        </row>
        <row r="5906">
          <cell r="A5906">
            <v>64145</v>
          </cell>
          <cell r="B5906">
            <v>5900</v>
          </cell>
          <cell r="C5906" t="str">
            <v>IASWD2504000015</v>
          </cell>
          <cell r="D5906">
            <v>45748</v>
          </cell>
          <cell r="E5906">
            <v>46250</v>
          </cell>
          <cell r="F5906" t="str">
            <v>64145</v>
          </cell>
          <cell r="G5906" t="str">
            <v>樺漢五</v>
          </cell>
          <cell r="H5906">
            <v>100000</v>
          </cell>
          <cell r="I5906">
            <v>3</v>
          </cell>
          <cell r="J5906">
            <v>46250</v>
          </cell>
          <cell r="K5906">
            <v>100</v>
          </cell>
          <cell r="L5906">
            <v>46231</v>
          </cell>
          <cell r="M5906">
            <v>-362</v>
          </cell>
          <cell r="N5906">
            <v>99638</v>
          </cell>
        </row>
        <row r="5907">
          <cell r="A5907">
            <v>35266</v>
          </cell>
          <cell r="B5907">
            <v>5901</v>
          </cell>
          <cell r="C5907" t="str">
            <v>IASWD2504000016</v>
          </cell>
          <cell r="D5907">
            <v>45748</v>
          </cell>
          <cell r="E5907">
            <v>46416</v>
          </cell>
          <cell r="F5907" t="str">
            <v>35266</v>
          </cell>
          <cell r="G5907" t="str">
            <v>凡甲六</v>
          </cell>
          <cell r="H5907">
            <v>500000</v>
          </cell>
          <cell r="I5907">
            <v>2.9</v>
          </cell>
          <cell r="J5907">
            <v>46416</v>
          </cell>
          <cell r="K5907">
            <v>100</v>
          </cell>
          <cell r="L5907">
            <v>46398</v>
          </cell>
          <cell r="M5907">
            <v>-1748</v>
          </cell>
          <cell r="N5907">
            <v>498252</v>
          </cell>
        </row>
        <row r="5908">
          <cell r="A5908">
            <v>64145</v>
          </cell>
          <cell r="B5908">
            <v>5902</v>
          </cell>
          <cell r="C5908" t="str">
            <v>IASWD2504000017</v>
          </cell>
          <cell r="D5908">
            <v>45748</v>
          </cell>
          <cell r="E5908">
            <v>46250</v>
          </cell>
          <cell r="F5908" t="str">
            <v>64145</v>
          </cell>
          <cell r="G5908" t="str">
            <v>樺漢五</v>
          </cell>
          <cell r="H5908">
            <v>200000</v>
          </cell>
          <cell r="I5908">
            <v>3</v>
          </cell>
          <cell r="J5908">
            <v>46250</v>
          </cell>
          <cell r="K5908">
            <v>100</v>
          </cell>
          <cell r="L5908">
            <v>46231</v>
          </cell>
          <cell r="M5908">
            <v>-723</v>
          </cell>
          <cell r="N5908">
            <v>199277</v>
          </cell>
        </row>
        <row r="5909">
          <cell r="A5909">
            <v>61906</v>
          </cell>
          <cell r="B5909">
            <v>5903</v>
          </cell>
          <cell r="C5909" t="str">
            <v>IASWD2504000018</v>
          </cell>
          <cell r="D5909">
            <v>45748</v>
          </cell>
          <cell r="E5909">
            <v>45961</v>
          </cell>
          <cell r="F5909" t="str">
            <v>61906</v>
          </cell>
          <cell r="G5909" t="str">
            <v>萬泰科六</v>
          </cell>
          <cell r="H5909">
            <v>100000</v>
          </cell>
          <cell r="I5909">
            <v>3.75</v>
          </cell>
          <cell r="J5909">
            <v>45961</v>
          </cell>
          <cell r="K5909">
            <v>100</v>
          </cell>
          <cell r="L5909">
            <v>45943</v>
          </cell>
          <cell r="M5909">
            <v>-452</v>
          </cell>
          <cell r="N5909">
            <v>99548</v>
          </cell>
        </row>
        <row r="5910">
          <cell r="A5910">
            <v>15142</v>
          </cell>
          <cell r="B5910">
            <v>5904</v>
          </cell>
          <cell r="C5910" t="str">
            <v>IASWD2504000019</v>
          </cell>
          <cell r="D5910">
            <v>45748</v>
          </cell>
          <cell r="E5910">
            <v>46765</v>
          </cell>
          <cell r="F5910" t="str">
            <v>15142</v>
          </cell>
          <cell r="G5910" t="str">
            <v>亞力二</v>
          </cell>
          <cell r="H5910">
            <v>200000</v>
          </cell>
          <cell r="I5910">
            <v>3.25</v>
          </cell>
          <cell r="J5910">
            <v>46765</v>
          </cell>
          <cell r="K5910">
            <v>100.75190000000001</v>
          </cell>
          <cell r="L5910">
            <v>46745</v>
          </cell>
          <cell r="M5910">
            <v>-784</v>
          </cell>
          <cell r="N5910">
            <v>199216</v>
          </cell>
        </row>
        <row r="5911">
          <cell r="A5911">
            <v>64145</v>
          </cell>
          <cell r="B5911">
            <v>5905</v>
          </cell>
          <cell r="C5911" t="str">
            <v>IASWD2504000020</v>
          </cell>
          <cell r="D5911">
            <v>45748</v>
          </cell>
          <cell r="E5911">
            <v>46250</v>
          </cell>
          <cell r="F5911" t="str">
            <v>64145</v>
          </cell>
          <cell r="G5911" t="str">
            <v>樺漢五</v>
          </cell>
          <cell r="H5911">
            <v>500000</v>
          </cell>
          <cell r="I5911">
            <v>3</v>
          </cell>
          <cell r="J5911">
            <v>46250</v>
          </cell>
          <cell r="K5911">
            <v>100</v>
          </cell>
          <cell r="L5911">
            <v>46231</v>
          </cell>
          <cell r="M5911">
            <v>-1808</v>
          </cell>
          <cell r="N5911">
            <v>498192</v>
          </cell>
        </row>
        <row r="5912">
          <cell r="A5912">
            <v>61875</v>
          </cell>
          <cell r="B5912">
            <v>5906</v>
          </cell>
          <cell r="C5912" t="str">
            <v>IASWD2504000021</v>
          </cell>
          <cell r="D5912">
            <v>45748</v>
          </cell>
          <cell r="E5912">
            <v>46578</v>
          </cell>
          <cell r="F5912" t="str">
            <v>61875</v>
          </cell>
          <cell r="G5912" t="str">
            <v>萬潤五</v>
          </cell>
          <cell r="H5912">
            <v>500000</v>
          </cell>
          <cell r="I5912">
            <v>3</v>
          </cell>
          <cell r="J5912">
            <v>46578</v>
          </cell>
          <cell r="K5912">
            <v>100</v>
          </cell>
          <cell r="L5912">
            <v>46560</v>
          </cell>
          <cell r="M5912">
            <v>-1808</v>
          </cell>
          <cell r="N5912">
            <v>498192</v>
          </cell>
        </row>
        <row r="5913">
          <cell r="A5913">
            <v>35482</v>
          </cell>
          <cell r="B5913">
            <v>5907</v>
          </cell>
          <cell r="C5913" t="str">
            <v>IASWD2504000022</v>
          </cell>
          <cell r="D5913">
            <v>45748</v>
          </cell>
          <cell r="E5913">
            <v>46395</v>
          </cell>
          <cell r="F5913" t="str">
            <v>35482</v>
          </cell>
          <cell r="G5913" t="str">
            <v>兆利二</v>
          </cell>
          <cell r="H5913">
            <v>300000</v>
          </cell>
          <cell r="I5913">
            <v>2.8</v>
          </cell>
          <cell r="J5913">
            <v>46395</v>
          </cell>
          <cell r="K5913">
            <v>100</v>
          </cell>
          <cell r="L5913">
            <v>46377</v>
          </cell>
          <cell r="M5913">
            <v>-1013</v>
          </cell>
          <cell r="N5913">
            <v>298987</v>
          </cell>
        </row>
        <row r="5914">
          <cell r="A5914">
            <v>45721</v>
          </cell>
          <cell r="B5914">
            <v>5908</v>
          </cell>
          <cell r="C5914" t="str">
            <v>IASWD2504000023</v>
          </cell>
          <cell r="D5914">
            <v>45748</v>
          </cell>
          <cell r="E5914">
            <v>46219</v>
          </cell>
          <cell r="F5914" t="str">
            <v>45721</v>
          </cell>
          <cell r="G5914" t="str">
            <v>駐龍一</v>
          </cell>
          <cell r="H5914">
            <v>400000</v>
          </cell>
          <cell r="I5914">
            <v>3.5</v>
          </cell>
          <cell r="J5914">
            <v>46219</v>
          </cell>
          <cell r="K5914">
            <v>100</v>
          </cell>
          <cell r="L5914">
            <v>46199</v>
          </cell>
          <cell r="M5914">
            <v>-1688</v>
          </cell>
          <cell r="N5914">
            <v>398312</v>
          </cell>
        </row>
        <row r="5915">
          <cell r="A5915">
            <v>15142</v>
          </cell>
          <cell r="B5915">
            <v>5909</v>
          </cell>
          <cell r="C5915" t="str">
            <v>IASWD2504000024</v>
          </cell>
          <cell r="D5915">
            <v>45749</v>
          </cell>
          <cell r="E5915">
            <v>46765</v>
          </cell>
          <cell r="F5915" t="str">
            <v>15142</v>
          </cell>
          <cell r="G5915" t="str">
            <v>亞力二</v>
          </cell>
          <cell r="H5915">
            <v>1000000</v>
          </cell>
          <cell r="I5915">
            <v>3.25</v>
          </cell>
          <cell r="J5915">
            <v>46765</v>
          </cell>
          <cell r="K5915">
            <v>100.75190000000001</v>
          </cell>
          <cell r="L5915">
            <v>46745</v>
          </cell>
          <cell r="M5915">
            <v>-3829</v>
          </cell>
          <cell r="N5915">
            <v>996171</v>
          </cell>
        </row>
        <row r="5916">
          <cell r="A5916">
            <v>61973</v>
          </cell>
          <cell r="B5916">
            <v>5910</v>
          </cell>
          <cell r="C5916" t="str">
            <v>IASWD2504000025</v>
          </cell>
          <cell r="D5916">
            <v>45749</v>
          </cell>
          <cell r="E5916">
            <v>46675</v>
          </cell>
          <cell r="F5916" t="str">
            <v>61973</v>
          </cell>
          <cell r="G5916" t="str">
            <v>佳必琪三</v>
          </cell>
          <cell r="H5916">
            <v>1500000</v>
          </cell>
          <cell r="I5916">
            <v>3</v>
          </cell>
          <cell r="J5916">
            <v>46675</v>
          </cell>
          <cell r="K5916">
            <v>100</v>
          </cell>
          <cell r="L5916">
            <v>46657</v>
          </cell>
          <cell r="M5916">
            <v>-5301</v>
          </cell>
          <cell r="N5916">
            <v>1494699</v>
          </cell>
        </row>
        <row r="5917">
          <cell r="A5917">
            <v>45721</v>
          </cell>
          <cell r="B5917">
            <v>5911</v>
          </cell>
          <cell r="C5917" t="str">
            <v>IASWD2504000026</v>
          </cell>
          <cell r="D5917">
            <v>45749</v>
          </cell>
          <cell r="E5917">
            <v>46219</v>
          </cell>
          <cell r="F5917" t="str">
            <v>45721</v>
          </cell>
          <cell r="G5917" t="str">
            <v>駐龍一</v>
          </cell>
          <cell r="H5917">
            <v>100000</v>
          </cell>
          <cell r="I5917">
            <v>3.5</v>
          </cell>
          <cell r="J5917">
            <v>46219</v>
          </cell>
          <cell r="K5917">
            <v>100</v>
          </cell>
          <cell r="L5917">
            <v>46199</v>
          </cell>
          <cell r="M5917">
            <v>-412</v>
          </cell>
          <cell r="N5917">
            <v>99588</v>
          </cell>
        </row>
        <row r="5918">
          <cell r="A5918">
            <v>24361</v>
          </cell>
          <cell r="B5918">
            <v>5912</v>
          </cell>
          <cell r="C5918" t="str">
            <v>IASWD2504000027</v>
          </cell>
          <cell r="D5918">
            <v>45749</v>
          </cell>
          <cell r="E5918">
            <v>45911</v>
          </cell>
          <cell r="F5918" t="str">
            <v>24361</v>
          </cell>
          <cell r="G5918" t="str">
            <v>偉詮電一</v>
          </cell>
          <cell r="H5918">
            <v>100000</v>
          </cell>
          <cell r="I5918">
            <v>3.75</v>
          </cell>
          <cell r="J5918">
            <v>45911</v>
          </cell>
          <cell r="K5918">
            <v>100.50060000000001</v>
          </cell>
          <cell r="L5918">
            <v>45891</v>
          </cell>
          <cell r="M5918">
            <v>-442</v>
          </cell>
          <cell r="N5918">
            <v>99558</v>
          </cell>
        </row>
        <row r="5919">
          <cell r="A5919">
            <v>45721</v>
          </cell>
          <cell r="B5919">
            <v>5913</v>
          </cell>
          <cell r="C5919" t="str">
            <v>IASWD2504000028</v>
          </cell>
          <cell r="D5919">
            <v>45749</v>
          </cell>
          <cell r="E5919">
            <v>46219</v>
          </cell>
          <cell r="F5919" t="str">
            <v>45721</v>
          </cell>
          <cell r="G5919" t="str">
            <v>駐龍一</v>
          </cell>
          <cell r="H5919">
            <v>700000</v>
          </cell>
          <cell r="I5919">
            <v>3.5</v>
          </cell>
          <cell r="J5919">
            <v>46219</v>
          </cell>
          <cell r="K5919">
            <v>100</v>
          </cell>
          <cell r="L5919">
            <v>46199</v>
          </cell>
          <cell r="M5919">
            <v>-2886</v>
          </cell>
          <cell r="N5919">
            <v>697114</v>
          </cell>
        </row>
        <row r="5920">
          <cell r="A5920">
            <v>99392</v>
          </cell>
          <cell r="B5920">
            <v>5914</v>
          </cell>
          <cell r="C5920" t="str">
            <v>IASWD2504000029</v>
          </cell>
          <cell r="D5920">
            <v>45754</v>
          </cell>
          <cell r="E5920">
            <v>46689</v>
          </cell>
          <cell r="F5920" t="str">
            <v>99392</v>
          </cell>
          <cell r="G5920" t="str">
            <v>宏全二</v>
          </cell>
          <cell r="H5920">
            <v>300000</v>
          </cell>
          <cell r="I5920">
            <v>2.5</v>
          </cell>
          <cell r="J5920">
            <v>46689</v>
          </cell>
          <cell r="K5920">
            <v>100</v>
          </cell>
          <cell r="L5920">
            <v>46671</v>
          </cell>
          <cell r="M5920">
            <v>-781</v>
          </cell>
          <cell r="N5920">
            <v>299219</v>
          </cell>
        </row>
        <row r="5921">
          <cell r="A5921">
            <v>35482</v>
          </cell>
          <cell r="B5921">
            <v>5915</v>
          </cell>
          <cell r="C5921" t="str">
            <v>IASWD2504000030</v>
          </cell>
          <cell r="D5921">
            <v>45754</v>
          </cell>
          <cell r="E5921">
            <v>46395</v>
          </cell>
          <cell r="F5921" t="str">
            <v>35482</v>
          </cell>
          <cell r="G5921" t="str">
            <v>兆利二</v>
          </cell>
          <cell r="H5921">
            <v>100000</v>
          </cell>
          <cell r="I5921">
            <v>2.8</v>
          </cell>
          <cell r="J5921">
            <v>46395</v>
          </cell>
          <cell r="K5921">
            <v>100</v>
          </cell>
          <cell r="L5921">
            <v>46377</v>
          </cell>
          <cell r="M5921">
            <v>-292</v>
          </cell>
          <cell r="N5921">
            <v>99708</v>
          </cell>
        </row>
        <row r="5922">
          <cell r="A5922">
            <v>99392</v>
          </cell>
          <cell r="B5922">
            <v>5916</v>
          </cell>
          <cell r="C5922" t="str">
            <v>IASWD2504000031</v>
          </cell>
          <cell r="D5922">
            <v>45754</v>
          </cell>
          <cell r="E5922">
            <v>46689</v>
          </cell>
          <cell r="F5922" t="str">
            <v>99392</v>
          </cell>
          <cell r="G5922" t="str">
            <v>宏全二</v>
          </cell>
          <cell r="H5922">
            <v>700000</v>
          </cell>
          <cell r="I5922">
            <v>2.5</v>
          </cell>
          <cell r="J5922">
            <v>46689</v>
          </cell>
          <cell r="K5922">
            <v>100</v>
          </cell>
          <cell r="L5922">
            <v>46671</v>
          </cell>
          <cell r="M5922">
            <v>-1822</v>
          </cell>
          <cell r="N5922">
            <v>698178</v>
          </cell>
        </row>
        <row r="5923">
          <cell r="A5923">
            <v>35482</v>
          </cell>
          <cell r="B5923">
            <v>5917</v>
          </cell>
          <cell r="C5923" t="str">
            <v>IASWD2504000032</v>
          </cell>
          <cell r="D5923">
            <v>45754</v>
          </cell>
          <cell r="E5923">
            <v>46395</v>
          </cell>
          <cell r="F5923" t="str">
            <v>35482</v>
          </cell>
          <cell r="G5923" t="str">
            <v>兆利二</v>
          </cell>
          <cell r="H5923">
            <v>600000</v>
          </cell>
          <cell r="I5923">
            <v>2.8</v>
          </cell>
          <cell r="J5923">
            <v>46395</v>
          </cell>
          <cell r="K5923">
            <v>100</v>
          </cell>
          <cell r="L5923">
            <v>46377</v>
          </cell>
          <cell r="M5923">
            <v>-1749</v>
          </cell>
          <cell r="N5923">
            <v>598251</v>
          </cell>
        </row>
        <row r="5924">
          <cell r="A5924">
            <v>99392</v>
          </cell>
          <cell r="B5924">
            <v>5918</v>
          </cell>
          <cell r="C5924" t="str">
            <v>IASWD2504000033</v>
          </cell>
          <cell r="D5924">
            <v>45754</v>
          </cell>
          <cell r="E5924">
            <v>46689</v>
          </cell>
          <cell r="F5924" t="str">
            <v>99392</v>
          </cell>
          <cell r="G5924" t="str">
            <v>宏全二</v>
          </cell>
          <cell r="H5924">
            <v>100000</v>
          </cell>
          <cell r="I5924">
            <v>2.5</v>
          </cell>
          <cell r="J5924">
            <v>46689</v>
          </cell>
          <cell r="K5924">
            <v>100</v>
          </cell>
          <cell r="L5924">
            <v>46671</v>
          </cell>
          <cell r="M5924">
            <v>-260</v>
          </cell>
          <cell r="N5924">
            <v>99740</v>
          </cell>
        </row>
        <row r="5925">
          <cell r="A5925">
            <v>35482</v>
          </cell>
          <cell r="B5925">
            <v>5919</v>
          </cell>
          <cell r="C5925" t="str">
            <v>IASWD2504000034</v>
          </cell>
          <cell r="D5925">
            <v>45754</v>
          </cell>
          <cell r="E5925">
            <v>46395</v>
          </cell>
          <cell r="F5925" t="str">
            <v>35482</v>
          </cell>
          <cell r="G5925" t="str">
            <v>兆利二</v>
          </cell>
          <cell r="H5925">
            <v>100000</v>
          </cell>
          <cell r="I5925">
            <v>2.8</v>
          </cell>
          <cell r="J5925">
            <v>46395</v>
          </cell>
          <cell r="K5925">
            <v>100</v>
          </cell>
          <cell r="L5925">
            <v>46377</v>
          </cell>
          <cell r="M5925">
            <v>-292</v>
          </cell>
          <cell r="N5925">
            <v>99708</v>
          </cell>
        </row>
        <row r="5926">
          <cell r="A5926">
            <v>35482</v>
          </cell>
          <cell r="B5926">
            <v>5920</v>
          </cell>
          <cell r="C5926" t="str">
            <v>IASWD2504000035</v>
          </cell>
          <cell r="D5926">
            <v>45754</v>
          </cell>
          <cell r="E5926">
            <v>46395</v>
          </cell>
          <cell r="F5926" t="str">
            <v>35482</v>
          </cell>
          <cell r="G5926" t="str">
            <v>兆利二</v>
          </cell>
          <cell r="H5926">
            <v>700000</v>
          </cell>
          <cell r="I5926">
            <v>2.8</v>
          </cell>
          <cell r="J5926">
            <v>46395</v>
          </cell>
          <cell r="K5926">
            <v>100</v>
          </cell>
          <cell r="L5926">
            <v>46377</v>
          </cell>
          <cell r="M5926">
            <v>-2041</v>
          </cell>
          <cell r="N5926">
            <v>697959</v>
          </cell>
        </row>
        <row r="5927">
          <cell r="A5927">
            <v>33902</v>
          </cell>
          <cell r="B5927">
            <v>5921</v>
          </cell>
          <cell r="C5927" t="str">
            <v>IASWD2504000036</v>
          </cell>
          <cell r="D5927">
            <v>45754</v>
          </cell>
          <cell r="E5927">
            <v>46804</v>
          </cell>
          <cell r="F5927" t="str">
            <v>33902</v>
          </cell>
          <cell r="G5927" t="str">
            <v>旭軟二</v>
          </cell>
          <cell r="H5927">
            <v>100000</v>
          </cell>
          <cell r="I5927">
            <v>2.2999999999999998</v>
          </cell>
          <cell r="J5927">
            <v>46804</v>
          </cell>
          <cell r="K5927">
            <v>100</v>
          </cell>
          <cell r="L5927">
            <v>46784</v>
          </cell>
          <cell r="M5927">
            <v>-239</v>
          </cell>
          <cell r="N5927">
            <v>99761</v>
          </cell>
        </row>
        <row r="5928">
          <cell r="A5928">
            <v>35482</v>
          </cell>
          <cell r="B5928">
            <v>5922</v>
          </cell>
          <cell r="C5928" t="str">
            <v>IASWD2504000037</v>
          </cell>
          <cell r="D5928">
            <v>45754</v>
          </cell>
          <cell r="E5928">
            <v>46395</v>
          </cell>
          <cell r="F5928" t="str">
            <v>35482</v>
          </cell>
          <cell r="G5928" t="str">
            <v>兆利二</v>
          </cell>
          <cell r="H5928">
            <v>100000</v>
          </cell>
          <cell r="I5928">
            <v>2.8</v>
          </cell>
          <cell r="J5928">
            <v>46395</v>
          </cell>
          <cell r="K5928">
            <v>100</v>
          </cell>
          <cell r="L5928">
            <v>46377</v>
          </cell>
          <cell r="M5928">
            <v>-292</v>
          </cell>
          <cell r="N5928">
            <v>99708</v>
          </cell>
        </row>
        <row r="5929">
          <cell r="A5929">
            <v>11011</v>
          </cell>
          <cell r="B5929">
            <v>5923</v>
          </cell>
          <cell r="C5929" t="str">
            <v>IASWD2504000039</v>
          </cell>
          <cell r="D5929">
            <v>45755</v>
          </cell>
          <cell r="E5929">
            <v>46731</v>
          </cell>
          <cell r="F5929" t="str">
            <v>11011</v>
          </cell>
          <cell r="G5929" t="str">
            <v>台泥一永</v>
          </cell>
          <cell r="H5929">
            <v>100000</v>
          </cell>
          <cell r="I5929">
            <v>3</v>
          </cell>
          <cell r="J5929">
            <v>46731</v>
          </cell>
          <cell r="K5929">
            <v>100</v>
          </cell>
          <cell r="L5929">
            <v>46713</v>
          </cell>
          <cell r="M5929">
            <v>-304</v>
          </cell>
          <cell r="N5929">
            <v>99696</v>
          </cell>
        </row>
        <row r="5930">
          <cell r="A5930">
            <v>11011</v>
          </cell>
          <cell r="B5930">
            <v>5924</v>
          </cell>
          <cell r="C5930" t="str">
            <v>IASWD2504000042</v>
          </cell>
          <cell r="D5930">
            <v>45755</v>
          </cell>
          <cell r="E5930">
            <v>46731</v>
          </cell>
          <cell r="F5930" t="str">
            <v>11011</v>
          </cell>
          <cell r="G5930" t="str">
            <v>台泥一永</v>
          </cell>
          <cell r="H5930">
            <v>300000</v>
          </cell>
          <cell r="I5930">
            <v>3</v>
          </cell>
          <cell r="J5930">
            <v>46731</v>
          </cell>
          <cell r="K5930">
            <v>100</v>
          </cell>
          <cell r="L5930">
            <v>46713</v>
          </cell>
          <cell r="M5930">
            <v>-912</v>
          </cell>
          <cell r="N5930">
            <v>299088</v>
          </cell>
        </row>
        <row r="5931">
          <cell r="A5931">
            <v>11011</v>
          </cell>
          <cell r="B5931">
            <v>5925</v>
          </cell>
          <cell r="C5931" t="str">
            <v>IASWD2504000044</v>
          </cell>
          <cell r="D5931">
            <v>45755</v>
          </cell>
          <cell r="E5931">
            <v>46731</v>
          </cell>
          <cell r="F5931" t="str">
            <v>11011</v>
          </cell>
          <cell r="G5931" t="str">
            <v>台泥一永</v>
          </cell>
          <cell r="H5931">
            <v>600000</v>
          </cell>
          <cell r="I5931">
            <v>3</v>
          </cell>
          <cell r="J5931">
            <v>46731</v>
          </cell>
          <cell r="K5931">
            <v>100</v>
          </cell>
          <cell r="L5931">
            <v>46713</v>
          </cell>
          <cell r="M5931">
            <v>-1825</v>
          </cell>
          <cell r="N5931">
            <v>598175</v>
          </cell>
        </row>
        <row r="5932">
          <cell r="A5932">
            <v>11011</v>
          </cell>
          <cell r="B5932">
            <v>5926</v>
          </cell>
          <cell r="C5932" t="str">
            <v>IASWD2504000045</v>
          </cell>
          <cell r="D5932">
            <v>45755</v>
          </cell>
          <cell r="E5932">
            <v>46731</v>
          </cell>
          <cell r="F5932" t="str">
            <v>11011</v>
          </cell>
          <cell r="G5932" t="str">
            <v>台泥一永</v>
          </cell>
          <cell r="H5932">
            <v>100000</v>
          </cell>
          <cell r="I5932">
            <v>3</v>
          </cell>
          <cell r="J5932">
            <v>46731</v>
          </cell>
          <cell r="K5932">
            <v>100</v>
          </cell>
          <cell r="L5932">
            <v>46713</v>
          </cell>
          <cell r="M5932">
            <v>-304</v>
          </cell>
          <cell r="N5932">
            <v>99696</v>
          </cell>
        </row>
        <row r="5933">
          <cell r="A5933">
            <v>61394</v>
          </cell>
          <cell r="B5933">
            <v>5927</v>
          </cell>
          <cell r="C5933" t="str">
            <v>IASWD2504000046</v>
          </cell>
          <cell r="D5933">
            <v>45755</v>
          </cell>
          <cell r="E5933">
            <v>46047</v>
          </cell>
          <cell r="F5933" t="str">
            <v>61394</v>
          </cell>
          <cell r="G5933" t="str">
            <v>亞翔四</v>
          </cell>
          <cell r="H5933">
            <v>200000</v>
          </cell>
          <cell r="I5933">
            <v>3</v>
          </cell>
          <cell r="J5933">
            <v>46047</v>
          </cell>
          <cell r="K5933">
            <v>101.0025</v>
          </cell>
          <cell r="L5933">
            <v>46028</v>
          </cell>
          <cell r="M5933">
            <v>-608</v>
          </cell>
          <cell r="N5933">
            <v>199392</v>
          </cell>
        </row>
        <row r="5934">
          <cell r="A5934">
            <v>11011</v>
          </cell>
          <cell r="B5934">
            <v>5928</v>
          </cell>
          <cell r="C5934" t="str">
            <v>IASWD2504000047</v>
          </cell>
          <cell r="D5934">
            <v>45755</v>
          </cell>
          <cell r="E5934">
            <v>46731</v>
          </cell>
          <cell r="F5934" t="str">
            <v>11011</v>
          </cell>
          <cell r="G5934" t="str">
            <v>台泥一永</v>
          </cell>
          <cell r="H5934">
            <v>300000</v>
          </cell>
          <cell r="I5934">
            <v>3</v>
          </cell>
          <cell r="J5934">
            <v>46731</v>
          </cell>
          <cell r="K5934">
            <v>100</v>
          </cell>
          <cell r="L5934">
            <v>46713</v>
          </cell>
          <cell r="M5934">
            <v>-912</v>
          </cell>
          <cell r="N5934">
            <v>299088</v>
          </cell>
        </row>
        <row r="5935">
          <cell r="A5935">
            <v>11011</v>
          </cell>
          <cell r="B5935">
            <v>5929</v>
          </cell>
          <cell r="C5935" t="str">
            <v>IASWD2504000049</v>
          </cell>
          <cell r="D5935">
            <v>45755</v>
          </cell>
          <cell r="E5935">
            <v>46731</v>
          </cell>
          <cell r="F5935" t="str">
            <v>11011</v>
          </cell>
          <cell r="G5935" t="str">
            <v>台泥一永</v>
          </cell>
          <cell r="H5935">
            <v>400000</v>
          </cell>
          <cell r="I5935">
            <v>3</v>
          </cell>
          <cell r="J5935">
            <v>46731</v>
          </cell>
          <cell r="K5935">
            <v>100</v>
          </cell>
          <cell r="L5935">
            <v>46713</v>
          </cell>
          <cell r="M5935">
            <v>-1216</v>
          </cell>
          <cell r="N5935">
            <v>398784</v>
          </cell>
        </row>
        <row r="5936">
          <cell r="A5936">
            <v>61394</v>
          </cell>
          <cell r="B5936">
            <v>5930</v>
          </cell>
          <cell r="C5936" t="str">
            <v>IASWD2504000050</v>
          </cell>
          <cell r="D5936">
            <v>45755</v>
          </cell>
          <cell r="E5936">
            <v>46047</v>
          </cell>
          <cell r="F5936" t="str">
            <v>61394</v>
          </cell>
          <cell r="G5936" t="str">
            <v>亞翔四</v>
          </cell>
          <cell r="H5936">
            <v>1000000</v>
          </cell>
          <cell r="I5936">
            <v>3</v>
          </cell>
          <cell r="J5936">
            <v>46047</v>
          </cell>
          <cell r="K5936">
            <v>101.0025</v>
          </cell>
          <cell r="L5936">
            <v>46028</v>
          </cell>
          <cell r="M5936">
            <v>-3041</v>
          </cell>
          <cell r="N5936">
            <v>996959</v>
          </cell>
        </row>
        <row r="5937">
          <cell r="A5937">
            <v>11011</v>
          </cell>
          <cell r="B5937">
            <v>5931</v>
          </cell>
          <cell r="C5937" t="str">
            <v>IASWD2504000051</v>
          </cell>
          <cell r="D5937">
            <v>45755</v>
          </cell>
          <cell r="E5937">
            <v>46731</v>
          </cell>
          <cell r="F5937" t="str">
            <v>11011</v>
          </cell>
          <cell r="G5937" t="str">
            <v>台泥一永</v>
          </cell>
          <cell r="H5937">
            <v>200000</v>
          </cell>
          <cell r="I5937">
            <v>3</v>
          </cell>
          <cell r="J5937">
            <v>46731</v>
          </cell>
          <cell r="K5937">
            <v>100</v>
          </cell>
          <cell r="L5937">
            <v>46713</v>
          </cell>
          <cell r="M5937">
            <v>-608</v>
          </cell>
          <cell r="N5937">
            <v>199392</v>
          </cell>
        </row>
        <row r="5938">
          <cell r="A5938">
            <v>11011</v>
          </cell>
          <cell r="B5938">
            <v>5932</v>
          </cell>
          <cell r="C5938" t="str">
            <v>IASWD2504000052</v>
          </cell>
          <cell r="D5938">
            <v>45755</v>
          </cell>
          <cell r="E5938">
            <v>46731</v>
          </cell>
          <cell r="F5938" t="str">
            <v>11011</v>
          </cell>
          <cell r="G5938" t="str">
            <v>台泥一永</v>
          </cell>
          <cell r="H5938">
            <v>200000</v>
          </cell>
          <cell r="I5938">
            <v>3</v>
          </cell>
          <cell r="J5938">
            <v>46731</v>
          </cell>
          <cell r="K5938">
            <v>100</v>
          </cell>
          <cell r="L5938">
            <v>46713</v>
          </cell>
          <cell r="M5938">
            <v>-608</v>
          </cell>
          <cell r="N5938">
            <v>199392</v>
          </cell>
        </row>
        <row r="5939">
          <cell r="A5939">
            <v>11011</v>
          </cell>
          <cell r="B5939">
            <v>5933</v>
          </cell>
          <cell r="C5939" t="str">
            <v>IASWD2504000053</v>
          </cell>
          <cell r="D5939">
            <v>45755</v>
          </cell>
          <cell r="E5939">
            <v>46731</v>
          </cell>
          <cell r="F5939" t="str">
            <v>11011</v>
          </cell>
          <cell r="G5939" t="str">
            <v>台泥一永</v>
          </cell>
          <cell r="H5939">
            <v>100000</v>
          </cell>
          <cell r="I5939">
            <v>3</v>
          </cell>
          <cell r="J5939">
            <v>46731</v>
          </cell>
          <cell r="K5939">
            <v>100</v>
          </cell>
          <cell r="L5939">
            <v>46713</v>
          </cell>
          <cell r="M5939">
            <v>-304</v>
          </cell>
          <cell r="N5939">
            <v>99696</v>
          </cell>
        </row>
        <row r="5940">
          <cell r="A5940">
            <v>11011</v>
          </cell>
          <cell r="B5940">
            <v>5934</v>
          </cell>
          <cell r="C5940" t="str">
            <v>IASWD2504000056</v>
          </cell>
          <cell r="D5940">
            <v>45755</v>
          </cell>
          <cell r="E5940">
            <v>46731</v>
          </cell>
          <cell r="F5940" t="str">
            <v>11011</v>
          </cell>
          <cell r="G5940" t="str">
            <v>台泥一永</v>
          </cell>
          <cell r="H5940">
            <v>500000</v>
          </cell>
          <cell r="I5940">
            <v>3</v>
          </cell>
          <cell r="J5940">
            <v>46731</v>
          </cell>
          <cell r="K5940">
            <v>100</v>
          </cell>
          <cell r="L5940">
            <v>46713</v>
          </cell>
          <cell r="M5940">
            <v>-1521</v>
          </cell>
          <cell r="N5940">
            <v>498479</v>
          </cell>
        </row>
        <row r="5941">
          <cell r="A5941">
            <v>11011</v>
          </cell>
          <cell r="B5941">
            <v>5935</v>
          </cell>
          <cell r="C5941" t="str">
            <v>IASWD2504000057</v>
          </cell>
          <cell r="D5941">
            <v>45755</v>
          </cell>
          <cell r="E5941">
            <v>46731</v>
          </cell>
          <cell r="F5941" t="str">
            <v>11011</v>
          </cell>
          <cell r="G5941" t="str">
            <v>台泥一永</v>
          </cell>
          <cell r="H5941">
            <v>500000</v>
          </cell>
          <cell r="I5941">
            <v>3</v>
          </cell>
          <cell r="J5941">
            <v>46731</v>
          </cell>
          <cell r="K5941">
            <v>100</v>
          </cell>
          <cell r="L5941">
            <v>46713</v>
          </cell>
          <cell r="M5941">
            <v>-1521</v>
          </cell>
          <cell r="N5941">
            <v>498479</v>
          </cell>
        </row>
        <row r="5942">
          <cell r="A5942">
            <v>11011</v>
          </cell>
          <cell r="B5942">
            <v>5936</v>
          </cell>
          <cell r="C5942" t="str">
            <v>IASWD2504000058</v>
          </cell>
          <cell r="D5942">
            <v>45755</v>
          </cell>
          <cell r="E5942">
            <v>46731</v>
          </cell>
          <cell r="F5942" t="str">
            <v>11011</v>
          </cell>
          <cell r="G5942" t="str">
            <v>台泥一永</v>
          </cell>
          <cell r="H5942">
            <v>200000</v>
          </cell>
          <cell r="I5942">
            <v>3</v>
          </cell>
          <cell r="J5942">
            <v>46731</v>
          </cell>
          <cell r="K5942">
            <v>100</v>
          </cell>
          <cell r="L5942">
            <v>46713</v>
          </cell>
          <cell r="M5942">
            <v>-608</v>
          </cell>
          <cell r="N5942">
            <v>199392</v>
          </cell>
        </row>
        <row r="5943">
          <cell r="A5943">
            <v>11011</v>
          </cell>
          <cell r="B5943">
            <v>5937</v>
          </cell>
          <cell r="C5943" t="str">
            <v>IASWD2504000061</v>
          </cell>
          <cell r="D5943">
            <v>45755</v>
          </cell>
          <cell r="E5943">
            <v>46731</v>
          </cell>
          <cell r="F5943" t="str">
            <v>11011</v>
          </cell>
          <cell r="G5943" t="str">
            <v>台泥一永</v>
          </cell>
          <cell r="H5943">
            <v>700000</v>
          </cell>
          <cell r="I5943">
            <v>3</v>
          </cell>
          <cell r="J5943">
            <v>46731</v>
          </cell>
          <cell r="K5943">
            <v>100</v>
          </cell>
          <cell r="L5943">
            <v>46713</v>
          </cell>
          <cell r="M5943">
            <v>-2129</v>
          </cell>
          <cell r="N5943">
            <v>697871</v>
          </cell>
        </row>
        <row r="5944">
          <cell r="A5944">
            <v>11011</v>
          </cell>
          <cell r="B5944">
            <v>5938</v>
          </cell>
          <cell r="C5944" t="str">
            <v>IASWD2504000062</v>
          </cell>
          <cell r="D5944">
            <v>45755</v>
          </cell>
          <cell r="E5944">
            <v>46731</v>
          </cell>
          <cell r="F5944" t="str">
            <v>11011</v>
          </cell>
          <cell r="G5944" t="str">
            <v>台泥一永</v>
          </cell>
          <cell r="H5944">
            <v>500000</v>
          </cell>
          <cell r="I5944">
            <v>3</v>
          </cell>
          <cell r="J5944">
            <v>46731</v>
          </cell>
          <cell r="K5944">
            <v>100</v>
          </cell>
          <cell r="L5944">
            <v>46713</v>
          </cell>
          <cell r="M5944">
            <v>-1521</v>
          </cell>
          <cell r="N5944">
            <v>498479</v>
          </cell>
        </row>
        <row r="5945">
          <cell r="A5945">
            <v>11011</v>
          </cell>
          <cell r="B5945">
            <v>5939</v>
          </cell>
          <cell r="C5945" t="str">
            <v>IASWD2504000065</v>
          </cell>
          <cell r="D5945">
            <v>45755</v>
          </cell>
          <cell r="E5945">
            <v>46731</v>
          </cell>
          <cell r="F5945" t="str">
            <v>11011</v>
          </cell>
          <cell r="G5945" t="str">
            <v>台泥一永</v>
          </cell>
          <cell r="H5945">
            <v>100000</v>
          </cell>
          <cell r="I5945">
            <v>3</v>
          </cell>
          <cell r="J5945">
            <v>46731</v>
          </cell>
          <cell r="K5945">
            <v>100</v>
          </cell>
          <cell r="L5945">
            <v>46713</v>
          </cell>
          <cell r="M5945">
            <v>-304</v>
          </cell>
          <cell r="N5945">
            <v>99696</v>
          </cell>
        </row>
        <row r="5946">
          <cell r="A5946">
            <v>11011</v>
          </cell>
          <cell r="B5946">
            <v>5940</v>
          </cell>
          <cell r="C5946" t="str">
            <v>IASWD2504000066</v>
          </cell>
          <cell r="D5946">
            <v>45755</v>
          </cell>
          <cell r="E5946">
            <v>46731</v>
          </cell>
          <cell r="F5946" t="str">
            <v>11011</v>
          </cell>
          <cell r="G5946" t="str">
            <v>台泥一永</v>
          </cell>
          <cell r="H5946">
            <v>200000</v>
          </cell>
          <cell r="I5946">
            <v>3</v>
          </cell>
          <cell r="J5946">
            <v>46731</v>
          </cell>
          <cell r="K5946">
            <v>100</v>
          </cell>
          <cell r="L5946">
            <v>46713</v>
          </cell>
          <cell r="M5946">
            <v>-608</v>
          </cell>
          <cell r="N5946">
            <v>199392</v>
          </cell>
        </row>
        <row r="5947">
          <cell r="A5947">
            <v>11011</v>
          </cell>
          <cell r="B5947">
            <v>5941</v>
          </cell>
          <cell r="C5947" t="str">
            <v>IASWD2504000067</v>
          </cell>
          <cell r="D5947">
            <v>45755</v>
          </cell>
          <cell r="E5947">
            <v>46731</v>
          </cell>
          <cell r="F5947" t="str">
            <v>11011</v>
          </cell>
          <cell r="G5947" t="str">
            <v>台泥一永</v>
          </cell>
          <cell r="H5947">
            <v>300000</v>
          </cell>
          <cell r="I5947">
            <v>3</v>
          </cell>
          <cell r="J5947">
            <v>46731</v>
          </cell>
          <cell r="K5947">
            <v>100</v>
          </cell>
          <cell r="L5947">
            <v>46713</v>
          </cell>
          <cell r="M5947">
            <v>-912</v>
          </cell>
          <cell r="N5947">
            <v>299088</v>
          </cell>
        </row>
        <row r="5948">
          <cell r="A5948">
            <v>11011</v>
          </cell>
          <cell r="B5948">
            <v>5942</v>
          </cell>
          <cell r="C5948" t="str">
            <v>IASWD2504000069</v>
          </cell>
          <cell r="D5948">
            <v>45755</v>
          </cell>
          <cell r="E5948">
            <v>46731</v>
          </cell>
          <cell r="F5948" t="str">
            <v>11011</v>
          </cell>
          <cell r="G5948" t="str">
            <v>台泥一永</v>
          </cell>
          <cell r="H5948">
            <v>100000</v>
          </cell>
          <cell r="I5948">
            <v>3</v>
          </cell>
          <cell r="J5948">
            <v>46731</v>
          </cell>
          <cell r="K5948">
            <v>100</v>
          </cell>
          <cell r="L5948">
            <v>46713</v>
          </cell>
          <cell r="M5948">
            <v>-304</v>
          </cell>
          <cell r="N5948">
            <v>99696</v>
          </cell>
        </row>
        <row r="5949">
          <cell r="A5949">
            <v>11011</v>
          </cell>
          <cell r="B5949">
            <v>5943</v>
          </cell>
          <cell r="C5949" t="str">
            <v>IASWD2504000071</v>
          </cell>
          <cell r="D5949">
            <v>45755</v>
          </cell>
          <cell r="E5949">
            <v>46731</v>
          </cell>
          <cell r="F5949" t="str">
            <v>11011</v>
          </cell>
          <cell r="G5949" t="str">
            <v>台泥一永</v>
          </cell>
          <cell r="H5949">
            <v>500000</v>
          </cell>
          <cell r="I5949">
            <v>3</v>
          </cell>
          <cell r="J5949">
            <v>46731</v>
          </cell>
          <cell r="K5949">
            <v>100</v>
          </cell>
          <cell r="L5949">
            <v>46713</v>
          </cell>
          <cell r="M5949">
            <v>-1521</v>
          </cell>
          <cell r="N5949">
            <v>498479</v>
          </cell>
        </row>
        <row r="5950">
          <cell r="A5950">
            <v>11011</v>
          </cell>
          <cell r="B5950">
            <v>5944</v>
          </cell>
          <cell r="C5950" t="str">
            <v>IASWD2504000074</v>
          </cell>
          <cell r="D5950">
            <v>45756</v>
          </cell>
          <cell r="E5950">
            <v>46731</v>
          </cell>
          <cell r="F5950" t="str">
            <v>11011</v>
          </cell>
          <cell r="G5950" t="str">
            <v>台泥一永</v>
          </cell>
          <cell r="H5950">
            <v>500000</v>
          </cell>
          <cell r="I5950">
            <v>3</v>
          </cell>
          <cell r="J5950">
            <v>46731</v>
          </cell>
          <cell r="K5950">
            <v>100</v>
          </cell>
          <cell r="L5950">
            <v>46713</v>
          </cell>
          <cell r="M5950">
            <v>-1479</v>
          </cell>
          <cell r="N5950">
            <v>498521</v>
          </cell>
        </row>
        <row r="5951">
          <cell r="A5951">
            <v>11011</v>
          </cell>
          <cell r="B5951">
            <v>5945</v>
          </cell>
          <cell r="C5951" t="str">
            <v>IASWD2504000075</v>
          </cell>
          <cell r="D5951">
            <v>45756</v>
          </cell>
          <cell r="E5951">
            <v>46731</v>
          </cell>
          <cell r="F5951" t="str">
            <v>11011</v>
          </cell>
          <cell r="G5951" t="str">
            <v>台泥一永</v>
          </cell>
          <cell r="H5951">
            <v>200000</v>
          </cell>
          <cell r="I5951">
            <v>3</v>
          </cell>
          <cell r="J5951">
            <v>46731</v>
          </cell>
          <cell r="K5951">
            <v>100</v>
          </cell>
          <cell r="L5951">
            <v>46713</v>
          </cell>
          <cell r="M5951">
            <v>-592</v>
          </cell>
          <cell r="N5951">
            <v>199408</v>
          </cell>
        </row>
        <row r="5952">
          <cell r="A5952">
            <v>11011</v>
          </cell>
          <cell r="B5952">
            <v>5946</v>
          </cell>
          <cell r="C5952" t="str">
            <v>IASWD2504000077</v>
          </cell>
          <cell r="D5952">
            <v>45756</v>
          </cell>
          <cell r="E5952">
            <v>46731</v>
          </cell>
          <cell r="F5952" t="str">
            <v>11011</v>
          </cell>
          <cell r="G5952" t="str">
            <v>台泥一永</v>
          </cell>
          <cell r="H5952">
            <v>1200000</v>
          </cell>
          <cell r="I5952">
            <v>3</v>
          </cell>
          <cell r="J5952">
            <v>46731</v>
          </cell>
          <cell r="K5952">
            <v>100</v>
          </cell>
          <cell r="L5952">
            <v>46713</v>
          </cell>
          <cell r="M5952">
            <v>-3551</v>
          </cell>
          <cell r="N5952">
            <v>1196449</v>
          </cell>
        </row>
        <row r="5953">
          <cell r="A5953">
            <v>11011</v>
          </cell>
          <cell r="B5953">
            <v>5947</v>
          </cell>
          <cell r="C5953" t="str">
            <v>IASWD2504000078</v>
          </cell>
          <cell r="D5953">
            <v>45756</v>
          </cell>
          <cell r="E5953">
            <v>46731</v>
          </cell>
          <cell r="F5953" t="str">
            <v>11011</v>
          </cell>
          <cell r="G5953" t="str">
            <v>台泥一永</v>
          </cell>
          <cell r="H5953">
            <v>100000</v>
          </cell>
          <cell r="I5953">
            <v>3</v>
          </cell>
          <cell r="J5953">
            <v>46731</v>
          </cell>
          <cell r="K5953">
            <v>100</v>
          </cell>
          <cell r="L5953">
            <v>46713</v>
          </cell>
          <cell r="M5953">
            <v>-296</v>
          </cell>
          <cell r="N5953">
            <v>99704</v>
          </cell>
        </row>
        <row r="5954">
          <cell r="A5954">
            <v>61394</v>
          </cell>
          <cell r="B5954">
            <v>5948</v>
          </cell>
          <cell r="C5954" t="str">
            <v>IASWD2504000079</v>
          </cell>
          <cell r="D5954">
            <v>45756</v>
          </cell>
          <cell r="E5954">
            <v>46047</v>
          </cell>
          <cell r="F5954" t="str">
            <v>61394</v>
          </cell>
          <cell r="G5954" t="str">
            <v>亞翔四</v>
          </cell>
          <cell r="H5954">
            <v>100000</v>
          </cell>
          <cell r="I5954">
            <v>3</v>
          </cell>
          <cell r="J5954">
            <v>46047</v>
          </cell>
          <cell r="K5954">
            <v>101.0025</v>
          </cell>
          <cell r="L5954">
            <v>46028</v>
          </cell>
          <cell r="M5954">
            <v>-296</v>
          </cell>
          <cell r="N5954">
            <v>99704</v>
          </cell>
        </row>
        <row r="5955">
          <cell r="A5955">
            <v>11011</v>
          </cell>
          <cell r="B5955">
            <v>5949</v>
          </cell>
          <cell r="C5955" t="str">
            <v>IASWD2504000084</v>
          </cell>
          <cell r="D5955">
            <v>45756</v>
          </cell>
          <cell r="E5955">
            <v>46731</v>
          </cell>
          <cell r="F5955" t="str">
            <v>11011</v>
          </cell>
          <cell r="G5955" t="str">
            <v>台泥一永</v>
          </cell>
          <cell r="H5955">
            <v>200000</v>
          </cell>
          <cell r="I5955">
            <v>3</v>
          </cell>
          <cell r="J5955">
            <v>46731</v>
          </cell>
          <cell r="K5955">
            <v>100</v>
          </cell>
          <cell r="L5955">
            <v>46713</v>
          </cell>
          <cell r="M5955">
            <v>-592</v>
          </cell>
          <cell r="N5955">
            <v>199408</v>
          </cell>
        </row>
        <row r="5956">
          <cell r="A5956">
            <v>11011</v>
          </cell>
          <cell r="B5956">
            <v>5950</v>
          </cell>
          <cell r="C5956" t="str">
            <v>IASWD2504000087</v>
          </cell>
          <cell r="D5956">
            <v>45756</v>
          </cell>
          <cell r="E5956">
            <v>46731</v>
          </cell>
          <cell r="F5956" t="str">
            <v>11011</v>
          </cell>
          <cell r="G5956" t="str">
            <v>台泥一永</v>
          </cell>
          <cell r="H5956">
            <v>200000</v>
          </cell>
          <cell r="I5956">
            <v>3</v>
          </cell>
          <cell r="J5956">
            <v>46731</v>
          </cell>
          <cell r="K5956">
            <v>100</v>
          </cell>
          <cell r="L5956">
            <v>46713</v>
          </cell>
          <cell r="M5956">
            <v>-592</v>
          </cell>
          <cell r="N5956">
            <v>199408</v>
          </cell>
        </row>
        <row r="5957">
          <cell r="A5957">
            <v>11011</v>
          </cell>
          <cell r="B5957">
            <v>5951</v>
          </cell>
          <cell r="C5957" t="str">
            <v>IASWD2504000088</v>
          </cell>
          <cell r="D5957">
            <v>45756</v>
          </cell>
          <cell r="E5957">
            <v>46731</v>
          </cell>
          <cell r="F5957" t="str">
            <v>11011</v>
          </cell>
          <cell r="G5957" t="str">
            <v>台泥一永</v>
          </cell>
          <cell r="H5957">
            <v>1000000</v>
          </cell>
          <cell r="I5957">
            <v>3</v>
          </cell>
          <cell r="J5957">
            <v>46731</v>
          </cell>
          <cell r="K5957">
            <v>100</v>
          </cell>
          <cell r="L5957">
            <v>46713</v>
          </cell>
          <cell r="M5957">
            <v>-2959</v>
          </cell>
          <cell r="N5957">
            <v>997041</v>
          </cell>
        </row>
        <row r="5958">
          <cell r="A5958">
            <v>11011</v>
          </cell>
          <cell r="B5958">
            <v>5952</v>
          </cell>
          <cell r="C5958" t="str">
            <v>IASWD2504000089</v>
          </cell>
          <cell r="D5958">
            <v>45756</v>
          </cell>
          <cell r="E5958">
            <v>46731</v>
          </cell>
          <cell r="F5958" t="str">
            <v>11011</v>
          </cell>
          <cell r="G5958" t="str">
            <v>台泥一永</v>
          </cell>
          <cell r="H5958">
            <v>100000</v>
          </cell>
          <cell r="I5958">
            <v>3</v>
          </cell>
          <cell r="J5958">
            <v>46731</v>
          </cell>
          <cell r="K5958">
            <v>100</v>
          </cell>
          <cell r="L5958">
            <v>46713</v>
          </cell>
          <cell r="M5958">
            <v>-296</v>
          </cell>
          <cell r="N5958">
            <v>99704</v>
          </cell>
        </row>
        <row r="5959">
          <cell r="A5959">
            <v>11011</v>
          </cell>
          <cell r="B5959">
            <v>5953</v>
          </cell>
          <cell r="C5959" t="str">
            <v>IASWD2504000091</v>
          </cell>
          <cell r="D5959">
            <v>45756</v>
          </cell>
          <cell r="E5959">
            <v>46731</v>
          </cell>
          <cell r="F5959" t="str">
            <v>11011</v>
          </cell>
          <cell r="G5959" t="str">
            <v>台泥一永</v>
          </cell>
          <cell r="H5959">
            <v>400000</v>
          </cell>
          <cell r="I5959">
            <v>3</v>
          </cell>
          <cell r="J5959">
            <v>46731</v>
          </cell>
          <cell r="K5959">
            <v>100</v>
          </cell>
          <cell r="L5959">
            <v>46713</v>
          </cell>
          <cell r="M5959">
            <v>-1184</v>
          </cell>
          <cell r="N5959">
            <v>398816</v>
          </cell>
        </row>
        <row r="5960">
          <cell r="A5960">
            <v>82992</v>
          </cell>
          <cell r="B5960">
            <v>5954</v>
          </cell>
          <cell r="C5960" t="str">
            <v>IASWD2504000094</v>
          </cell>
          <cell r="D5960">
            <v>45756</v>
          </cell>
          <cell r="E5960">
            <v>46410</v>
          </cell>
          <cell r="F5960" t="str">
            <v>82992</v>
          </cell>
          <cell r="G5960" t="str">
            <v>群聯二</v>
          </cell>
          <cell r="H5960">
            <v>200000</v>
          </cell>
          <cell r="I5960">
            <v>3</v>
          </cell>
          <cell r="J5960">
            <v>46410</v>
          </cell>
          <cell r="K5960">
            <v>100</v>
          </cell>
          <cell r="L5960">
            <v>46392</v>
          </cell>
          <cell r="M5960">
            <v>-592</v>
          </cell>
          <cell r="N5960">
            <v>199408</v>
          </cell>
        </row>
        <row r="5961">
          <cell r="A5961">
            <v>82992</v>
          </cell>
          <cell r="B5961">
            <v>5955</v>
          </cell>
          <cell r="C5961" t="str">
            <v>IASWD2504000096</v>
          </cell>
          <cell r="D5961">
            <v>45756</v>
          </cell>
          <cell r="E5961">
            <v>46410</v>
          </cell>
          <cell r="F5961" t="str">
            <v>82992</v>
          </cell>
          <cell r="G5961" t="str">
            <v>群聯二</v>
          </cell>
          <cell r="H5961">
            <v>500000</v>
          </cell>
          <cell r="I5961">
            <v>3</v>
          </cell>
          <cell r="J5961">
            <v>46410</v>
          </cell>
          <cell r="K5961">
            <v>100</v>
          </cell>
          <cell r="L5961">
            <v>46392</v>
          </cell>
          <cell r="M5961">
            <v>-1479</v>
          </cell>
          <cell r="N5961">
            <v>498521</v>
          </cell>
        </row>
        <row r="5962">
          <cell r="A5962">
            <v>11011</v>
          </cell>
          <cell r="B5962">
            <v>5956</v>
          </cell>
          <cell r="C5962" t="str">
            <v>IASWD2504000097</v>
          </cell>
          <cell r="D5962">
            <v>45756</v>
          </cell>
          <cell r="E5962">
            <v>46731</v>
          </cell>
          <cell r="F5962" t="str">
            <v>11011</v>
          </cell>
          <cell r="G5962" t="str">
            <v>台泥一永</v>
          </cell>
          <cell r="H5962">
            <v>100000</v>
          </cell>
          <cell r="I5962">
            <v>3</v>
          </cell>
          <cell r="J5962">
            <v>46731</v>
          </cell>
          <cell r="K5962">
            <v>100</v>
          </cell>
          <cell r="L5962">
            <v>46713</v>
          </cell>
          <cell r="M5962">
            <v>-296</v>
          </cell>
          <cell r="N5962">
            <v>99704</v>
          </cell>
        </row>
        <row r="5963">
          <cell r="A5963">
            <v>11011</v>
          </cell>
          <cell r="B5963">
            <v>5957</v>
          </cell>
          <cell r="C5963" t="str">
            <v>IASWD2504000098</v>
          </cell>
          <cell r="D5963">
            <v>45756</v>
          </cell>
          <cell r="E5963">
            <v>46731</v>
          </cell>
          <cell r="F5963" t="str">
            <v>11011</v>
          </cell>
          <cell r="G5963" t="str">
            <v>台泥一永</v>
          </cell>
          <cell r="H5963">
            <v>300000</v>
          </cell>
          <cell r="I5963">
            <v>3</v>
          </cell>
          <cell r="J5963">
            <v>46731</v>
          </cell>
          <cell r="K5963">
            <v>100</v>
          </cell>
          <cell r="L5963">
            <v>46713</v>
          </cell>
          <cell r="M5963">
            <v>-888</v>
          </cell>
          <cell r="N5963">
            <v>299112</v>
          </cell>
        </row>
        <row r="5964">
          <cell r="A5964">
            <v>11011</v>
          </cell>
          <cell r="B5964">
            <v>5958</v>
          </cell>
          <cell r="C5964" t="str">
            <v>IASWD2504000100</v>
          </cell>
          <cell r="D5964">
            <v>45756</v>
          </cell>
          <cell r="E5964">
            <v>46731</v>
          </cell>
          <cell r="F5964" t="str">
            <v>11011</v>
          </cell>
          <cell r="G5964" t="str">
            <v>台泥一永</v>
          </cell>
          <cell r="H5964">
            <v>500000</v>
          </cell>
          <cell r="I5964">
            <v>3</v>
          </cell>
          <cell r="J5964">
            <v>46731</v>
          </cell>
          <cell r="K5964">
            <v>100</v>
          </cell>
          <cell r="L5964">
            <v>46713</v>
          </cell>
          <cell r="M5964">
            <v>-1479</v>
          </cell>
          <cell r="N5964">
            <v>498521</v>
          </cell>
        </row>
        <row r="5965">
          <cell r="A5965">
            <v>82992</v>
          </cell>
          <cell r="B5965">
            <v>5959</v>
          </cell>
          <cell r="C5965" t="str">
            <v>IASWD2504000101</v>
          </cell>
          <cell r="D5965">
            <v>45756</v>
          </cell>
          <cell r="E5965">
            <v>46410</v>
          </cell>
          <cell r="F5965" t="str">
            <v>82992</v>
          </cell>
          <cell r="G5965" t="str">
            <v>群聯二</v>
          </cell>
          <cell r="H5965">
            <v>600000</v>
          </cell>
          <cell r="I5965">
            <v>3</v>
          </cell>
          <cell r="J5965">
            <v>46410</v>
          </cell>
          <cell r="K5965">
            <v>100</v>
          </cell>
          <cell r="L5965">
            <v>46392</v>
          </cell>
          <cell r="M5965">
            <v>-1775</v>
          </cell>
          <cell r="N5965">
            <v>598225</v>
          </cell>
        </row>
        <row r="5966">
          <cell r="A5966">
            <v>61394</v>
          </cell>
          <cell r="B5966">
            <v>5960</v>
          </cell>
          <cell r="C5966" t="str">
            <v>IASWD2504000103</v>
          </cell>
          <cell r="D5966">
            <v>45756</v>
          </cell>
          <cell r="E5966">
            <v>46047</v>
          </cell>
          <cell r="F5966" t="str">
            <v>61394</v>
          </cell>
          <cell r="G5966" t="str">
            <v>亞翔四</v>
          </cell>
          <cell r="H5966">
            <v>100000</v>
          </cell>
          <cell r="I5966">
            <v>3</v>
          </cell>
          <cell r="J5966">
            <v>46047</v>
          </cell>
          <cell r="K5966">
            <v>101.0025</v>
          </cell>
          <cell r="L5966">
            <v>46028</v>
          </cell>
          <cell r="M5966">
            <v>-296</v>
          </cell>
          <cell r="N5966">
            <v>99704</v>
          </cell>
        </row>
        <row r="5967">
          <cell r="A5967">
            <v>82992</v>
          </cell>
          <cell r="B5967">
            <v>5961</v>
          </cell>
          <cell r="C5967" t="str">
            <v>IASWD2504000104</v>
          </cell>
          <cell r="D5967">
            <v>45757</v>
          </cell>
          <cell r="E5967">
            <v>46410</v>
          </cell>
          <cell r="F5967" t="str">
            <v>82992</v>
          </cell>
          <cell r="G5967" t="str">
            <v>群聯二</v>
          </cell>
          <cell r="H5967">
            <v>400000</v>
          </cell>
          <cell r="I5967">
            <v>3</v>
          </cell>
          <cell r="J5967">
            <v>46410</v>
          </cell>
          <cell r="K5967">
            <v>100</v>
          </cell>
          <cell r="L5967">
            <v>46392</v>
          </cell>
          <cell r="M5967">
            <v>-1151</v>
          </cell>
          <cell r="N5967">
            <v>398849</v>
          </cell>
        </row>
        <row r="5968">
          <cell r="A5968">
            <v>61394</v>
          </cell>
          <cell r="B5968">
            <v>5962</v>
          </cell>
          <cell r="C5968" t="str">
            <v>IASWD2504000105</v>
          </cell>
          <cell r="D5968">
            <v>45757</v>
          </cell>
          <cell r="E5968">
            <v>46047</v>
          </cell>
          <cell r="F5968" t="str">
            <v>61394</v>
          </cell>
          <cell r="G5968" t="str">
            <v>亞翔四</v>
          </cell>
          <cell r="H5968">
            <v>600000</v>
          </cell>
          <cell r="I5968">
            <v>3</v>
          </cell>
          <cell r="J5968">
            <v>46047</v>
          </cell>
          <cell r="K5968">
            <v>101.0025</v>
          </cell>
          <cell r="L5968">
            <v>46028</v>
          </cell>
          <cell r="M5968">
            <v>-1726</v>
          </cell>
          <cell r="N5968">
            <v>598274</v>
          </cell>
        </row>
        <row r="5969">
          <cell r="A5969">
            <v>82992</v>
          </cell>
          <cell r="B5969">
            <v>5963</v>
          </cell>
          <cell r="C5969" t="str">
            <v>IASWD2504000106</v>
          </cell>
          <cell r="D5969">
            <v>45757</v>
          </cell>
          <cell r="E5969">
            <v>46410</v>
          </cell>
          <cell r="F5969" t="str">
            <v>82992</v>
          </cell>
          <cell r="G5969" t="str">
            <v>群聯二</v>
          </cell>
          <cell r="H5969">
            <v>500000</v>
          </cell>
          <cell r="I5969">
            <v>3</v>
          </cell>
          <cell r="J5969">
            <v>46410</v>
          </cell>
          <cell r="K5969">
            <v>100</v>
          </cell>
          <cell r="L5969">
            <v>46392</v>
          </cell>
          <cell r="M5969">
            <v>-1438</v>
          </cell>
          <cell r="N5969">
            <v>498562</v>
          </cell>
        </row>
        <row r="5970">
          <cell r="A5970">
            <v>82992</v>
          </cell>
          <cell r="B5970">
            <v>5964</v>
          </cell>
          <cell r="C5970" t="str">
            <v>IASWD2504000107</v>
          </cell>
          <cell r="D5970">
            <v>45757</v>
          </cell>
          <cell r="E5970">
            <v>46410</v>
          </cell>
          <cell r="F5970" t="str">
            <v>82992</v>
          </cell>
          <cell r="G5970" t="str">
            <v>群聯二</v>
          </cell>
          <cell r="H5970">
            <v>100000</v>
          </cell>
          <cell r="I5970">
            <v>3</v>
          </cell>
          <cell r="J5970">
            <v>46410</v>
          </cell>
          <cell r="K5970">
            <v>100</v>
          </cell>
          <cell r="L5970">
            <v>46392</v>
          </cell>
          <cell r="M5970">
            <v>-288</v>
          </cell>
          <cell r="N5970">
            <v>99712</v>
          </cell>
        </row>
        <row r="5971">
          <cell r="A5971">
            <v>82992</v>
          </cell>
          <cell r="B5971">
            <v>5965</v>
          </cell>
          <cell r="C5971" t="str">
            <v>IASWD2504000110</v>
          </cell>
          <cell r="D5971">
            <v>45757</v>
          </cell>
          <cell r="E5971">
            <v>46410</v>
          </cell>
          <cell r="F5971" t="str">
            <v>82992</v>
          </cell>
          <cell r="G5971" t="str">
            <v>群聯二</v>
          </cell>
          <cell r="H5971">
            <v>500000</v>
          </cell>
          <cell r="I5971">
            <v>3</v>
          </cell>
          <cell r="J5971">
            <v>46410</v>
          </cell>
          <cell r="K5971">
            <v>100</v>
          </cell>
          <cell r="L5971">
            <v>46392</v>
          </cell>
          <cell r="M5971">
            <v>-1438</v>
          </cell>
          <cell r="N5971">
            <v>498562</v>
          </cell>
        </row>
        <row r="5972">
          <cell r="A5972">
            <v>82992</v>
          </cell>
          <cell r="B5972">
            <v>5966</v>
          </cell>
          <cell r="C5972" t="str">
            <v>IASWD2504000111</v>
          </cell>
          <cell r="D5972">
            <v>45757</v>
          </cell>
          <cell r="E5972">
            <v>46410</v>
          </cell>
          <cell r="F5972" t="str">
            <v>82992</v>
          </cell>
          <cell r="G5972" t="str">
            <v>群聯二</v>
          </cell>
          <cell r="H5972">
            <v>100000</v>
          </cell>
          <cell r="I5972">
            <v>3</v>
          </cell>
          <cell r="J5972">
            <v>46410</v>
          </cell>
          <cell r="K5972">
            <v>100</v>
          </cell>
          <cell r="L5972">
            <v>46392</v>
          </cell>
          <cell r="M5972">
            <v>-288</v>
          </cell>
          <cell r="N5972">
            <v>99712</v>
          </cell>
        </row>
        <row r="5973">
          <cell r="A5973">
            <v>82992</v>
          </cell>
          <cell r="B5973">
            <v>5967</v>
          </cell>
          <cell r="C5973" t="str">
            <v>IASWD2504000112</v>
          </cell>
          <cell r="D5973">
            <v>45757</v>
          </cell>
          <cell r="E5973">
            <v>46410</v>
          </cell>
          <cell r="F5973" t="str">
            <v>82992</v>
          </cell>
          <cell r="G5973" t="str">
            <v>群聯二</v>
          </cell>
          <cell r="H5973">
            <v>500000</v>
          </cell>
          <cell r="I5973">
            <v>3</v>
          </cell>
          <cell r="J5973">
            <v>46410</v>
          </cell>
          <cell r="K5973">
            <v>100</v>
          </cell>
          <cell r="L5973">
            <v>46392</v>
          </cell>
          <cell r="M5973">
            <v>-1438</v>
          </cell>
          <cell r="N5973">
            <v>498562</v>
          </cell>
        </row>
        <row r="5974">
          <cell r="A5974">
            <v>82992</v>
          </cell>
          <cell r="B5974">
            <v>5968</v>
          </cell>
          <cell r="C5974" t="str">
            <v>IASWD2504000113</v>
          </cell>
          <cell r="D5974">
            <v>45757</v>
          </cell>
          <cell r="E5974">
            <v>46410</v>
          </cell>
          <cell r="F5974" t="str">
            <v>82992</v>
          </cell>
          <cell r="G5974" t="str">
            <v>群聯二</v>
          </cell>
          <cell r="H5974">
            <v>300000</v>
          </cell>
          <cell r="I5974">
            <v>3</v>
          </cell>
          <cell r="J5974">
            <v>46410</v>
          </cell>
          <cell r="K5974">
            <v>100</v>
          </cell>
          <cell r="L5974">
            <v>46392</v>
          </cell>
          <cell r="M5974">
            <v>-863</v>
          </cell>
          <cell r="N5974">
            <v>299137</v>
          </cell>
        </row>
        <row r="5975">
          <cell r="A5975">
            <v>82992</v>
          </cell>
          <cell r="B5975">
            <v>5969</v>
          </cell>
          <cell r="C5975" t="str">
            <v>IASWD2504000114</v>
          </cell>
          <cell r="D5975">
            <v>45757</v>
          </cell>
          <cell r="E5975">
            <v>46410</v>
          </cell>
          <cell r="F5975" t="str">
            <v>82992</v>
          </cell>
          <cell r="G5975" t="str">
            <v>群聯二</v>
          </cell>
          <cell r="H5975">
            <v>300000</v>
          </cell>
          <cell r="I5975">
            <v>3</v>
          </cell>
          <cell r="J5975">
            <v>46410</v>
          </cell>
          <cell r="K5975">
            <v>100</v>
          </cell>
          <cell r="L5975">
            <v>46392</v>
          </cell>
          <cell r="M5975">
            <v>-863</v>
          </cell>
          <cell r="N5975">
            <v>299137</v>
          </cell>
        </row>
        <row r="5976">
          <cell r="A5976">
            <v>82992</v>
          </cell>
          <cell r="B5976">
            <v>5970</v>
          </cell>
          <cell r="C5976" t="str">
            <v>IASWD2504000115</v>
          </cell>
          <cell r="D5976">
            <v>45757</v>
          </cell>
          <cell r="E5976">
            <v>46410</v>
          </cell>
          <cell r="F5976" t="str">
            <v>82992</v>
          </cell>
          <cell r="G5976" t="str">
            <v>群聯二</v>
          </cell>
          <cell r="H5976">
            <v>400000</v>
          </cell>
          <cell r="I5976">
            <v>3</v>
          </cell>
          <cell r="J5976">
            <v>46410</v>
          </cell>
          <cell r="K5976">
            <v>100</v>
          </cell>
          <cell r="L5976">
            <v>46392</v>
          </cell>
          <cell r="M5976">
            <v>-1151</v>
          </cell>
          <cell r="N5976">
            <v>398849</v>
          </cell>
        </row>
        <row r="5977">
          <cell r="A5977">
            <v>82992</v>
          </cell>
          <cell r="B5977">
            <v>5971</v>
          </cell>
          <cell r="C5977" t="str">
            <v>IASWD2504000116</v>
          </cell>
          <cell r="D5977">
            <v>45757</v>
          </cell>
          <cell r="E5977">
            <v>46410</v>
          </cell>
          <cell r="F5977" t="str">
            <v>82992</v>
          </cell>
          <cell r="G5977" t="str">
            <v>群聯二</v>
          </cell>
          <cell r="H5977">
            <v>200000</v>
          </cell>
          <cell r="I5977">
            <v>3</v>
          </cell>
          <cell r="J5977">
            <v>46410</v>
          </cell>
          <cell r="K5977">
            <v>100</v>
          </cell>
          <cell r="L5977">
            <v>46392</v>
          </cell>
          <cell r="M5977">
            <v>-575</v>
          </cell>
          <cell r="N5977">
            <v>199425</v>
          </cell>
        </row>
        <row r="5978">
          <cell r="A5978">
            <v>82992</v>
          </cell>
          <cell r="B5978">
            <v>5972</v>
          </cell>
          <cell r="C5978" t="str">
            <v>IASWD2504000119</v>
          </cell>
          <cell r="D5978">
            <v>45757</v>
          </cell>
          <cell r="E5978">
            <v>46410</v>
          </cell>
          <cell r="F5978" t="str">
            <v>82992</v>
          </cell>
          <cell r="G5978" t="str">
            <v>群聯二</v>
          </cell>
          <cell r="H5978">
            <v>100000</v>
          </cell>
          <cell r="I5978">
            <v>3</v>
          </cell>
          <cell r="J5978">
            <v>46410</v>
          </cell>
          <cell r="K5978">
            <v>100</v>
          </cell>
          <cell r="L5978">
            <v>46392</v>
          </cell>
          <cell r="M5978">
            <v>-288</v>
          </cell>
          <cell r="N5978">
            <v>99712</v>
          </cell>
        </row>
        <row r="5979">
          <cell r="A5979">
            <v>82992</v>
          </cell>
          <cell r="B5979">
            <v>5973</v>
          </cell>
          <cell r="C5979" t="str">
            <v>IASWD2504000120</v>
          </cell>
          <cell r="D5979">
            <v>45757</v>
          </cell>
          <cell r="E5979">
            <v>46410</v>
          </cell>
          <cell r="F5979" t="str">
            <v>82992</v>
          </cell>
          <cell r="G5979" t="str">
            <v>群聯二</v>
          </cell>
          <cell r="H5979">
            <v>200000</v>
          </cell>
          <cell r="I5979">
            <v>3</v>
          </cell>
          <cell r="J5979">
            <v>46410</v>
          </cell>
          <cell r="K5979">
            <v>100</v>
          </cell>
          <cell r="L5979">
            <v>46392</v>
          </cell>
          <cell r="M5979">
            <v>-575</v>
          </cell>
          <cell r="N5979">
            <v>199425</v>
          </cell>
        </row>
        <row r="5980">
          <cell r="A5980">
            <v>82992</v>
          </cell>
          <cell r="B5980">
            <v>5974</v>
          </cell>
          <cell r="C5980" t="str">
            <v>IASWD2504000121</v>
          </cell>
          <cell r="D5980">
            <v>45758</v>
          </cell>
          <cell r="E5980">
            <v>46410</v>
          </cell>
          <cell r="F5980" t="str">
            <v>82992</v>
          </cell>
          <cell r="G5980" t="str">
            <v>群聯二</v>
          </cell>
          <cell r="H5980">
            <v>100000</v>
          </cell>
          <cell r="I5980">
            <v>3</v>
          </cell>
          <cell r="J5980">
            <v>46410</v>
          </cell>
          <cell r="K5980">
            <v>100</v>
          </cell>
          <cell r="L5980">
            <v>46392</v>
          </cell>
          <cell r="M5980">
            <v>-279</v>
          </cell>
          <cell r="N5980">
            <v>99721</v>
          </cell>
        </row>
        <row r="5981">
          <cell r="A5981">
            <v>82992</v>
          </cell>
          <cell r="B5981">
            <v>5975</v>
          </cell>
          <cell r="C5981" t="str">
            <v>IASWD2504000122</v>
          </cell>
          <cell r="D5981">
            <v>45758</v>
          </cell>
          <cell r="E5981">
            <v>46410</v>
          </cell>
          <cell r="F5981" t="str">
            <v>82992</v>
          </cell>
          <cell r="G5981" t="str">
            <v>群聯二</v>
          </cell>
          <cell r="H5981">
            <v>1000000</v>
          </cell>
          <cell r="I5981">
            <v>3</v>
          </cell>
          <cell r="J5981">
            <v>46410</v>
          </cell>
          <cell r="K5981">
            <v>100</v>
          </cell>
          <cell r="L5981">
            <v>46392</v>
          </cell>
          <cell r="M5981">
            <v>-2795</v>
          </cell>
          <cell r="N5981">
            <v>997205</v>
          </cell>
        </row>
        <row r="5982">
          <cell r="A5982">
            <v>82992</v>
          </cell>
          <cell r="B5982">
            <v>5976</v>
          </cell>
          <cell r="C5982" t="str">
            <v>IASWD2504000123</v>
          </cell>
          <cell r="D5982">
            <v>45758</v>
          </cell>
          <cell r="E5982">
            <v>46410</v>
          </cell>
          <cell r="F5982" t="str">
            <v>82992</v>
          </cell>
          <cell r="G5982" t="str">
            <v>群聯二</v>
          </cell>
          <cell r="H5982">
            <v>100000</v>
          </cell>
          <cell r="I5982">
            <v>3</v>
          </cell>
          <cell r="J5982">
            <v>46410</v>
          </cell>
          <cell r="K5982">
            <v>100</v>
          </cell>
          <cell r="L5982">
            <v>46392</v>
          </cell>
          <cell r="M5982">
            <v>-279</v>
          </cell>
          <cell r="N5982">
            <v>99721</v>
          </cell>
        </row>
        <row r="5983">
          <cell r="A5983">
            <v>82992</v>
          </cell>
          <cell r="B5983">
            <v>5977</v>
          </cell>
          <cell r="C5983" t="str">
            <v>IASWD2504000124</v>
          </cell>
          <cell r="D5983">
            <v>45758</v>
          </cell>
          <cell r="E5983">
            <v>46410</v>
          </cell>
          <cell r="F5983" t="str">
            <v>82992</v>
          </cell>
          <cell r="G5983" t="str">
            <v>群聯二</v>
          </cell>
          <cell r="H5983">
            <v>100000</v>
          </cell>
          <cell r="I5983">
            <v>3</v>
          </cell>
          <cell r="J5983">
            <v>46410</v>
          </cell>
          <cell r="K5983">
            <v>100</v>
          </cell>
          <cell r="L5983">
            <v>46392</v>
          </cell>
          <cell r="M5983">
            <v>-279</v>
          </cell>
          <cell r="N5983">
            <v>99721</v>
          </cell>
        </row>
        <row r="5984">
          <cell r="A5984">
            <v>82992</v>
          </cell>
          <cell r="B5984">
            <v>5978</v>
          </cell>
          <cell r="C5984" t="str">
            <v>IASWD2504000125</v>
          </cell>
          <cell r="D5984">
            <v>45758</v>
          </cell>
          <cell r="E5984">
            <v>46410</v>
          </cell>
          <cell r="F5984" t="str">
            <v>82992</v>
          </cell>
          <cell r="G5984" t="str">
            <v>群聯二</v>
          </cell>
          <cell r="H5984">
            <v>300000</v>
          </cell>
          <cell r="I5984">
            <v>3</v>
          </cell>
          <cell r="J5984">
            <v>46410</v>
          </cell>
          <cell r="K5984">
            <v>100</v>
          </cell>
          <cell r="L5984">
            <v>46392</v>
          </cell>
          <cell r="M5984">
            <v>-838</v>
          </cell>
          <cell r="N5984">
            <v>299162</v>
          </cell>
        </row>
        <row r="5985">
          <cell r="A5985">
            <v>82992</v>
          </cell>
          <cell r="B5985">
            <v>5979</v>
          </cell>
          <cell r="C5985" t="str">
            <v>IASWD2504000127</v>
          </cell>
          <cell r="D5985">
            <v>45761</v>
          </cell>
          <cell r="E5985">
            <v>46410</v>
          </cell>
          <cell r="F5985" t="str">
            <v>82992</v>
          </cell>
          <cell r="G5985" t="str">
            <v>群聯二</v>
          </cell>
          <cell r="H5985">
            <v>300000</v>
          </cell>
          <cell r="I5985">
            <v>3</v>
          </cell>
          <cell r="J5985">
            <v>46410</v>
          </cell>
          <cell r="K5985">
            <v>100</v>
          </cell>
          <cell r="L5985">
            <v>46392</v>
          </cell>
          <cell r="M5985">
            <v>-764</v>
          </cell>
          <cell r="N5985">
            <v>299236</v>
          </cell>
        </row>
        <row r="5986">
          <cell r="A5986">
            <v>82992</v>
          </cell>
          <cell r="B5986">
            <v>5980</v>
          </cell>
          <cell r="C5986" t="str">
            <v>IASWD2504000128</v>
          </cell>
          <cell r="D5986">
            <v>45761</v>
          </cell>
          <cell r="E5986">
            <v>46410</v>
          </cell>
          <cell r="F5986" t="str">
            <v>82992</v>
          </cell>
          <cell r="G5986" t="str">
            <v>群聯二</v>
          </cell>
          <cell r="H5986">
            <v>100000</v>
          </cell>
          <cell r="I5986">
            <v>3</v>
          </cell>
          <cell r="J5986">
            <v>46410</v>
          </cell>
          <cell r="K5986">
            <v>100</v>
          </cell>
          <cell r="L5986">
            <v>46392</v>
          </cell>
          <cell r="M5986">
            <v>-255</v>
          </cell>
          <cell r="N5986">
            <v>99745</v>
          </cell>
        </row>
        <row r="5987">
          <cell r="A5987">
            <v>82992</v>
          </cell>
          <cell r="B5987">
            <v>5981</v>
          </cell>
          <cell r="C5987" t="str">
            <v>IASWD2504000130</v>
          </cell>
          <cell r="D5987">
            <v>45762</v>
          </cell>
          <cell r="E5987">
            <v>46410</v>
          </cell>
          <cell r="F5987" t="str">
            <v>82992</v>
          </cell>
          <cell r="G5987" t="str">
            <v>群聯二</v>
          </cell>
          <cell r="H5987">
            <v>200000</v>
          </cell>
          <cell r="I5987">
            <v>3</v>
          </cell>
          <cell r="J5987">
            <v>46410</v>
          </cell>
          <cell r="K5987">
            <v>100</v>
          </cell>
          <cell r="L5987">
            <v>46392</v>
          </cell>
          <cell r="M5987">
            <v>-493</v>
          </cell>
          <cell r="N5987">
            <v>199507</v>
          </cell>
        </row>
        <row r="5988">
          <cell r="A5988">
            <v>82992</v>
          </cell>
          <cell r="B5988">
            <v>5982</v>
          </cell>
          <cell r="C5988" t="str">
            <v>IASWD2504000131</v>
          </cell>
          <cell r="D5988">
            <v>45762</v>
          </cell>
          <cell r="E5988">
            <v>46410</v>
          </cell>
          <cell r="F5988" t="str">
            <v>82992</v>
          </cell>
          <cell r="G5988" t="str">
            <v>群聯二</v>
          </cell>
          <cell r="H5988">
            <v>900000</v>
          </cell>
          <cell r="I5988">
            <v>3</v>
          </cell>
          <cell r="J5988">
            <v>46410</v>
          </cell>
          <cell r="K5988">
            <v>100</v>
          </cell>
          <cell r="L5988">
            <v>46392</v>
          </cell>
          <cell r="M5988">
            <v>-2219</v>
          </cell>
          <cell r="N5988">
            <v>897781</v>
          </cell>
        </row>
        <row r="5989">
          <cell r="A5989">
            <v>82992</v>
          </cell>
          <cell r="B5989">
            <v>5983</v>
          </cell>
          <cell r="C5989" t="str">
            <v>IASWD2504000132</v>
          </cell>
          <cell r="D5989">
            <v>45762</v>
          </cell>
          <cell r="E5989">
            <v>46410</v>
          </cell>
          <cell r="F5989" t="str">
            <v>82992</v>
          </cell>
          <cell r="G5989" t="str">
            <v>群聯二</v>
          </cell>
          <cell r="H5989">
            <v>500000</v>
          </cell>
          <cell r="I5989">
            <v>3</v>
          </cell>
          <cell r="J5989">
            <v>46410</v>
          </cell>
          <cell r="K5989">
            <v>100</v>
          </cell>
          <cell r="L5989">
            <v>46392</v>
          </cell>
          <cell r="M5989">
            <v>-1233</v>
          </cell>
          <cell r="N5989">
            <v>498767</v>
          </cell>
        </row>
        <row r="5990">
          <cell r="A5990">
            <v>61394</v>
          </cell>
          <cell r="B5990">
            <v>5984</v>
          </cell>
          <cell r="C5990" t="str">
            <v>IASWD2504000134</v>
          </cell>
          <cell r="D5990">
            <v>45762</v>
          </cell>
          <cell r="E5990">
            <v>46047</v>
          </cell>
          <cell r="F5990" t="str">
            <v>61394</v>
          </cell>
          <cell r="G5990" t="str">
            <v>亞翔四</v>
          </cell>
          <cell r="H5990">
            <v>200000</v>
          </cell>
          <cell r="I5990">
            <v>3</v>
          </cell>
          <cell r="J5990">
            <v>46047</v>
          </cell>
          <cell r="K5990">
            <v>101.0025</v>
          </cell>
          <cell r="L5990">
            <v>46028</v>
          </cell>
          <cell r="M5990">
            <v>-493</v>
          </cell>
          <cell r="N5990">
            <v>199507</v>
          </cell>
        </row>
        <row r="5991">
          <cell r="A5991">
            <v>61394</v>
          </cell>
          <cell r="B5991">
            <v>5985</v>
          </cell>
          <cell r="C5991" t="str">
            <v>IASWD2504000135</v>
          </cell>
          <cell r="D5991">
            <v>45762</v>
          </cell>
          <cell r="E5991">
            <v>46047</v>
          </cell>
          <cell r="F5991" t="str">
            <v>61394</v>
          </cell>
          <cell r="G5991" t="str">
            <v>亞翔四</v>
          </cell>
          <cell r="H5991">
            <v>100000</v>
          </cell>
          <cell r="I5991">
            <v>3</v>
          </cell>
          <cell r="J5991">
            <v>46047</v>
          </cell>
          <cell r="K5991">
            <v>101.0025</v>
          </cell>
          <cell r="L5991">
            <v>46028</v>
          </cell>
          <cell r="M5991">
            <v>-247</v>
          </cell>
          <cell r="N5991">
            <v>99753</v>
          </cell>
        </row>
        <row r="5992">
          <cell r="A5992">
            <v>82992</v>
          </cell>
          <cell r="B5992">
            <v>5986</v>
          </cell>
          <cell r="C5992" t="str">
            <v>IASWD2504000136</v>
          </cell>
          <cell r="D5992">
            <v>45762</v>
          </cell>
          <cell r="E5992">
            <v>46410</v>
          </cell>
          <cell r="F5992" t="str">
            <v>82992</v>
          </cell>
          <cell r="G5992" t="str">
            <v>群聯二</v>
          </cell>
          <cell r="H5992">
            <v>100000</v>
          </cell>
          <cell r="I5992">
            <v>3</v>
          </cell>
          <cell r="J5992">
            <v>46410</v>
          </cell>
          <cell r="K5992">
            <v>100</v>
          </cell>
          <cell r="L5992">
            <v>46392</v>
          </cell>
          <cell r="M5992">
            <v>-247</v>
          </cell>
          <cell r="N5992">
            <v>99753</v>
          </cell>
        </row>
        <row r="5993">
          <cell r="A5993">
            <v>82992</v>
          </cell>
          <cell r="B5993">
            <v>5987</v>
          </cell>
          <cell r="C5993" t="str">
            <v>IASWD2504000137</v>
          </cell>
          <cell r="D5993">
            <v>45762</v>
          </cell>
          <cell r="E5993">
            <v>46410</v>
          </cell>
          <cell r="F5993" t="str">
            <v>82992</v>
          </cell>
          <cell r="G5993" t="str">
            <v>群聯二</v>
          </cell>
          <cell r="H5993">
            <v>400000</v>
          </cell>
          <cell r="I5993">
            <v>3</v>
          </cell>
          <cell r="J5993">
            <v>46410</v>
          </cell>
          <cell r="K5993">
            <v>100</v>
          </cell>
          <cell r="L5993">
            <v>46392</v>
          </cell>
          <cell r="M5993">
            <v>-986</v>
          </cell>
          <cell r="N5993">
            <v>399014</v>
          </cell>
        </row>
        <row r="5994">
          <cell r="A5994">
            <v>82992</v>
          </cell>
          <cell r="B5994">
            <v>5988</v>
          </cell>
          <cell r="C5994" t="str">
            <v>IASWD2504000138</v>
          </cell>
          <cell r="D5994">
            <v>45763</v>
          </cell>
          <cell r="E5994">
            <v>46410</v>
          </cell>
          <cell r="F5994" t="str">
            <v>82992</v>
          </cell>
          <cell r="G5994" t="str">
            <v>群聯二</v>
          </cell>
          <cell r="H5994">
            <v>100000</v>
          </cell>
          <cell r="I5994">
            <v>3</v>
          </cell>
          <cell r="J5994">
            <v>46410</v>
          </cell>
          <cell r="K5994">
            <v>100</v>
          </cell>
          <cell r="L5994">
            <v>46392</v>
          </cell>
          <cell r="M5994">
            <v>-238</v>
          </cell>
          <cell r="N5994">
            <v>99762</v>
          </cell>
        </row>
        <row r="5995">
          <cell r="A5995">
            <v>82992</v>
          </cell>
          <cell r="B5995">
            <v>5989</v>
          </cell>
          <cell r="C5995" t="str">
            <v>IASWD2504000139</v>
          </cell>
          <cell r="D5995">
            <v>45764</v>
          </cell>
          <cell r="E5995">
            <v>46410</v>
          </cell>
          <cell r="F5995" t="str">
            <v>82992</v>
          </cell>
          <cell r="G5995" t="str">
            <v>群聯二</v>
          </cell>
          <cell r="H5995">
            <v>100000</v>
          </cell>
          <cell r="I5995">
            <v>3</v>
          </cell>
          <cell r="J5995">
            <v>46410</v>
          </cell>
          <cell r="K5995">
            <v>100</v>
          </cell>
          <cell r="L5995">
            <v>46392</v>
          </cell>
          <cell r="M5995">
            <v>-230</v>
          </cell>
          <cell r="N5995">
            <v>99770</v>
          </cell>
        </row>
        <row r="5996">
          <cell r="A5996">
            <v>82992</v>
          </cell>
          <cell r="B5996">
            <v>5990</v>
          </cell>
          <cell r="C5996" t="str">
            <v>IASWD2504000140</v>
          </cell>
          <cell r="D5996">
            <v>45764</v>
          </cell>
          <cell r="E5996">
            <v>46410</v>
          </cell>
          <cell r="F5996" t="str">
            <v>82992</v>
          </cell>
          <cell r="G5996" t="str">
            <v>群聯二</v>
          </cell>
          <cell r="H5996">
            <v>200000</v>
          </cell>
          <cell r="I5996">
            <v>3</v>
          </cell>
          <cell r="J5996">
            <v>46410</v>
          </cell>
          <cell r="K5996">
            <v>100</v>
          </cell>
          <cell r="L5996">
            <v>46392</v>
          </cell>
          <cell r="M5996">
            <v>-460</v>
          </cell>
          <cell r="N5996">
            <v>199540</v>
          </cell>
        </row>
        <row r="5997">
          <cell r="A5997">
            <v>82992</v>
          </cell>
          <cell r="B5997">
            <v>5991</v>
          </cell>
          <cell r="C5997" t="str">
            <v>IASWD2504000141</v>
          </cell>
          <cell r="D5997">
            <v>45764</v>
          </cell>
          <cell r="E5997">
            <v>46410</v>
          </cell>
          <cell r="F5997" t="str">
            <v>82992</v>
          </cell>
          <cell r="G5997" t="str">
            <v>群聯二</v>
          </cell>
          <cell r="H5997">
            <v>100000</v>
          </cell>
          <cell r="I5997">
            <v>3</v>
          </cell>
          <cell r="J5997">
            <v>46410</v>
          </cell>
          <cell r="K5997">
            <v>100</v>
          </cell>
          <cell r="L5997">
            <v>46392</v>
          </cell>
          <cell r="M5997">
            <v>-230</v>
          </cell>
          <cell r="N5997">
            <v>99770</v>
          </cell>
        </row>
        <row r="5998">
          <cell r="A5998">
            <v>68541</v>
          </cell>
          <cell r="B5998">
            <v>5992</v>
          </cell>
          <cell r="C5998" t="str">
            <v>IASWD2504000142</v>
          </cell>
          <cell r="D5998">
            <v>45765</v>
          </cell>
          <cell r="E5998">
            <v>46445</v>
          </cell>
          <cell r="F5998" t="str">
            <v>68541</v>
          </cell>
          <cell r="G5998" t="str">
            <v>錼創科技一KY創</v>
          </cell>
          <cell r="H5998">
            <v>300000</v>
          </cell>
          <cell r="I5998">
            <v>2.5</v>
          </cell>
          <cell r="J5998">
            <v>46445</v>
          </cell>
          <cell r="K5998">
            <v>101.0025</v>
          </cell>
          <cell r="L5998">
            <v>46427</v>
          </cell>
          <cell r="M5998">
            <v>-555</v>
          </cell>
          <cell r="N5998">
            <v>299445</v>
          </cell>
        </row>
        <row r="5999">
          <cell r="A5999">
            <v>82992</v>
          </cell>
          <cell r="B5999">
            <v>5993</v>
          </cell>
          <cell r="C5999" t="str">
            <v>IASWD2504000146</v>
          </cell>
          <cell r="D5999">
            <v>45765</v>
          </cell>
          <cell r="E5999">
            <v>46410</v>
          </cell>
          <cell r="F5999" t="str">
            <v>82992</v>
          </cell>
          <cell r="G5999" t="str">
            <v>群聯二</v>
          </cell>
          <cell r="H5999">
            <v>900000</v>
          </cell>
          <cell r="I5999">
            <v>3</v>
          </cell>
          <cell r="J5999">
            <v>46410</v>
          </cell>
          <cell r="K5999">
            <v>100</v>
          </cell>
          <cell r="L5999">
            <v>46392</v>
          </cell>
          <cell r="M5999">
            <v>-1997</v>
          </cell>
          <cell r="N5999">
            <v>898003</v>
          </cell>
        </row>
        <row r="6000">
          <cell r="A6000">
            <v>56086</v>
          </cell>
          <cell r="B6000">
            <v>5994</v>
          </cell>
          <cell r="C6000" t="str">
            <v>IASWD2504000148</v>
          </cell>
          <cell r="D6000">
            <v>45765</v>
          </cell>
          <cell r="E6000">
            <v>46194</v>
          </cell>
          <cell r="F6000" t="str">
            <v>56086</v>
          </cell>
          <cell r="G6000" t="str">
            <v>四維航六</v>
          </cell>
          <cell r="H6000">
            <v>200000</v>
          </cell>
          <cell r="I6000">
            <v>2.5</v>
          </cell>
          <cell r="J6000">
            <v>46194</v>
          </cell>
          <cell r="K6000">
            <v>100</v>
          </cell>
          <cell r="L6000">
            <v>46175</v>
          </cell>
          <cell r="M6000">
            <v>-370</v>
          </cell>
          <cell r="N6000">
            <v>199630</v>
          </cell>
        </row>
        <row r="6001">
          <cell r="A6001">
            <v>56086</v>
          </cell>
          <cell r="B6001">
            <v>5995</v>
          </cell>
          <cell r="C6001" t="str">
            <v>IASWD2504000150</v>
          </cell>
          <cell r="D6001">
            <v>45765</v>
          </cell>
          <cell r="E6001">
            <v>46194</v>
          </cell>
          <cell r="F6001" t="str">
            <v>56086</v>
          </cell>
          <cell r="G6001" t="str">
            <v>四維航六</v>
          </cell>
          <cell r="H6001">
            <v>200000</v>
          </cell>
          <cell r="I6001">
            <v>2.5</v>
          </cell>
          <cell r="J6001">
            <v>46194</v>
          </cell>
          <cell r="K6001">
            <v>100</v>
          </cell>
          <cell r="L6001">
            <v>46175</v>
          </cell>
          <cell r="M6001">
            <v>-370</v>
          </cell>
          <cell r="N6001">
            <v>199630</v>
          </cell>
        </row>
        <row r="6002">
          <cell r="A6002">
            <v>82992</v>
          </cell>
          <cell r="B6002">
            <v>5996</v>
          </cell>
          <cell r="C6002" t="str">
            <v>IASWD2504000151</v>
          </cell>
          <cell r="D6002">
            <v>45765</v>
          </cell>
          <cell r="E6002">
            <v>46410</v>
          </cell>
          <cell r="F6002" t="str">
            <v>82992</v>
          </cell>
          <cell r="G6002" t="str">
            <v>群聯二</v>
          </cell>
          <cell r="H6002">
            <v>100000</v>
          </cell>
          <cell r="I6002">
            <v>3</v>
          </cell>
          <cell r="J6002">
            <v>46410</v>
          </cell>
          <cell r="K6002">
            <v>100</v>
          </cell>
          <cell r="L6002">
            <v>46392</v>
          </cell>
          <cell r="M6002">
            <v>-222</v>
          </cell>
          <cell r="N6002">
            <v>99778</v>
          </cell>
        </row>
        <row r="6003">
          <cell r="A6003">
            <v>61394</v>
          </cell>
          <cell r="B6003">
            <v>5997</v>
          </cell>
          <cell r="C6003" t="str">
            <v>IASWD2504000152</v>
          </cell>
          <cell r="D6003">
            <v>45765</v>
          </cell>
          <cell r="E6003">
            <v>46047</v>
          </cell>
          <cell r="F6003" t="str">
            <v>61394</v>
          </cell>
          <cell r="G6003" t="str">
            <v>亞翔四</v>
          </cell>
          <cell r="H6003">
            <v>100000</v>
          </cell>
          <cell r="I6003">
            <v>3</v>
          </cell>
          <cell r="J6003">
            <v>46047</v>
          </cell>
          <cell r="K6003">
            <v>101.0025</v>
          </cell>
          <cell r="L6003">
            <v>46028</v>
          </cell>
          <cell r="M6003">
            <v>-222</v>
          </cell>
          <cell r="N6003">
            <v>99778</v>
          </cell>
        </row>
        <row r="6004">
          <cell r="A6004">
            <v>68541</v>
          </cell>
          <cell r="B6004">
            <v>5998</v>
          </cell>
          <cell r="C6004" t="str">
            <v>IASWD2504000153</v>
          </cell>
          <cell r="D6004">
            <v>45765</v>
          </cell>
          <cell r="E6004">
            <v>46445</v>
          </cell>
          <cell r="F6004" t="str">
            <v>68541</v>
          </cell>
          <cell r="G6004" t="str">
            <v>錼創科技一KY創</v>
          </cell>
          <cell r="H6004">
            <v>100000</v>
          </cell>
          <cell r="I6004">
            <v>2.5</v>
          </cell>
          <cell r="J6004">
            <v>46445</v>
          </cell>
          <cell r="K6004">
            <v>101.0025</v>
          </cell>
          <cell r="L6004">
            <v>46427</v>
          </cell>
          <cell r="M6004">
            <v>-185</v>
          </cell>
          <cell r="N6004">
            <v>99815</v>
          </cell>
        </row>
        <row r="6005">
          <cell r="A6005">
            <v>53064</v>
          </cell>
          <cell r="B6005">
            <v>5999</v>
          </cell>
          <cell r="C6005" t="str">
            <v>IASWD2504000154</v>
          </cell>
          <cell r="D6005">
            <v>45768</v>
          </cell>
          <cell r="E6005">
            <v>46334</v>
          </cell>
          <cell r="F6005" t="str">
            <v>53064</v>
          </cell>
          <cell r="G6005" t="str">
            <v>桂盟四</v>
          </cell>
          <cell r="H6005">
            <v>300000</v>
          </cell>
          <cell r="I6005">
            <v>2.5</v>
          </cell>
          <cell r="J6005">
            <v>46334</v>
          </cell>
          <cell r="K6005">
            <v>100</v>
          </cell>
          <cell r="L6005">
            <v>46315</v>
          </cell>
          <cell r="M6005">
            <v>-493</v>
          </cell>
          <cell r="N6005">
            <v>299507</v>
          </cell>
        </row>
        <row r="6006">
          <cell r="A6006">
            <v>68541</v>
          </cell>
          <cell r="B6006">
            <v>6000</v>
          </cell>
          <cell r="C6006" t="str">
            <v>IASWD2504000156</v>
          </cell>
          <cell r="D6006">
            <v>45768</v>
          </cell>
          <cell r="E6006">
            <v>46445</v>
          </cell>
          <cell r="F6006" t="str">
            <v>68541</v>
          </cell>
          <cell r="G6006" t="str">
            <v>錼創科技一KY創</v>
          </cell>
          <cell r="H6006">
            <v>1000000</v>
          </cell>
          <cell r="I6006">
            <v>2.5</v>
          </cell>
          <cell r="J6006">
            <v>46445</v>
          </cell>
          <cell r="K6006">
            <v>101.0025</v>
          </cell>
          <cell r="L6006">
            <v>46427</v>
          </cell>
          <cell r="M6006">
            <v>-1644</v>
          </cell>
          <cell r="N6006">
            <v>998356</v>
          </cell>
        </row>
        <row r="6007">
          <cell r="A6007">
            <v>30454</v>
          </cell>
          <cell r="B6007">
            <v>6001</v>
          </cell>
          <cell r="C6007" t="str">
            <v>IASWD2504000157</v>
          </cell>
          <cell r="D6007">
            <v>45768</v>
          </cell>
          <cell r="E6007">
            <v>46807</v>
          </cell>
          <cell r="F6007" t="str">
            <v>30454</v>
          </cell>
          <cell r="G6007" t="str">
            <v>台灣大四</v>
          </cell>
          <cell r="H6007">
            <v>400000</v>
          </cell>
          <cell r="I6007">
            <v>2.5</v>
          </cell>
          <cell r="J6007">
            <v>46807</v>
          </cell>
          <cell r="K6007">
            <v>100</v>
          </cell>
          <cell r="L6007">
            <v>46787</v>
          </cell>
          <cell r="M6007">
            <v>-658</v>
          </cell>
          <cell r="N6007">
            <v>399342</v>
          </cell>
        </row>
        <row r="6008">
          <cell r="A6008">
            <v>33621</v>
          </cell>
          <cell r="B6008">
            <v>6002</v>
          </cell>
          <cell r="C6008" t="str">
            <v>IASWD2504000160</v>
          </cell>
          <cell r="D6008">
            <v>45768</v>
          </cell>
          <cell r="E6008">
            <v>46584</v>
          </cell>
          <cell r="F6008" t="str">
            <v>33621</v>
          </cell>
          <cell r="G6008" t="str">
            <v>先進光一</v>
          </cell>
          <cell r="H6008">
            <v>300000</v>
          </cell>
          <cell r="I6008">
            <v>2.5</v>
          </cell>
          <cell r="J6008">
            <v>46584</v>
          </cell>
          <cell r="K6008">
            <v>100.75</v>
          </cell>
          <cell r="L6008">
            <v>46566</v>
          </cell>
          <cell r="M6008">
            <v>-493</v>
          </cell>
          <cell r="N6008">
            <v>299507</v>
          </cell>
        </row>
        <row r="6009">
          <cell r="A6009">
            <v>68061</v>
          </cell>
          <cell r="B6009">
            <v>6003</v>
          </cell>
          <cell r="C6009" t="str">
            <v>IASWD2504000162</v>
          </cell>
          <cell r="D6009">
            <v>45768</v>
          </cell>
          <cell r="E6009">
            <v>46348</v>
          </cell>
          <cell r="F6009" t="str">
            <v>68061</v>
          </cell>
          <cell r="G6009" t="str">
            <v>森崴能源一</v>
          </cell>
          <cell r="H6009">
            <v>500000</v>
          </cell>
          <cell r="I6009">
            <v>2.5</v>
          </cell>
          <cell r="J6009">
            <v>46348</v>
          </cell>
          <cell r="K6009">
            <v>100</v>
          </cell>
          <cell r="L6009">
            <v>46329</v>
          </cell>
          <cell r="M6009">
            <v>-822</v>
          </cell>
          <cell r="N6009">
            <v>499178</v>
          </cell>
        </row>
        <row r="6010">
          <cell r="A6010">
            <v>61394</v>
          </cell>
          <cell r="B6010">
            <v>6004</v>
          </cell>
          <cell r="C6010" t="str">
            <v>IASWD2504000163</v>
          </cell>
          <cell r="D6010">
            <v>45768</v>
          </cell>
          <cell r="E6010">
            <v>46047</v>
          </cell>
          <cell r="F6010" t="str">
            <v>61394</v>
          </cell>
          <cell r="G6010" t="str">
            <v>亞翔四</v>
          </cell>
          <cell r="H6010">
            <v>200000</v>
          </cell>
          <cell r="I6010">
            <v>3</v>
          </cell>
          <cell r="J6010">
            <v>46047</v>
          </cell>
          <cell r="K6010">
            <v>101.0025</v>
          </cell>
          <cell r="L6010">
            <v>46028</v>
          </cell>
          <cell r="M6010">
            <v>-395</v>
          </cell>
          <cell r="N6010">
            <v>199605</v>
          </cell>
        </row>
        <row r="6011">
          <cell r="A6011">
            <v>82992</v>
          </cell>
          <cell r="B6011">
            <v>6005</v>
          </cell>
          <cell r="C6011" t="str">
            <v>IASWD2504000164</v>
          </cell>
          <cell r="D6011">
            <v>45768</v>
          </cell>
          <cell r="E6011">
            <v>46410</v>
          </cell>
          <cell r="F6011" t="str">
            <v>82992</v>
          </cell>
          <cell r="G6011" t="str">
            <v>群聯二</v>
          </cell>
          <cell r="H6011">
            <v>100000</v>
          </cell>
          <cell r="I6011">
            <v>3</v>
          </cell>
          <cell r="J6011">
            <v>46410</v>
          </cell>
          <cell r="K6011">
            <v>100</v>
          </cell>
          <cell r="L6011">
            <v>46392</v>
          </cell>
          <cell r="M6011">
            <v>-197</v>
          </cell>
          <cell r="N6011">
            <v>99803</v>
          </cell>
        </row>
        <row r="6012">
          <cell r="A6012">
            <v>30454</v>
          </cell>
          <cell r="B6012">
            <v>6006</v>
          </cell>
          <cell r="C6012" t="str">
            <v>IASWD2504000166</v>
          </cell>
          <cell r="D6012">
            <v>45768</v>
          </cell>
          <cell r="E6012">
            <v>46807</v>
          </cell>
          <cell r="F6012" t="str">
            <v>30454</v>
          </cell>
          <cell r="G6012" t="str">
            <v>台灣大四</v>
          </cell>
          <cell r="H6012">
            <v>100000</v>
          </cell>
          <cell r="I6012">
            <v>2.5</v>
          </cell>
          <cell r="J6012">
            <v>46807</v>
          </cell>
          <cell r="K6012">
            <v>100</v>
          </cell>
          <cell r="L6012">
            <v>46787</v>
          </cell>
          <cell r="M6012">
            <v>-164</v>
          </cell>
          <cell r="N6012">
            <v>99836</v>
          </cell>
        </row>
        <row r="6013">
          <cell r="A6013">
            <v>53064</v>
          </cell>
          <cell r="B6013">
            <v>6007</v>
          </cell>
          <cell r="C6013" t="str">
            <v>IASWD2504000167</v>
          </cell>
          <cell r="D6013">
            <v>45768</v>
          </cell>
          <cell r="E6013">
            <v>46334</v>
          </cell>
          <cell r="F6013" t="str">
            <v>53064</v>
          </cell>
          <cell r="G6013" t="str">
            <v>桂盟四</v>
          </cell>
          <cell r="H6013">
            <v>300000</v>
          </cell>
          <cell r="I6013">
            <v>2.5</v>
          </cell>
          <cell r="J6013">
            <v>46334</v>
          </cell>
          <cell r="K6013">
            <v>100</v>
          </cell>
          <cell r="L6013">
            <v>46315</v>
          </cell>
          <cell r="M6013">
            <v>-493</v>
          </cell>
          <cell r="N6013">
            <v>299507</v>
          </cell>
        </row>
        <row r="6014">
          <cell r="A6014">
            <v>68061</v>
          </cell>
          <cell r="B6014">
            <v>6008</v>
          </cell>
          <cell r="C6014" t="str">
            <v>IASWD2504000168</v>
          </cell>
          <cell r="D6014">
            <v>45768</v>
          </cell>
          <cell r="E6014">
            <v>46348</v>
          </cell>
          <cell r="F6014" t="str">
            <v>68061</v>
          </cell>
          <cell r="G6014" t="str">
            <v>森崴能源一</v>
          </cell>
          <cell r="H6014">
            <v>100000</v>
          </cell>
          <cell r="I6014">
            <v>2.5</v>
          </cell>
          <cell r="J6014">
            <v>46348</v>
          </cell>
          <cell r="K6014">
            <v>100</v>
          </cell>
          <cell r="L6014">
            <v>46329</v>
          </cell>
          <cell r="M6014">
            <v>-164</v>
          </cell>
          <cell r="N6014">
            <v>99836</v>
          </cell>
        </row>
        <row r="6015">
          <cell r="A6015">
            <v>68061</v>
          </cell>
          <cell r="B6015">
            <v>6009</v>
          </cell>
          <cell r="C6015" t="str">
            <v>IASWD2504000171</v>
          </cell>
          <cell r="D6015">
            <v>45769</v>
          </cell>
          <cell r="E6015">
            <v>46348</v>
          </cell>
          <cell r="F6015" t="str">
            <v>68061</v>
          </cell>
          <cell r="G6015" t="str">
            <v>森崴能源一</v>
          </cell>
          <cell r="H6015">
            <v>200000</v>
          </cell>
          <cell r="I6015">
            <v>2.5</v>
          </cell>
          <cell r="J6015">
            <v>46348</v>
          </cell>
          <cell r="K6015">
            <v>100</v>
          </cell>
          <cell r="L6015">
            <v>46329</v>
          </cell>
          <cell r="M6015">
            <v>-315</v>
          </cell>
          <cell r="N6015">
            <v>199685</v>
          </cell>
        </row>
        <row r="6016">
          <cell r="A6016">
            <v>53064</v>
          </cell>
          <cell r="B6016">
            <v>6010</v>
          </cell>
          <cell r="C6016" t="str">
            <v>IASWD2504000172</v>
          </cell>
          <cell r="D6016">
            <v>45769</v>
          </cell>
          <cell r="E6016">
            <v>46334</v>
          </cell>
          <cell r="F6016" t="str">
            <v>53064</v>
          </cell>
          <cell r="G6016" t="str">
            <v>桂盟四</v>
          </cell>
          <cell r="H6016">
            <v>200000</v>
          </cell>
          <cell r="I6016">
            <v>2.5</v>
          </cell>
          <cell r="J6016">
            <v>46334</v>
          </cell>
          <cell r="K6016">
            <v>100</v>
          </cell>
          <cell r="L6016">
            <v>46315</v>
          </cell>
          <cell r="M6016">
            <v>-315</v>
          </cell>
          <cell r="N6016">
            <v>199685</v>
          </cell>
        </row>
        <row r="6017">
          <cell r="A6017">
            <v>68541</v>
          </cell>
          <cell r="B6017">
            <v>6011</v>
          </cell>
          <cell r="C6017" t="str">
            <v>IASWD2504000173</v>
          </cell>
          <cell r="D6017">
            <v>45769</v>
          </cell>
          <cell r="E6017">
            <v>46445</v>
          </cell>
          <cell r="F6017" t="str">
            <v>68541</v>
          </cell>
          <cell r="G6017" t="str">
            <v>錼創科技一KY創</v>
          </cell>
          <cell r="H6017">
            <v>1500000</v>
          </cell>
          <cell r="I6017">
            <v>2.5</v>
          </cell>
          <cell r="J6017">
            <v>46445</v>
          </cell>
          <cell r="K6017">
            <v>101.0025</v>
          </cell>
          <cell r="L6017">
            <v>46427</v>
          </cell>
          <cell r="M6017">
            <v>-2363</v>
          </cell>
          <cell r="N6017">
            <v>1497637</v>
          </cell>
        </row>
        <row r="6018">
          <cell r="A6018">
            <v>66451</v>
          </cell>
          <cell r="B6018">
            <v>6012</v>
          </cell>
          <cell r="C6018" t="str">
            <v>IASWD2504000174</v>
          </cell>
          <cell r="D6018">
            <v>45769</v>
          </cell>
          <cell r="E6018">
            <v>46360</v>
          </cell>
          <cell r="F6018" t="str">
            <v>66451</v>
          </cell>
          <cell r="G6018" t="str">
            <v>金萬林一創</v>
          </cell>
          <cell r="H6018">
            <v>100000</v>
          </cell>
          <cell r="I6018">
            <v>2.5</v>
          </cell>
          <cell r="J6018">
            <v>46360</v>
          </cell>
          <cell r="K6018">
            <v>102</v>
          </cell>
          <cell r="L6018">
            <v>46342</v>
          </cell>
          <cell r="M6018">
            <v>-158</v>
          </cell>
          <cell r="N6018">
            <v>99842</v>
          </cell>
        </row>
        <row r="6019">
          <cell r="A6019">
            <v>36913</v>
          </cell>
          <cell r="B6019">
            <v>6013</v>
          </cell>
          <cell r="C6019" t="str">
            <v>IASWD2504000175</v>
          </cell>
          <cell r="D6019">
            <v>45769</v>
          </cell>
          <cell r="E6019">
            <v>46629</v>
          </cell>
          <cell r="F6019" t="str">
            <v>36913</v>
          </cell>
          <cell r="G6019" t="str">
            <v>碩禾三</v>
          </cell>
          <cell r="H6019">
            <v>500000</v>
          </cell>
          <cell r="I6019">
            <v>2.5</v>
          </cell>
          <cell r="J6019">
            <v>46629</v>
          </cell>
          <cell r="K6019">
            <v>100</v>
          </cell>
          <cell r="L6019">
            <v>46609</v>
          </cell>
          <cell r="M6019">
            <v>-788</v>
          </cell>
          <cell r="N6019">
            <v>499212</v>
          </cell>
        </row>
        <row r="6020">
          <cell r="A6020">
            <v>68061</v>
          </cell>
          <cell r="B6020">
            <v>6014</v>
          </cell>
          <cell r="C6020" t="str">
            <v>IASWD2504000177</v>
          </cell>
          <cell r="D6020">
            <v>45769</v>
          </cell>
          <cell r="E6020">
            <v>46348</v>
          </cell>
          <cell r="F6020" t="str">
            <v>68061</v>
          </cell>
          <cell r="G6020" t="str">
            <v>森崴能源一</v>
          </cell>
          <cell r="H6020">
            <v>200000</v>
          </cell>
          <cell r="I6020">
            <v>2.5</v>
          </cell>
          <cell r="J6020">
            <v>46348</v>
          </cell>
          <cell r="K6020">
            <v>100</v>
          </cell>
          <cell r="L6020">
            <v>46329</v>
          </cell>
          <cell r="M6020">
            <v>-315</v>
          </cell>
          <cell r="N6020">
            <v>199685</v>
          </cell>
        </row>
        <row r="6021">
          <cell r="A6021">
            <v>65841</v>
          </cell>
          <cell r="B6021">
            <v>6015</v>
          </cell>
          <cell r="C6021" t="str">
            <v>IASWD2504000179</v>
          </cell>
          <cell r="D6021">
            <v>45769</v>
          </cell>
          <cell r="E6021">
            <v>46324</v>
          </cell>
          <cell r="F6021" t="str">
            <v>65841</v>
          </cell>
          <cell r="G6021" t="str">
            <v>南俊國際一</v>
          </cell>
          <cell r="H6021">
            <v>1200000</v>
          </cell>
          <cell r="I6021">
            <v>2.5</v>
          </cell>
          <cell r="J6021">
            <v>46324</v>
          </cell>
          <cell r="K6021">
            <v>101.0025</v>
          </cell>
          <cell r="L6021">
            <v>46304</v>
          </cell>
          <cell r="M6021">
            <v>-1890</v>
          </cell>
          <cell r="N6021">
            <v>1198110</v>
          </cell>
        </row>
        <row r="6022">
          <cell r="A6022">
            <v>65841</v>
          </cell>
          <cell r="B6022">
            <v>6016</v>
          </cell>
          <cell r="C6022" t="str">
            <v>IASWD2504000181</v>
          </cell>
          <cell r="D6022">
            <v>45770</v>
          </cell>
          <cell r="E6022">
            <v>46324</v>
          </cell>
          <cell r="F6022" t="str">
            <v>65841</v>
          </cell>
          <cell r="G6022" t="str">
            <v>南俊國際一</v>
          </cell>
          <cell r="H6022">
            <v>300000</v>
          </cell>
          <cell r="I6022">
            <v>2.5</v>
          </cell>
          <cell r="J6022">
            <v>46324</v>
          </cell>
          <cell r="K6022">
            <v>101.0025</v>
          </cell>
          <cell r="L6022">
            <v>46304</v>
          </cell>
          <cell r="M6022">
            <v>-452</v>
          </cell>
          <cell r="N6022">
            <v>299548</v>
          </cell>
        </row>
        <row r="6023">
          <cell r="A6023">
            <v>36913</v>
          </cell>
          <cell r="B6023">
            <v>6017</v>
          </cell>
          <cell r="C6023" t="str">
            <v>IASWD2504000182</v>
          </cell>
          <cell r="D6023">
            <v>45770</v>
          </cell>
          <cell r="E6023">
            <v>46629</v>
          </cell>
          <cell r="F6023" t="str">
            <v>36913</v>
          </cell>
          <cell r="G6023" t="str">
            <v>碩禾三</v>
          </cell>
          <cell r="H6023">
            <v>1800000</v>
          </cell>
          <cell r="I6023">
            <v>2.5</v>
          </cell>
          <cell r="J6023">
            <v>46629</v>
          </cell>
          <cell r="K6023">
            <v>100</v>
          </cell>
          <cell r="L6023">
            <v>46609</v>
          </cell>
          <cell r="M6023">
            <v>-2712</v>
          </cell>
          <cell r="N6023">
            <v>1797288</v>
          </cell>
        </row>
        <row r="6024">
          <cell r="A6024">
            <v>33621</v>
          </cell>
          <cell r="B6024">
            <v>6018</v>
          </cell>
          <cell r="C6024" t="str">
            <v>IASWD2504000183</v>
          </cell>
          <cell r="D6024">
            <v>45770</v>
          </cell>
          <cell r="E6024">
            <v>46584</v>
          </cell>
          <cell r="F6024" t="str">
            <v>33621</v>
          </cell>
          <cell r="G6024" t="str">
            <v>先進光一</v>
          </cell>
          <cell r="H6024">
            <v>300000</v>
          </cell>
          <cell r="I6024">
            <v>2.5</v>
          </cell>
          <cell r="J6024">
            <v>46584</v>
          </cell>
          <cell r="K6024">
            <v>100.75</v>
          </cell>
          <cell r="L6024">
            <v>46566</v>
          </cell>
          <cell r="M6024">
            <v>-452</v>
          </cell>
          <cell r="N6024">
            <v>299548</v>
          </cell>
        </row>
        <row r="6025">
          <cell r="A6025">
            <v>36913</v>
          </cell>
          <cell r="B6025">
            <v>6019</v>
          </cell>
          <cell r="C6025" t="str">
            <v>IASWD2504000184</v>
          </cell>
          <cell r="D6025">
            <v>45770</v>
          </cell>
          <cell r="E6025">
            <v>46629</v>
          </cell>
          <cell r="F6025" t="str">
            <v>36913</v>
          </cell>
          <cell r="G6025" t="str">
            <v>碩禾三</v>
          </cell>
          <cell r="H6025">
            <v>200000</v>
          </cell>
          <cell r="I6025">
            <v>2.5</v>
          </cell>
          <cell r="J6025">
            <v>46629</v>
          </cell>
          <cell r="K6025">
            <v>100</v>
          </cell>
          <cell r="L6025">
            <v>46609</v>
          </cell>
          <cell r="M6025">
            <v>-301</v>
          </cell>
          <cell r="N6025">
            <v>199699</v>
          </cell>
        </row>
        <row r="6026">
          <cell r="A6026">
            <v>82992</v>
          </cell>
          <cell r="B6026">
            <v>6020</v>
          </cell>
          <cell r="C6026" t="str">
            <v>IASWD2504000186</v>
          </cell>
          <cell r="D6026">
            <v>45770</v>
          </cell>
          <cell r="E6026">
            <v>46410</v>
          </cell>
          <cell r="F6026" t="str">
            <v>82992</v>
          </cell>
          <cell r="G6026" t="str">
            <v>群聯二</v>
          </cell>
          <cell r="H6026">
            <v>300000</v>
          </cell>
          <cell r="I6026">
            <v>3</v>
          </cell>
          <cell r="J6026">
            <v>46410</v>
          </cell>
          <cell r="K6026">
            <v>100</v>
          </cell>
          <cell r="L6026">
            <v>46392</v>
          </cell>
          <cell r="M6026">
            <v>-542</v>
          </cell>
          <cell r="N6026">
            <v>299458</v>
          </cell>
        </row>
        <row r="6027">
          <cell r="A6027">
            <v>33621</v>
          </cell>
          <cell r="B6027">
            <v>6021</v>
          </cell>
          <cell r="C6027" t="str">
            <v>IASWD2504000188</v>
          </cell>
          <cell r="D6027">
            <v>45770</v>
          </cell>
          <cell r="E6027">
            <v>46584</v>
          </cell>
          <cell r="F6027" t="str">
            <v>33621</v>
          </cell>
          <cell r="G6027" t="str">
            <v>先進光一</v>
          </cell>
          <cell r="H6027">
            <v>100000</v>
          </cell>
          <cell r="I6027">
            <v>2.5</v>
          </cell>
          <cell r="J6027">
            <v>46584</v>
          </cell>
          <cell r="K6027">
            <v>100.75</v>
          </cell>
          <cell r="L6027">
            <v>46566</v>
          </cell>
          <cell r="M6027">
            <v>-151</v>
          </cell>
          <cell r="N6027">
            <v>99849</v>
          </cell>
        </row>
        <row r="6028">
          <cell r="A6028">
            <v>36913</v>
          </cell>
          <cell r="B6028">
            <v>6022</v>
          </cell>
          <cell r="C6028" t="str">
            <v>IASWD2504000189</v>
          </cell>
          <cell r="D6028">
            <v>45770</v>
          </cell>
          <cell r="E6028">
            <v>46629</v>
          </cell>
          <cell r="F6028" t="str">
            <v>36913</v>
          </cell>
          <cell r="G6028" t="str">
            <v>碩禾三</v>
          </cell>
          <cell r="H6028">
            <v>1000000</v>
          </cell>
          <cell r="I6028">
            <v>2.5</v>
          </cell>
          <cell r="J6028">
            <v>46629</v>
          </cell>
          <cell r="K6028">
            <v>100</v>
          </cell>
          <cell r="L6028">
            <v>46609</v>
          </cell>
          <cell r="M6028">
            <v>-1507</v>
          </cell>
          <cell r="N6028">
            <v>998493</v>
          </cell>
        </row>
        <row r="6029">
          <cell r="A6029">
            <v>61394</v>
          </cell>
          <cell r="B6029">
            <v>6023</v>
          </cell>
          <cell r="C6029" t="str">
            <v>IASWD2504000190</v>
          </cell>
          <cell r="D6029">
            <v>45770</v>
          </cell>
          <cell r="E6029">
            <v>46047</v>
          </cell>
          <cell r="F6029" t="str">
            <v>61394</v>
          </cell>
          <cell r="G6029" t="str">
            <v>亞翔四</v>
          </cell>
          <cell r="H6029">
            <v>500000</v>
          </cell>
          <cell r="I6029">
            <v>3</v>
          </cell>
          <cell r="J6029">
            <v>46047</v>
          </cell>
          <cell r="K6029">
            <v>101.0025</v>
          </cell>
          <cell r="L6029">
            <v>46028</v>
          </cell>
          <cell r="M6029">
            <v>-904</v>
          </cell>
          <cell r="N6029">
            <v>499096</v>
          </cell>
        </row>
        <row r="6030">
          <cell r="A6030">
            <v>33621</v>
          </cell>
          <cell r="B6030">
            <v>6024</v>
          </cell>
          <cell r="C6030" t="str">
            <v>IASWD2504000191</v>
          </cell>
          <cell r="D6030">
            <v>45771</v>
          </cell>
          <cell r="E6030">
            <v>46584</v>
          </cell>
          <cell r="F6030" t="str">
            <v>33621</v>
          </cell>
          <cell r="G6030" t="str">
            <v>先進光一</v>
          </cell>
          <cell r="H6030">
            <v>500000</v>
          </cell>
          <cell r="I6030">
            <v>2.5</v>
          </cell>
          <cell r="J6030">
            <v>46584</v>
          </cell>
          <cell r="K6030">
            <v>100.75</v>
          </cell>
          <cell r="L6030">
            <v>46566</v>
          </cell>
          <cell r="M6030">
            <v>-719</v>
          </cell>
          <cell r="N6030">
            <v>499281</v>
          </cell>
        </row>
        <row r="6031">
          <cell r="A6031">
            <v>47393</v>
          </cell>
          <cell r="B6031">
            <v>6025</v>
          </cell>
          <cell r="C6031" t="str">
            <v>IASWD2504000192</v>
          </cell>
          <cell r="D6031">
            <v>45771</v>
          </cell>
          <cell r="E6031">
            <v>46323</v>
          </cell>
          <cell r="F6031" t="str">
            <v>47393</v>
          </cell>
          <cell r="G6031" t="str">
            <v>康普三</v>
          </cell>
          <cell r="H6031">
            <v>500000</v>
          </cell>
          <cell r="I6031">
            <v>2.5</v>
          </cell>
          <cell r="J6031">
            <v>46323</v>
          </cell>
          <cell r="K6031">
            <v>100</v>
          </cell>
          <cell r="L6031">
            <v>46303</v>
          </cell>
          <cell r="M6031">
            <v>-719</v>
          </cell>
          <cell r="N6031">
            <v>499281</v>
          </cell>
        </row>
        <row r="6032">
          <cell r="A6032">
            <v>56087</v>
          </cell>
          <cell r="B6032">
            <v>6026</v>
          </cell>
          <cell r="C6032" t="str">
            <v>IASWD2504000193</v>
          </cell>
          <cell r="D6032">
            <v>45771</v>
          </cell>
          <cell r="E6032">
            <v>46738</v>
          </cell>
          <cell r="F6032" t="str">
            <v>56087</v>
          </cell>
          <cell r="G6032" t="str">
            <v>四維航七</v>
          </cell>
          <cell r="H6032">
            <v>300000</v>
          </cell>
          <cell r="I6032">
            <v>2.5</v>
          </cell>
          <cell r="J6032">
            <v>46738</v>
          </cell>
          <cell r="K6032">
            <v>100</v>
          </cell>
          <cell r="L6032">
            <v>46720</v>
          </cell>
          <cell r="M6032">
            <v>-432</v>
          </cell>
          <cell r="N6032">
            <v>299568</v>
          </cell>
        </row>
        <row r="6033">
          <cell r="A6033">
            <v>30454</v>
          </cell>
          <cell r="B6033">
            <v>6027</v>
          </cell>
          <cell r="C6033" t="str">
            <v>IASWD2504000195</v>
          </cell>
          <cell r="D6033">
            <v>45771</v>
          </cell>
          <cell r="E6033">
            <v>46807</v>
          </cell>
          <cell r="F6033" t="str">
            <v>30454</v>
          </cell>
          <cell r="G6033" t="str">
            <v>台灣大四</v>
          </cell>
          <cell r="H6033">
            <v>100000</v>
          </cell>
          <cell r="I6033">
            <v>2.5</v>
          </cell>
          <cell r="J6033">
            <v>46807</v>
          </cell>
          <cell r="K6033">
            <v>100</v>
          </cell>
          <cell r="L6033">
            <v>46787</v>
          </cell>
          <cell r="M6033">
            <v>-144</v>
          </cell>
          <cell r="N6033">
            <v>99856</v>
          </cell>
        </row>
        <row r="6034">
          <cell r="A6034">
            <v>99392</v>
          </cell>
          <cell r="B6034">
            <v>6028</v>
          </cell>
          <cell r="C6034" t="str">
            <v>IASWD2504000196</v>
          </cell>
          <cell r="D6034">
            <v>45771</v>
          </cell>
          <cell r="E6034">
            <v>46689</v>
          </cell>
          <cell r="F6034" t="str">
            <v>99392</v>
          </cell>
          <cell r="G6034" t="str">
            <v>宏全二</v>
          </cell>
          <cell r="H6034">
            <v>100000</v>
          </cell>
          <cell r="I6034">
            <v>3</v>
          </cell>
          <cell r="J6034">
            <v>46689</v>
          </cell>
          <cell r="K6034">
            <v>100</v>
          </cell>
          <cell r="L6034">
            <v>46671</v>
          </cell>
          <cell r="M6034">
            <v>-173</v>
          </cell>
          <cell r="N6034">
            <v>99827</v>
          </cell>
        </row>
        <row r="6035">
          <cell r="A6035">
            <v>82992</v>
          </cell>
          <cell r="B6035">
            <v>6029</v>
          </cell>
          <cell r="C6035" t="str">
            <v>IASWD2504000197</v>
          </cell>
          <cell r="D6035">
            <v>45771</v>
          </cell>
          <cell r="E6035">
            <v>46410</v>
          </cell>
          <cell r="F6035" t="str">
            <v>82992</v>
          </cell>
          <cell r="G6035" t="str">
            <v>群聯二</v>
          </cell>
          <cell r="H6035">
            <v>1000000</v>
          </cell>
          <cell r="I6035">
            <v>3</v>
          </cell>
          <cell r="J6035">
            <v>46410</v>
          </cell>
          <cell r="K6035">
            <v>100</v>
          </cell>
          <cell r="L6035">
            <v>46392</v>
          </cell>
          <cell r="M6035">
            <v>-1726</v>
          </cell>
          <cell r="N6035">
            <v>998274</v>
          </cell>
        </row>
        <row r="6036">
          <cell r="A6036">
            <v>65841</v>
          </cell>
          <cell r="B6036">
            <v>6030</v>
          </cell>
          <cell r="C6036" t="str">
            <v>IASWD2504000198</v>
          </cell>
          <cell r="D6036">
            <v>45771</v>
          </cell>
          <cell r="E6036">
            <v>46324</v>
          </cell>
          <cell r="F6036" t="str">
            <v>65841</v>
          </cell>
          <cell r="G6036" t="str">
            <v>南俊國際一</v>
          </cell>
          <cell r="H6036">
            <v>900000</v>
          </cell>
          <cell r="I6036">
            <v>2.5</v>
          </cell>
          <cell r="J6036">
            <v>46324</v>
          </cell>
          <cell r="K6036">
            <v>101.0025</v>
          </cell>
          <cell r="L6036">
            <v>46304</v>
          </cell>
          <cell r="M6036">
            <v>-1295</v>
          </cell>
          <cell r="N6036">
            <v>898705</v>
          </cell>
        </row>
        <row r="6037">
          <cell r="A6037">
            <v>68541</v>
          </cell>
          <cell r="B6037">
            <v>6031</v>
          </cell>
          <cell r="C6037" t="str">
            <v>IASWD2504000199</v>
          </cell>
          <cell r="D6037">
            <v>45772</v>
          </cell>
          <cell r="E6037">
            <v>46445</v>
          </cell>
          <cell r="F6037" t="str">
            <v>68541</v>
          </cell>
          <cell r="G6037" t="str">
            <v>錼創科技一KY創</v>
          </cell>
          <cell r="H6037">
            <v>1000000</v>
          </cell>
          <cell r="I6037">
            <v>2.5</v>
          </cell>
          <cell r="J6037">
            <v>46445</v>
          </cell>
          <cell r="K6037">
            <v>101.0025</v>
          </cell>
          <cell r="L6037">
            <v>46427</v>
          </cell>
          <cell r="M6037">
            <v>-1370</v>
          </cell>
          <cell r="N6037">
            <v>998630</v>
          </cell>
        </row>
        <row r="6038">
          <cell r="A6038">
            <v>66451</v>
          </cell>
          <cell r="B6038">
            <v>6032</v>
          </cell>
          <cell r="C6038" t="str">
            <v>IASWD2504000200</v>
          </cell>
          <cell r="D6038">
            <v>45772</v>
          </cell>
          <cell r="E6038">
            <v>46360</v>
          </cell>
          <cell r="F6038" t="str">
            <v>66451</v>
          </cell>
          <cell r="G6038" t="str">
            <v>金萬林一創</v>
          </cell>
          <cell r="H6038">
            <v>200000</v>
          </cell>
          <cell r="I6038">
            <v>2.5</v>
          </cell>
          <cell r="J6038">
            <v>46360</v>
          </cell>
          <cell r="K6038">
            <v>102</v>
          </cell>
          <cell r="L6038">
            <v>46342</v>
          </cell>
          <cell r="M6038">
            <v>-274</v>
          </cell>
          <cell r="N6038">
            <v>199726</v>
          </cell>
        </row>
        <row r="6039">
          <cell r="A6039">
            <v>30134</v>
          </cell>
          <cell r="B6039">
            <v>6033</v>
          </cell>
          <cell r="C6039" t="str">
            <v>IASWD2504000201</v>
          </cell>
          <cell r="D6039">
            <v>45772</v>
          </cell>
          <cell r="E6039">
            <v>46678</v>
          </cell>
          <cell r="F6039" t="str">
            <v>30134</v>
          </cell>
          <cell r="G6039" t="str">
            <v>晟銘電四</v>
          </cell>
          <cell r="H6039">
            <v>300000</v>
          </cell>
          <cell r="I6039">
            <v>2.5</v>
          </cell>
          <cell r="J6039">
            <v>46678</v>
          </cell>
          <cell r="K6039">
            <v>100</v>
          </cell>
          <cell r="L6039">
            <v>46658</v>
          </cell>
          <cell r="M6039">
            <v>-411</v>
          </cell>
          <cell r="N6039">
            <v>299589</v>
          </cell>
        </row>
        <row r="6040">
          <cell r="A6040">
            <v>68061</v>
          </cell>
          <cell r="B6040">
            <v>6034</v>
          </cell>
          <cell r="C6040" t="str">
            <v>IASWD2504000202</v>
          </cell>
          <cell r="D6040">
            <v>45772</v>
          </cell>
          <cell r="E6040">
            <v>46348</v>
          </cell>
          <cell r="F6040" t="str">
            <v>68061</v>
          </cell>
          <cell r="G6040" t="str">
            <v>森崴能源一</v>
          </cell>
          <cell r="H6040">
            <v>100000</v>
          </cell>
          <cell r="I6040">
            <v>2.5</v>
          </cell>
          <cell r="J6040">
            <v>46348</v>
          </cell>
          <cell r="K6040">
            <v>100</v>
          </cell>
          <cell r="L6040">
            <v>46329</v>
          </cell>
          <cell r="M6040">
            <v>-137</v>
          </cell>
          <cell r="N6040">
            <v>99863</v>
          </cell>
        </row>
        <row r="6041">
          <cell r="A6041">
            <v>65841</v>
          </cell>
          <cell r="B6041">
            <v>6035</v>
          </cell>
          <cell r="C6041" t="str">
            <v>IASWD2504000203</v>
          </cell>
          <cell r="D6041">
            <v>45772</v>
          </cell>
          <cell r="E6041">
            <v>46324</v>
          </cell>
          <cell r="F6041" t="str">
            <v>65841</v>
          </cell>
          <cell r="G6041" t="str">
            <v>南俊國際一</v>
          </cell>
          <cell r="H6041">
            <v>200000</v>
          </cell>
          <cell r="I6041">
            <v>2.5</v>
          </cell>
          <cell r="J6041">
            <v>46324</v>
          </cell>
          <cell r="K6041">
            <v>101.0025</v>
          </cell>
          <cell r="L6041">
            <v>46304</v>
          </cell>
          <cell r="M6041">
            <v>-274</v>
          </cell>
          <cell r="N6041">
            <v>199726</v>
          </cell>
        </row>
        <row r="6042">
          <cell r="A6042">
            <v>33621</v>
          </cell>
          <cell r="B6042">
            <v>6036</v>
          </cell>
          <cell r="C6042" t="str">
            <v>IASWD2504000204</v>
          </cell>
          <cell r="D6042">
            <v>45772</v>
          </cell>
          <cell r="E6042">
            <v>46584</v>
          </cell>
          <cell r="F6042" t="str">
            <v>33621</v>
          </cell>
          <cell r="G6042" t="str">
            <v>先進光一</v>
          </cell>
          <cell r="H6042">
            <v>500000</v>
          </cell>
          <cell r="I6042">
            <v>2.5</v>
          </cell>
          <cell r="J6042">
            <v>46584</v>
          </cell>
          <cell r="K6042">
            <v>100.75</v>
          </cell>
          <cell r="L6042">
            <v>46566</v>
          </cell>
          <cell r="M6042">
            <v>-685</v>
          </cell>
          <cell r="N6042">
            <v>499315</v>
          </cell>
        </row>
        <row r="6043">
          <cell r="A6043">
            <v>68061</v>
          </cell>
          <cell r="B6043">
            <v>6037</v>
          </cell>
          <cell r="C6043" t="str">
            <v>IASWD2504000205</v>
          </cell>
          <cell r="D6043">
            <v>45772</v>
          </cell>
          <cell r="E6043">
            <v>46348</v>
          </cell>
          <cell r="F6043" t="str">
            <v>68061</v>
          </cell>
          <cell r="G6043" t="str">
            <v>森崴能源一</v>
          </cell>
          <cell r="H6043">
            <v>100000</v>
          </cell>
          <cell r="I6043">
            <v>2.5</v>
          </cell>
          <cell r="J6043">
            <v>46348</v>
          </cell>
          <cell r="K6043">
            <v>100</v>
          </cell>
          <cell r="L6043">
            <v>46329</v>
          </cell>
          <cell r="M6043">
            <v>-137</v>
          </cell>
          <cell r="N6043">
            <v>99863</v>
          </cell>
        </row>
        <row r="6044">
          <cell r="A6044">
            <v>65841</v>
          </cell>
          <cell r="B6044">
            <v>6038</v>
          </cell>
          <cell r="C6044" t="str">
            <v>IASWD2504000206</v>
          </cell>
          <cell r="D6044">
            <v>45772</v>
          </cell>
          <cell r="E6044">
            <v>46324</v>
          </cell>
          <cell r="F6044" t="str">
            <v>65841</v>
          </cell>
          <cell r="G6044" t="str">
            <v>南俊國際一</v>
          </cell>
          <cell r="H6044">
            <v>200000</v>
          </cell>
          <cell r="I6044">
            <v>2.5</v>
          </cell>
          <cell r="J6044">
            <v>46324</v>
          </cell>
          <cell r="K6044">
            <v>101.0025</v>
          </cell>
          <cell r="L6044">
            <v>46304</v>
          </cell>
          <cell r="M6044">
            <v>-274</v>
          </cell>
          <cell r="N6044">
            <v>199726</v>
          </cell>
        </row>
        <row r="6045">
          <cell r="A6045">
            <v>82992</v>
          </cell>
          <cell r="B6045">
            <v>6039</v>
          </cell>
          <cell r="C6045" t="str">
            <v>IASWD2504000208</v>
          </cell>
          <cell r="D6045">
            <v>45772</v>
          </cell>
          <cell r="E6045">
            <v>46410</v>
          </cell>
          <cell r="F6045" t="str">
            <v>82992</v>
          </cell>
          <cell r="G6045" t="str">
            <v>群聯二</v>
          </cell>
          <cell r="H6045">
            <v>100000</v>
          </cell>
          <cell r="I6045">
            <v>3</v>
          </cell>
          <cell r="J6045">
            <v>46410</v>
          </cell>
          <cell r="K6045">
            <v>100</v>
          </cell>
          <cell r="L6045">
            <v>46392</v>
          </cell>
          <cell r="M6045">
            <v>-164</v>
          </cell>
          <cell r="N6045">
            <v>99836</v>
          </cell>
        </row>
        <row r="6046">
          <cell r="A6046">
            <v>53064</v>
          </cell>
          <cell r="B6046">
            <v>6040</v>
          </cell>
          <cell r="C6046" t="str">
            <v>IASWD2504000209</v>
          </cell>
          <cell r="D6046">
            <v>45772</v>
          </cell>
          <cell r="E6046">
            <v>46334</v>
          </cell>
          <cell r="F6046" t="str">
            <v>53064</v>
          </cell>
          <cell r="G6046" t="str">
            <v>桂盟四</v>
          </cell>
          <cell r="H6046">
            <v>200000</v>
          </cell>
          <cell r="I6046">
            <v>2.5</v>
          </cell>
          <cell r="J6046">
            <v>46334</v>
          </cell>
          <cell r="K6046">
            <v>100</v>
          </cell>
          <cell r="L6046">
            <v>46315</v>
          </cell>
          <cell r="M6046">
            <v>-274</v>
          </cell>
          <cell r="N6046">
            <v>199726</v>
          </cell>
        </row>
        <row r="6047">
          <cell r="A6047">
            <v>82992</v>
          </cell>
          <cell r="B6047">
            <v>6041</v>
          </cell>
          <cell r="C6047" t="str">
            <v>IASWD2504000210</v>
          </cell>
          <cell r="D6047">
            <v>45772</v>
          </cell>
          <cell r="E6047">
            <v>46410</v>
          </cell>
          <cell r="F6047" t="str">
            <v>82992</v>
          </cell>
          <cell r="G6047" t="str">
            <v>群聯二</v>
          </cell>
          <cell r="H6047">
            <v>200000</v>
          </cell>
          <cell r="I6047">
            <v>3</v>
          </cell>
          <cell r="J6047">
            <v>46410</v>
          </cell>
          <cell r="K6047">
            <v>100</v>
          </cell>
          <cell r="L6047">
            <v>46392</v>
          </cell>
          <cell r="M6047">
            <v>-329</v>
          </cell>
          <cell r="N6047">
            <v>199671</v>
          </cell>
        </row>
        <row r="6048">
          <cell r="A6048">
            <v>82992</v>
          </cell>
          <cell r="B6048">
            <v>6042</v>
          </cell>
          <cell r="C6048" t="str">
            <v>IASWD2504000211</v>
          </cell>
          <cell r="D6048">
            <v>45775</v>
          </cell>
          <cell r="E6048">
            <v>46410</v>
          </cell>
          <cell r="F6048" t="str">
            <v>82992</v>
          </cell>
          <cell r="G6048" t="str">
            <v>群聯二</v>
          </cell>
          <cell r="H6048">
            <v>100000</v>
          </cell>
          <cell r="I6048">
            <v>3</v>
          </cell>
          <cell r="J6048">
            <v>46410</v>
          </cell>
          <cell r="K6048">
            <v>100</v>
          </cell>
          <cell r="L6048">
            <v>46392</v>
          </cell>
          <cell r="M6048">
            <v>-140</v>
          </cell>
          <cell r="N6048">
            <v>99860</v>
          </cell>
        </row>
        <row r="6049">
          <cell r="A6049">
            <v>68061</v>
          </cell>
          <cell r="B6049">
            <v>6043</v>
          </cell>
          <cell r="C6049" t="str">
            <v>IASWD2504000212</v>
          </cell>
          <cell r="D6049">
            <v>45775</v>
          </cell>
          <cell r="E6049">
            <v>46348</v>
          </cell>
          <cell r="F6049" t="str">
            <v>68061</v>
          </cell>
          <cell r="G6049" t="str">
            <v>森崴能源一</v>
          </cell>
          <cell r="H6049">
            <v>1000000</v>
          </cell>
          <cell r="I6049">
            <v>2.5</v>
          </cell>
          <cell r="J6049">
            <v>46348</v>
          </cell>
          <cell r="K6049">
            <v>100</v>
          </cell>
          <cell r="L6049">
            <v>46329</v>
          </cell>
          <cell r="M6049">
            <v>-1164</v>
          </cell>
          <cell r="N6049">
            <v>998836</v>
          </cell>
        </row>
        <row r="6050">
          <cell r="A6050">
            <v>33621</v>
          </cell>
          <cell r="B6050">
            <v>6044</v>
          </cell>
          <cell r="C6050" t="str">
            <v>IASWD2504000213</v>
          </cell>
          <cell r="D6050">
            <v>45775</v>
          </cell>
          <cell r="E6050">
            <v>46584</v>
          </cell>
          <cell r="F6050" t="str">
            <v>33621</v>
          </cell>
          <cell r="G6050" t="str">
            <v>先進光一</v>
          </cell>
          <cell r="H6050">
            <v>200000</v>
          </cell>
          <cell r="I6050">
            <v>2.5</v>
          </cell>
          <cell r="J6050">
            <v>46584</v>
          </cell>
          <cell r="K6050">
            <v>100.75</v>
          </cell>
          <cell r="L6050">
            <v>46566</v>
          </cell>
          <cell r="M6050">
            <v>-233</v>
          </cell>
          <cell r="N6050">
            <v>199767</v>
          </cell>
        </row>
        <row r="6051">
          <cell r="A6051">
            <v>41683</v>
          </cell>
          <cell r="B6051">
            <v>6045</v>
          </cell>
          <cell r="C6051" t="str">
            <v>IASWD2504000214</v>
          </cell>
          <cell r="D6051">
            <v>45775</v>
          </cell>
          <cell r="E6051">
            <v>45835</v>
          </cell>
          <cell r="F6051" t="str">
            <v>41683</v>
          </cell>
          <cell r="G6051" t="str">
            <v>醣聯三</v>
          </cell>
          <cell r="H6051">
            <v>1000000</v>
          </cell>
          <cell r="I6051">
            <v>2.5</v>
          </cell>
          <cell r="J6051">
            <v>45835</v>
          </cell>
          <cell r="K6051">
            <v>100</v>
          </cell>
          <cell r="L6051">
            <v>45817</v>
          </cell>
          <cell r="M6051">
            <v>-1164</v>
          </cell>
          <cell r="N6051">
            <v>998836</v>
          </cell>
        </row>
        <row r="6052">
          <cell r="A6052">
            <v>99392</v>
          </cell>
          <cell r="B6052">
            <v>6046</v>
          </cell>
          <cell r="C6052" t="str">
            <v>IASWD2504000215</v>
          </cell>
          <cell r="D6052">
            <v>45775</v>
          </cell>
          <cell r="E6052">
            <v>46689</v>
          </cell>
          <cell r="F6052" t="str">
            <v>99392</v>
          </cell>
          <cell r="G6052" t="str">
            <v>宏全二</v>
          </cell>
          <cell r="H6052">
            <v>100000</v>
          </cell>
          <cell r="I6052">
            <v>3</v>
          </cell>
          <cell r="J6052">
            <v>46689</v>
          </cell>
          <cell r="K6052">
            <v>100</v>
          </cell>
          <cell r="L6052">
            <v>46671</v>
          </cell>
          <cell r="M6052">
            <v>-140</v>
          </cell>
          <cell r="N6052">
            <v>99860</v>
          </cell>
        </row>
        <row r="6053">
          <cell r="A6053">
            <v>68541</v>
          </cell>
          <cell r="B6053">
            <v>6047</v>
          </cell>
          <cell r="C6053" t="str">
            <v>IASWD2504000216</v>
          </cell>
          <cell r="D6053">
            <v>45775</v>
          </cell>
          <cell r="E6053">
            <v>46445</v>
          </cell>
          <cell r="F6053" t="str">
            <v>68541</v>
          </cell>
          <cell r="G6053" t="str">
            <v>錼創科技一KY創</v>
          </cell>
          <cell r="H6053">
            <v>100000</v>
          </cell>
          <cell r="I6053">
            <v>2.5</v>
          </cell>
          <cell r="J6053">
            <v>46445</v>
          </cell>
          <cell r="K6053">
            <v>101.0025</v>
          </cell>
          <cell r="L6053">
            <v>46427</v>
          </cell>
          <cell r="M6053">
            <v>-116</v>
          </cell>
          <cell r="N6053">
            <v>99884</v>
          </cell>
        </row>
        <row r="6054">
          <cell r="A6054">
            <v>30134</v>
          </cell>
          <cell r="B6054">
            <v>6048</v>
          </cell>
          <cell r="C6054" t="str">
            <v>IASWD2504000217</v>
          </cell>
          <cell r="D6054">
            <v>45775</v>
          </cell>
          <cell r="E6054">
            <v>46678</v>
          </cell>
          <cell r="F6054" t="str">
            <v>30134</v>
          </cell>
          <cell r="G6054" t="str">
            <v>晟銘電四</v>
          </cell>
          <cell r="H6054">
            <v>1000000</v>
          </cell>
          <cell r="I6054">
            <v>2.5</v>
          </cell>
          <cell r="J6054">
            <v>46678</v>
          </cell>
          <cell r="K6054">
            <v>100</v>
          </cell>
          <cell r="L6054">
            <v>46658</v>
          </cell>
          <cell r="M6054">
            <v>-1164</v>
          </cell>
          <cell r="N6054">
            <v>998836</v>
          </cell>
        </row>
        <row r="6055">
          <cell r="A6055">
            <v>49066</v>
          </cell>
          <cell r="B6055">
            <v>6049</v>
          </cell>
          <cell r="C6055" t="str">
            <v>IASWD2504000218</v>
          </cell>
          <cell r="D6055">
            <v>45775</v>
          </cell>
          <cell r="E6055">
            <v>46175</v>
          </cell>
          <cell r="F6055" t="str">
            <v>49066</v>
          </cell>
          <cell r="G6055" t="str">
            <v>正文六</v>
          </cell>
          <cell r="H6055">
            <v>100000</v>
          </cell>
          <cell r="I6055">
            <v>4</v>
          </cell>
          <cell r="J6055">
            <v>46175</v>
          </cell>
          <cell r="K6055">
            <v>100</v>
          </cell>
          <cell r="L6055">
            <v>46155</v>
          </cell>
          <cell r="M6055">
            <v>-186</v>
          </cell>
          <cell r="N6055">
            <v>99814</v>
          </cell>
        </row>
        <row r="6056">
          <cell r="A6056">
            <v>49066</v>
          </cell>
          <cell r="B6056">
            <v>6050</v>
          </cell>
          <cell r="C6056" t="str">
            <v>IASWD2504000219</v>
          </cell>
          <cell r="D6056">
            <v>45776</v>
          </cell>
          <cell r="E6056">
            <v>46175</v>
          </cell>
          <cell r="F6056" t="str">
            <v>49066</v>
          </cell>
          <cell r="G6056" t="str">
            <v>正文六</v>
          </cell>
          <cell r="H6056">
            <v>600000</v>
          </cell>
          <cell r="I6056">
            <v>4</v>
          </cell>
          <cell r="J6056">
            <v>46175</v>
          </cell>
          <cell r="K6056">
            <v>100</v>
          </cell>
          <cell r="L6056">
            <v>46155</v>
          </cell>
          <cell r="M6056">
            <v>-1052</v>
          </cell>
          <cell r="N6056">
            <v>598948</v>
          </cell>
        </row>
        <row r="6057">
          <cell r="A6057">
            <v>82992</v>
          </cell>
          <cell r="B6057">
            <v>6051</v>
          </cell>
          <cell r="C6057" t="str">
            <v>IASWD2504000220</v>
          </cell>
          <cell r="D6057">
            <v>45776</v>
          </cell>
          <cell r="E6057">
            <v>46410</v>
          </cell>
          <cell r="F6057" t="str">
            <v>82992</v>
          </cell>
          <cell r="G6057" t="str">
            <v>群聯二</v>
          </cell>
          <cell r="H6057">
            <v>100000</v>
          </cell>
          <cell r="I6057">
            <v>3</v>
          </cell>
          <cell r="J6057">
            <v>46410</v>
          </cell>
          <cell r="K6057">
            <v>100</v>
          </cell>
          <cell r="L6057">
            <v>46392</v>
          </cell>
          <cell r="M6057">
            <v>-132</v>
          </cell>
          <cell r="N6057">
            <v>99868</v>
          </cell>
        </row>
        <row r="6058">
          <cell r="A6058">
            <v>49066</v>
          </cell>
          <cell r="B6058">
            <v>6052</v>
          </cell>
          <cell r="C6058" t="str">
            <v>IASWD2504000221</v>
          </cell>
          <cell r="D6058">
            <v>45776</v>
          </cell>
          <cell r="E6058">
            <v>46175</v>
          </cell>
          <cell r="F6058" t="str">
            <v>49066</v>
          </cell>
          <cell r="G6058" t="str">
            <v>正文六</v>
          </cell>
          <cell r="H6058">
            <v>1300000</v>
          </cell>
          <cell r="I6058">
            <v>4</v>
          </cell>
          <cell r="J6058">
            <v>46175</v>
          </cell>
          <cell r="K6058">
            <v>100</v>
          </cell>
          <cell r="L6058">
            <v>46155</v>
          </cell>
          <cell r="M6058">
            <v>-2279</v>
          </cell>
          <cell r="N6058">
            <v>1297721</v>
          </cell>
        </row>
        <row r="6059">
          <cell r="A6059">
            <v>82992</v>
          </cell>
          <cell r="B6059">
            <v>6053</v>
          </cell>
          <cell r="C6059" t="str">
            <v>IASWD2504000222</v>
          </cell>
          <cell r="D6059">
            <v>45776</v>
          </cell>
          <cell r="E6059">
            <v>46410</v>
          </cell>
          <cell r="F6059" t="str">
            <v>82992</v>
          </cell>
          <cell r="G6059" t="str">
            <v>群聯二</v>
          </cell>
          <cell r="H6059">
            <v>100000</v>
          </cell>
          <cell r="I6059">
            <v>3</v>
          </cell>
          <cell r="J6059">
            <v>46410</v>
          </cell>
          <cell r="K6059">
            <v>100</v>
          </cell>
          <cell r="L6059">
            <v>46392</v>
          </cell>
          <cell r="M6059">
            <v>-132</v>
          </cell>
          <cell r="N6059">
            <v>99868</v>
          </cell>
        </row>
        <row r="6060">
          <cell r="A6060">
            <v>33621</v>
          </cell>
          <cell r="B6060">
            <v>6054</v>
          </cell>
          <cell r="C6060" t="str">
            <v>IASWD2504000224</v>
          </cell>
          <cell r="D6060">
            <v>45776</v>
          </cell>
          <cell r="E6060">
            <v>46584</v>
          </cell>
          <cell r="F6060" t="str">
            <v>33621</v>
          </cell>
          <cell r="G6060" t="str">
            <v>先進光一</v>
          </cell>
          <cell r="H6060">
            <v>400000</v>
          </cell>
          <cell r="I6060">
            <v>2.5</v>
          </cell>
          <cell r="J6060">
            <v>46584</v>
          </cell>
          <cell r="K6060">
            <v>100.75</v>
          </cell>
          <cell r="L6060">
            <v>46566</v>
          </cell>
          <cell r="M6060">
            <v>-438</v>
          </cell>
          <cell r="N6060">
            <v>399562</v>
          </cell>
        </row>
        <row r="6061">
          <cell r="A6061">
            <v>49066</v>
          </cell>
          <cell r="B6061">
            <v>6055</v>
          </cell>
          <cell r="C6061" t="str">
            <v>IASWD2504000225</v>
          </cell>
          <cell r="D6061">
            <v>45776</v>
          </cell>
          <cell r="E6061">
            <v>46175</v>
          </cell>
          <cell r="F6061" t="str">
            <v>49066</v>
          </cell>
          <cell r="G6061" t="str">
            <v>正文六</v>
          </cell>
          <cell r="H6061">
            <v>100000</v>
          </cell>
          <cell r="I6061">
            <v>4</v>
          </cell>
          <cell r="J6061">
            <v>46175</v>
          </cell>
          <cell r="K6061">
            <v>100</v>
          </cell>
          <cell r="L6061">
            <v>46155</v>
          </cell>
          <cell r="M6061">
            <v>-175</v>
          </cell>
          <cell r="N6061">
            <v>99825</v>
          </cell>
        </row>
        <row r="6062">
          <cell r="A6062">
            <v>99392</v>
          </cell>
          <cell r="B6062">
            <v>6056</v>
          </cell>
          <cell r="C6062" t="str">
            <v>IASWD2504000226</v>
          </cell>
          <cell r="D6062">
            <v>45776</v>
          </cell>
          <cell r="E6062">
            <v>46689</v>
          </cell>
          <cell r="F6062" t="str">
            <v>99392</v>
          </cell>
          <cell r="G6062" t="str">
            <v>宏全二</v>
          </cell>
          <cell r="H6062">
            <v>100000</v>
          </cell>
          <cell r="I6062">
            <v>3</v>
          </cell>
          <cell r="J6062">
            <v>46689</v>
          </cell>
          <cell r="K6062">
            <v>100</v>
          </cell>
          <cell r="L6062">
            <v>46671</v>
          </cell>
          <cell r="M6062">
            <v>-132</v>
          </cell>
          <cell r="N6062">
            <v>99868</v>
          </cell>
        </row>
        <row r="6063">
          <cell r="A6063">
            <v>49066</v>
          </cell>
          <cell r="B6063">
            <v>6057</v>
          </cell>
          <cell r="C6063" t="str">
            <v>IASWD2504000227</v>
          </cell>
          <cell r="D6063">
            <v>45776</v>
          </cell>
          <cell r="E6063">
            <v>46175</v>
          </cell>
          <cell r="F6063" t="str">
            <v>49066</v>
          </cell>
          <cell r="G6063" t="str">
            <v>正文六</v>
          </cell>
          <cell r="H6063">
            <v>400000</v>
          </cell>
          <cell r="I6063">
            <v>4</v>
          </cell>
          <cell r="J6063">
            <v>46175</v>
          </cell>
          <cell r="K6063">
            <v>100</v>
          </cell>
          <cell r="L6063">
            <v>46155</v>
          </cell>
          <cell r="M6063">
            <v>-701</v>
          </cell>
          <cell r="N6063">
            <v>399299</v>
          </cell>
        </row>
        <row r="6064">
          <cell r="A6064">
            <v>41236</v>
          </cell>
          <cell r="B6064">
            <v>6058</v>
          </cell>
          <cell r="C6064" t="str">
            <v>IASWD2504000228</v>
          </cell>
          <cell r="D6064">
            <v>45776</v>
          </cell>
          <cell r="E6064">
            <v>46869</v>
          </cell>
          <cell r="F6064" t="str">
            <v>41236</v>
          </cell>
          <cell r="G6064" t="str">
            <v>晟德六</v>
          </cell>
          <cell r="H6064">
            <v>200000</v>
          </cell>
          <cell r="I6064">
            <v>2.5</v>
          </cell>
          <cell r="J6064">
            <v>46869</v>
          </cell>
          <cell r="K6064">
            <v>100</v>
          </cell>
          <cell r="L6064">
            <v>46849</v>
          </cell>
          <cell r="M6064">
            <v>-219</v>
          </cell>
          <cell r="N6064">
            <v>199781</v>
          </cell>
        </row>
        <row r="6065">
          <cell r="A6065">
            <v>33621</v>
          </cell>
          <cell r="B6065">
            <v>6059</v>
          </cell>
          <cell r="C6065" t="str">
            <v>IASWD2504000229</v>
          </cell>
          <cell r="D6065">
            <v>45776</v>
          </cell>
          <cell r="E6065">
            <v>46584</v>
          </cell>
          <cell r="F6065" t="str">
            <v>33621</v>
          </cell>
          <cell r="G6065" t="str">
            <v>先進光一</v>
          </cell>
          <cell r="H6065">
            <v>400000</v>
          </cell>
          <cell r="I6065">
            <v>2.5</v>
          </cell>
          <cell r="J6065">
            <v>46584</v>
          </cell>
          <cell r="K6065">
            <v>100.75</v>
          </cell>
          <cell r="L6065">
            <v>46566</v>
          </cell>
          <cell r="M6065">
            <v>-438</v>
          </cell>
          <cell r="N6065">
            <v>399562</v>
          </cell>
        </row>
        <row r="6066">
          <cell r="A6066">
            <v>49066</v>
          </cell>
          <cell r="B6066">
            <v>6060</v>
          </cell>
          <cell r="C6066" t="str">
            <v>IASWD2504000230</v>
          </cell>
          <cell r="D6066">
            <v>45776</v>
          </cell>
          <cell r="E6066">
            <v>46175</v>
          </cell>
          <cell r="F6066" t="str">
            <v>49066</v>
          </cell>
          <cell r="G6066" t="str">
            <v>正文六</v>
          </cell>
          <cell r="H6066">
            <v>600000</v>
          </cell>
          <cell r="I6066">
            <v>4</v>
          </cell>
          <cell r="J6066">
            <v>46175</v>
          </cell>
          <cell r="K6066">
            <v>100</v>
          </cell>
          <cell r="L6066">
            <v>46155</v>
          </cell>
          <cell r="M6066">
            <v>-1052</v>
          </cell>
          <cell r="N6066">
            <v>598948</v>
          </cell>
        </row>
        <row r="6067">
          <cell r="A6067">
            <v>68541</v>
          </cell>
          <cell r="B6067">
            <v>6061</v>
          </cell>
          <cell r="C6067" t="str">
            <v>IASWD2504000232</v>
          </cell>
          <cell r="D6067">
            <v>45777</v>
          </cell>
          <cell r="E6067">
            <v>46445</v>
          </cell>
          <cell r="F6067" t="str">
            <v>68541</v>
          </cell>
          <cell r="G6067" t="str">
            <v>錼創科技一KY創</v>
          </cell>
          <cell r="H6067">
            <v>100000</v>
          </cell>
          <cell r="I6067">
            <v>2.5</v>
          </cell>
          <cell r="J6067">
            <v>46445</v>
          </cell>
          <cell r="K6067">
            <v>101.0025</v>
          </cell>
          <cell r="L6067">
            <v>46427</v>
          </cell>
          <cell r="M6067">
            <v>-103</v>
          </cell>
          <cell r="N6067">
            <v>99897</v>
          </cell>
        </row>
        <row r="6068">
          <cell r="A6068">
            <v>82992</v>
          </cell>
          <cell r="B6068">
            <v>6062</v>
          </cell>
          <cell r="C6068" t="str">
            <v>IASWD2504000233</v>
          </cell>
          <cell r="D6068">
            <v>45777</v>
          </cell>
          <cell r="E6068">
            <v>46410</v>
          </cell>
          <cell r="F6068" t="str">
            <v>82992</v>
          </cell>
          <cell r="G6068" t="str">
            <v>群聯二</v>
          </cell>
          <cell r="H6068">
            <v>300000</v>
          </cell>
          <cell r="I6068">
            <v>3</v>
          </cell>
          <cell r="J6068">
            <v>46410</v>
          </cell>
          <cell r="K6068">
            <v>100</v>
          </cell>
          <cell r="L6068">
            <v>46392</v>
          </cell>
          <cell r="M6068">
            <v>-370</v>
          </cell>
          <cell r="N6068">
            <v>299630</v>
          </cell>
        </row>
        <row r="6069">
          <cell r="A6069">
            <v>49066</v>
          </cell>
          <cell r="B6069">
            <v>6063</v>
          </cell>
          <cell r="C6069" t="str">
            <v>IASWD2504000235</v>
          </cell>
          <cell r="D6069">
            <v>45777</v>
          </cell>
          <cell r="E6069">
            <v>46175</v>
          </cell>
          <cell r="F6069" t="str">
            <v>49066</v>
          </cell>
          <cell r="G6069" t="str">
            <v>正文六</v>
          </cell>
          <cell r="H6069">
            <v>100000</v>
          </cell>
          <cell r="I6069">
            <v>4</v>
          </cell>
          <cell r="J6069">
            <v>46175</v>
          </cell>
          <cell r="K6069">
            <v>100</v>
          </cell>
          <cell r="L6069">
            <v>46155</v>
          </cell>
          <cell r="M6069">
            <v>-164</v>
          </cell>
          <cell r="N6069">
            <v>99836</v>
          </cell>
        </row>
        <row r="6070">
          <cell r="A6070">
            <v>82992</v>
          </cell>
          <cell r="B6070">
            <v>6064</v>
          </cell>
          <cell r="C6070" t="str">
            <v>IASWD2504000236</v>
          </cell>
          <cell r="D6070">
            <v>45777</v>
          </cell>
          <cell r="E6070">
            <v>46410</v>
          </cell>
          <cell r="F6070" t="str">
            <v>82992</v>
          </cell>
          <cell r="G6070" t="str">
            <v>群聯二</v>
          </cell>
          <cell r="H6070">
            <v>100000</v>
          </cell>
          <cell r="I6070">
            <v>3</v>
          </cell>
          <cell r="J6070">
            <v>46410</v>
          </cell>
          <cell r="K6070">
            <v>100</v>
          </cell>
          <cell r="L6070">
            <v>46392</v>
          </cell>
          <cell r="M6070">
            <v>-123</v>
          </cell>
          <cell r="N6070">
            <v>99877</v>
          </cell>
        </row>
        <row r="6071">
          <cell r="A6071">
            <v>33621</v>
          </cell>
          <cell r="B6071">
            <v>6065</v>
          </cell>
          <cell r="C6071" t="str">
            <v>IASWD2504000237</v>
          </cell>
          <cell r="D6071">
            <v>45777</v>
          </cell>
          <cell r="E6071">
            <v>46584</v>
          </cell>
          <cell r="F6071" t="str">
            <v>33621</v>
          </cell>
          <cell r="G6071" t="str">
            <v>先進光一</v>
          </cell>
          <cell r="H6071">
            <v>200000</v>
          </cell>
          <cell r="I6071">
            <v>2.5</v>
          </cell>
          <cell r="J6071">
            <v>46584</v>
          </cell>
          <cell r="K6071">
            <v>100.75</v>
          </cell>
          <cell r="L6071">
            <v>46566</v>
          </cell>
          <cell r="M6071">
            <v>-205</v>
          </cell>
          <cell r="N6071">
            <v>199795</v>
          </cell>
        </row>
        <row r="6072">
          <cell r="A6072">
            <v>65841</v>
          </cell>
          <cell r="B6072">
            <v>6066</v>
          </cell>
          <cell r="C6072" t="str">
            <v>IASWD2504000238</v>
          </cell>
          <cell r="D6072">
            <v>45777</v>
          </cell>
          <cell r="E6072">
            <v>46324</v>
          </cell>
          <cell r="F6072" t="str">
            <v>65841</v>
          </cell>
          <cell r="G6072" t="str">
            <v>南俊國際一</v>
          </cell>
          <cell r="H6072">
            <v>100000</v>
          </cell>
          <cell r="I6072">
            <v>2.5</v>
          </cell>
          <cell r="J6072">
            <v>46324</v>
          </cell>
          <cell r="K6072">
            <v>101.0025</v>
          </cell>
          <cell r="L6072">
            <v>46304</v>
          </cell>
          <cell r="M6072">
            <v>-103</v>
          </cell>
          <cell r="N6072">
            <v>99897</v>
          </cell>
        </row>
        <row r="6073">
          <cell r="A6073">
            <v>30134</v>
          </cell>
          <cell r="B6073">
            <v>6067</v>
          </cell>
          <cell r="C6073" t="str">
            <v>IASWD2504000239</v>
          </cell>
          <cell r="D6073">
            <v>45777</v>
          </cell>
          <cell r="E6073">
            <v>46678</v>
          </cell>
          <cell r="F6073" t="str">
            <v>30134</v>
          </cell>
          <cell r="G6073" t="str">
            <v>晟銘電四</v>
          </cell>
          <cell r="H6073">
            <v>100000</v>
          </cell>
          <cell r="I6073">
            <v>2.5</v>
          </cell>
          <cell r="J6073">
            <v>46678</v>
          </cell>
          <cell r="K6073">
            <v>100</v>
          </cell>
          <cell r="L6073">
            <v>46658</v>
          </cell>
          <cell r="M6073">
            <v>-103</v>
          </cell>
          <cell r="N6073">
            <v>99897</v>
          </cell>
        </row>
        <row r="6074">
          <cell r="A6074">
            <v>53064</v>
          </cell>
          <cell r="B6074">
            <v>6068</v>
          </cell>
          <cell r="C6074" t="str">
            <v>IASWD2504000240</v>
          </cell>
          <cell r="D6074">
            <v>45777</v>
          </cell>
          <cell r="E6074">
            <v>46334</v>
          </cell>
          <cell r="F6074" t="str">
            <v>53064</v>
          </cell>
          <cell r="G6074" t="str">
            <v>桂盟四</v>
          </cell>
          <cell r="H6074">
            <v>100000</v>
          </cell>
          <cell r="I6074">
            <v>2.5</v>
          </cell>
          <cell r="J6074">
            <v>46334</v>
          </cell>
          <cell r="K6074">
            <v>100</v>
          </cell>
          <cell r="L6074">
            <v>46315</v>
          </cell>
          <cell r="M6074">
            <v>-103</v>
          </cell>
          <cell r="N6074">
            <v>99897</v>
          </cell>
        </row>
        <row r="6075">
          <cell r="A6075">
            <v>13166</v>
          </cell>
          <cell r="B6075">
            <v>6069</v>
          </cell>
          <cell r="C6075" t="str">
            <v>IASWD2505000001</v>
          </cell>
          <cell r="D6075">
            <v>45779</v>
          </cell>
          <cell r="E6075">
            <v>46383</v>
          </cell>
          <cell r="F6075" t="str">
            <v>13166</v>
          </cell>
          <cell r="G6075" t="str">
            <v>上曜六</v>
          </cell>
          <cell r="H6075">
            <v>100000</v>
          </cell>
          <cell r="I6075">
            <v>2.5</v>
          </cell>
          <cell r="J6075">
            <v>46383</v>
          </cell>
          <cell r="K6075">
            <v>100.5</v>
          </cell>
          <cell r="L6075">
            <v>46364</v>
          </cell>
          <cell r="M6075">
            <v>-89</v>
          </cell>
          <cell r="N6075">
            <v>99911</v>
          </cell>
        </row>
        <row r="6076">
          <cell r="A6076">
            <v>99392</v>
          </cell>
          <cell r="B6076">
            <v>6070</v>
          </cell>
          <cell r="C6076" t="str">
            <v>IASWD2505000002</v>
          </cell>
          <cell r="D6076">
            <v>45779</v>
          </cell>
          <cell r="E6076">
            <v>46689</v>
          </cell>
          <cell r="F6076" t="str">
            <v>99392</v>
          </cell>
          <cell r="G6076" t="str">
            <v>宏全二</v>
          </cell>
          <cell r="H6076">
            <v>100000</v>
          </cell>
          <cell r="I6076">
            <v>3</v>
          </cell>
          <cell r="J6076">
            <v>46689</v>
          </cell>
          <cell r="K6076">
            <v>100</v>
          </cell>
          <cell r="L6076">
            <v>46671</v>
          </cell>
          <cell r="M6076">
            <v>-107</v>
          </cell>
          <cell r="N6076">
            <v>99893</v>
          </cell>
        </row>
        <row r="6077">
          <cell r="A6077">
            <v>68061</v>
          </cell>
          <cell r="B6077">
            <v>6071</v>
          </cell>
          <cell r="C6077" t="str">
            <v>IASWD2505000003</v>
          </cell>
          <cell r="D6077">
            <v>45779</v>
          </cell>
          <cell r="E6077">
            <v>46348</v>
          </cell>
          <cell r="F6077" t="str">
            <v>68061</v>
          </cell>
          <cell r="G6077" t="str">
            <v>森崴能源一</v>
          </cell>
          <cell r="H6077">
            <v>500000</v>
          </cell>
          <cell r="I6077">
            <v>2.5</v>
          </cell>
          <cell r="J6077">
            <v>46348</v>
          </cell>
          <cell r="K6077">
            <v>100</v>
          </cell>
          <cell r="L6077">
            <v>46329</v>
          </cell>
          <cell r="M6077">
            <v>-445</v>
          </cell>
          <cell r="N6077">
            <v>499555</v>
          </cell>
        </row>
        <row r="6078">
          <cell r="A6078">
            <v>49066</v>
          </cell>
          <cell r="B6078">
            <v>6072</v>
          </cell>
          <cell r="C6078" t="str">
            <v>IASWD2505000004</v>
          </cell>
          <cell r="D6078">
            <v>45779</v>
          </cell>
          <cell r="E6078">
            <v>46175</v>
          </cell>
          <cell r="F6078" t="str">
            <v>49066</v>
          </cell>
          <cell r="G6078" t="str">
            <v>正文六</v>
          </cell>
          <cell r="H6078">
            <v>300000</v>
          </cell>
          <cell r="I6078">
            <v>4</v>
          </cell>
          <cell r="J6078">
            <v>46175</v>
          </cell>
          <cell r="K6078">
            <v>100</v>
          </cell>
          <cell r="L6078">
            <v>46155</v>
          </cell>
          <cell r="M6078">
            <v>-427</v>
          </cell>
          <cell r="N6078">
            <v>299573</v>
          </cell>
        </row>
        <row r="6079">
          <cell r="A6079">
            <v>68061</v>
          </cell>
          <cell r="B6079">
            <v>6073</v>
          </cell>
          <cell r="C6079" t="str">
            <v>IASWD2505000005</v>
          </cell>
          <cell r="D6079">
            <v>45779</v>
          </cell>
          <cell r="E6079">
            <v>46348</v>
          </cell>
          <cell r="F6079" t="str">
            <v>68061</v>
          </cell>
          <cell r="G6079" t="str">
            <v>森崴能源一</v>
          </cell>
          <cell r="H6079">
            <v>100000</v>
          </cell>
          <cell r="I6079">
            <v>2.5</v>
          </cell>
          <cell r="J6079">
            <v>46348</v>
          </cell>
          <cell r="K6079">
            <v>100</v>
          </cell>
          <cell r="L6079">
            <v>46329</v>
          </cell>
          <cell r="M6079">
            <v>-89</v>
          </cell>
          <cell r="N6079">
            <v>99911</v>
          </cell>
        </row>
        <row r="6080">
          <cell r="A6080">
            <v>49066</v>
          </cell>
          <cell r="B6080">
            <v>6074</v>
          </cell>
          <cell r="C6080" t="str">
            <v>IASWD2505000006</v>
          </cell>
          <cell r="D6080">
            <v>45779</v>
          </cell>
          <cell r="E6080">
            <v>46175</v>
          </cell>
          <cell r="F6080" t="str">
            <v>49066</v>
          </cell>
          <cell r="G6080" t="str">
            <v>正文六</v>
          </cell>
          <cell r="H6080">
            <v>100000</v>
          </cell>
          <cell r="I6080">
            <v>4</v>
          </cell>
          <cell r="J6080">
            <v>46175</v>
          </cell>
          <cell r="K6080">
            <v>100</v>
          </cell>
          <cell r="L6080">
            <v>46155</v>
          </cell>
          <cell r="M6080">
            <v>-142</v>
          </cell>
          <cell r="N6080">
            <v>99858</v>
          </cell>
        </row>
        <row r="6081">
          <cell r="A6081">
            <v>68061</v>
          </cell>
          <cell r="B6081">
            <v>6075</v>
          </cell>
          <cell r="C6081" t="str">
            <v>IASWD2505000007</v>
          </cell>
          <cell r="D6081">
            <v>45782</v>
          </cell>
          <cell r="E6081">
            <v>46348</v>
          </cell>
          <cell r="F6081" t="str">
            <v>68061</v>
          </cell>
          <cell r="G6081" t="str">
            <v>森崴能源一</v>
          </cell>
          <cell r="H6081">
            <v>600000</v>
          </cell>
          <cell r="I6081">
            <v>2.5</v>
          </cell>
          <cell r="J6081">
            <v>46348</v>
          </cell>
          <cell r="K6081">
            <v>100</v>
          </cell>
          <cell r="L6081">
            <v>46329</v>
          </cell>
          <cell r="M6081">
            <v>-411</v>
          </cell>
          <cell r="N6081">
            <v>599589</v>
          </cell>
        </row>
        <row r="6082">
          <cell r="A6082">
            <v>68541</v>
          </cell>
          <cell r="B6082">
            <v>6076</v>
          </cell>
          <cell r="C6082" t="str">
            <v>IASWD2505000008</v>
          </cell>
          <cell r="D6082">
            <v>45782</v>
          </cell>
          <cell r="E6082">
            <v>46445</v>
          </cell>
          <cell r="F6082" t="str">
            <v>68541</v>
          </cell>
          <cell r="G6082" t="str">
            <v>錼創科技一KY創</v>
          </cell>
          <cell r="H6082">
            <v>100000</v>
          </cell>
          <cell r="I6082">
            <v>2.5</v>
          </cell>
          <cell r="J6082">
            <v>46445</v>
          </cell>
          <cell r="K6082">
            <v>101.0025</v>
          </cell>
          <cell r="L6082">
            <v>46427</v>
          </cell>
          <cell r="M6082">
            <v>-68</v>
          </cell>
          <cell r="N6082">
            <v>99932</v>
          </cell>
        </row>
        <row r="6083">
          <cell r="A6083">
            <v>53064</v>
          </cell>
          <cell r="B6083">
            <v>6077</v>
          </cell>
          <cell r="C6083" t="str">
            <v>IASWD2505000010</v>
          </cell>
          <cell r="D6083">
            <v>45782</v>
          </cell>
          <cell r="E6083">
            <v>46334</v>
          </cell>
          <cell r="F6083" t="str">
            <v>53064</v>
          </cell>
          <cell r="G6083" t="str">
            <v>桂盟四</v>
          </cell>
          <cell r="H6083">
            <v>800000</v>
          </cell>
          <cell r="I6083">
            <v>2.5</v>
          </cell>
          <cell r="J6083">
            <v>46334</v>
          </cell>
          <cell r="K6083">
            <v>100</v>
          </cell>
          <cell r="L6083">
            <v>46315</v>
          </cell>
          <cell r="M6083">
            <v>-548</v>
          </cell>
          <cell r="N6083">
            <v>799452</v>
          </cell>
        </row>
        <row r="6084">
          <cell r="A6084">
            <v>99211</v>
          </cell>
          <cell r="B6084">
            <v>6078</v>
          </cell>
          <cell r="C6084" t="str">
            <v>IASWD2505000011</v>
          </cell>
          <cell r="D6084">
            <v>45782</v>
          </cell>
          <cell r="E6084">
            <v>46551</v>
          </cell>
          <cell r="F6084" t="str">
            <v>99211</v>
          </cell>
          <cell r="G6084" t="str">
            <v>巨大一</v>
          </cell>
          <cell r="H6084">
            <v>300000</v>
          </cell>
          <cell r="I6084">
            <v>3</v>
          </cell>
          <cell r="J6084">
            <v>46551</v>
          </cell>
          <cell r="K6084">
            <v>100</v>
          </cell>
          <cell r="L6084">
            <v>46532</v>
          </cell>
          <cell r="M6084">
            <v>-247</v>
          </cell>
          <cell r="N6084">
            <v>299753</v>
          </cell>
        </row>
        <row r="6085">
          <cell r="A6085">
            <v>53064</v>
          </cell>
          <cell r="B6085">
            <v>6079</v>
          </cell>
          <cell r="C6085" t="str">
            <v>IASWD2505000012</v>
          </cell>
          <cell r="D6085">
            <v>45782</v>
          </cell>
          <cell r="E6085">
            <v>46334</v>
          </cell>
          <cell r="F6085" t="str">
            <v>53064</v>
          </cell>
          <cell r="G6085" t="str">
            <v>桂盟四</v>
          </cell>
          <cell r="H6085">
            <v>300000</v>
          </cell>
          <cell r="I6085">
            <v>2.5</v>
          </cell>
          <cell r="J6085">
            <v>46334</v>
          </cell>
          <cell r="K6085">
            <v>100</v>
          </cell>
          <cell r="L6085">
            <v>46315</v>
          </cell>
          <cell r="M6085">
            <v>-205</v>
          </cell>
          <cell r="N6085">
            <v>299795</v>
          </cell>
        </row>
        <row r="6086">
          <cell r="A6086">
            <v>34341</v>
          </cell>
          <cell r="B6086">
            <v>6080</v>
          </cell>
          <cell r="C6086" t="str">
            <v>IASWD2505000013</v>
          </cell>
          <cell r="D6086">
            <v>45782</v>
          </cell>
          <cell r="E6086">
            <v>46445</v>
          </cell>
          <cell r="F6086" t="str">
            <v>34341</v>
          </cell>
          <cell r="G6086" t="str">
            <v>哲固一</v>
          </cell>
          <cell r="H6086">
            <v>100000</v>
          </cell>
          <cell r="I6086">
            <v>2.5</v>
          </cell>
          <cell r="J6086">
            <v>46445</v>
          </cell>
          <cell r="K6086">
            <v>100</v>
          </cell>
          <cell r="L6086">
            <v>46427</v>
          </cell>
          <cell r="M6086">
            <v>-68</v>
          </cell>
          <cell r="N6086">
            <v>99932</v>
          </cell>
        </row>
        <row r="6087">
          <cell r="A6087">
            <v>68061</v>
          </cell>
          <cell r="B6087">
            <v>6081</v>
          </cell>
          <cell r="C6087" t="str">
            <v>IASWD2505000014</v>
          </cell>
          <cell r="D6087">
            <v>45782</v>
          </cell>
          <cell r="E6087">
            <v>46348</v>
          </cell>
          <cell r="F6087" t="str">
            <v>68061</v>
          </cell>
          <cell r="G6087" t="str">
            <v>森崴能源一</v>
          </cell>
          <cell r="H6087">
            <v>100000</v>
          </cell>
          <cell r="I6087">
            <v>2.5</v>
          </cell>
          <cell r="J6087">
            <v>46348</v>
          </cell>
          <cell r="K6087">
            <v>100</v>
          </cell>
          <cell r="L6087">
            <v>46329</v>
          </cell>
          <cell r="M6087">
            <v>-68</v>
          </cell>
          <cell r="N6087">
            <v>99932</v>
          </cell>
        </row>
        <row r="6088">
          <cell r="A6088">
            <v>82992</v>
          </cell>
          <cell r="B6088">
            <v>6082</v>
          </cell>
          <cell r="C6088" t="str">
            <v>IASWD2505000015</v>
          </cell>
          <cell r="D6088">
            <v>45783</v>
          </cell>
          <cell r="E6088">
            <v>46410</v>
          </cell>
          <cell r="F6088" t="str">
            <v>82992</v>
          </cell>
          <cell r="G6088" t="str">
            <v>群聯二</v>
          </cell>
          <cell r="H6088">
            <v>200000</v>
          </cell>
          <cell r="I6088">
            <v>3</v>
          </cell>
          <cell r="J6088">
            <v>46410</v>
          </cell>
          <cell r="K6088">
            <v>100</v>
          </cell>
          <cell r="L6088">
            <v>46392</v>
          </cell>
          <cell r="M6088">
            <v>-148</v>
          </cell>
          <cell r="N6088">
            <v>199852</v>
          </cell>
        </row>
        <row r="6089">
          <cell r="A6089">
            <v>82992</v>
          </cell>
          <cell r="B6089">
            <v>6083</v>
          </cell>
          <cell r="C6089" t="str">
            <v>IASWD2505000016</v>
          </cell>
          <cell r="D6089">
            <v>45783</v>
          </cell>
          <cell r="E6089">
            <v>46410</v>
          </cell>
          <cell r="F6089" t="str">
            <v>82992</v>
          </cell>
          <cell r="G6089" t="str">
            <v>群聯二</v>
          </cell>
          <cell r="H6089">
            <v>100000</v>
          </cell>
          <cell r="I6089">
            <v>3</v>
          </cell>
          <cell r="J6089">
            <v>46410</v>
          </cell>
          <cell r="K6089">
            <v>100</v>
          </cell>
          <cell r="L6089">
            <v>46392</v>
          </cell>
          <cell r="M6089">
            <v>-74</v>
          </cell>
          <cell r="N6089">
            <v>99926</v>
          </cell>
        </row>
        <row r="6090">
          <cell r="A6090">
            <v>82992</v>
          </cell>
          <cell r="B6090">
            <v>6084</v>
          </cell>
          <cell r="C6090" t="str">
            <v>IASWD2505000018</v>
          </cell>
          <cell r="D6090">
            <v>45783</v>
          </cell>
          <cell r="E6090">
            <v>46410</v>
          </cell>
          <cell r="F6090" t="str">
            <v>82992</v>
          </cell>
          <cell r="G6090" t="str">
            <v>群聯二</v>
          </cell>
          <cell r="H6090">
            <v>500000</v>
          </cell>
          <cell r="I6090">
            <v>3</v>
          </cell>
          <cell r="J6090">
            <v>46410</v>
          </cell>
          <cell r="K6090">
            <v>100</v>
          </cell>
          <cell r="L6090">
            <v>46392</v>
          </cell>
          <cell r="M6090">
            <v>-370</v>
          </cell>
          <cell r="N6090">
            <v>499630</v>
          </cell>
        </row>
        <row r="6091">
          <cell r="A6091">
            <v>99392</v>
          </cell>
          <cell r="B6091">
            <v>6085</v>
          </cell>
          <cell r="C6091" t="str">
            <v>IASWD2505000019</v>
          </cell>
          <cell r="D6091">
            <v>45783</v>
          </cell>
          <cell r="E6091">
            <v>46689</v>
          </cell>
          <cell r="F6091" t="str">
            <v>99392</v>
          </cell>
          <cell r="G6091" t="str">
            <v>宏全二</v>
          </cell>
          <cell r="H6091">
            <v>100000</v>
          </cell>
          <cell r="I6091">
            <v>3</v>
          </cell>
          <cell r="J6091">
            <v>46689</v>
          </cell>
          <cell r="K6091">
            <v>100</v>
          </cell>
          <cell r="L6091">
            <v>46671</v>
          </cell>
          <cell r="M6091">
            <v>-74</v>
          </cell>
          <cell r="N6091">
            <v>99926</v>
          </cell>
        </row>
        <row r="6092">
          <cell r="A6092">
            <v>13166</v>
          </cell>
          <cell r="B6092">
            <v>6086</v>
          </cell>
          <cell r="C6092" t="str">
            <v>IASWD2505000022</v>
          </cell>
          <cell r="D6092">
            <v>45783</v>
          </cell>
          <cell r="E6092">
            <v>46383</v>
          </cell>
          <cell r="F6092" t="str">
            <v>13166</v>
          </cell>
          <cell r="G6092" t="str">
            <v>上曜六</v>
          </cell>
          <cell r="H6092">
            <v>100000</v>
          </cell>
          <cell r="I6092">
            <v>2.5</v>
          </cell>
          <cell r="J6092">
            <v>46383</v>
          </cell>
          <cell r="K6092">
            <v>100.5</v>
          </cell>
          <cell r="L6092">
            <v>46364</v>
          </cell>
          <cell r="M6092">
            <v>-62</v>
          </cell>
          <cell r="N6092">
            <v>99938</v>
          </cell>
        </row>
        <row r="6093">
          <cell r="A6093">
            <v>53064</v>
          </cell>
          <cell r="B6093">
            <v>6087</v>
          </cell>
          <cell r="C6093" t="str">
            <v>IASWD2505000024</v>
          </cell>
          <cell r="D6093">
            <v>45783</v>
          </cell>
          <cell r="E6093">
            <v>46334</v>
          </cell>
          <cell r="F6093" t="str">
            <v>53064</v>
          </cell>
          <cell r="G6093" t="str">
            <v>桂盟四</v>
          </cell>
          <cell r="H6093">
            <v>100000</v>
          </cell>
          <cell r="I6093">
            <v>2.5</v>
          </cell>
          <cell r="J6093">
            <v>46334</v>
          </cell>
          <cell r="K6093">
            <v>100</v>
          </cell>
          <cell r="L6093">
            <v>46315</v>
          </cell>
          <cell r="M6093">
            <v>-62</v>
          </cell>
          <cell r="N6093">
            <v>99938</v>
          </cell>
        </row>
        <row r="6094">
          <cell r="A6094">
            <v>99211</v>
          </cell>
          <cell r="B6094">
            <v>6088</v>
          </cell>
          <cell r="C6094" t="str">
            <v>IASWD2505000026</v>
          </cell>
          <cell r="D6094">
            <v>45783</v>
          </cell>
          <cell r="E6094">
            <v>46551</v>
          </cell>
          <cell r="F6094" t="str">
            <v>99211</v>
          </cell>
          <cell r="G6094" t="str">
            <v>巨大一</v>
          </cell>
          <cell r="H6094">
            <v>400000</v>
          </cell>
          <cell r="I6094">
            <v>3</v>
          </cell>
          <cell r="J6094">
            <v>46551</v>
          </cell>
          <cell r="K6094">
            <v>100</v>
          </cell>
          <cell r="L6094">
            <v>46532</v>
          </cell>
          <cell r="M6094">
            <v>-296</v>
          </cell>
          <cell r="N6094">
            <v>399704</v>
          </cell>
        </row>
        <row r="6095">
          <cell r="A6095">
            <v>49066</v>
          </cell>
          <cell r="B6095">
            <v>6089</v>
          </cell>
          <cell r="C6095" t="str">
            <v>IASWD2505000028</v>
          </cell>
          <cell r="D6095">
            <v>45784</v>
          </cell>
          <cell r="E6095">
            <v>46175</v>
          </cell>
          <cell r="F6095" t="str">
            <v>49066</v>
          </cell>
          <cell r="G6095" t="str">
            <v>正文六</v>
          </cell>
          <cell r="H6095">
            <v>200000</v>
          </cell>
          <cell r="I6095">
            <v>4</v>
          </cell>
          <cell r="J6095">
            <v>46175</v>
          </cell>
          <cell r="K6095">
            <v>100</v>
          </cell>
          <cell r="L6095">
            <v>46155</v>
          </cell>
          <cell r="M6095">
            <v>-175</v>
          </cell>
          <cell r="N6095">
            <v>199825</v>
          </cell>
        </row>
        <row r="6096">
          <cell r="A6096">
            <v>30454</v>
          </cell>
          <cell r="B6096">
            <v>6090</v>
          </cell>
          <cell r="C6096" t="str">
            <v>IASWD2505000029</v>
          </cell>
          <cell r="D6096">
            <v>45784</v>
          </cell>
          <cell r="E6096">
            <v>46807</v>
          </cell>
          <cell r="F6096" t="str">
            <v>30454</v>
          </cell>
          <cell r="G6096" t="str">
            <v>台灣大四</v>
          </cell>
          <cell r="H6096">
            <v>200000</v>
          </cell>
          <cell r="I6096">
            <v>2.5</v>
          </cell>
          <cell r="J6096">
            <v>46807</v>
          </cell>
          <cell r="K6096">
            <v>100</v>
          </cell>
          <cell r="L6096">
            <v>46787</v>
          </cell>
          <cell r="M6096">
            <v>-110</v>
          </cell>
          <cell r="N6096">
            <v>199890</v>
          </cell>
        </row>
        <row r="6097">
          <cell r="A6097">
            <v>13166</v>
          </cell>
          <cell r="B6097">
            <v>6091</v>
          </cell>
          <cell r="C6097" t="str">
            <v>IASWD2505000030</v>
          </cell>
          <cell r="D6097">
            <v>45784</v>
          </cell>
          <cell r="E6097">
            <v>46383</v>
          </cell>
          <cell r="F6097" t="str">
            <v>13166</v>
          </cell>
          <cell r="G6097" t="str">
            <v>上曜六</v>
          </cell>
          <cell r="H6097">
            <v>300000</v>
          </cell>
          <cell r="I6097">
            <v>2.5</v>
          </cell>
          <cell r="J6097">
            <v>46383</v>
          </cell>
          <cell r="K6097">
            <v>100.5</v>
          </cell>
          <cell r="L6097">
            <v>46364</v>
          </cell>
          <cell r="M6097">
            <v>-164</v>
          </cell>
          <cell r="N6097">
            <v>299836</v>
          </cell>
        </row>
        <row r="6098">
          <cell r="A6098">
            <v>13166</v>
          </cell>
          <cell r="B6098">
            <v>6092</v>
          </cell>
          <cell r="C6098" t="str">
            <v>IASWD2505000031</v>
          </cell>
          <cell r="D6098">
            <v>45784</v>
          </cell>
          <cell r="E6098">
            <v>46383</v>
          </cell>
          <cell r="F6098" t="str">
            <v>13166</v>
          </cell>
          <cell r="G6098" t="str">
            <v>上曜六</v>
          </cell>
          <cell r="H6098">
            <v>100000</v>
          </cell>
          <cell r="I6098">
            <v>2.5</v>
          </cell>
          <cell r="J6098">
            <v>46383</v>
          </cell>
          <cell r="K6098">
            <v>100.5</v>
          </cell>
          <cell r="L6098">
            <v>46364</v>
          </cell>
          <cell r="M6098">
            <v>-55</v>
          </cell>
          <cell r="N6098">
            <v>99945</v>
          </cell>
        </row>
        <row r="6099">
          <cell r="A6099">
            <v>30454</v>
          </cell>
          <cell r="B6099">
            <v>6093</v>
          </cell>
          <cell r="C6099" t="str">
            <v>IASWD2505000032</v>
          </cell>
          <cell r="D6099">
            <v>45784</v>
          </cell>
          <cell r="E6099">
            <v>46807</v>
          </cell>
          <cell r="F6099" t="str">
            <v>30454</v>
          </cell>
          <cell r="G6099" t="str">
            <v>台灣大四</v>
          </cell>
          <cell r="H6099">
            <v>1500000</v>
          </cell>
          <cell r="I6099">
            <v>2.5</v>
          </cell>
          <cell r="J6099">
            <v>46807</v>
          </cell>
          <cell r="K6099">
            <v>100</v>
          </cell>
          <cell r="L6099">
            <v>46787</v>
          </cell>
          <cell r="M6099">
            <v>-822</v>
          </cell>
          <cell r="N6099">
            <v>1499178</v>
          </cell>
        </row>
        <row r="6100">
          <cell r="A6100">
            <v>30134</v>
          </cell>
          <cell r="B6100">
            <v>6094</v>
          </cell>
          <cell r="C6100" t="str">
            <v>IASWD2505000033</v>
          </cell>
          <cell r="D6100">
            <v>45785</v>
          </cell>
          <cell r="E6100">
            <v>46678</v>
          </cell>
          <cell r="F6100" t="str">
            <v>30134</v>
          </cell>
          <cell r="G6100" t="str">
            <v>晟銘電四</v>
          </cell>
          <cell r="H6100">
            <v>100000</v>
          </cell>
          <cell r="I6100">
            <v>2.5</v>
          </cell>
          <cell r="J6100">
            <v>46678</v>
          </cell>
          <cell r="K6100">
            <v>100</v>
          </cell>
          <cell r="L6100">
            <v>46658</v>
          </cell>
          <cell r="M6100">
            <v>-48</v>
          </cell>
          <cell r="N6100">
            <v>99952</v>
          </cell>
        </row>
        <row r="6101">
          <cell r="A6101">
            <v>30134</v>
          </cell>
          <cell r="B6101">
            <v>6095</v>
          </cell>
          <cell r="C6101" t="str">
            <v>IASWD2505000034</v>
          </cell>
          <cell r="D6101">
            <v>45785</v>
          </cell>
          <cell r="E6101">
            <v>46678</v>
          </cell>
          <cell r="F6101" t="str">
            <v>30134</v>
          </cell>
          <cell r="G6101" t="str">
            <v>晟銘電四</v>
          </cell>
          <cell r="H6101">
            <v>700000</v>
          </cell>
          <cell r="I6101">
            <v>2.5</v>
          </cell>
          <cell r="J6101">
            <v>46678</v>
          </cell>
          <cell r="K6101">
            <v>100</v>
          </cell>
          <cell r="L6101">
            <v>46658</v>
          </cell>
          <cell r="M6101">
            <v>-336</v>
          </cell>
          <cell r="N6101">
            <v>699664</v>
          </cell>
        </row>
        <row r="6102">
          <cell r="A6102">
            <v>68061</v>
          </cell>
          <cell r="B6102">
            <v>6096</v>
          </cell>
          <cell r="C6102" t="str">
            <v>IASWD2505000035</v>
          </cell>
          <cell r="D6102">
            <v>45785</v>
          </cell>
          <cell r="E6102">
            <v>46348</v>
          </cell>
          <cell r="F6102" t="str">
            <v>68061</v>
          </cell>
          <cell r="G6102" t="str">
            <v>森崴能源一</v>
          </cell>
          <cell r="H6102">
            <v>100000</v>
          </cell>
          <cell r="I6102">
            <v>2.5</v>
          </cell>
          <cell r="J6102">
            <v>46348</v>
          </cell>
          <cell r="K6102">
            <v>100</v>
          </cell>
          <cell r="L6102">
            <v>46329</v>
          </cell>
          <cell r="M6102">
            <v>-48</v>
          </cell>
          <cell r="N6102">
            <v>99952</v>
          </cell>
        </row>
        <row r="6103">
          <cell r="A6103">
            <v>82992</v>
          </cell>
          <cell r="B6103">
            <v>6097</v>
          </cell>
          <cell r="C6103" t="str">
            <v>IASWD2505000036</v>
          </cell>
          <cell r="D6103">
            <v>45785</v>
          </cell>
          <cell r="E6103">
            <v>46410</v>
          </cell>
          <cell r="F6103" t="str">
            <v>82992</v>
          </cell>
          <cell r="G6103" t="str">
            <v>群聯二</v>
          </cell>
          <cell r="H6103">
            <v>100000</v>
          </cell>
          <cell r="I6103">
            <v>3</v>
          </cell>
          <cell r="J6103">
            <v>46410</v>
          </cell>
          <cell r="K6103">
            <v>100</v>
          </cell>
          <cell r="L6103">
            <v>46392</v>
          </cell>
          <cell r="M6103">
            <v>-58</v>
          </cell>
          <cell r="N6103">
            <v>99942</v>
          </cell>
        </row>
        <row r="6104">
          <cell r="A6104">
            <v>65841</v>
          </cell>
          <cell r="B6104">
            <v>6098</v>
          </cell>
          <cell r="C6104" t="str">
            <v>IASWD2505000037</v>
          </cell>
          <cell r="D6104">
            <v>45785</v>
          </cell>
          <cell r="E6104">
            <v>46324</v>
          </cell>
          <cell r="F6104" t="str">
            <v>65841</v>
          </cell>
          <cell r="G6104" t="str">
            <v>南俊國際一</v>
          </cell>
          <cell r="H6104">
            <v>100000</v>
          </cell>
          <cell r="I6104">
            <v>2.5</v>
          </cell>
          <cell r="J6104">
            <v>46324</v>
          </cell>
          <cell r="K6104">
            <v>101.0025</v>
          </cell>
          <cell r="L6104">
            <v>46304</v>
          </cell>
          <cell r="M6104">
            <v>-48</v>
          </cell>
          <cell r="N6104">
            <v>99952</v>
          </cell>
        </row>
        <row r="6105">
          <cell r="A6105">
            <v>30134</v>
          </cell>
          <cell r="B6105">
            <v>6099</v>
          </cell>
          <cell r="C6105" t="str">
            <v>IASWD2505000038</v>
          </cell>
          <cell r="D6105">
            <v>45785</v>
          </cell>
          <cell r="E6105">
            <v>46678</v>
          </cell>
          <cell r="F6105" t="str">
            <v>30134</v>
          </cell>
          <cell r="G6105" t="str">
            <v>晟銘電四</v>
          </cell>
          <cell r="H6105">
            <v>100000</v>
          </cell>
          <cell r="I6105">
            <v>2.5</v>
          </cell>
          <cell r="J6105">
            <v>46678</v>
          </cell>
          <cell r="K6105">
            <v>100</v>
          </cell>
          <cell r="L6105">
            <v>46658</v>
          </cell>
          <cell r="M6105">
            <v>-48</v>
          </cell>
          <cell r="N6105">
            <v>99952</v>
          </cell>
        </row>
        <row r="6106">
          <cell r="A6106">
            <v>53064</v>
          </cell>
          <cell r="B6106">
            <v>6100</v>
          </cell>
          <cell r="C6106" t="str">
            <v>IASWD2505000039</v>
          </cell>
          <cell r="D6106">
            <v>45785</v>
          </cell>
          <cell r="E6106">
            <v>46334</v>
          </cell>
          <cell r="F6106" t="str">
            <v>53064</v>
          </cell>
          <cell r="G6106" t="str">
            <v>桂盟四</v>
          </cell>
          <cell r="H6106">
            <v>300000</v>
          </cell>
          <cell r="I6106">
            <v>2.5</v>
          </cell>
          <cell r="J6106">
            <v>46334</v>
          </cell>
          <cell r="K6106">
            <v>100</v>
          </cell>
          <cell r="L6106">
            <v>46315</v>
          </cell>
          <cell r="M6106">
            <v>-144</v>
          </cell>
          <cell r="N6106">
            <v>299856</v>
          </cell>
        </row>
        <row r="6107">
          <cell r="A6107">
            <v>41236</v>
          </cell>
          <cell r="B6107">
            <v>6101</v>
          </cell>
          <cell r="C6107" t="str">
            <v>IASWD2505000040</v>
          </cell>
          <cell r="D6107">
            <v>45785</v>
          </cell>
          <cell r="E6107">
            <v>46869</v>
          </cell>
          <cell r="F6107" t="str">
            <v>41236</v>
          </cell>
          <cell r="G6107" t="str">
            <v>晟德六</v>
          </cell>
          <cell r="H6107">
            <v>200000</v>
          </cell>
          <cell r="I6107">
            <v>2.5</v>
          </cell>
          <cell r="J6107">
            <v>46869</v>
          </cell>
          <cell r="K6107">
            <v>100</v>
          </cell>
          <cell r="L6107">
            <v>46849</v>
          </cell>
          <cell r="M6107">
            <v>-96</v>
          </cell>
          <cell r="N6107">
            <v>199904</v>
          </cell>
        </row>
        <row r="6108">
          <cell r="A6108">
            <v>33621</v>
          </cell>
          <cell r="B6108">
            <v>6102</v>
          </cell>
          <cell r="C6108" t="str">
            <v>IASWD2505000041</v>
          </cell>
          <cell r="D6108">
            <v>45786</v>
          </cell>
          <cell r="E6108">
            <v>46584</v>
          </cell>
          <cell r="F6108" t="str">
            <v>33621</v>
          </cell>
          <cell r="G6108" t="str">
            <v>先進光一</v>
          </cell>
          <cell r="H6108">
            <v>200000</v>
          </cell>
          <cell r="I6108">
            <v>2.5</v>
          </cell>
          <cell r="J6108">
            <v>46584</v>
          </cell>
          <cell r="K6108">
            <v>100.75</v>
          </cell>
          <cell r="L6108">
            <v>46566</v>
          </cell>
          <cell r="M6108">
            <v>-82</v>
          </cell>
          <cell r="N6108">
            <v>199918</v>
          </cell>
        </row>
        <row r="6109">
          <cell r="A6109">
            <v>33621</v>
          </cell>
          <cell r="B6109">
            <v>6103</v>
          </cell>
          <cell r="C6109" t="str">
            <v>IASWD2505000043</v>
          </cell>
          <cell r="D6109">
            <v>45786</v>
          </cell>
          <cell r="E6109">
            <v>46584</v>
          </cell>
          <cell r="F6109" t="str">
            <v>33621</v>
          </cell>
          <cell r="G6109" t="str">
            <v>先進光一</v>
          </cell>
          <cell r="H6109">
            <v>100000</v>
          </cell>
          <cell r="I6109">
            <v>2.5</v>
          </cell>
          <cell r="J6109">
            <v>46584</v>
          </cell>
          <cell r="K6109">
            <v>100.75</v>
          </cell>
          <cell r="L6109">
            <v>46566</v>
          </cell>
          <cell r="M6109">
            <v>-41</v>
          </cell>
          <cell r="N6109">
            <v>99959</v>
          </cell>
        </row>
        <row r="6110">
          <cell r="A6110">
            <v>68061</v>
          </cell>
          <cell r="B6110">
            <v>6104</v>
          </cell>
          <cell r="C6110" t="str">
            <v>IASWD2505000045</v>
          </cell>
          <cell r="D6110">
            <v>45786</v>
          </cell>
          <cell r="E6110">
            <v>46348</v>
          </cell>
          <cell r="F6110" t="str">
            <v>68061</v>
          </cell>
          <cell r="G6110" t="str">
            <v>森崴能源一</v>
          </cell>
          <cell r="H6110">
            <v>500000</v>
          </cell>
          <cell r="I6110">
            <v>2.5</v>
          </cell>
          <cell r="J6110">
            <v>46348</v>
          </cell>
          <cell r="K6110">
            <v>100</v>
          </cell>
          <cell r="L6110">
            <v>46329</v>
          </cell>
          <cell r="M6110">
            <v>-205</v>
          </cell>
          <cell r="N6110">
            <v>499795</v>
          </cell>
        </row>
        <row r="6111">
          <cell r="A6111">
            <v>33621</v>
          </cell>
          <cell r="B6111">
            <v>6105</v>
          </cell>
          <cell r="C6111" t="str">
            <v>IASWD2505000046</v>
          </cell>
          <cell r="D6111">
            <v>45786</v>
          </cell>
          <cell r="E6111">
            <v>46584</v>
          </cell>
          <cell r="F6111" t="str">
            <v>33621</v>
          </cell>
          <cell r="G6111" t="str">
            <v>先進光一</v>
          </cell>
          <cell r="H6111">
            <v>100000</v>
          </cell>
          <cell r="I6111">
            <v>2.5</v>
          </cell>
          <cell r="J6111">
            <v>46584</v>
          </cell>
          <cell r="K6111">
            <v>100.75</v>
          </cell>
          <cell r="L6111">
            <v>46566</v>
          </cell>
          <cell r="M6111">
            <v>-41</v>
          </cell>
          <cell r="N6111">
            <v>99959</v>
          </cell>
        </row>
        <row r="6112">
          <cell r="A6112">
            <v>82992</v>
          </cell>
          <cell r="B6112">
            <v>6106</v>
          </cell>
          <cell r="C6112" t="str">
            <v>IASWD2505000047</v>
          </cell>
          <cell r="D6112">
            <v>45786</v>
          </cell>
          <cell r="E6112">
            <v>46410</v>
          </cell>
          <cell r="F6112" t="str">
            <v>82992</v>
          </cell>
          <cell r="G6112" t="str">
            <v>群聯二</v>
          </cell>
          <cell r="H6112">
            <v>100000</v>
          </cell>
          <cell r="I6112">
            <v>3</v>
          </cell>
          <cell r="J6112">
            <v>46410</v>
          </cell>
          <cell r="K6112">
            <v>100</v>
          </cell>
          <cell r="L6112">
            <v>46392</v>
          </cell>
          <cell r="M6112">
            <v>-49</v>
          </cell>
          <cell r="N6112">
            <v>99951</v>
          </cell>
        </row>
        <row r="6113">
          <cell r="A6113">
            <v>34341</v>
          </cell>
          <cell r="B6113">
            <v>6107</v>
          </cell>
          <cell r="C6113" t="str">
            <v>IASWD2505000048</v>
          </cell>
          <cell r="D6113">
            <v>45786</v>
          </cell>
          <cell r="E6113">
            <v>46445</v>
          </cell>
          <cell r="F6113" t="str">
            <v>34341</v>
          </cell>
          <cell r="G6113" t="str">
            <v>哲固一</v>
          </cell>
          <cell r="H6113">
            <v>200000</v>
          </cell>
          <cell r="I6113">
            <v>2.5</v>
          </cell>
          <cell r="J6113">
            <v>46445</v>
          </cell>
          <cell r="K6113">
            <v>100</v>
          </cell>
          <cell r="L6113">
            <v>46427</v>
          </cell>
          <cell r="M6113">
            <v>-82</v>
          </cell>
          <cell r="N6113">
            <v>199918</v>
          </cell>
        </row>
        <row r="6114">
          <cell r="A6114">
            <v>33621</v>
          </cell>
          <cell r="B6114">
            <v>6108</v>
          </cell>
          <cell r="C6114" t="str">
            <v>IASWD2505000049</v>
          </cell>
          <cell r="D6114">
            <v>45786</v>
          </cell>
          <cell r="E6114">
            <v>46584</v>
          </cell>
          <cell r="F6114" t="str">
            <v>33621</v>
          </cell>
          <cell r="G6114" t="str">
            <v>先進光一</v>
          </cell>
          <cell r="H6114">
            <v>200000</v>
          </cell>
          <cell r="I6114">
            <v>2.5</v>
          </cell>
          <cell r="J6114">
            <v>46584</v>
          </cell>
          <cell r="K6114">
            <v>100.75</v>
          </cell>
          <cell r="L6114">
            <v>46566</v>
          </cell>
          <cell r="M6114">
            <v>-82</v>
          </cell>
          <cell r="N6114">
            <v>199918</v>
          </cell>
        </row>
        <row r="6115">
          <cell r="A6115">
            <v>13166</v>
          </cell>
          <cell r="B6115">
            <v>6109</v>
          </cell>
          <cell r="C6115" t="str">
            <v>IASWD2505000050</v>
          </cell>
          <cell r="D6115">
            <v>45789</v>
          </cell>
          <cell r="E6115">
            <v>46383</v>
          </cell>
          <cell r="F6115" t="str">
            <v>13166</v>
          </cell>
          <cell r="G6115" t="str">
            <v>上曜六</v>
          </cell>
          <cell r="H6115">
            <v>200000</v>
          </cell>
          <cell r="I6115">
            <v>2.5</v>
          </cell>
          <cell r="J6115">
            <v>46383</v>
          </cell>
          <cell r="K6115">
            <v>100.5</v>
          </cell>
          <cell r="L6115">
            <v>46364</v>
          </cell>
          <cell r="M6115">
            <v>-41</v>
          </cell>
          <cell r="N6115">
            <v>199959</v>
          </cell>
        </row>
        <row r="6116">
          <cell r="A6116">
            <v>34912</v>
          </cell>
          <cell r="B6116">
            <v>6110</v>
          </cell>
          <cell r="C6116" t="str">
            <v>IASWD2505000051</v>
          </cell>
          <cell r="D6116">
            <v>45789</v>
          </cell>
          <cell r="E6116">
            <v>46627</v>
          </cell>
          <cell r="F6116" t="str">
            <v>34912</v>
          </cell>
          <cell r="G6116" t="str">
            <v>昇達科二</v>
          </cell>
          <cell r="H6116">
            <v>300000</v>
          </cell>
          <cell r="I6116">
            <v>3.25</v>
          </cell>
          <cell r="J6116">
            <v>46627</v>
          </cell>
          <cell r="K6116">
            <v>100</v>
          </cell>
          <cell r="L6116">
            <v>46609</v>
          </cell>
          <cell r="M6116">
            <v>-80</v>
          </cell>
          <cell r="N6116">
            <v>299920</v>
          </cell>
        </row>
        <row r="6117">
          <cell r="A6117">
            <v>30134</v>
          </cell>
          <cell r="B6117">
            <v>6111</v>
          </cell>
          <cell r="C6117" t="str">
            <v>IASWD2505000052</v>
          </cell>
          <cell r="D6117">
            <v>45789</v>
          </cell>
          <cell r="E6117">
            <v>46678</v>
          </cell>
          <cell r="F6117" t="str">
            <v>30134</v>
          </cell>
          <cell r="G6117" t="str">
            <v>晟銘電四</v>
          </cell>
          <cell r="H6117">
            <v>300000</v>
          </cell>
          <cell r="I6117">
            <v>2.5</v>
          </cell>
          <cell r="J6117">
            <v>46678</v>
          </cell>
          <cell r="K6117">
            <v>100</v>
          </cell>
          <cell r="L6117">
            <v>46658</v>
          </cell>
          <cell r="M6117">
            <v>-62</v>
          </cell>
          <cell r="N6117">
            <v>299938</v>
          </cell>
        </row>
        <row r="6118">
          <cell r="A6118">
            <v>34912</v>
          </cell>
          <cell r="B6118">
            <v>6112</v>
          </cell>
          <cell r="C6118" t="str">
            <v>IASWD2505000053</v>
          </cell>
          <cell r="D6118">
            <v>45789</v>
          </cell>
          <cell r="E6118">
            <v>46627</v>
          </cell>
          <cell r="F6118" t="str">
            <v>34912</v>
          </cell>
          <cell r="G6118" t="str">
            <v>昇達科二</v>
          </cell>
          <cell r="H6118">
            <v>100000</v>
          </cell>
          <cell r="I6118">
            <v>3.25</v>
          </cell>
          <cell r="J6118">
            <v>46627</v>
          </cell>
          <cell r="K6118">
            <v>100</v>
          </cell>
          <cell r="L6118">
            <v>46609</v>
          </cell>
          <cell r="M6118">
            <v>-27</v>
          </cell>
          <cell r="N6118">
            <v>99973</v>
          </cell>
        </row>
        <row r="6119">
          <cell r="A6119">
            <v>30134</v>
          </cell>
          <cell r="B6119">
            <v>6113</v>
          </cell>
          <cell r="C6119" t="str">
            <v>IASWD2505000054</v>
          </cell>
          <cell r="D6119">
            <v>45789</v>
          </cell>
          <cell r="E6119">
            <v>46678</v>
          </cell>
          <cell r="F6119" t="str">
            <v>30134</v>
          </cell>
          <cell r="G6119" t="str">
            <v>晟銘電四</v>
          </cell>
          <cell r="H6119">
            <v>700000</v>
          </cell>
          <cell r="I6119">
            <v>2.5</v>
          </cell>
          <cell r="J6119">
            <v>46678</v>
          </cell>
          <cell r="K6119">
            <v>100</v>
          </cell>
          <cell r="L6119">
            <v>46658</v>
          </cell>
          <cell r="M6119">
            <v>-144</v>
          </cell>
          <cell r="N6119">
            <v>699856</v>
          </cell>
        </row>
        <row r="6120">
          <cell r="A6120">
            <v>68541</v>
          </cell>
          <cell r="B6120">
            <v>6114</v>
          </cell>
          <cell r="C6120" t="str">
            <v>IASWD2505000055</v>
          </cell>
          <cell r="D6120">
            <v>45789</v>
          </cell>
          <cell r="E6120">
            <v>46445</v>
          </cell>
          <cell r="F6120" t="str">
            <v>68541</v>
          </cell>
          <cell r="G6120" t="str">
            <v>錼創科技一KY創</v>
          </cell>
          <cell r="H6120">
            <v>100000</v>
          </cell>
          <cell r="I6120">
            <v>2.5</v>
          </cell>
          <cell r="J6120">
            <v>46445</v>
          </cell>
          <cell r="K6120">
            <v>101.0025</v>
          </cell>
          <cell r="L6120">
            <v>46427</v>
          </cell>
          <cell r="M6120">
            <v>-21</v>
          </cell>
          <cell r="N6120">
            <v>99979</v>
          </cell>
        </row>
        <row r="6121">
          <cell r="A6121">
            <v>53064</v>
          </cell>
          <cell r="B6121">
            <v>6115</v>
          </cell>
          <cell r="C6121" t="str">
            <v>IASWD2505000056</v>
          </cell>
          <cell r="D6121">
            <v>45789</v>
          </cell>
          <cell r="E6121">
            <v>46334</v>
          </cell>
          <cell r="F6121" t="str">
            <v>53064</v>
          </cell>
          <cell r="G6121" t="str">
            <v>桂盟四</v>
          </cell>
          <cell r="H6121">
            <v>1000000</v>
          </cell>
          <cell r="I6121">
            <v>2.5</v>
          </cell>
          <cell r="J6121">
            <v>46334</v>
          </cell>
          <cell r="K6121">
            <v>100</v>
          </cell>
          <cell r="L6121">
            <v>46315</v>
          </cell>
          <cell r="M6121">
            <v>-205</v>
          </cell>
          <cell r="N6121">
            <v>999795</v>
          </cell>
        </row>
        <row r="6122">
          <cell r="A6122">
            <v>82992</v>
          </cell>
          <cell r="B6122">
            <v>6116</v>
          </cell>
          <cell r="C6122" t="str">
            <v>IASWD2505000057</v>
          </cell>
          <cell r="D6122">
            <v>45789</v>
          </cell>
          <cell r="E6122">
            <v>46410</v>
          </cell>
          <cell r="F6122" t="str">
            <v>82992</v>
          </cell>
          <cell r="G6122" t="str">
            <v>群聯二</v>
          </cell>
          <cell r="H6122">
            <v>100000</v>
          </cell>
          <cell r="I6122">
            <v>3</v>
          </cell>
          <cell r="J6122">
            <v>46410</v>
          </cell>
          <cell r="K6122">
            <v>100</v>
          </cell>
          <cell r="L6122">
            <v>46392</v>
          </cell>
          <cell r="M6122">
            <v>-25</v>
          </cell>
          <cell r="N6122">
            <v>99975</v>
          </cell>
        </row>
        <row r="6123">
          <cell r="A6123">
            <v>84891</v>
          </cell>
          <cell r="B6123">
            <v>6117</v>
          </cell>
          <cell r="C6123" t="str">
            <v>IASWD2505000058</v>
          </cell>
          <cell r="D6123">
            <v>45789</v>
          </cell>
          <cell r="E6123">
            <v>46365</v>
          </cell>
          <cell r="F6123" t="str">
            <v>84891</v>
          </cell>
          <cell r="G6123" t="str">
            <v>三貝德一</v>
          </cell>
          <cell r="H6123">
            <v>200000</v>
          </cell>
          <cell r="I6123">
            <v>2.5</v>
          </cell>
          <cell r="J6123">
            <v>46365</v>
          </cell>
          <cell r="K6123">
            <v>100.20010000000001</v>
          </cell>
          <cell r="L6123">
            <v>46345</v>
          </cell>
          <cell r="M6123">
            <v>-41</v>
          </cell>
          <cell r="N6123">
            <v>199959</v>
          </cell>
        </row>
        <row r="6124">
          <cell r="A6124">
            <v>53064</v>
          </cell>
          <cell r="B6124">
            <v>6118</v>
          </cell>
          <cell r="C6124" t="str">
            <v>IASWD2505000059</v>
          </cell>
          <cell r="D6124">
            <v>45789</v>
          </cell>
          <cell r="E6124">
            <v>46334</v>
          </cell>
          <cell r="F6124" t="str">
            <v>53064</v>
          </cell>
          <cell r="G6124" t="str">
            <v>桂盟四</v>
          </cell>
          <cell r="H6124">
            <v>200000</v>
          </cell>
          <cell r="I6124">
            <v>2.5</v>
          </cell>
          <cell r="J6124">
            <v>46334</v>
          </cell>
          <cell r="K6124">
            <v>100</v>
          </cell>
          <cell r="L6124">
            <v>46315</v>
          </cell>
          <cell r="M6124">
            <v>-41</v>
          </cell>
          <cell r="N6124">
            <v>199959</v>
          </cell>
        </row>
        <row r="6125">
          <cell r="A6125">
            <v>41236</v>
          </cell>
          <cell r="B6125">
            <v>6119</v>
          </cell>
          <cell r="C6125" t="str">
            <v>IASWD2505000060</v>
          </cell>
          <cell r="D6125">
            <v>45789</v>
          </cell>
          <cell r="E6125">
            <v>46869</v>
          </cell>
          <cell r="F6125" t="str">
            <v>41236</v>
          </cell>
          <cell r="G6125" t="str">
            <v>晟德六</v>
          </cell>
          <cell r="H6125">
            <v>100000</v>
          </cell>
          <cell r="I6125">
            <v>2.5</v>
          </cell>
          <cell r="J6125">
            <v>46869</v>
          </cell>
          <cell r="K6125">
            <v>100</v>
          </cell>
          <cell r="L6125">
            <v>46849</v>
          </cell>
          <cell r="M6125">
            <v>-21</v>
          </cell>
          <cell r="N6125">
            <v>99979</v>
          </cell>
        </row>
        <row r="6126">
          <cell r="A6126">
            <v>33621</v>
          </cell>
          <cell r="B6126">
            <v>6120</v>
          </cell>
          <cell r="C6126" t="str">
            <v>IASWD2505000061</v>
          </cell>
          <cell r="D6126">
            <v>45789</v>
          </cell>
          <cell r="E6126">
            <v>46584</v>
          </cell>
          <cell r="F6126" t="str">
            <v>33621</v>
          </cell>
          <cell r="G6126" t="str">
            <v>先進光一</v>
          </cell>
          <cell r="H6126">
            <v>100000</v>
          </cell>
          <cell r="I6126">
            <v>2.5</v>
          </cell>
          <cell r="J6126">
            <v>46584</v>
          </cell>
          <cell r="K6126">
            <v>100.75</v>
          </cell>
          <cell r="L6126">
            <v>46566</v>
          </cell>
          <cell r="M6126">
            <v>-21</v>
          </cell>
          <cell r="N6126">
            <v>99979</v>
          </cell>
        </row>
        <row r="6127">
          <cell r="A6127">
            <v>99211</v>
          </cell>
          <cell r="B6127">
            <v>6121</v>
          </cell>
          <cell r="C6127" t="str">
            <v>IASWD2505000062</v>
          </cell>
          <cell r="D6127">
            <v>45789</v>
          </cell>
          <cell r="E6127">
            <v>46551</v>
          </cell>
          <cell r="F6127" t="str">
            <v>99211</v>
          </cell>
          <cell r="G6127" t="str">
            <v>巨大一</v>
          </cell>
          <cell r="H6127">
            <v>200000</v>
          </cell>
          <cell r="I6127">
            <v>3</v>
          </cell>
          <cell r="J6127">
            <v>46551</v>
          </cell>
          <cell r="K6127">
            <v>100</v>
          </cell>
          <cell r="L6127">
            <v>46532</v>
          </cell>
          <cell r="M6127">
            <v>-49</v>
          </cell>
          <cell r="N6127">
            <v>199951</v>
          </cell>
        </row>
        <row r="6128">
          <cell r="A6128">
            <v>84891</v>
          </cell>
          <cell r="B6128">
            <v>6122</v>
          </cell>
          <cell r="C6128" t="str">
            <v>IASWD2505000063</v>
          </cell>
          <cell r="D6128">
            <v>45789</v>
          </cell>
          <cell r="E6128">
            <v>46365</v>
          </cell>
          <cell r="F6128" t="str">
            <v>84891</v>
          </cell>
          <cell r="G6128" t="str">
            <v>三貝德一</v>
          </cell>
          <cell r="H6128">
            <v>1000000</v>
          </cell>
          <cell r="I6128">
            <v>2.5</v>
          </cell>
          <cell r="J6128">
            <v>46365</v>
          </cell>
          <cell r="K6128">
            <v>100.20010000000001</v>
          </cell>
          <cell r="L6128">
            <v>46345</v>
          </cell>
          <cell r="M6128">
            <v>-205</v>
          </cell>
          <cell r="N6128">
            <v>999795</v>
          </cell>
        </row>
        <row r="6129">
          <cell r="A6129">
            <v>34341</v>
          </cell>
          <cell r="B6129">
            <v>6123</v>
          </cell>
          <cell r="C6129" t="str">
            <v>IASWD2505000064</v>
          </cell>
          <cell r="D6129">
            <v>45789</v>
          </cell>
          <cell r="E6129">
            <v>46445</v>
          </cell>
          <cell r="F6129" t="str">
            <v>34341</v>
          </cell>
          <cell r="G6129" t="str">
            <v>哲固一</v>
          </cell>
          <cell r="H6129">
            <v>300000</v>
          </cell>
          <cell r="I6129">
            <v>2.5</v>
          </cell>
          <cell r="J6129">
            <v>46445</v>
          </cell>
          <cell r="K6129">
            <v>100</v>
          </cell>
          <cell r="L6129">
            <v>46427</v>
          </cell>
          <cell r="M6129">
            <v>-62</v>
          </cell>
          <cell r="N6129">
            <v>299938</v>
          </cell>
        </row>
        <row r="6130">
          <cell r="A6130">
            <v>68541</v>
          </cell>
          <cell r="B6130">
            <v>6124</v>
          </cell>
          <cell r="C6130" t="str">
            <v>IASWD2505000065</v>
          </cell>
          <cell r="D6130">
            <v>45789</v>
          </cell>
          <cell r="E6130">
            <v>46445</v>
          </cell>
          <cell r="F6130" t="str">
            <v>68541</v>
          </cell>
          <cell r="G6130" t="str">
            <v>錼創科技一KY創</v>
          </cell>
          <cell r="H6130">
            <v>200000</v>
          </cell>
          <cell r="I6130">
            <v>2.5</v>
          </cell>
          <cell r="J6130">
            <v>46445</v>
          </cell>
          <cell r="K6130">
            <v>101.0025</v>
          </cell>
          <cell r="L6130">
            <v>46427</v>
          </cell>
          <cell r="M6130">
            <v>-41</v>
          </cell>
          <cell r="N6130">
            <v>199959</v>
          </cell>
        </row>
        <row r="6131">
          <cell r="A6131">
            <v>82992</v>
          </cell>
          <cell r="B6131">
            <v>6125</v>
          </cell>
          <cell r="C6131" t="str">
            <v>IASWD2505000066</v>
          </cell>
          <cell r="D6131">
            <v>45790</v>
          </cell>
          <cell r="E6131">
            <v>46410</v>
          </cell>
          <cell r="F6131" t="str">
            <v>82992</v>
          </cell>
          <cell r="G6131" t="str">
            <v>群聯二</v>
          </cell>
          <cell r="H6131">
            <v>200000</v>
          </cell>
          <cell r="I6131">
            <v>3</v>
          </cell>
          <cell r="J6131">
            <v>46410</v>
          </cell>
          <cell r="K6131">
            <v>100</v>
          </cell>
          <cell r="L6131">
            <v>46392</v>
          </cell>
          <cell r="M6131">
            <v>-33</v>
          </cell>
          <cell r="N6131">
            <v>199967</v>
          </cell>
        </row>
        <row r="6132">
          <cell r="A6132">
            <v>34912</v>
          </cell>
          <cell r="B6132">
            <v>6126</v>
          </cell>
          <cell r="C6132" t="str">
            <v>IASWD2505000067</v>
          </cell>
          <cell r="D6132">
            <v>45790</v>
          </cell>
          <cell r="E6132">
            <v>46627</v>
          </cell>
          <cell r="F6132" t="str">
            <v>34912</v>
          </cell>
          <cell r="G6132" t="str">
            <v>昇達科二</v>
          </cell>
          <cell r="H6132">
            <v>200000</v>
          </cell>
          <cell r="I6132">
            <v>3.25</v>
          </cell>
          <cell r="J6132">
            <v>46627</v>
          </cell>
          <cell r="K6132">
            <v>100</v>
          </cell>
          <cell r="L6132">
            <v>46609</v>
          </cell>
          <cell r="M6132">
            <v>-36</v>
          </cell>
          <cell r="N6132">
            <v>199964</v>
          </cell>
        </row>
        <row r="6133">
          <cell r="A6133">
            <v>33621</v>
          </cell>
          <cell r="B6133">
            <v>6127</v>
          </cell>
          <cell r="C6133" t="str">
            <v>IASWD2505000068</v>
          </cell>
          <cell r="D6133">
            <v>45790</v>
          </cell>
          <cell r="E6133">
            <v>46584</v>
          </cell>
          <cell r="F6133" t="str">
            <v>33621</v>
          </cell>
          <cell r="G6133" t="str">
            <v>先進光一</v>
          </cell>
          <cell r="H6133">
            <v>100000</v>
          </cell>
          <cell r="I6133">
            <v>2.5</v>
          </cell>
          <cell r="J6133">
            <v>46584</v>
          </cell>
          <cell r="K6133">
            <v>100.75</v>
          </cell>
          <cell r="L6133">
            <v>46566</v>
          </cell>
          <cell r="M6133">
            <v>-14</v>
          </cell>
          <cell r="N6133">
            <v>99986</v>
          </cell>
        </row>
        <row r="6134">
          <cell r="A6134">
            <v>68541</v>
          </cell>
          <cell r="B6134">
            <v>6128</v>
          </cell>
          <cell r="C6134" t="str">
            <v>IASWD2505000069</v>
          </cell>
          <cell r="D6134">
            <v>45790</v>
          </cell>
          <cell r="E6134">
            <v>46445</v>
          </cell>
          <cell r="F6134" t="str">
            <v>68541</v>
          </cell>
          <cell r="G6134" t="str">
            <v>錼創科技一KY創</v>
          </cell>
          <cell r="H6134">
            <v>100000</v>
          </cell>
          <cell r="I6134">
            <v>2.5</v>
          </cell>
          <cell r="J6134">
            <v>46445</v>
          </cell>
          <cell r="K6134">
            <v>101.0025</v>
          </cell>
          <cell r="L6134">
            <v>46427</v>
          </cell>
          <cell r="M6134">
            <v>-14</v>
          </cell>
          <cell r="N6134">
            <v>99986</v>
          </cell>
        </row>
        <row r="6135">
          <cell r="A6135">
            <v>82992</v>
          </cell>
          <cell r="B6135">
            <v>6129</v>
          </cell>
          <cell r="C6135" t="str">
            <v>IASWD2505000070</v>
          </cell>
          <cell r="D6135">
            <v>45790</v>
          </cell>
          <cell r="E6135">
            <v>46410</v>
          </cell>
          <cell r="F6135" t="str">
            <v>82992</v>
          </cell>
          <cell r="G6135" t="str">
            <v>群聯二</v>
          </cell>
          <cell r="H6135">
            <v>100000</v>
          </cell>
          <cell r="I6135">
            <v>3</v>
          </cell>
          <cell r="J6135">
            <v>46410</v>
          </cell>
          <cell r="K6135">
            <v>100</v>
          </cell>
          <cell r="L6135">
            <v>46392</v>
          </cell>
          <cell r="M6135">
            <v>-16</v>
          </cell>
          <cell r="N6135">
            <v>99984</v>
          </cell>
        </row>
        <row r="6136">
          <cell r="A6136">
            <v>56086</v>
          </cell>
          <cell r="B6136">
            <v>6130</v>
          </cell>
          <cell r="C6136" t="str">
            <v>IASWD2505000071</v>
          </cell>
          <cell r="D6136">
            <v>45790</v>
          </cell>
          <cell r="E6136">
            <v>46194</v>
          </cell>
          <cell r="F6136" t="str">
            <v>56086</v>
          </cell>
          <cell r="G6136" t="str">
            <v>四維航六</v>
          </cell>
          <cell r="H6136">
            <v>200000</v>
          </cell>
          <cell r="I6136">
            <v>2.5</v>
          </cell>
          <cell r="J6136">
            <v>46194</v>
          </cell>
          <cell r="K6136">
            <v>100</v>
          </cell>
          <cell r="L6136">
            <v>46175</v>
          </cell>
          <cell r="M6136">
            <v>-27</v>
          </cell>
          <cell r="N6136">
            <v>199973</v>
          </cell>
        </row>
        <row r="6137">
          <cell r="A6137">
            <v>82992</v>
          </cell>
          <cell r="B6137">
            <v>6131</v>
          </cell>
          <cell r="C6137" t="str">
            <v>IASWD2505000072</v>
          </cell>
          <cell r="D6137">
            <v>45790</v>
          </cell>
          <cell r="E6137">
            <v>46410</v>
          </cell>
          <cell r="F6137" t="str">
            <v>82992</v>
          </cell>
          <cell r="G6137" t="str">
            <v>群聯二</v>
          </cell>
          <cell r="H6137">
            <v>100000</v>
          </cell>
          <cell r="I6137">
            <v>3</v>
          </cell>
          <cell r="J6137">
            <v>46410</v>
          </cell>
          <cell r="K6137">
            <v>100</v>
          </cell>
          <cell r="L6137">
            <v>46392</v>
          </cell>
          <cell r="M6137">
            <v>-16</v>
          </cell>
          <cell r="N6137">
            <v>99984</v>
          </cell>
        </row>
        <row r="6138">
          <cell r="A6138">
            <v>30134</v>
          </cell>
          <cell r="B6138">
            <v>6132</v>
          </cell>
          <cell r="C6138" t="str">
            <v>IASWD2505000073</v>
          </cell>
          <cell r="D6138">
            <v>45790</v>
          </cell>
          <cell r="E6138">
            <v>46678</v>
          </cell>
          <cell r="F6138" t="str">
            <v>30134</v>
          </cell>
          <cell r="G6138" t="str">
            <v>晟銘電四</v>
          </cell>
          <cell r="H6138">
            <v>100000</v>
          </cell>
          <cell r="I6138">
            <v>2.5</v>
          </cell>
          <cell r="J6138">
            <v>46678</v>
          </cell>
          <cell r="K6138">
            <v>100</v>
          </cell>
          <cell r="L6138">
            <v>46658</v>
          </cell>
          <cell r="M6138">
            <v>-14</v>
          </cell>
          <cell r="N6138">
            <v>99986</v>
          </cell>
        </row>
        <row r="6139">
          <cell r="A6139">
            <v>99211</v>
          </cell>
          <cell r="B6139">
            <v>6133</v>
          </cell>
          <cell r="C6139" t="str">
            <v>IASWD2505000074</v>
          </cell>
          <cell r="D6139">
            <v>45790</v>
          </cell>
          <cell r="E6139">
            <v>46551</v>
          </cell>
          <cell r="F6139" t="str">
            <v>99211</v>
          </cell>
          <cell r="G6139" t="str">
            <v>巨大一</v>
          </cell>
          <cell r="H6139">
            <v>100000</v>
          </cell>
          <cell r="I6139">
            <v>3</v>
          </cell>
          <cell r="J6139">
            <v>46551</v>
          </cell>
          <cell r="K6139">
            <v>100</v>
          </cell>
          <cell r="L6139">
            <v>46532</v>
          </cell>
          <cell r="M6139">
            <v>-16</v>
          </cell>
          <cell r="N6139">
            <v>99984</v>
          </cell>
        </row>
        <row r="6140">
          <cell r="A6140">
            <v>30134</v>
          </cell>
          <cell r="B6140">
            <v>6134</v>
          </cell>
          <cell r="C6140" t="str">
            <v>IASWD2505000075</v>
          </cell>
          <cell r="D6140">
            <v>45790</v>
          </cell>
          <cell r="E6140">
            <v>46678</v>
          </cell>
          <cell r="F6140" t="str">
            <v>30134</v>
          </cell>
          <cell r="G6140" t="str">
            <v>晟銘電四</v>
          </cell>
          <cell r="H6140">
            <v>100000</v>
          </cell>
          <cell r="I6140">
            <v>2.5</v>
          </cell>
          <cell r="J6140">
            <v>46678</v>
          </cell>
          <cell r="K6140">
            <v>100</v>
          </cell>
          <cell r="L6140">
            <v>46658</v>
          </cell>
          <cell r="M6140">
            <v>-14</v>
          </cell>
          <cell r="N6140">
            <v>99986</v>
          </cell>
        </row>
        <row r="6141">
          <cell r="A6141">
            <v>49066</v>
          </cell>
          <cell r="B6141">
            <v>6135</v>
          </cell>
          <cell r="C6141" t="str">
            <v>IASWD2505000076</v>
          </cell>
          <cell r="D6141">
            <v>45790</v>
          </cell>
          <cell r="E6141">
            <v>46175</v>
          </cell>
          <cell r="F6141" t="str">
            <v>49066</v>
          </cell>
          <cell r="G6141" t="str">
            <v>正文六</v>
          </cell>
          <cell r="H6141">
            <v>300000</v>
          </cell>
          <cell r="I6141">
            <v>4</v>
          </cell>
          <cell r="J6141">
            <v>46175</v>
          </cell>
          <cell r="K6141">
            <v>100</v>
          </cell>
          <cell r="L6141">
            <v>46155</v>
          </cell>
          <cell r="M6141">
            <v>-66</v>
          </cell>
          <cell r="N6141">
            <v>299934</v>
          </cell>
        </row>
        <row r="6142">
          <cell r="A6142">
            <v>33621</v>
          </cell>
          <cell r="B6142">
            <v>6136</v>
          </cell>
          <cell r="C6142" t="str">
            <v>IASWD2505000077</v>
          </cell>
          <cell r="D6142">
            <v>45790</v>
          </cell>
          <cell r="E6142">
            <v>46584</v>
          </cell>
          <cell r="F6142" t="str">
            <v>33621</v>
          </cell>
          <cell r="G6142" t="str">
            <v>先進光一</v>
          </cell>
          <cell r="H6142">
            <v>100000</v>
          </cell>
          <cell r="I6142">
            <v>2.5</v>
          </cell>
          <cell r="J6142">
            <v>46584</v>
          </cell>
          <cell r="K6142">
            <v>100.75</v>
          </cell>
          <cell r="L6142">
            <v>46566</v>
          </cell>
          <cell r="M6142">
            <v>-14</v>
          </cell>
          <cell r="N6142">
            <v>99986</v>
          </cell>
        </row>
        <row r="6143">
          <cell r="A6143">
            <v>33621</v>
          </cell>
          <cell r="B6143">
            <v>6137</v>
          </cell>
          <cell r="C6143" t="str">
            <v>IASWD2505000078</v>
          </cell>
          <cell r="D6143">
            <v>45790</v>
          </cell>
          <cell r="E6143">
            <v>46584</v>
          </cell>
          <cell r="F6143" t="str">
            <v>33621</v>
          </cell>
          <cell r="G6143" t="str">
            <v>先進光一</v>
          </cell>
          <cell r="H6143">
            <v>100000</v>
          </cell>
          <cell r="I6143">
            <v>2.5</v>
          </cell>
          <cell r="J6143">
            <v>46584</v>
          </cell>
          <cell r="K6143">
            <v>100.75</v>
          </cell>
          <cell r="L6143">
            <v>46566</v>
          </cell>
          <cell r="M6143">
            <v>-14</v>
          </cell>
          <cell r="N6143">
            <v>99986</v>
          </cell>
        </row>
        <row r="6144">
          <cell r="A6144">
            <v>13166</v>
          </cell>
          <cell r="B6144">
            <v>6138</v>
          </cell>
          <cell r="C6144" t="str">
            <v>IASWD2505000079</v>
          </cell>
          <cell r="D6144">
            <v>45790</v>
          </cell>
          <cell r="E6144">
            <v>46383</v>
          </cell>
          <cell r="F6144" t="str">
            <v>13166</v>
          </cell>
          <cell r="G6144" t="str">
            <v>上曜六</v>
          </cell>
          <cell r="H6144">
            <v>300000</v>
          </cell>
          <cell r="I6144">
            <v>2.5</v>
          </cell>
          <cell r="J6144">
            <v>46383</v>
          </cell>
          <cell r="K6144">
            <v>100.5</v>
          </cell>
          <cell r="L6144">
            <v>46364</v>
          </cell>
          <cell r="M6144">
            <v>-41</v>
          </cell>
          <cell r="N6144">
            <v>299959</v>
          </cell>
        </row>
        <row r="6145">
          <cell r="A6145">
            <v>30134</v>
          </cell>
          <cell r="B6145">
            <v>6139</v>
          </cell>
          <cell r="C6145" t="str">
            <v>IASWD2505000080</v>
          </cell>
          <cell r="D6145">
            <v>45790</v>
          </cell>
          <cell r="E6145">
            <v>46678</v>
          </cell>
          <cell r="F6145" t="str">
            <v>30134</v>
          </cell>
          <cell r="G6145" t="str">
            <v>晟銘電四</v>
          </cell>
          <cell r="H6145">
            <v>300000</v>
          </cell>
          <cell r="I6145">
            <v>2.5</v>
          </cell>
          <cell r="J6145">
            <v>46678</v>
          </cell>
          <cell r="K6145">
            <v>100</v>
          </cell>
          <cell r="L6145">
            <v>46658</v>
          </cell>
          <cell r="M6145">
            <v>-41</v>
          </cell>
          <cell r="N6145">
            <v>299959</v>
          </cell>
        </row>
        <row r="6146">
          <cell r="A6146">
            <v>30134</v>
          </cell>
          <cell r="B6146">
            <v>6140</v>
          </cell>
          <cell r="C6146" t="str">
            <v>IASWD2505000081</v>
          </cell>
          <cell r="D6146">
            <v>45791</v>
          </cell>
          <cell r="E6146">
            <v>46678</v>
          </cell>
          <cell r="F6146" t="str">
            <v>30134</v>
          </cell>
          <cell r="G6146" t="str">
            <v>晟銘電四</v>
          </cell>
          <cell r="H6146">
            <v>100000</v>
          </cell>
          <cell r="I6146">
            <v>2.5</v>
          </cell>
          <cell r="J6146">
            <v>46678</v>
          </cell>
          <cell r="K6146">
            <v>100</v>
          </cell>
          <cell r="L6146">
            <v>46658</v>
          </cell>
          <cell r="M6146">
            <v>-7</v>
          </cell>
          <cell r="N6146">
            <v>99993</v>
          </cell>
        </row>
        <row r="6147">
          <cell r="A6147">
            <v>99211</v>
          </cell>
          <cell r="B6147">
            <v>6141</v>
          </cell>
          <cell r="C6147" t="str">
            <v>IASWD2505000082</v>
          </cell>
          <cell r="D6147">
            <v>45791</v>
          </cell>
          <cell r="E6147">
            <v>46551</v>
          </cell>
          <cell r="F6147" t="str">
            <v>99211</v>
          </cell>
          <cell r="G6147" t="str">
            <v>巨大一</v>
          </cell>
          <cell r="H6147">
            <v>300000</v>
          </cell>
          <cell r="I6147">
            <v>3</v>
          </cell>
          <cell r="J6147">
            <v>46551</v>
          </cell>
          <cell r="K6147">
            <v>100</v>
          </cell>
          <cell r="L6147">
            <v>46532</v>
          </cell>
          <cell r="M6147">
            <v>-25</v>
          </cell>
          <cell r="N6147">
            <v>299975</v>
          </cell>
        </row>
        <row r="6148">
          <cell r="A6148">
            <v>33621</v>
          </cell>
          <cell r="B6148">
            <v>6142</v>
          </cell>
          <cell r="C6148" t="str">
            <v>IASWD2505000083</v>
          </cell>
          <cell r="D6148">
            <v>45791</v>
          </cell>
          <cell r="E6148">
            <v>46584</v>
          </cell>
          <cell r="F6148" t="str">
            <v>33621</v>
          </cell>
          <cell r="G6148" t="str">
            <v>先進光一</v>
          </cell>
          <cell r="H6148">
            <v>100000</v>
          </cell>
          <cell r="I6148">
            <v>2.5</v>
          </cell>
          <cell r="J6148">
            <v>46584</v>
          </cell>
          <cell r="K6148">
            <v>100.75</v>
          </cell>
          <cell r="L6148">
            <v>46566</v>
          </cell>
          <cell r="M6148">
            <v>-7</v>
          </cell>
          <cell r="N6148">
            <v>99993</v>
          </cell>
        </row>
        <row r="6149">
          <cell r="A6149">
            <v>68061</v>
          </cell>
          <cell r="B6149">
            <v>6143</v>
          </cell>
          <cell r="C6149" t="str">
            <v>IASWD2505000084</v>
          </cell>
          <cell r="D6149">
            <v>45791</v>
          </cell>
          <cell r="E6149">
            <v>46348</v>
          </cell>
          <cell r="F6149" t="str">
            <v>68061</v>
          </cell>
          <cell r="G6149" t="str">
            <v>森崴能源一</v>
          </cell>
          <cell r="H6149">
            <v>100000</v>
          </cell>
          <cell r="I6149">
            <v>2.5</v>
          </cell>
          <cell r="J6149">
            <v>46348</v>
          </cell>
          <cell r="K6149">
            <v>100</v>
          </cell>
          <cell r="L6149">
            <v>46329</v>
          </cell>
          <cell r="M6149">
            <v>-7</v>
          </cell>
          <cell r="N6149">
            <v>99993</v>
          </cell>
        </row>
        <row r="6150">
          <cell r="A6150">
            <v>13166</v>
          </cell>
          <cell r="B6150">
            <v>6144</v>
          </cell>
          <cell r="C6150" t="str">
            <v>IASWD2505000085</v>
          </cell>
          <cell r="D6150">
            <v>45791</v>
          </cell>
          <cell r="E6150">
            <v>46383</v>
          </cell>
          <cell r="F6150" t="str">
            <v>13166</v>
          </cell>
          <cell r="G6150" t="str">
            <v>上曜六</v>
          </cell>
          <cell r="H6150">
            <v>100000</v>
          </cell>
          <cell r="I6150">
            <v>2.5</v>
          </cell>
          <cell r="J6150">
            <v>46383</v>
          </cell>
          <cell r="K6150">
            <v>100.5</v>
          </cell>
          <cell r="L6150">
            <v>46364</v>
          </cell>
          <cell r="M6150">
            <v>-7</v>
          </cell>
          <cell r="N6150">
            <v>99993</v>
          </cell>
        </row>
        <row r="6151">
          <cell r="A6151">
            <v>68541</v>
          </cell>
          <cell r="B6151">
            <v>6145</v>
          </cell>
          <cell r="C6151" t="str">
            <v>IASWD2505000086</v>
          </cell>
          <cell r="D6151">
            <v>45791</v>
          </cell>
          <cell r="E6151">
            <v>46445</v>
          </cell>
          <cell r="F6151" t="str">
            <v>68541</v>
          </cell>
          <cell r="G6151" t="str">
            <v>錼創科技一KY創</v>
          </cell>
          <cell r="H6151">
            <v>300000</v>
          </cell>
          <cell r="I6151">
            <v>2.5</v>
          </cell>
          <cell r="J6151">
            <v>46445</v>
          </cell>
          <cell r="K6151">
            <v>101.0025</v>
          </cell>
          <cell r="L6151">
            <v>46427</v>
          </cell>
          <cell r="M6151">
            <v>-21</v>
          </cell>
          <cell r="N6151">
            <v>299979</v>
          </cell>
        </row>
        <row r="6152">
          <cell r="A6152">
            <v>13166</v>
          </cell>
          <cell r="B6152">
            <v>6146</v>
          </cell>
          <cell r="C6152" t="str">
            <v>IASWD2505000087</v>
          </cell>
          <cell r="D6152">
            <v>45791</v>
          </cell>
          <cell r="E6152">
            <v>46383</v>
          </cell>
          <cell r="F6152" t="str">
            <v>13166</v>
          </cell>
          <cell r="G6152" t="str">
            <v>上曜六</v>
          </cell>
          <cell r="H6152">
            <v>200000</v>
          </cell>
          <cell r="I6152">
            <v>2.5</v>
          </cell>
          <cell r="J6152">
            <v>46383</v>
          </cell>
          <cell r="K6152">
            <v>100.5</v>
          </cell>
          <cell r="L6152">
            <v>46364</v>
          </cell>
          <cell r="M6152">
            <v>-14</v>
          </cell>
          <cell r="N6152">
            <v>199986</v>
          </cell>
        </row>
        <row r="6153">
          <cell r="A6153">
            <v>68061</v>
          </cell>
          <cell r="B6153">
            <v>6147</v>
          </cell>
          <cell r="C6153" t="str">
            <v>IASWD2505000088</v>
          </cell>
          <cell r="D6153">
            <v>45791</v>
          </cell>
          <cell r="E6153">
            <v>46348</v>
          </cell>
          <cell r="F6153" t="str">
            <v>68061</v>
          </cell>
          <cell r="G6153" t="str">
            <v>森崴能源一</v>
          </cell>
          <cell r="H6153">
            <v>500000</v>
          </cell>
          <cell r="I6153">
            <v>2.5</v>
          </cell>
          <cell r="J6153">
            <v>46348</v>
          </cell>
          <cell r="K6153">
            <v>100</v>
          </cell>
          <cell r="L6153">
            <v>46329</v>
          </cell>
          <cell r="M6153">
            <v>-34</v>
          </cell>
          <cell r="N6153">
            <v>499966</v>
          </cell>
        </row>
        <row r="6154">
          <cell r="A6154">
            <v>33621</v>
          </cell>
          <cell r="B6154">
            <v>6148</v>
          </cell>
          <cell r="C6154" t="str">
            <v>IASWD2505000089</v>
          </cell>
          <cell r="D6154">
            <v>45791</v>
          </cell>
          <cell r="E6154">
            <v>46584</v>
          </cell>
          <cell r="F6154" t="str">
            <v>33621</v>
          </cell>
          <cell r="G6154" t="str">
            <v>先進光一</v>
          </cell>
          <cell r="H6154">
            <v>100000</v>
          </cell>
          <cell r="I6154">
            <v>2.5</v>
          </cell>
          <cell r="J6154">
            <v>46584</v>
          </cell>
          <cell r="K6154">
            <v>100.75</v>
          </cell>
          <cell r="L6154">
            <v>46566</v>
          </cell>
          <cell r="M6154">
            <v>-7</v>
          </cell>
          <cell r="N6154">
            <v>99993</v>
          </cell>
        </row>
        <row r="6155">
          <cell r="A6155">
            <v>13166</v>
          </cell>
          <cell r="B6155">
            <v>6149</v>
          </cell>
          <cell r="C6155" t="str">
            <v>IASWD2505000090</v>
          </cell>
          <cell r="D6155">
            <v>45791</v>
          </cell>
          <cell r="E6155">
            <v>46383</v>
          </cell>
          <cell r="F6155" t="str">
            <v>13166</v>
          </cell>
          <cell r="G6155" t="str">
            <v>上曜六</v>
          </cell>
          <cell r="H6155">
            <v>100000</v>
          </cell>
          <cell r="I6155">
            <v>2.5</v>
          </cell>
          <cell r="J6155">
            <v>46383</v>
          </cell>
          <cell r="K6155">
            <v>100.5</v>
          </cell>
          <cell r="L6155">
            <v>46364</v>
          </cell>
          <cell r="M6155">
            <v>-7</v>
          </cell>
          <cell r="N6155">
            <v>99993</v>
          </cell>
        </row>
        <row r="6156">
          <cell r="A6156">
            <v>33621</v>
          </cell>
          <cell r="B6156">
            <v>6150</v>
          </cell>
          <cell r="C6156" t="str">
            <v>IASWD2505000091</v>
          </cell>
          <cell r="D6156">
            <v>45791</v>
          </cell>
          <cell r="E6156">
            <v>46584</v>
          </cell>
          <cell r="F6156" t="str">
            <v>33621</v>
          </cell>
          <cell r="G6156" t="str">
            <v>先進光一</v>
          </cell>
          <cell r="H6156">
            <v>100000</v>
          </cell>
          <cell r="I6156">
            <v>2.5</v>
          </cell>
          <cell r="J6156">
            <v>46584</v>
          </cell>
          <cell r="K6156">
            <v>100.75</v>
          </cell>
          <cell r="L6156">
            <v>46566</v>
          </cell>
          <cell r="M6156">
            <v>-7</v>
          </cell>
          <cell r="N6156">
            <v>99993</v>
          </cell>
        </row>
        <row r="6157">
          <cell r="A6157">
            <v>13166</v>
          </cell>
          <cell r="B6157">
            <v>6151</v>
          </cell>
          <cell r="C6157" t="str">
            <v>IASWD2505000092</v>
          </cell>
          <cell r="D6157">
            <v>45791</v>
          </cell>
          <cell r="E6157">
            <v>46383</v>
          </cell>
          <cell r="F6157" t="str">
            <v>13166</v>
          </cell>
          <cell r="G6157" t="str">
            <v>上曜六</v>
          </cell>
          <cell r="H6157">
            <v>300000</v>
          </cell>
          <cell r="I6157">
            <v>2.5</v>
          </cell>
          <cell r="J6157">
            <v>46383</v>
          </cell>
          <cell r="K6157">
            <v>100.5</v>
          </cell>
          <cell r="L6157">
            <v>46364</v>
          </cell>
          <cell r="M6157">
            <v>-21</v>
          </cell>
          <cell r="N6157">
            <v>299979</v>
          </cell>
        </row>
        <row r="6158">
          <cell r="A6158">
            <v>65841</v>
          </cell>
          <cell r="B6158">
            <v>6152</v>
          </cell>
          <cell r="C6158" t="str">
            <v>IASWD2505000093</v>
          </cell>
          <cell r="D6158">
            <v>45791</v>
          </cell>
          <cell r="E6158">
            <v>46324</v>
          </cell>
          <cell r="F6158" t="str">
            <v>65841</v>
          </cell>
          <cell r="G6158" t="str">
            <v>南俊國際一</v>
          </cell>
          <cell r="H6158">
            <v>200000</v>
          </cell>
          <cell r="I6158">
            <v>2.5</v>
          </cell>
          <cell r="J6158">
            <v>46324</v>
          </cell>
          <cell r="K6158">
            <v>101.0025</v>
          </cell>
          <cell r="L6158">
            <v>46304</v>
          </cell>
          <cell r="M6158">
            <v>-14</v>
          </cell>
          <cell r="N6158">
            <v>199986</v>
          </cell>
        </row>
        <row r="6159">
          <cell r="A6159">
            <v>30134</v>
          </cell>
          <cell r="B6159">
            <v>6153</v>
          </cell>
          <cell r="C6159" t="str">
            <v>IASWD2505000094</v>
          </cell>
          <cell r="D6159">
            <v>45791</v>
          </cell>
          <cell r="E6159">
            <v>46678</v>
          </cell>
          <cell r="F6159" t="str">
            <v>30134</v>
          </cell>
          <cell r="G6159" t="str">
            <v>晟銘電四</v>
          </cell>
          <cell r="H6159">
            <v>100000</v>
          </cell>
          <cell r="I6159">
            <v>2.5</v>
          </cell>
          <cell r="J6159">
            <v>46678</v>
          </cell>
          <cell r="K6159">
            <v>100</v>
          </cell>
          <cell r="L6159">
            <v>46658</v>
          </cell>
          <cell r="M6159">
            <v>-7</v>
          </cell>
          <cell r="N6159">
            <v>99993</v>
          </cell>
        </row>
        <row r="6160">
          <cell r="A6160">
            <v>13166</v>
          </cell>
          <cell r="B6160">
            <v>6154</v>
          </cell>
          <cell r="C6160" t="str">
            <v>IASWD2505000095</v>
          </cell>
          <cell r="D6160">
            <v>45791</v>
          </cell>
          <cell r="E6160">
            <v>46383</v>
          </cell>
          <cell r="F6160" t="str">
            <v>13166</v>
          </cell>
          <cell r="G6160" t="str">
            <v>上曜六</v>
          </cell>
          <cell r="H6160">
            <v>100000</v>
          </cell>
          <cell r="I6160">
            <v>2.5</v>
          </cell>
          <cell r="J6160">
            <v>46383</v>
          </cell>
          <cell r="K6160">
            <v>100.5</v>
          </cell>
          <cell r="L6160">
            <v>46364</v>
          </cell>
          <cell r="M6160">
            <v>-7</v>
          </cell>
          <cell r="N6160">
            <v>99993</v>
          </cell>
        </row>
        <row r="6161">
          <cell r="A6161">
            <v>84891</v>
          </cell>
          <cell r="B6161">
            <v>6155</v>
          </cell>
          <cell r="C6161" t="str">
            <v>IASWD2505000096</v>
          </cell>
          <cell r="D6161">
            <v>45791</v>
          </cell>
          <cell r="E6161">
            <v>46365</v>
          </cell>
          <cell r="F6161" t="str">
            <v>84891</v>
          </cell>
          <cell r="G6161" t="str">
            <v>三貝德一</v>
          </cell>
          <cell r="H6161">
            <v>100000</v>
          </cell>
          <cell r="I6161">
            <v>2.5</v>
          </cell>
          <cell r="J6161">
            <v>46365</v>
          </cell>
          <cell r="K6161">
            <v>100.20010000000001</v>
          </cell>
          <cell r="L6161">
            <v>46345</v>
          </cell>
          <cell r="M6161">
            <v>-7</v>
          </cell>
          <cell r="N6161">
            <v>99993</v>
          </cell>
        </row>
        <row r="6162">
          <cell r="A6162">
            <v>49066</v>
          </cell>
          <cell r="B6162">
            <v>6156</v>
          </cell>
          <cell r="C6162" t="str">
            <v>IASWD2505000097</v>
          </cell>
          <cell r="D6162">
            <v>45791</v>
          </cell>
          <cell r="E6162">
            <v>46175</v>
          </cell>
          <cell r="F6162" t="str">
            <v>49066</v>
          </cell>
          <cell r="G6162" t="str">
            <v>正文六</v>
          </cell>
          <cell r="H6162">
            <v>200000</v>
          </cell>
          <cell r="I6162">
            <v>4</v>
          </cell>
          <cell r="J6162">
            <v>46175</v>
          </cell>
          <cell r="K6162">
            <v>100</v>
          </cell>
          <cell r="L6162">
            <v>46155</v>
          </cell>
          <cell r="M6162">
            <v>-22</v>
          </cell>
          <cell r="N6162">
            <v>199978</v>
          </cell>
        </row>
        <row r="6163">
          <cell r="A6163">
            <v>99392</v>
          </cell>
          <cell r="B6163">
            <v>6157</v>
          </cell>
          <cell r="C6163" t="str">
            <v>IASWD2505000098</v>
          </cell>
          <cell r="D6163">
            <v>45791</v>
          </cell>
          <cell r="E6163">
            <v>46689</v>
          </cell>
          <cell r="F6163" t="str">
            <v>99392</v>
          </cell>
          <cell r="G6163" t="str">
            <v>宏全二</v>
          </cell>
          <cell r="H6163">
            <v>100000</v>
          </cell>
          <cell r="I6163">
            <v>3</v>
          </cell>
          <cell r="J6163">
            <v>46689</v>
          </cell>
          <cell r="K6163">
            <v>100</v>
          </cell>
          <cell r="L6163">
            <v>46671</v>
          </cell>
          <cell r="M6163">
            <v>-8</v>
          </cell>
          <cell r="N6163">
            <v>99992</v>
          </cell>
        </row>
        <row r="6164">
          <cell r="A6164">
            <v>82992</v>
          </cell>
          <cell r="B6164">
            <v>6158</v>
          </cell>
          <cell r="C6164" t="str">
            <v>IASWD2505000099</v>
          </cell>
          <cell r="D6164">
            <v>45791</v>
          </cell>
          <cell r="E6164">
            <v>46410</v>
          </cell>
          <cell r="F6164" t="str">
            <v>82992</v>
          </cell>
          <cell r="G6164" t="str">
            <v>群聯二</v>
          </cell>
          <cell r="H6164">
            <v>200000</v>
          </cell>
          <cell r="I6164">
            <v>3</v>
          </cell>
          <cell r="J6164">
            <v>46410</v>
          </cell>
          <cell r="K6164">
            <v>100</v>
          </cell>
          <cell r="L6164">
            <v>46392</v>
          </cell>
          <cell r="M6164">
            <v>-16</v>
          </cell>
          <cell r="N6164">
            <v>199984</v>
          </cell>
        </row>
        <row r="6165">
          <cell r="A6165">
            <v>30134</v>
          </cell>
          <cell r="B6165">
            <v>6159</v>
          </cell>
          <cell r="C6165" t="str">
            <v>IASWD2505000100</v>
          </cell>
          <cell r="D6165">
            <v>45791</v>
          </cell>
          <cell r="E6165">
            <v>46678</v>
          </cell>
          <cell r="F6165" t="str">
            <v>30134</v>
          </cell>
          <cell r="G6165" t="str">
            <v>晟銘電四</v>
          </cell>
          <cell r="H6165">
            <v>300000</v>
          </cell>
          <cell r="I6165">
            <v>2.5</v>
          </cell>
          <cell r="J6165">
            <v>46678</v>
          </cell>
          <cell r="K6165">
            <v>100</v>
          </cell>
          <cell r="L6165">
            <v>46658</v>
          </cell>
          <cell r="M6165">
            <v>-21</v>
          </cell>
          <cell r="N6165">
            <v>299979</v>
          </cell>
        </row>
        <row r="6166">
          <cell r="A6166">
            <v>30134</v>
          </cell>
          <cell r="B6166">
            <v>6160</v>
          </cell>
          <cell r="C6166" t="str">
            <v>IASWD2505000101</v>
          </cell>
          <cell r="D6166">
            <v>45791</v>
          </cell>
          <cell r="E6166">
            <v>46678</v>
          </cell>
          <cell r="F6166" t="str">
            <v>30134</v>
          </cell>
          <cell r="G6166" t="str">
            <v>晟銘電四</v>
          </cell>
          <cell r="H6166">
            <v>100000</v>
          </cell>
          <cell r="I6166">
            <v>2.5</v>
          </cell>
          <cell r="J6166">
            <v>46678</v>
          </cell>
          <cell r="K6166">
            <v>100</v>
          </cell>
          <cell r="L6166">
            <v>46658</v>
          </cell>
          <cell r="M6166">
            <v>-7</v>
          </cell>
          <cell r="N6166">
            <v>99993</v>
          </cell>
        </row>
        <row r="6167">
          <cell r="A6167">
            <v>30134</v>
          </cell>
          <cell r="B6167">
            <v>6161</v>
          </cell>
          <cell r="C6167" t="str">
            <v>IASWD2505000102</v>
          </cell>
          <cell r="D6167">
            <v>45791</v>
          </cell>
          <cell r="E6167">
            <v>46678</v>
          </cell>
          <cell r="F6167" t="str">
            <v>30134</v>
          </cell>
          <cell r="G6167" t="str">
            <v>晟銘電四</v>
          </cell>
          <cell r="H6167">
            <v>100000</v>
          </cell>
          <cell r="I6167">
            <v>2.5</v>
          </cell>
          <cell r="J6167">
            <v>46678</v>
          </cell>
          <cell r="K6167">
            <v>100</v>
          </cell>
          <cell r="L6167">
            <v>46658</v>
          </cell>
          <cell r="M6167">
            <v>-7</v>
          </cell>
          <cell r="N6167">
            <v>99993</v>
          </cell>
        </row>
        <row r="6168">
          <cell r="A6168">
            <v>30134</v>
          </cell>
          <cell r="B6168">
            <v>6162</v>
          </cell>
          <cell r="C6168" t="str">
            <v>IASWD2505000103</v>
          </cell>
          <cell r="D6168">
            <v>45791</v>
          </cell>
          <cell r="E6168">
            <v>46678</v>
          </cell>
          <cell r="F6168" t="str">
            <v>30134</v>
          </cell>
          <cell r="G6168" t="str">
            <v>晟銘電四</v>
          </cell>
          <cell r="H6168">
            <v>800000</v>
          </cell>
          <cell r="I6168">
            <v>2.5</v>
          </cell>
          <cell r="J6168">
            <v>46678</v>
          </cell>
          <cell r="K6168">
            <v>100</v>
          </cell>
          <cell r="L6168">
            <v>46658</v>
          </cell>
          <cell r="M6168">
            <v>-55</v>
          </cell>
          <cell r="N6168">
            <v>799945</v>
          </cell>
        </row>
        <row r="6169">
          <cell r="A6169">
            <v>99392</v>
          </cell>
          <cell r="B6169">
            <v>6163</v>
          </cell>
          <cell r="C6169" t="str">
            <v>IASWD2505000104</v>
          </cell>
          <cell r="D6169">
            <v>45791</v>
          </cell>
          <cell r="E6169">
            <v>46689</v>
          </cell>
          <cell r="F6169" t="str">
            <v>99392</v>
          </cell>
          <cell r="G6169" t="str">
            <v>宏全二</v>
          </cell>
          <cell r="H6169">
            <v>300000</v>
          </cell>
          <cell r="I6169">
            <v>3</v>
          </cell>
          <cell r="J6169">
            <v>46689</v>
          </cell>
          <cell r="K6169">
            <v>100</v>
          </cell>
          <cell r="L6169">
            <v>46671</v>
          </cell>
          <cell r="M6169">
            <v>-25</v>
          </cell>
          <cell r="N6169">
            <v>299975</v>
          </cell>
        </row>
        <row r="6170">
          <cell r="A6170">
            <v>13166</v>
          </cell>
          <cell r="B6170">
            <v>6164</v>
          </cell>
          <cell r="C6170" t="str">
            <v>IASWD2505000105</v>
          </cell>
          <cell r="D6170">
            <v>45791</v>
          </cell>
          <cell r="E6170">
            <v>46383</v>
          </cell>
          <cell r="F6170" t="str">
            <v>13166</v>
          </cell>
          <cell r="G6170" t="str">
            <v>上曜六</v>
          </cell>
          <cell r="H6170">
            <v>300000</v>
          </cell>
          <cell r="I6170">
            <v>2.5</v>
          </cell>
          <cell r="J6170">
            <v>46383</v>
          </cell>
          <cell r="K6170">
            <v>100.5</v>
          </cell>
          <cell r="L6170">
            <v>46364</v>
          </cell>
          <cell r="M6170">
            <v>-21</v>
          </cell>
          <cell r="N6170">
            <v>299979</v>
          </cell>
        </row>
        <row r="6171">
          <cell r="A6171">
            <v>30134</v>
          </cell>
          <cell r="B6171">
            <v>6165</v>
          </cell>
          <cell r="C6171" t="str">
            <v>IASWD2505000106</v>
          </cell>
          <cell r="D6171">
            <v>45792</v>
          </cell>
          <cell r="E6171">
            <v>46678</v>
          </cell>
          <cell r="F6171" t="str">
            <v>30134</v>
          </cell>
          <cell r="G6171" t="str">
            <v>晟銘電四</v>
          </cell>
          <cell r="H6171">
            <v>200000</v>
          </cell>
          <cell r="I6171">
            <v>2.5</v>
          </cell>
          <cell r="J6171">
            <v>46678</v>
          </cell>
          <cell r="K6171">
            <v>100</v>
          </cell>
          <cell r="L6171">
            <v>46658</v>
          </cell>
          <cell r="M6171">
            <v>0</v>
          </cell>
          <cell r="N6171">
            <v>200000</v>
          </cell>
        </row>
        <row r="6172">
          <cell r="A6172">
            <v>67711</v>
          </cell>
          <cell r="B6172">
            <v>6166</v>
          </cell>
          <cell r="C6172" t="str">
            <v>IASWD2505000107</v>
          </cell>
          <cell r="D6172">
            <v>45792</v>
          </cell>
          <cell r="E6172">
            <v>46515</v>
          </cell>
          <cell r="F6172" t="str">
            <v>67711</v>
          </cell>
          <cell r="G6172" t="str">
            <v>平和環保一創</v>
          </cell>
          <cell r="H6172">
            <v>400000</v>
          </cell>
          <cell r="I6172">
            <v>2.4</v>
          </cell>
          <cell r="J6172">
            <v>46515</v>
          </cell>
          <cell r="K6172">
            <v>101.0025</v>
          </cell>
          <cell r="L6172">
            <v>46497</v>
          </cell>
          <cell r="M6172">
            <v>0</v>
          </cell>
          <cell r="N6172">
            <v>400000</v>
          </cell>
        </row>
        <row r="6173">
          <cell r="A6173">
            <v>99211</v>
          </cell>
          <cell r="B6173">
            <v>6167</v>
          </cell>
          <cell r="C6173" t="str">
            <v>IASWD2505000108</v>
          </cell>
          <cell r="D6173">
            <v>45792</v>
          </cell>
          <cell r="E6173">
            <v>46551</v>
          </cell>
          <cell r="F6173" t="str">
            <v>99211</v>
          </cell>
          <cell r="G6173" t="str">
            <v>巨大一</v>
          </cell>
          <cell r="H6173">
            <v>300000</v>
          </cell>
          <cell r="I6173">
            <v>3</v>
          </cell>
          <cell r="J6173">
            <v>46551</v>
          </cell>
          <cell r="K6173">
            <v>100</v>
          </cell>
          <cell r="L6173">
            <v>46532</v>
          </cell>
          <cell r="M6173">
            <v>0</v>
          </cell>
          <cell r="N6173">
            <v>300000</v>
          </cell>
        </row>
        <row r="6174">
          <cell r="A6174">
            <v>49066</v>
          </cell>
          <cell r="B6174">
            <v>6168</v>
          </cell>
          <cell r="C6174" t="str">
            <v>IASWD2505000109</v>
          </cell>
          <cell r="D6174">
            <v>45792</v>
          </cell>
          <cell r="E6174">
            <v>46175</v>
          </cell>
          <cell r="F6174" t="str">
            <v>49066</v>
          </cell>
          <cell r="G6174" t="str">
            <v>正文六</v>
          </cell>
          <cell r="H6174">
            <v>400000</v>
          </cell>
          <cell r="I6174">
            <v>4</v>
          </cell>
          <cell r="J6174">
            <v>46175</v>
          </cell>
          <cell r="K6174">
            <v>100</v>
          </cell>
          <cell r="L6174">
            <v>46155</v>
          </cell>
          <cell r="M6174">
            <v>0</v>
          </cell>
          <cell r="N6174">
            <v>400000</v>
          </cell>
        </row>
        <row r="6175">
          <cell r="A6175">
            <v>82992</v>
          </cell>
          <cell r="B6175">
            <v>6169</v>
          </cell>
          <cell r="C6175" t="str">
            <v>IASWD2505000110</v>
          </cell>
          <cell r="D6175">
            <v>45792</v>
          </cell>
          <cell r="E6175">
            <v>46410</v>
          </cell>
          <cell r="F6175" t="str">
            <v>82992</v>
          </cell>
          <cell r="G6175" t="str">
            <v>群聯二</v>
          </cell>
          <cell r="H6175">
            <v>1000000</v>
          </cell>
          <cell r="I6175">
            <v>3</v>
          </cell>
          <cell r="J6175">
            <v>46410</v>
          </cell>
          <cell r="K6175">
            <v>100</v>
          </cell>
          <cell r="L6175">
            <v>46392</v>
          </cell>
          <cell r="M6175">
            <v>0</v>
          </cell>
          <cell r="N6175">
            <v>1000000</v>
          </cell>
        </row>
        <row r="6176">
          <cell r="A6176">
            <v>13166</v>
          </cell>
          <cell r="B6176">
            <v>6170</v>
          </cell>
          <cell r="C6176" t="str">
            <v>IASWD2505000111</v>
          </cell>
          <cell r="D6176">
            <v>45792</v>
          </cell>
          <cell r="E6176">
            <v>46383</v>
          </cell>
          <cell r="F6176" t="str">
            <v>13166</v>
          </cell>
          <cell r="G6176" t="str">
            <v>上曜六</v>
          </cell>
          <cell r="H6176">
            <v>100000</v>
          </cell>
          <cell r="I6176">
            <v>2.5</v>
          </cell>
          <cell r="J6176">
            <v>46383</v>
          </cell>
          <cell r="K6176">
            <v>100.5</v>
          </cell>
          <cell r="L6176">
            <v>46364</v>
          </cell>
          <cell r="M6176">
            <v>0</v>
          </cell>
          <cell r="N6176">
            <v>100000</v>
          </cell>
        </row>
        <row r="6177">
          <cell r="A6177">
            <v>82992</v>
          </cell>
          <cell r="B6177">
            <v>6171</v>
          </cell>
          <cell r="C6177" t="str">
            <v>IASWD2505000112</v>
          </cell>
          <cell r="D6177">
            <v>45792</v>
          </cell>
          <cell r="E6177">
            <v>46410</v>
          </cell>
          <cell r="F6177" t="str">
            <v>82992</v>
          </cell>
          <cell r="G6177" t="str">
            <v>群聯二</v>
          </cell>
          <cell r="H6177">
            <v>100000</v>
          </cell>
          <cell r="I6177">
            <v>3</v>
          </cell>
          <cell r="J6177">
            <v>46410</v>
          </cell>
          <cell r="K6177">
            <v>100</v>
          </cell>
          <cell r="L6177">
            <v>46392</v>
          </cell>
          <cell r="M6177">
            <v>0</v>
          </cell>
          <cell r="N6177">
            <v>100000</v>
          </cell>
        </row>
        <row r="6178">
          <cell r="A6178">
            <v>13166</v>
          </cell>
          <cell r="B6178">
            <v>6172</v>
          </cell>
          <cell r="C6178" t="str">
            <v>IASWD2505000113</v>
          </cell>
          <cell r="D6178">
            <v>45792</v>
          </cell>
          <cell r="E6178">
            <v>46383</v>
          </cell>
          <cell r="F6178" t="str">
            <v>13166</v>
          </cell>
          <cell r="G6178" t="str">
            <v>上曜六</v>
          </cell>
          <cell r="H6178">
            <v>100000</v>
          </cell>
          <cell r="I6178">
            <v>2.5</v>
          </cell>
          <cell r="J6178">
            <v>46383</v>
          </cell>
          <cell r="K6178">
            <v>100.5</v>
          </cell>
          <cell r="L6178">
            <v>46364</v>
          </cell>
          <cell r="M6178">
            <v>0</v>
          </cell>
          <cell r="N6178">
            <v>100000</v>
          </cell>
        </row>
        <row r="6179">
          <cell r="A6179">
            <v>67711</v>
          </cell>
          <cell r="B6179">
            <v>6173</v>
          </cell>
          <cell r="C6179" t="str">
            <v>IASWD2505000114</v>
          </cell>
          <cell r="D6179">
            <v>45792</v>
          </cell>
          <cell r="E6179">
            <v>46515</v>
          </cell>
          <cell r="F6179" t="str">
            <v>67711</v>
          </cell>
          <cell r="G6179" t="str">
            <v>平和環保一創</v>
          </cell>
          <cell r="H6179">
            <v>100000</v>
          </cell>
          <cell r="I6179">
            <v>2.4</v>
          </cell>
          <cell r="J6179">
            <v>46515</v>
          </cell>
          <cell r="K6179">
            <v>101.0025</v>
          </cell>
          <cell r="L6179">
            <v>46497</v>
          </cell>
          <cell r="M6179">
            <v>0</v>
          </cell>
          <cell r="N6179">
            <v>100000</v>
          </cell>
        </row>
        <row r="6180">
          <cell r="A6180">
            <v>68061</v>
          </cell>
          <cell r="B6180">
            <v>6174</v>
          </cell>
          <cell r="C6180" t="str">
            <v>IASWD2505000115</v>
          </cell>
          <cell r="D6180">
            <v>45792</v>
          </cell>
          <cell r="E6180">
            <v>46348</v>
          </cell>
          <cell r="F6180" t="str">
            <v>68061</v>
          </cell>
          <cell r="G6180" t="str">
            <v>森崴能源一</v>
          </cell>
          <cell r="H6180">
            <v>100000</v>
          </cell>
          <cell r="I6180">
            <v>2.5</v>
          </cell>
          <cell r="J6180">
            <v>46348</v>
          </cell>
          <cell r="K6180">
            <v>100</v>
          </cell>
          <cell r="L6180">
            <v>46329</v>
          </cell>
          <cell r="M6180">
            <v>0</v>
          </cell>
          <cell r="N6180">
            <v>100000</v>
          </cell>
        </row>
        <row r="6181">
          <cell r="A6181">
            <v>25283</v>
          </cell>
          <cell r="B6181">
            <v>6175</v>
          </cell>
          <cell r="C6181" t="str">
            <v>IASWD2505000116</v>
          </cell>
          <cell r="D6181">
            <v>45792</v>
          </cell>
          <cell r="E6181">
            <v>46752</v>
          </cell>
          <cell r="F6181" t="str">
            <v>25283</v>
          </cell>
          <cell r="G6181" t="str">
            <v>皇普三</v>
          </cell>
          <cell r="H6181">
            <v>300000</v>
          </cell>
          <cell r="I6181">
            <v>2.5</v>
          </cell>
          <cell r="J6181">
            <v>46752</v>
          </cell>
          <cell r="K6181">
            <v>100.752</v>
          </cell>
          <cell r="L6181">
            <v>46734</v>
          </cell>
          <cell r="M6181">
            <v>0</v>
          </cell>
          <cell r="N6181">
            <v>300000</v>
          </cell>
        </row>
        <row r="6182">
          <cell r="A6182">
            <v>30134</v>
          </cell>
          <cell r="B6182">
            <v>6176</v>
          </cell>
          <cell r="C6182" t="str">
            <v>IASWD2505000117</v>
          </cell>
          <cell r="D6182">
            <v>45792</v>
          </cell>
          <cell r="E6182">
            <v>46678</v>
          </cell>
          <cell r="F6182" t="str">
            <v>30134</v>
          </cell>
          <cell r="G6182" t="str">
            <v>晟銘電四</v>
          </cell>
          <cell r="H6182">
            <v>100000</v>
          </cell>
          <cell r="I6182">
            <v>2.5</v>
          </cell>
          <cell r="J6182">
            <v>46678</v>
          </cell>
          <cell r="K6182">
            <v>100</v>
          </cell>
          <cell r="L6182">
            <v>46658</v>
          </cell>
          <cell r="M6182">
            <v>0</v>
          </cell>
          <cell r="N6182">
            <v>100000</v>
          </cell>
        </row>
        <row r="6183">
          <cell r="A6183">
            <v>13166</v>
          </cell>
          <cell r="B6183">
            <v>6177</v>
          </cell>
          <cell r="C6183" t="str">
            <v>IASWD2505000118</v>
          </cell>
          <cell r="D6183">
            <v>45792</v>
          </cell>
          <cell r="E6183">
            <v>46383</v>
          </cell>
          <cell r="F6183" t="str">
            <v>13166</v>
          </cell>
          <cell r="G6183" t="str">
            <v>上曜六</v>
          </cell>
          <cell r="H6183">
            <v>100000</v>
          </cell>
          <cell r="I6183">
            <v>2.5</v>
          </cell>
          <cell r="J6183">
            <v>46383</v>
          </cell>
          <cell r="K6183">
            <v>100.5</v>
          </cell>
          <cell r="L6183">
            <v>46364</v>
          </cell>
          <cell r="M6183">
            <v>0</v>
          </cell>
          <cell r="N6183">
            <v>100000</v>
          </cell>
        </row>
        <row r="6184">
          <cell r="A6184">
            <v>13166</v>
          </cell>
          <cell r="B6184">
            <v>6178</v>
          </cell>
          <cell r="C6184" t="str">
            <v>IASWD2505000119</v>
          </cell>
          <cell r="D6184">
            <v>45792</v>
          </cell>
          <cell r="E6184">
            <v>46383</v>
          </cell>
          <cell r="F6184" t="str">
            <v>13166</v>
          </cell>
          <cell r="G6184" t="str">
            <v>上曜六</v>
          </cell>
          <cell r="H6184">
            <v>100000</v>
          </cell>
          <cell r="I6184">
            <v>2.5</v>
          </cell>
          <cell r="J6184">
            <v>46383</v>
          </cell>
          <cell r="K6184">
            <v>100.5</v>
          </cell>
          <cell r="L6184">
            <v>46364</v>
          </cell>
          <cell r="M6184">
            <v>0</v>
          </cell>
          <cell r="N6184">
            <v>100000</v>
          </cell>
        </row>
        <row r="6185">
          <cell r="A6185">
            <v>13166</v>
          </cell>
          <cell r="B6185">
            <v>6179</v>
          </cell>
          <cell r="C6185" t="str">
            <v>IASWD2505000120</v>
          </cell>
          <cell r="D6185">
            <v>45792</v>
          </cell>
          <cell r="E6185">
            <v>46383</v>
          </cell>
          <cell r="F6185" t="str">
            <v>13166</v>
          </cell>
          <cell r="G6185" t="str">
            <v>上曜六</v>
          </cell>
          <cell r="H6185">
            <v>100000</v>
          </cell>
          <cell r="I6185">
            <v>2.5</v>
          </cell>
          <cell r="J6185">
            <v>46383</v>
          </cell>
          <cell r="K6185">
            <v>100.5</v>
          </cell>
          <cell r="L6185">
            <v>46364</v>
          </cell>
          <cell r="M6185">
            <v>0</v>
          </cell>
          <cell r="N6185">
            <v>100000</v>
          </cell>
        </row>
        <row r="6186">
          <cell r="A6186" t="e">
            <v>#VALUE!</v>
          </cell>
          <cell r="B6186" t="str">
            <v>合計</v>
          </cell>
          <cell r="C6186" t="str">
            <v/>
          </cell>
          <cell r="D6186" t="str">
            <v/>
          </cell>
          <cell r="E6186" t="str">
            <v/>
          </cell>
          <cell r="F6186" t="str">
            <v/>
          </cell>
          <cell r="G6186" t="str">
            <v/>
          </cell>
          <cell r="H6186">
            <v>2008900000</v>
          </cell>
          <cell r="I6186" t="str">
            <v/>
          </cell>
          <cell r="J6186" t="str">
            <v/>
          </cell>
          <cell r="K6186" t="str">
            <v/>
          </cell>
          <cell r="L6186" t="str">
            <v/>
          </cell>
          <cell r="M6186" t="str">
            <v/>
          </cell>
          <cell r="N6186" t="str">
            <v/>
          </cell>
        </row>
        <row r="6187">
          <cell r="A6187">
            <v>0</v>
          </cell>
        </row>
        <row r="6188">
          <cell r="A6188">
            <v>0</v>
          </cell>
        </row>
        <row r="6189">
          <cell r="A6189">
            <v>0</v>
          </cell>
        </row>
        <row r="6190">
          <cell r="A6190">
            <v>0</v>
          </cell>
        </row>
        <row r="6191">
          <cell r="A6191">
            <v>0</v>
          </cell>
        </row>
        <row r="6192">
          <cell r="A6192">
            <v>0</v>
          </cell>
        </row>
        <row r="6193">
          <cell r="A6193">
            <v>0</v>
          </cell>
        </row>
        <row r="6194">
          <cell r="A6194">
            <v>0</v>
          </cell>
        </row>
        <row r="6195">
          <cell r="A6195">
            <v>0</v>
          </cell>
        </row>
        <row r="6196">
          <cell r="A6196">
            <v>0</v>
          </cell>
        </row>
        <row r="6197">
          <cell r="A6197">
            <v>0</v>
          </cell>
        </row>
        <row r="6198">
          <cell r="A6198">
            <v>0</v>
          </cell>
        </row>
        <row r="6199">
          <cell r="A6199">
            <v>0</v>
          </cell>
        </row>
        <row r="6200">
          <cell r="A6200">
            <v>0</v>
          </cell>
        </row>
        <row r="6201">
          <cell r="A6201">
            <v>0</v>
          </cell>
        </row>
        <row r="6202">
          <cell r="A6202">
            <v>0</v>
          </cell>
        </row>
        <row r="6203">
          <cell r="A6203">
            <v>0</v>
          </cell>
        </row>
        <row r="6204">
          <cell r="A6204">
            <v>0</v>
          </cell>
        </row>
        <row r="6205">
          <cell r="A6205">
            <v>0</v>
          </cell>
        </row>
        <row r="6206">
          <cell r="A6206">
            <v>0</v>
          </cell>
        </row>
        <row r="6207">
          <cell r="A6207">
            <v>0</v>
          </cell>
        </row>
        <row r="6208">
          <cell r="A6208">
            <v>0</v>
          </cell>
        </row>
        <row r="6209">
          <cell r="A6209">
            <v>0</v>
          </cell>
        </row>
        <row r="6210">
          <cell r="A6210">
            <v>0</v>
          </cell>
        </row>
        <row r="6211">
          <cell r="A6211">
            <v>0</v>
          </cell>
        </row>
        <row r="6212">
          <cell r="A6212">
            <v>0</v>
          </cell>
        </row>
        <row r="6213">
          <cell r="A6213">
            <v>0</v>
          </cell>
        </row>
        <row r="6214">
          <cell r="A6214">
            <v>0</v>
          </cell>
        </row>
        <row r="6215">
          <cell r="A6215">
            <v>0</v>
          </cell>
        </row>
        <row r="6216">
          <cell r="A6216">
            <v>0</v>
          </cell>
        </row>
        <row r="6217">
          <cell r="A6217">
            <v>0</v>
          </cell>
        </row>
        <row r="6218">
          <cell r="A6218">
            <v>0</v>
          </cell>
        </row>
        <row r="6219">
          <cell r="A6219">
            <v>0</v>
          </cell>
        </row>
        <row r="6220">
          <cell r="A6220">
            <v>0</v>
          </cell>
        </row>
        <row r="6221">
          <cell r="A6221">
            <v>0</v>
          </cell>
        </row>
        <row r="6222">
          <cell r="A6222">
            <v>0</v>
          </cell>
        </row>
        <row r="6223">
          <cell r="A6223">
            <v>0</v>
          </cell>
        </row>
        <row r="6224">
          <cell r="A6224">
            <v>0</v>
          </cell>
        </row>
        <row r="6225">
          <cell r="A6225">
            <v>0</v>
          </cell>
        </row>
        <row r="6226">
          <cell r="A6226">
            <v>0</v>
          </cell>
        </row>
        <row r="6227">
          <cell r="A6227">
            <v>0</v>
          </cell>
        </row>
        <row r="6228">
          <cell r="A6228">
            <v>0</v>
          </cell>
        </row>
        <row r="6229">
          <cell r="A6229">
            <v>0</v>
          </cell>
        </row>
        <row r="6230">
          <cell r="A6230">
            <v>0</v>
          </cell>
        </row>
        <row r="6231">
          <cell r="A6231">
            <v>0</v>
          </cell>
        </row>
        <row r="6232">
          <cell r="A6232">
            <v>0</v>
          </cell>
        </row>
        <row r="6233">
          <cell r="A6233">
            <v>0</v>
          </cell>
        </row>
        <row r="6234">
          <cell r="A6234">
            <v>0</v>
          </cell>
        </row>
        <row r="6235">
          <cell r="A6235">
            <v>0</v>
          </cell>
        </row>
        <row r="6236">
          <cell r="A6236">
            <v>0</v>
          </cell>
        </row>
        <row r="6237">
          <cell r="A6237">
            <v>0</v>
          </cell>
        </row>
        <row r="6238">
          <cell r="A6238">
            <v>0</v>
          </cell>
        </row>
        <row r="6239">
          <cell r="A6239">
            <v>0</v>
          </cell>
        </row>
        <row r="6240">
          <cell r="A6240">
            <v>0</v>
          </cell>
        </row>
        <row r="6241">
          <cell r="A6241">
            <v>0</v>
          </cell>
        </row>
        <row r="6242">
          <cell r="A6242">
            <v>0</v>
          </cell>
        </row>
        <row r="6243">
          <cell r="A6243">
            <v>0</v>
          </cell>
        </row>
        <row r="6244">
          <cell r="A6244">
            <v>0</v>
          </cell>
        </row>
        <row r="6245">
          <cell r="A6245">
            <v>0</v>
          </cell>
        </row>
        <row r="6246">
          <cell r="A6246">
            <v>0</v>
          </cell>
        </row>
        <row r="6247">
          <cell r="A6247">
            <v>0</v>
          </cell>
        </row>
        <row r="6248">
          <cell r="A6248">
            <v>0</v>
          </cell>
        </row>
        <row r="6249">
          <cell r="A6249">
            <v>0</v>
          </cell>
        </row>
        <row r="6250">
          <cell r="A6250">
            <v>0</v>
          </cell>
        </row>
        <row r="6251">
          <cell r="A6251">
            <v>0</v>
          </cell>
        </row>
        <row r="6252">
          <cell r="A6252">
            <v>0</v>
          </cell>
        </row>
        <row r="6253">
          <cell r="A6253">
            <v>0</v>
          </cell>
        </row>
        <row r="6254">
          <cell r="A6254">
            <v>0</v>
          </cell>
        </row>
        <row r="6255">
          <cell r="A6255">
            <v>0</v>
          </cell>
        </row>
        <row r="6256">
          <cell r="A6256">
            <v>0</v>
          </cell>
        </row>
        <row r="6257">
          <cell r="A6257">
            <v>0</v>
          </cell>
        </row>
        <row r="6258">
          <cell r="A6258">
            <v>0</v>
          </cell>
        </row>
        <row r="6259">
          <cell r="A6259">
            <v>0</v>
          </cell>
        </row>
        <row r="6260">
          <cell r="A6260">
            <v>0</v>
          </cell>
        </row>
        <row r="6261">
          <cell r="A6261">
            <v>0</v>
          </cell>
        </row>
        <row r="6262">
          <cell r="A6262">
            <v>0</v>
          </cell>
        </row>
        <row r="6263">
          <cell r="A6263">
            <v>0</v>
          </cell>
        </row>
        <row r="6264">
          <cell r="A6264">
            <v>0</v>
          </cell>
        </row>
        <row r="6265">
          <cell r="A6265">
            <v>0</v>
          </cell>
        </row>
        <row r="6266">
          <cell r="A6266">
            <v>0</v>
          </cell>
        </row>
        <row r="6267">
          <cell r="A6267">
            <v>0</v>
          </cell>
        </row>
        <row r="6268">
          <cell r="A6268">
            <v>0</v>
          </cell>
        </row>
        <row r="6269">
          <cell r="A6269">
            <v>0</v>
          </cell>
        </row>
        <row r="6270">
          <cell r="A6270">
            <v>0</v>
          </cell>
        </row>
        <row r="6271">
          <cell r="A6271">
            <v>0</v>
          </cell>
        </row>
        <row r="6272">
          <cell r="A6272">
            <v>0</v>
          </cell>
        </row>
        <row r="6273">
          <cell r="A6273">
            <v>0</v>
          </cell>
        </row>
        <row r="6274">
          <cell r="A6274">
            <v>0</v>
          </cell>
        </row>
        <row r="6275">
          <cell r="A6275">
            <v>0</v>
          </cell>
        </row>
        <row r="6276">
          <cell r="A6276">
            <v>0</v>
          </cell>
        </row>
        <row r="6277">
          <cell r="A6277">
            <v>0</v>
          </cell>
        </row>
        <row r="6278">
          <cell r="A6278">
            <v>0</v>
          </cell>
        </row>
        <row r="6279">
          <cell r="A6279">
            <v>0</v>
          </cell>
        </row>
        <row r="6280">
          <cell r="A6280">
            <v>0</v>
          </cell>
        </row>
        <row r="6281">
          <cell r="A6281">
            <v>0</v>
          </cell>
        </row>
        <row r="6282">
          <cell r="A6282">
            <v>0</v>
          </cell>
        </row>
        <row r="6283">
          <cell r="A6283">
            <v>0</v>
          </cell>
        </row>
        <row r="6284">
          <cell r="A6284">
            <v>0</v>
          </cell>
        </row>
        <row r="6285">
          <cell r="A6285">
            <v>0</v>
          </cell>
        </row>
        <row r="6286">
          <cell r="A6286">
            <v>0</v>
          </cell>
        </row>
        <row r="6287">
          <cell r="A6287">
            <v>0</v>
          </cell>
        </row>
        <row r="6288">
          <cell r="A6288">
            <v>0</v>
          </cell>
        </row>
        <row r="6289">
          <cell r="A6289">
            <v>0</v>
          </cell>
        </row>
        <row r="6290">
          <cell r="A6290">
            <v>0</v>
          </cell>
        </row>
        <row r="6291">
          <cell r="A6291">
            <v>0</v>
          </cell>
        </row>
        <row r="6292">
          <cell r="A6292">
            <v>0</v>
          </cell>
        </row>
        <row r="6293">
          <cell r="A6293">
            <v>0</v>
          </cell>
        </row>
        <row r="6294">
          <cell r="A6294">
            <v>0</v>
          </cell>
        </row>
        <row r="6295">
          <cell r="A6295">
            <v>0</v>
          </cell>
        </row>
        <row r="6296">
          <cell r="A6296">
            <v>0</v>
          </cell>
        </row>
        <row r="6297">
          <cell r="A6297">
            <v>0</v>
          </cell>
        </row>
        <row r="6298">
          <cell r="A6298">
            <v>0</v>
          </cell>
        </row>
        <row r="6299">
          <cell r="A6299">
            <v>0</v>
          </cell>
        </row>
        <row r="6300">
          <cell r="A6300">
            <v>0</v>
          </cell>
        </row>
        <row r="6301">
          <cell r="A6301">
            <v>0</v>
          </cell>
        </row>
        <row r="6302">
          <cell r="A6302">
            <v>0</v>
          </cell>
        </row>
        <row r="6303">
          <cell r="A6303">
            <v>0</v>
          </cell>
        </row>
        <row r="6304">
          <cell r="A6304">
            <v>0</v>
          </cell>
        </row>
        <row r="6305">
          <cell r="A6305">
            <v>0</v>
          </cell>
        </row>
        <row r="6306">
          <cell r="A6306">
            <v>0</v>
          </cell>
        </row>
        <row r="6307">
          <cell r="A6307">
            <v>0</v>
          </cell>
        </row>
        <row r="6308">
          <cell r="A6308">
            <v>0</v>
          </cell>
        </row>
        <row r="6309">
          <cell r="A6309">
            <v>0</v>
          </cell>
        </row>
        <row r="6310">
          <cell r="A6310">
            <v>0</v>
          </cell>
        </row>
        <row r="6311">
          <cell r="A6311">
            <v>0</v>
          </cell>
        </row>
        <row r="6312">
          <cell r="A6312">
            <v>0</v>
          </cell>
        </row>
        <row r="6313">
          <cell r="A6313">
            <v>0</v>
          </cell>
        </row>
        <row r="6314">
          <cell r="A6314">
            <v>0</v>
          </cell>
        </row>
        <row r="6315">
          <cell r="A6315">
            <v>0</v>
          </cell>
        </row>
        <row r="6316">
          <cell r="A6316">
            <v>0</v>
          </cell>
        </row>
        <row r="6317">
          <cell r="A6317">
            <v>0</v>
          </cell>
        </row>
        <row r="6318">
          <cell r="A6318">
            <v>0</v>
          </cell>
        </row>
        <row r="6319">
          <cell r="A6319">
            <v>0</v>
          </cell>
        </row>
        <row r="6320">
          <cell r="A6320">
            <v>0</v>
          </cell>
        </row>
        <row r="6321">
          <cell r="A6321">
            <v>0</v>
          </cell>
        </row>
        <row r="6322">
          <cell r="A6322">
            <v>0</v>
          </cell>
        </row>
        <row r="6323">
          <cell r="A6323">
            <v>0</v>
          </cell>
        </row>
        <row r="6324">
          <cell r="A6324">
            <v>0</v>
          </cell>
        </row>
        <row r="6325">
          <cell r="A6325">
            <v>0</v>
          </cell>
        </row>
        <row r="6326">
          <cell r="A6326">
            <v>0</v>
          </cell>
        </row>
        <row r="6327">
          <cell r="A6327">
            <v>0</v>
          </cell>
        </row>
        <row r="6328">
          <cell r="A6328">
            <v>0</v>
          </cell>
        </row>
        <row r="6329">
          <cell r="A6329">
            <v>0</v>
          </cell>
        </row>
        <row r="6330">
          <cell r="A6330">
            <v>0</v>
          </cell>
        </row>
        <row r="6331">
          <cell r="A6331">
            <v>0</v>
          </cell>
        </row>
        <row r="6332">
          <cell r="A6332">
            <v>0</v>
          </cell>
        </row>
        <row r="6333">
          <cell r="A6333">
            <v>0</v>
          </cell>
        </row>
        <row r="6334">
          <cell r="A6334">
            <v>0</v>
          </cell>
        </row>
        <row r="6335">
          <cell r="A6335">
            <v>0</v>
          </cell>
        </row>
        <row r="6336">
          <cell r="A6336">
            <v>0</v>
          </cell>
        </row>
        <row r="6337">
          <cell r="A6337">
            <v>0</v>
          </cell>
        </row>
        <row r="6338">
          <cell r="A6338">
            <v>0</v>
          </cell>
        </row>
        <row r="6339">
          <cell r="A6339">
            <v>0</v>
          </cell>
        </row>
        <row r="6340">
          <cell r="A6340">
            <v>0</v>
          </cell>
        </row>
        <row r="6341">
          <cell r="A6341">
            <v>0</v>
          </cell>
        </row>
        <row r="6342">
          <cell r="A6342">
            <v>0</v>
          </cell>
        </row>
        <row r="6343">
          <cell r="A6343">
            <v>0</v>
          </cell>
        </row>
        <row r="6344">
          <cell r="A6344">
            <v>0</v>
          </cell>
        </row>
        <row r="6345">
          <cell r="A6345">
            <v>0</v>
          </cell>
        </row>
        <row r="6346">
          <cell r="A6346">
            <v>0</v>
          </cell>
        </row>
        <row r="6347">
          <cell r="A6347">
            <v>0</v>
          </cell>
        </row>
        <row r="6348">
          <cell r="A6348">
            <v>0</v>
          </cell>
        </row>
        <row r="6349">
          <cell r="A6349">
            <v>0</v>
          </cell>
        </row>
        <row r="6350">
          <cell r="A6350">
            <v>0</v>
          </cell>
        </row>
        <row r="6351">
          <cell r="A6351">
            <v>0</v>
          </cell>
        </row>
        <row r="6352">
          <cell r="A6352">
            <v>0</v>
          </cell>
        </row>
        <row r="6353">
          <cell r="A6353">
            <v>0</v>
          </cell>
        </row>
        <row r="6354">
          <cell r="A6354">
            <v>0</v>
          </cell>
        </row>
        <row r="6355">
          <cell r="A6355">
            <v>0</v>
          </cell>
        </row>
        <row r="6356">
          <cell r="A6356">
            <v>0</v>
          </cell>
        </row>
        <row r="6357">
          <cell r="A6357">
            <v>0</v>
          </cell>
        </row>
        <row r="6358">
          <cell r="A6358">
            <v>0</v>
          </cell>
        </row>
        <row r="6359">
          <cell r="A6359">
            <v>0</v>
          </cell>
        </row>
        <row r="6360">
          <cell r="A6360">
            <v>0</v>
          </cell>
        </row>
        <row r="6361">
          <cell r="A6361">
            <v>0</v>
          </cell>
        </row>
        <row r="6362">
          <cell r="A6362">
            <v>0</v>
          </cell>
        </row>
        <row r="6363">
          <cell r="A6363">
            <v>0</v>
          </cell>
        </row>
        <row r="6364">
          <cell r="A6364">
            <v>0</v>
          </cell>
        </row>
        <row r="6365">
          <cell r="A6365">
            <v>0</v>
          </cell>
        </row>
        <row r="6366">
          <cell r="A6366">
            <v>0</v>
          </cell>
        </row>
        <row r="6367">
          <cell r="A6367">
            <v>0</v>
          </cell>
        </row>
        <row r="6368">
          <cell r="A6368">
            <v>0</v>
          </cell>
        </row>
        <row r="6369">
          <cell r="A6369">
            <v>0</v>
          </cell>
        </row>
        <row r="6370">
          <cell r="A6370">
            <v>0</v>
          </cell>
        </row>
        <row r="6371">
          <cell r="A6371">
            <v>0</v>
          </cell>
        </row>
        <row r="6372">
          <cell r="A6372">
            <v>0</v>
          </cell>
        </row>
        <row r="6373">
          <cell r="A6373">
            <v>0</v>
          </cell>
        </row>
        <row r="6374">
          <cell r="A6374">
            <v>0</v>
          </cell>
        </row>
        <row r="6375">
          <cell r="A6375">
            <v>0</v>
          </cell>
        </row>
        <row r="6376">
          <cell r="A6376">
            <v>0</v>
          </cell>
        </row>
        <row r="6377">
          <cell r="A6377">
            <v>0</v>
          </cell>
        </row>
        <row r="6378">
          <cell r="A6378">
            <v>0</v>
          </cell>
        </row>
        <row r="6379">
          <cell r="A6379">
            <v>0</v>
          </cell>
        </row>
        <row r="6380">
          <cell r="A6380">
            <v>0</v>
          </cell>
        </row>
        <row r="6381">
          <cell r="A6381">
            <v>0</v>
          </cell>
        </row>
        <row r="6382">
          <cell r="A6382">
            <v>0</v>
          </cell>
        </row>
        <row r="6383">
          <cell r="A6383">
            <v>0</v>
          </cell>
        </row>
        <row r="6384">
          <cell r="A6384">
            <v>0</v>
          </cell>
        </row>
        <row r="6385">
          <cell r="A6385">
            <v>0</v>
          </cell>
        </row>
        <row r="6386">
          <cell r="A6386">
            <v>0</v>
          </cell>
        </row>
        <row r="6387">
          <cell r="A6387">
            <v>0</v>
          </cell>
        </row>
        <row r="6388">
          <cell r="A6388">
            <v>0</v>
          </cell>
        </row>
        <row r="6389">
          <cell r="A6389">
            <v>0</v>
          </cell>
        </row>
        <row r="6390">
          <cell r="A6390">
            <v>0</v>
          </cell>
        </row>
        <row r="6391">
          <cell r="A6391">
            <v>0</v>
          </cell>
        </row>
        <row r="6392">
          <cell r="A6392">
            <v>0</v>
          </cell>
        </row>
        <row r="6393">
          <cell r="A6393">
            <v>0</v>
          </cell>
        </row>
        <row r="6394">
          <cell r="A6394">
            <v>0</v>
          </cell>
        </row>
        <row r="6395">
          <cell r="A6395">
            <v>0</v>
          </cell>
        </row>
        <row r="6396">
          <cell r="A6396">
            <v>0</v>
          </cell>
        </row>
        <row r="6397">
          <cell r="A6397">
            <v>0</v>
          </cell>
        </row>
        <row r="6398">
          <cell r="A6398">
            <v>0</v>
          </cell>
        </row>
        <row r="6399">
          <cell r="A6399">
            <v>0</v>
          </cell>
        </row>
        <row r="6400">
          <cell r="A6400">
            <v>0</v>
          </cell>
        </row>
        <row r="6401">
          <cell r="A6401">
            <v>0</v>
          </cell>
        </row>
        <row r="6402">
          <cell r="A6402">
            <v>0</v>
          </cell>
        </row>
        <row r="6403">
          <cell r="A6403">
            <v>0</v>
          </cell>
        </row>
        <row r="6404">
          <cell r="A6404">
            <v>0</v>
          </cell>
        </row>
        <row r="6405">
          <cell r="A6405">
            <v>0</v>
          </cell>
        </row>
        <row r="6406">
          <cell r="A6406">
            <v>0</v>
          </cell>
        </row>
        <row r="6407">
          <cell r="A6407">
            <v>0</v>
          </cell>
        </row>
        <row r="6408">
          <cell r="A6408">
            <v>0</v>
          </cell>
        </row>
        <row r="6409">
          <cell r="A6409">
            <v>0</v>
          </cell>
        </row>
        <row r="6410">
          <cell r="A6410">
            <v>0</v>
          </cell>
        </row>
        <row r="6411">
          <cell r="A6411">
            <v>0</v>
          </cell>
        </row>
        <row r="6412">
          <cell r="A6412">
            <v>0</v>
          </cell>
        </row>
        <row r="6413">
          <cell r="A6413">
            <v>0</v>
          </cell>
        </row>
        <row r="6414">
          <cell r="A6414">
            <v>0</v>
          </cell>
        </row>
        <row r="6415">
          <cell r="A6415">
            <v>0</v>
          </cell>
        </row>
        <row r="6416">
          <cell r="A6416">
            <v>0</v>
          </cell>
        </row>
        <row r="6417">
          <cell r="A6417">
            <v>0</v>
          </cell>
        </row>
        <row r="6418">
          <cell r="A6418">
            <v>0</v>
          </cell>
        </row>
        <row r="6419">
          <cell r="A6419">
            <v>0</v>
          </cell>
        </row>
        <row r="6420">
          <cell r="A6420">
            <v>0</v>
          </cell>
        </row>
        <row r="6421">
          <cell r="A6421">
            <v>0</v>
          </cell>
        </row>
        <row r="6422">
          <cell r="A6422">
            <v>0</v>
          </cell>
        </row>
        <row r="6423">
          <cell r="A6423">
            <v>0</v>
          </cell>
        </row>
        <row r="6424">
          <cell r="A6424">
            <v>0</v>
          </cell>
        </row>
        <row r="6425">
          <cell r="A6425">
            <v>0</v>
          </cell>
        </row>
        <row r="6426">
          <cell r="A6426">
            <v>0</v>
          </cell>
        </row>
        <row r="6427">
          <cell r="A6427">
            <v>0</v>
          </cell>
        </row>
        <row r="6428">
          <cell r="A6428">
            <v>0</v>
          </cell>
        </row>
        <row r="6429">
          <cell r="A6429">
            <v>0</v>
          </cell>
        </row>
        <row r="6430">
          <cell r="A6430">
            <v>0</v>
          </cell>
        </row>
        <row r="6431">
          <cell r="A6431">
            <v>0</v>
          </cell>
        </row>
        <row r="6432">
          <cell r="A6432">
            <v>0</v>
          </cell>
        </row>
        <row r="6433">
          <cell r="A6433">
            <v>0</v>
          </cell>
        </row>
        <row r="6434">
          <cell r="A6434">
            <v>0</v>
          </cell>
        </row>
        <row r="6435">
          <cell r="A6435">
            <v>0</v>
          </cell>
        </row>
        <row r="6436">
          <cell r="A6436">
            <v>0</v>
          </cell>
        </row>
        <row r="6437">
          <cell r="A6437">
            <v>0</v>
          </cell>
        </row>
        <row r="6438">
          <cell r="A6438">
            <v>0</v>
          </cell>
        </row>
        <row r="6439">
          <cell r="A6439">
            <v>0</v>
          </cell>
        </row>
        <row r="6440">
          <cell r="A6440">
            <v>0</v>
          </cell>
        </row>
        <row r="6441">
          <cell r="A6441">
            <v>0</v>
          </cell>
        </row>
        <row r="6442">
          <cell r="A6442">
            <v>0</v>
          </cell>
        </row>
        <row r="6443">
          <cell r="A6443">
            <v>0</v>
          </cell>
        </row>
        <row r="6444">
          <cell r="A6444">
            <v>0</v>
          </cell>
        </row>
        <row r="6445">
          <cell r="A6445">
            <v>0</v>
          </cell>
        </row>
        <row r="6446">
          <cell r="A6446">
            <v>0</v>
          </cell>
        </row>
        <row r="6447">
          <cell r="A6447">
            <v>0</v>
          </cell>
        </row>
        <row r="6448">
          <cell r="A6448">
            <v>0</v>
          </cell>
        </row>
        <row r="6449">
          <cell r="A6449">
            <v>0</v>
          </cell>
        </row>
        <row r="6450">
          <cell r="A6450">
            <v>0</v>
          </cell>
        </row>
        <row r="6451">
          <cell r="A6451">
            <v>0</v>
          </cell>
        </row>
        <row r="6452">
          <cell r="A6452">
            <v>0</v>
          </cell>
        </row>
        <row r="6453">
          <cell r="A6453">
            <v>0</v>
          </cell>
        </row>
        <row r="6454">
          <cell r="A6454">
            <v>0</v>
          </cell>
        </row>
        <row r="6455">
          <cell r="A6455">
            <v>0</v>
          </cell>
        </row>
        <row r="6456">
          <cell r="A6456">
            <v>0</v>
          </cell>
        </row>
        <row r="6457">
          <cell r="A6457">
            <v>0</v>
          </cell>
        </row>
        <row r="6458">
          <cell r="A6458">
            <v>0</v>
          </cell>
        </row>
        <row r="6459">
          <cell r="A6459">
            <v>0</v>
          </cell>
        </row>
        <row r="6460">
          <cell r="A6460">
            <v>0</v>
          </cell>
        </row>
        <row r="6461">
          <cell r="A6461">
            <v>0</v>
          </cell>
        </row>
        <row r="6462">
          <cell r="A6462">
            <v>0</v>
          </cell>
        </row>
        <row r="6463">
          <cell r="A6463">
            <v>0</v>
          </cell>
        </row>
        <row r="6464">
          <cell r="A6464">
            <v>0</v>
          </cell>
        </row>
        <row r="6465">
          <cell r="A6465">
            <v>0</v>
          </cell>
        </row>
        <row r="6466">
          <cell r="A6466">
            <v>0</v>
          </cell>
        </row>
        <row r="6467">
          <cell r="A6467">
            <v>0</v>
          </cell>
        </row>
        <row r="6468">
          <cell r="A6468">
            <v>0</v>
          </cell>
        </row>
        <row r="6469">
          <cell r="A6469">
            <v>0</v>
          </cell>
        </row>
        <row r="6470">
          <cell r="A6470">
            <v>0</v>
          </cell>
        </row>
        <row r="6471">
          <cell r="A6471">
            <v>0</v>
          </cell>
        </row>
        <row r="6472">
          <cell r="A6472">
            <v>0</v>
          </cell>
        </row>
        <row r="6473">
          <cell r="A6473">
            <v>0</v>
          </cell>
        </row>
        <row r="6474">
          <cell r="A6474">
            <v>0</v>
          </cell>
        </row>
        <row r="6475">
          <cell r="A6475">
            <v>0</v>
          </cell>
        </row>
        <row r="6476">
          <cell r="A6476">
            <v>0</v>
          </cell>
        </row>
        <row r="6477">
          <cell r="A6477">
            <v>0</v>
          </cell>
        </row>
        <row r="6478">
          <cell r="A6478">
            <v>0</v>
          </cell>
        </row>
        <row r="6479">
          <cell r="A6479">
            <v>0</v>
          </cell>
        </row>
        <row r="6480">
          <cell r="A6480">
            <v>0</v>
          </cell>
        </row>
        <row r="6481">
          <cell r="A6481">
            <v>0</v>
          </cell>
        </row>
        <row r="6482">
          <cell r="A6482">
            <v>0</v>
          </cell>
        </row>
        <row r="6483">
          <cell r="A6483">
            <v>0</v>
          </cell>
        </row>
        <row r="6484">
          <cell r="A6484">
            <v>0</v>
          </cell>
        </row>
        <row r="6485">
          <cell r="A6485">
            <v>0</v>
          </cell>
        </row>
        <row r="6486">
          <cell r="A6486">
            <v>0</v>
          </cell>
        </row>
        <row r="6487">
          <cell r="A6487">
            <v>0</v>
          </cell>
        </row>
        <row r="6488">
          <cell r="A6488">
            <v>0</v>
          </cell>
        </row>
        <row r="6489">
          <cell r="A6489">
            <v>0</v>
          </cell>
        </row>
        <row r="6490">
          <cell r="A6490">
            <v>0</v>
          </cell>
        </row>
        <row r="6491">
          <cell r="A6491">
            <v>0</v>
          </cell>
        </row>
        <row r="6492">
          <cell r="A6492">
            <v>0</v>
          </cell>
        </row>
        <row r="6493">
          <cell r="A6493">
            <v>0</v>
          </cell>
        </row>
        <row r="6494">
          <cell r="A6494">
            <v>0</v>
          </cell>
        </row>
        <row r="6495">
          <cell r="A6495">
            <v>0</v>
          </cell>
        </row>
        <row r="6496">
          <cell r="A6496">
            <v>0</v>
          </cell>
        </row>
        <row r="6497">
          <cell r="A6497">
            <v>0</v>
          </cell>
        </row>
        <row r="6498">
          <cell r="A6498">
            <v>0</v>
          </cell>
        </row>
        <row r="6499">
          <cell r="A6499">
            <v>0</v>
          </cell>
        </row>
        <row r="6500">
          <cell r="A6500">
            <v>0</v>
          </cell>
        </row>
        <row r="6501">
          <cell r="A6501">
            <v>0</v>
          </cell>
        </row>
        <row r="6502">
          <cell r="A6502">
            <v>0</v>
          </cell>
        </row>
        <row r="6503">
          <cell r="A6503">
            <v>0</v>
          </cell>
        </row>
        <row r="6504">
          <cell r="A6504">
            <v>0</v>
          </cell>
        </row>
        <row r="6505">
          <cell r="A6505">
            <v>0</v>
          </cell>
        </row>
        <row r="6506">
          <cell r="A6506">
            <v>0</v>
          </cell>
        </row>
        <row r="6507">
          <cell r="A6507">
            <v>0</v>
          </cell>
        </row>
        <row r="6508">
          <cell r="A6508">
            <v>0</v>
          </cell>
        </row>
        <row r="6509">
          <cell r="A6509">
            <v>0</v>
          </cell>
        </row>
        <row r="6510">
          <cell r="A6510">
            <v>0</v>
          </cell>
        </row>
        <row r="6511">
          <cell r="A6511">
            <v>0</v>
          </cell>
        </row>
        <row r="6512">
          <cell r="A6512">
            <v>0</v>
          </cell>
        </row>
        <row r="6513">
          <cell r="A6513">
            <v>0</v>
          </cell>
        </row>
        <row r="6514">
          <cell r="A6514">
            <v>0</v>
          </cell>
        </row>
        <row r="6515">
          <cell r="A6515">
            <v>0</v>
          </cell>
        </row>
        <row r="6516">
          <cell r="A6516">
            <v>0</v>
          </cell>
        </row>
        <row r="6517">
          <cell r="A6517">
            <v>0</v>
          </cell>
        </row>
        <row r="6518">
          <cell r="A6518">
            <v>0</v>
          </cell>
        </row>
        <row r="6519">
          <cell r="A6519">
            <v>0</v>
          </cell>
        </row>
        <row r="6520">
          <cell r="A6520">
            <v>0</v>
          </cell>
        </row>
        <row r="6521">
          <cell r="A6521">
            <v>0</v>
          </cell>
        </row>
        <row r="6522">
          <cell r="A6522">
            <v>0</v>
          </cell>
        </row>
        <row r="6523">
          <cell r="A6523">
            <v>0</v>
          </cell>
        </row>
        <row r="6524">
          <cell r="A6524">
            <v>0</v>
          </cell>
        </row>
        <row r="6525">
          <cell r="A6525">
            <v>0</v>
          </cell>
        </row>
        <row r="6526">
          <cell r="A6526">
            <v>0</v>
          </cell>
        </row>
        <row r="6527">
          <cell r="A6527">
            <v>0</v>
          </cell>
        </row>
        <row r="6528">
          <cell r="A6528">
            <v>0</v>
          </cell>
        </row>
        <row r="6529">
          <cell r="A6529">
            <v>0</v>
          </cell>
        </row>
        <row r="6530">
          <cell r="A6530">
            <v>0</v>
          </cell>
        </row>
        <row r="6531">
          <cell r="A6531">
            <v>0</v>
          </cell>
        </row>
        <row r="6532">
          <cell r="A6532">
            <v>0</v>
          </cell>
        </row>
        <row r="6533">
          <cell r="A6533">
            <v>0</v>
          </cell>
        </row>
        <row r="6534">
          <cell r="A6534">
            <v>0</v>
          </cell>
        </row>
        <row r="6535">
          <cell r="A6535">
            <v>0</v>
          </cell>
        </row>
        <row r="6536">
          <cell r="A6536">
            <v>0</v>
          </cell>
        </row>
        <row r="6537">
          <cell r="A6537">
            <v>0</v>
          </cell>
        </row>
        <row r="6538">
          <cell r="A6538">
            <v>0</v>
          </cell>
        </row>
        <row r="6539">
          <cell r="A6539">
            <v>0</v>
          </cell>
        </row>
        <row r="6540">
          <cell r="A6540">
            <v>0</v>
          </cell>
        </row>
        <row r="6541">
          <cell r="A6541">
            <v>0</v>
          </cell>
        </row>
        <row r="6542">
          <cell r="A6542">
            <v>0</v>
          </cell>
        </row>
        <row r="6543">
          <cell r="A6543">
            <v>0</v>
          </cell>
        </row>
        <row r="6544">
          <cell r="A6544">
            <v>0</v>
          </cell>
        </row>
        <row r="6545">
          <cell r="A6545">
            <v>0</v>
          </cell>
        </row>
        <row r="6546">
          <cell r="A6546">
            <v>0</v>
          </cell>
        </row>
        <row r="6547">
          <cell r="A6547">
            <v>0</v>
          </cell>
        </row>
        <row r="6548">
          <cell r="A6548">
            <v>0</v>
          </cell>
        </row>
        <row r="6549">
          <cell r="A6549">
            <v>0</v>
          </cell>
        </row>
        <row r="6550">
          <cell r="A6550">
            <v>0</v>
          </cell>
        </row>
        <row r="6551">
          <cell r="A6551">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indexed="14"/>
  </sheetPr>
  <dimension ref="A1:AP114"/>
  <sheetViews>
    <sheetView tabSelected="1" zoomScale="62" zoomScaleNormal="62" workbookViewId="0">
      <pane xSplit="4" ySplit="7" topLeftCell="E8" activePane="bottomRight" state="frozen"/>
      <selection pane="topRight" activeCell="E1" sqref="E1"/>
      <selection pane="bottomLeft" activeCell="A8" sqref="A8"/>
      <selection pane="bottomRight" activeCell="O70" sqref="O70"/>
    </sheetView>
  </sheetViews>
  <sheetFormatPr defaultColWidth="8.7265625" defaultRowHeight="17.25" customHeight="1" x14ac:dyDescent="0.4"/>
  <cols>
    <col min="1" max="1" width="15.08984375" style="5" customWidth="1"/>
    <col min="2" max="2" width="8.08984375" style="2" customWidth="1"/>
    <col min="3" max="3" width="19.26953125" style="2" customWidth="1"/>
    <col min="4" max="4" width="8.453125" style="5" bestFit="1" customWidth="1"/>
    <col min="5" max="6" width="14.453125" style="5" customWidth="1"/>
    <col min="7" max="7" width="13.08984375" style="5" customWidth="1"/>
    <col min="8" max="8" width="12.453125" style="88" customWidth="1"/>
    <col min="9" max="9" width="12.36328125" style="2" customWidth="1"/>
    <col min="10" max="10" width="11" style="2" customWidth="1"/>
    <col min="11" max="11" width="17.90625" style="4" customWidth="1"/>
    <col min="12" max="12" width="12.6328125" style="4" customWidth="1"/>
    <col min="13" max="13" width="11.08984375" style="4" customWidth="1"/>
    <col min="14" max="14" width="11" style="4" customWidth="1"/>
    <col min="15" max="15" width="12.6328125" style="4" customWidth="1"/>
    <col min="16" max="16" width="11.453125" style="4" customWidth="1"/>
    <col min="17" max="17" width="12.90625" style="4" customWidth="1"/>
    <col min="18" max="18" width="13.453125" style="3" customWidth="1"/>
    <col min="19" max="19" width="15.90625" style="12" customWidth="1"/>
    <col min="20" max="20" width="12.90625" style="90" customWidth="1"/>
    <col min="21" max="16384" width="8.7265625" style="5"/>
  </cols>
  <sheetData>
    <row r="1" spans="1:20" ht="17.25" customHeight="1" x14ac:dyDescent="0.4">
      <c r="A1" s="1">
        <v>1</v>
      </c>
      <c r="B1" s="1">
        <v>2</v>
      </c>
      <c r="C1" s="1">
        <v>3</v>
      </c>
      <c r="D1" s="1">
        <v>4</v>
      </c>
      <c r="E1" s="1">
        <v>5</v>
      </c>
      <c r="F1" s="1">
        <v>6</v>
      </c>
      <c r="G1" s="1">
        <v>7</v>
      </c>
      <c r="H1" s="1">
        <v>8</v>
      </c>
      <c r="I1" s="1">
        <v>9</v>
      </c>
      <c r="J1" s="1">
        <v>10</v>
      </c>
      <c r="K1" s="1">
        <v>11</v>
      </c>
      <c r="L1" s="1">
        <v>12</v>
      </c>
      <c r="M1" s="1">
        <v>13</v>
      </c>
      <c r="N1" s="1">
        <v>14</v>
      </c>
      <c r="O1" s="1">
        <v>15</v>
      </c>
      <c r="P1" s="1">
        <v>16</v>
      </c>
      <c r="Q1" s="1">
        <v>17</v>
      </c>
      <c r="R1" s="1">
        <v>18</v>
      </c>
      <c r="S1" s="1">
        <v>19</v>
      </c>
      <c r="T1" s="1">
        <v>20</v>
      </c>
    </row>
    <row r="2" spans="1:20" ht="17.25" customHeight="1" x14ac:dyDescent="0.4">
      <c r="A2" s="102" t="s">
        <v>0</v>
      </c>
      <c r="B2" s="102"/>
      <c r="C2" s="102"/>
      <c r="D2" s="102"/>
      <c r="E2" s="102"/>
      <c r="F2" s="102"/>
      <c r="G2" s="102"/>
      <c r="H2" s="103"/>
      <c r="I2" s="102"/>
      <c r="J2" s="102"/>
      <c r="K2" s="102"/>
      <c r="L2" s="102"/>
      <c r="M2" s="102"/>
      <c r="N2" s="102"/>
      <c r="O2" s="102"/>
      <c r="P2" s="102"/>
      <c r="Q2" s="102"/>
      <c r="R2" s="102"/>
      <c r="S2" s="6"/>
      <c r="T2" s="7"/>
    </row>
    <row r="3" spans="1:20" ht="17.25" customHeight="1" x14ac:dyDescent="0.4">
      <c r="A3" s="102" t="s">
        <v>1</v>
      </c>
      <c r="B3" s="102"/>
      <c r="C3" s="102"/>
      <c r="D3" s="102"/>
      <c r="E3" s="102"/>
      <c r="F3" s="102"/>
      <c r="G3" s="102"/>
      <c r="H3" s="103"/>
      <c r="I3" s="102"/>
      <c r="J3" s="102"/>
      <c r="K3" s="102"/>
      <c r="L3" s="102"/>
      <c r="M3" s="102"/>
      <c r="N3" s="102"/>
      <c r="O3" s="102"/>
      <c r="P3" s="102"/>
      <c r="Q3" s="102"/>
      <c r="R3" s="102"/>
      <c r="S3" s="6"/>
      <c r="T3" s="7"/>
    </row>
    <row r="4" spans="1:20" ht="17.25" customHeight="1" x14ac:dyDescent="0.4">
      <c r="A4" s="102" t="s">
        <v>2</v>
      </c>
      <c r="B4" s="102"/>
      <c r="C4" s="102"/>
      <c r="D4" s="102"/>
      <c r="E4" s="102"/>
      <c r="F4" s="102"/>
      <c r="G4" s="102"/>
      <c r="H4" s="103"/>
      <c r="I4" s="102"/>
      <c r="J4" s="102"/>
      <c r="K4" s="102"/>
      <c r="L4" s="102"/>
      <c r="M4" s="102"/>
      <c r="N4" s="102"/>
      <c r="O4" s="102"/>
      <c r="P4" s="102"/>
      <c r="Q4" s="102"/>
      <c r="R4" s="102"/>
      <c r="S4" s="6"/>
      <c r="T4" s="7"/>
    </row>
    <row r="5" spans="1:20" s="9" customFormat="1" ht="17.25" customHeight="1" x14ac:dyDescent="0.4">
      <c r="A5" s="8"/>
      <c r="C5" s="8"/>
      <c r="E5" s="8"/>
      <c r="G5" s="8"/>
      <c r="I5" s="8"/>
      <c r="K5" s="8"/>
      <c r="M5" s="8"/>
      <c r="O5" s="8"/>
      <c r="Q5" s="8"/>
      <c r="S5" s="10"/>
      <c r="T5" s="11"/>
    </row>
    <row r="6" spans="1:20" ht="17.25" customHeight="1" x14ac:dyDescent="0.4">
      <c r="A6" s="13"/>
      <c r="B6" s="13" t="s">
        <v>4</v>
      </c>
      <c r="C6" s="14">
        <v>45796</v>
      </c>
      <c r="G6" s="15"/>
      <c r="H6" s="16"/>
      <c r="I6" s="17"/>
      <c r="J6" s="17"/>
      <c r="R6" s="18"/>
      <c r="S6" s="19" t="s">
        <v>3</v>
      </c>
      <c r="T6" s="19"/>
    </row>
    <row r="7" spans="1:20" s="28" customFormat="1" ht="18" customHeight="1" x14ac:dyDescent="0.4">
      <c r="A7" s="20" t="s">
        <v>5</v>
      </c>
      <c r="B7" s="20" t="s">
        <v>6</v>
      </c>
      <c r="C7" s="20" t="s">
        <v>7</v>
      </c>
      <c r="D7" s="20" t="s">
        <v>8</v>
      </c>
      <c r="E7" s="21" t="s">
        <v>9</v>
      </c>
      <c r="F7" s="21" t="s">
        <v>10</v>
      </c>
      <c r="G7" s="20" t="s">
        <v>11</v>
      </c>
      <c r="H7" s="22" t="s">
        <v>12</v>
      </c>
      <c r="I7" s="23" t="s">
        <v>13</v>
      </c>
      <c r="J7" s="24" t="s">
        <v>14</v>
      </c>
      <c r="K7" s="24" t="s">
        <v>15</v>
      </c>
      <c r="L7" s="24" t="s">
        <v>16</v>
      </c>
      <c r="M7" s="24" t="s">
        <v>17</v>
      </c>
      <c r="N7" s="24" t="s">
        <v>18</v>
      </c>
      <c r="O7" s="24" t="s">
        <v>19</v>
      </c>
      <c r="P7" s="24" t="s">
        <v>20</v>
      </c>
      <c r="Q7" s="24" t="s">
        <v>21</v>
      </c>
      <c r="R7" s="24" t="s">
        <v>22</v>
      </c>
      <c r="S7" s="25" t="s">
        <v>23</v>
      </c>
      <c r="T7" s="26" t="s">
        <v>24</v>
      </c>
    </row>
    <row r="8" spans="1:20" ht="17.25" customHeight="1" x14ac:dyDescent="0.4">
      <c r="A8" s="29" t="s">
        <v>47</v>
      </c>
      <c r="B8" s="30">
        <v>11011</v>
      </c>
      <c r="C8" s="31" t="s">
        <v>48</v>
      </c>
      <c r="D8" s="32" t="s">
        <v>49</v>
      </c>
      <c r="E8" s="33">
        <v>7.22E-2</v>
      </c>
      <c r="F8" s="34">
        <v>46717</v>
      </c>
      <c r="G8" s="34">
        <v>46731</v>
      </c>
      <c r="H8" s="35">
        <v>2.5616438356164384</v>
      </c>
      <c r="I8" s="36">
        <v>100</v>
      </c>
      <c r="J8" s="37">
        <v>36.5</v>
      </c>
      <c r="K8" s="38">
        <v>2.7E-2</v>
      </c>
      <c r="L8" s="39">
        <v>0.83013698630136989</v>
      </c>
      <c r="M8" s="40">
        <v>100.35</v>
      </c>
      <c r="N8" s="41">
        <v>0.20883663366336627</v>
      </c>
      <c r="O8" s="42">
        <v>7569.9999999999945</v>
      </c>
      <c r="P8" s="43">
        <v>1</v>
      </c>
      <c r="Q8" s="43">
        <v>0.34100000000000003</v>
      </c>
      <c r="R8" s="44" t="s">
        <v>25</v>
      </c>
      <c r="S8" s="45"/>
      <c r="T8" s="46"/>
    </row>
    <row r="9" spans="1:20" ht="17.25" customHeight="1" x14ac:dyDescent="0.4">
      <c r="A9" s="29" t="s">
        <v>50</v>
      </c>
      <c r="B9" s="30">
        <v>13164</v>
      </c>
      <c r="C9" s="31" t="s">
        <v>51</v>
      </c>
      <c r="D9" s="32" t="s">
        <v>52</v>
      </c>
      <c r="E9" s="33">
        <v>1.84E-2</v>
      </c>
      <c r="F9" s="34">
        <v>46037</v>
      </c>
      <c r="G9" s="34">
        <v>46051</v>
      </c>
      <c r="H9" s="35">
        <v>0.69863013698630139</v>
      </c>
      <c r="I9" s="36">
        <v>100</v>
      </c>
      <c r="J9" s="37">
        <v>14.7</v>
      </c>
      <c r="K9" s="38">
        <v>2.1999999999999999E-2</v>
      </c>
      <c r="L9" s="39">
        <v>1.0578231292517009</v>
      </c>
      <c r="M9" s="40">
        <v>129</v>
      </c>
      <c r="N9" s="41">
        <v>0.21948553054662356</v>
      </c>
      <c r="O9" s="42">
        <v>30840</v>
      </c>
      <c r="P9" s="43">
        <v>0.33500000000000002</v>
      </c>
      <c r="Q9" s="43">
        <v>0.75</v>
      </c>
      <c r="R9" s="44" t="s">
        <v>25</v>
      </c>
      <c r="S9" s="45" t="s">
        <v>3</v>
      </c>
      <c r="T9" s="46"/>
    </row>
    <row r="10" spans="1:20" ht="17.25" customHeight="1" x14ac:dyDescent="0.4">
      <c r="A10" s="29" t="s">
        <v>53</v>
      </c>
      <c r="B10" s="30">
        <v>13166</v>
      </c>
      <c r="C10" s="31" t="s">
        <v>54</v>
      </c>
      <c r="D10" s="32" t="s">
        <v>52</v>
      </c>
      <c r="E10" s="33">
        <v>3.6600000000000008E-2</v>
      </c>
      <c r="F10" s="34">
        <v>46370</v>
      </c>
      <c r="G10" s="34">
        <v>46383</v>
      </c>
      <c r="H10" s="35">
        <v>1.6082191780821917</v>
      </c>
      <c r="I10" s="36">
        <v>100.5</v>
      </c>
      <c r="J10" s="37">
        <v>17.399999999999999</v>
      </c>
      <c r="K10" s="38">
        <v>2.4E-2</v>
      </c>
      <c r="L10" s="39">
        <v>0.89367816091954044</v>
      </c>
      <c r="M10" s="40">
        <v>112.2</v>
      </c>
      <c r="N10" s="41">
        <v>0.2554855305466236</v>
      </c>
      <c r="O10" s="42">
        <v>15860.000000000002</v>
      </c>
      <c r="P10" s="43">
        <v>1</v>
      </c>
      <c r="Q10" s="43">
        <v>0.75</v>
      </c>
      <c r="R10" s="44" t="s">
        <v>25</v>
      </c>
      <c r="S10" s="45"/>
      <c r="T10" s="46"/>
    </row>
    <row r="11" spans="1:20" ht="17.25" customHeight="1" x14ac:dyDescent="0.4">
      <c r="A11" s="29" t="s">
        <v>55</v>
      </c>
      <c r="B11" s="30">
        <v>14362</v>
      </c>
      <c r="C11" s="31" t="s">
        <v>56</v>
      </c>
      <c r="D11" s="32" t="s">
        <v>52</v>
      </c>
      <c r="E11" s="33">
        <v>1.49E-2</v>
      </c>
      <c r="F11" s="34">
        <v>45978</v>
      </c>
      <c r="G11" s="34">
        <v>45992</v>
      </c>
      <c r="H11" s="35">
        <v>0.53698630136986303</v>
      </c>
      <c r="I11" s="36">
        <v>100</v>
      </c>
      <c r="J11" s="37">
        <v>30.5</v>
      </c>
      <c r="K11" s="38">
        <v>2.1999999999999999E-2</v>
      </c>
      <c r="L11" s="39">
        <v>4.0491803278688527</v>
      </c>
      <c r="M11" s="40">
        <v>389</v>
      </c>
      <c r="N11" s="41">
        <v>-3.9311740890688264E-2</v>
      </c>
      <c r="O11" s="42">
        <v>290490</v>
      </c>
      <c r="P11" s="43">
        <v>0.48320000000000002</v>
      </c>
      <c r="Q11" s="43">
        <v>0.64900000000000002</v>
      </c>
      <c r="R11" s="44" t="s">
        <v>25</v>
      </c>
      <c r="S11" s="45"/>
      <c r="T11" s="46"/>
    </row>
    <row r="12" spans="1:20" ht="17.25" customHeight="1" x14ac:dyDescent="0.4">
      <c r="A12" s="29" t="s">
        <v>57</v>
      </c>
      <c r="B12" s="30">
        <v>14381</v>
      </c>
      <c r="C12" s="31" t="s">
        <v>58</v>
      </c>
      <c r="D12" s="32" t="s">
        <v>52</v>
      </c>
      <c r="E12" s="33">
        <v>4.7500000000000007E-2</v>
      </c>
      <c r="F12" s="34">
        <v>46727</v>
      </c>
      <c r="G12" s="34">
        <v>46740</v>
      </c>
      <c r="H12" s="35">
        <v>2.5863013698630137</v>
      </c>
      <c r="I12" s="36">
        <v>101.50749999999999</v>
      </c>
      <c r="J12" s="37">
        <v>55.88</v>
      </c>
      <c r="K12" s="38">
        <v>2.3E-2</v>
      </c>
      <c r="L12" s="39">
        <v>0.81156048675733716</v>
      </c>
      <c r="M12" s="40">
        <v>128</v>
      </c>
      <c r="N12" s="41">
        <v>0.57720837927232638</v>
      </c>
      <c r="O12" s="42">
        <v>32750</v>
      </c>
      <c r="P12" s="43">
        <v>1</v>
      </c>
      <c r="Q12" s="43">
        <v>0.67200000000000004</v>
      </c>
      <c r="R12" s="44" t="s">
        <v>25</v>
      </c>
      <c r="S12" s="45"/>
      <c r="T12" s="46"/>
    </row>
    <row r="13" spans="1:20" ht="17.25" customHeight="1" x14ac:dyDescent="0.4">
      <c r="A13" s="29" t="s">
        <v>59</v>
      </c>
      <c r="B13" s="30">
        <v>15142</v>
      </c>
      <c r="C13" s="31" t="s">
        <v>48</v>
      </c>
      <c r="D13" s="32" t="s">
        <v>60</v>
      </c>
      <c r="E13" s="33">
        <v>8.1800000000000012E-2</v>
      </c>
      <c r="F13" s="34">
        <v>46751</v>
      </c>
      <c r="G13" s="34">
        <v>46765</v>
      </c>
      <c r="H13" s="35">
        <v>2.6547945205479451</v>
      </c>
      <c r="I13" s="36">
        <v>100.75190000000001</v>
      </c>
      <c r="J13" s="37">
        <v>113.2</v>
      </c>
      <c r="K13" s="38">
        <v>3.2500000000000001E-2</v>
      </c>
      <c r="L13" s="39">
        <v>0.9938162544169612</v>
      </c>
      <c r="M13" s="40">
        <v>112</v>
      </c>
      <c r="N13" s="41">
        <v>0.12696888888888885</v>
      </c>
      <c r="O13" s="42">
        <v>20180</v>
      </c>
      <c r="P13" s="43">
        <v>1</v>
      </c>
      <c r="Q13" s="43">
        <v>0.77900000000000003</v>
      </c>
      <c r="R13" s="44" t="s">
        <v>26</v>
      </c>
      <c r="S13" s="45"/>
      <c r="T13" s="46"/>
    </row>
    <row r="14" spans="1:20" ht="17.25" customHeight="1" x14ac:dyDescent="0.4">
      <c r="A14" s="29" t="s">
        <v>61</v>
      </c>
      <c r="B14" s="30">
        <v>15601</v>
      </c>
      <c r="C14" s="31" t="s">
        <v>48</v>
      </c>
      <c r="D14" s="32" t="s">
        <v>49</v>
      </c>
      <c r="E14" s="33">
        <v>5.5500000000000008E-2</v>
      </c>
      <c r="F14" s="34">
        <v>46548</v>
      </c>
      <c r="G14" s="34">
        <v>46562</v>
      </c>
      <c r="H14" s="35">
        <v>2.0986301369863014</v>
      </c>
      <c r="I14" s="36">
        <v>100</v>
      </c>
      <c r="J14" s="37">
        <v>288.2</v>
      </c>
      <c r="K14" s="38">
        <v>2.5000000000000001E-2</v>
      </c>
      <c r="L14" s="39">
        <v>1.0097154753643303</v>
      </c>
      <c r="M14" s="40">
        <v>116</v>
      </c>
      <c r="N14" s="41">
        <v>0.1488384879725087</v>
      </c>
      <c r="O14" s="42">
        <v>21550.000000000004</v>
      </c>
      <c r="P14" s="43">
        <v>1</v>
      </c>
      <c r="Q14" s="43">
        <v>0.93300000000000005</v>
      </c>
      <c r="R14" s="44" t="s">
        <v>25</v>
      </c>
      <c r="S14" s="45"/>
      <c r="T14" s="54"/>
    </row>
    <row r="15" spans="1:20" ht="17.25" customHeight="1" x14ac:dyDescent="0.4">
      <c r="A15" s="29" t="s">
        <v>62</v>
      </c>
      <c r="B15" s="30">
        <v>15864</v>
      </c>
      <c r="C15" s="31" t="s">
        <v>63</v>
      </c>
      <c r="D15" s="32" t="s">
        <v>52</v>
      </c>
      <c r="E15" s="33">
        <v>3.1300000000000001E-2</v>
      </c>
      <c r="F15" s="34">
        <v>46251</v>
      </c>
      <c r="G15" s="34">
        <v>46264</v>
      </c>
      <c r="H15" s="35">
        <v>1.2821917808219179</v>
      </c>
      <c r="I15" s="36">
        <v>100</v>
      </c>
      <c r="J15" s="37">
        <v>31.08</v>
      </c>
      <c r="K15" s="38">
        <v>2.1999999999999999E-2</v>
      </c>
      <c r="L15" s="39">
        <v>0.95398970398970395</v>
      </c>
      <c r="M15" s="40">
        <v>106</v>
      </c>
      <c r="N15" s="41">
        <v>0.11112310286677918</v>
      </c>
      <c r="O15" s="42">
        <v>9130</v>
      </c>
      <c r="P15" s="43">
        <v>1</v>
      </c>
      <c r="Q15" s="43">
        <v>0.253</v>
      </c>
      <c r="R15" s="44" t="s">
        <v>25</v>
      </c>
      <c r="S15" s="45"/>
      <c r="T15" s="46"/>
    </row>
    <row r="16" spans="1:20" ht="17.25" customHeight="1" x14ac:dyDescent="0.4">
      <c r="A16" s="29" t="s">
        <v>64</v>
      </c>
      <c r="B16" s="30">
        <v>15991</v>
      </c>
      <c r="C16" s="31" t="s">
        <v>65</v>
      </c>
      <c r="D16" s="32" t="s">
        <v>66</v>
      </c>
      <c r="E16" s="33">
        <v>1.4099999999999998E-2</v>
      </c>
      <c r="F16" s="34">
        <v>45965</v>
      </c>
      <c r="G16" s="34">
        <v>45979</v>
      </c>
      <c r="H16" s="35">
        <v>0.50136986301369868</v>
      </c>
      <c r="I16" s="36">
        <v>100</v>
      </c>
      <c r="J16" s="37">
        <v>41.5</v>
      </c>
      <c r="K16" s="38">
        <v>2.1999999999999999E-2</v>
      </c>
      <c r="L16" s="39">
        <v>0.69638554216867465</v>
      </c>
      <c r="M16" s="40">
        <v>99.4</v>
      </c>
      <c r="N16" s="41">
        <v>0.42737024221453312</v>
      </c>
      <c r="O16" s="42">
        <v>810.00000000000546</v>
      </c>
      <c r="P16" s="43">
        <v>1</v>
      </c>
      <c r="Q16" s="43">
        <v>0.435</v>
      </c>
      <c r="R16" s="44" t="s">
        <v>25</v>
      </c>
      <c r="S16" s="45"/>
      <c r="T16" s="46"/>
    </row>
    <row r="17" spans="1:20" ht="17.25" customHeight="1" x14ac:dyDescent="0.4">
      <c r="A17" s="29" t="s">
        <v>67</v>
      </c>
      <c r="B17" s="30">
        <v>16095</v>
      </c>
      <c r="C17" s="31" t="s">
        <v>48</v>
      </c>
      <c r="D17" s="32" t="s">
        <v>66</v>
      </c>
      <c r="E17" s="33">
        <v>6.6600000000000006E-2</v>
      </c>
      <c r="F17" s="34">
        <v>46646</v>
      </c>
      <c r="G17" s="34">
        <v>46660</v>
      </c>
      <c r="H17" s="35">
        <v>2.3671232876712329</v>
      </c>
      <c r="I17" s="36">
        <v>100.75</v>
      </c>
      <c r="J17" s="37">
        <v>53.1</v>
      </c>
      <c r="K17" s="38">
        <v>0.03</v>
      </c>
      <c r="L17" s="39">
        <v>0.72881355932203395</v>
      </c>
      <c r="M17" s="40">
        <v>102</v>
      </c>
      <c r="N17" s="41">
        <v>0.39953488372093021</v>
      </c>
      <c r="O17" s="42">
        <v>8660.0000000000018</v>
      </c>
      <c r="P17" s="43">
        <v>1</v>
      </c>
      <c r="Q17" s="43">
        <v>0.72599999999999998</v>
      </c>
      <c r="R17" s="44" t="s">
        <v>26</v>
      </c>
      <c r="S17" s="45"/>
      <c r="T17" s="46"/>
    </row>
    <row r="18" spans="1:20" ht="17.25" customHeight="1" x14ac:dyDescent="0.4">
      <c r="A18" s="29" t="s">
        <v>68</v>
      </c>
      <c r="B18" s="30">
        <v>17813</v>
      </c>
      <c r="C18" s="31" t="s">
        <v>69</v>
      </c>
      <c r="D18" s="32" t="s">
        <v>70</v>
      </c>
      <c r="E18" s="33">
        <v>5.7100000000000005E-2</v>
      </c>
      <c r="F18" s="34">
        <v>46640</v>
      </c>
      <c r="G18" s="34">
        <v>46654</v>
      </c>
      <c r="H18" s="35">
        <v>2.3506849315068492</v>
      </c>
      <c r="I18" s="36">
        <v>100</v>
      </c>
      <c r="J18" s="37">
        <v>18</v>
      </c>
      <c r="K18" s="38">
        <v>2.3E-2</v>
      </c>
      <c r="L18" s="39">
        <v>0.79722222222222217</v>
      </c>
      <c r="M18" s="40">
        <v>104.1</v>
      </c>
      <c r="N18" s="41">
        <v>0.30578397212543562</v>
      </c>
      <c r="O18" s="42">
        <v>9809.9999999999945</v>
      </c>
      <c r="P18" s="43">
        <v>1</v>
      </c>
      <c r="Q18" s="43">
        <v>0.64400000000000002</v>
      </c>
      <c r="R18" s="44" t="s">
        <v>25</v>
      </c>
      <c r="S18" s="45"/>
      <c r="T18" s="46"/>
    </row>
    <row r="19" spans="1:20" ht="17.25" customHeight="1" x14ac:dyDescent="0.4">
      <c r="A19" s="29" t="s">
        <v>71</v>
      </c>
      <c r="B19" s="30">
        <v>23682</v>
      </c>
      <c r="C19" s="31" t="s">
        <v>48</v>
      </c>
      <c r="D19" s="32" t="s">
        <v>49</v>
      </c>
      <c r="E19" s="33">
        <v>4.3300000000000005E-2</v>
      </c>
      <c r="F19" s="34">
        <v>46349</v>
      </c>
      <c r="G19" s="34">
        <v>46361</v>
      </c>
      <c r="H19" s="35">
        <v>1.547945205479452</v>
      </c>
      <c r="I19" s="36">
        <v>100</v>
      </c>
      <c r="J19" s="37">
        <v>218.9</v>
      </c>
      <c r="K19" s="38">
        <v>2.5999999999999999E-2</v>
      </c>
      <c r="L19" s="39">
        <v>1.0347190497944267</v>
      </c>
      <c r="M19" s="40">
        <v>115.8</v>
      </c>
      <c r="N19" s="41">
        <v>0.11914437086092711</v>
      </c>
      <c r="O19" s="42">
        <v>20129.999999999996</v>
      </c>
      <c r="P19" s="43">
        <v>0.99997499999999995</v>
      </c>
      <c r="Q19" s="43">
        <v>0.90700000000000003</v>
      </c>
      <c r="R19" s="44" t="s">
        <v>26</v>
      </c>
      <c r="S19" s="45"/>
      <c r="T19" s="46"/>
    </row>
    <row r="20" spans="1:20" ht="17.25" customHeight="1" x14ac:dyDescent="0.4">
      <c r="A20" s="29" t="s">
        <v>72</v>
      </c>
      <c r="B20" s="30">
        <v>23836</v>
      </c>
      <c r="C20" s="31" t="s">
        <v>48</v>
      </c>
      <c r="D20" s="32" t="s">
        <v>73</v>
      </c>
      <c r="E20" s="33">
        <v>6.1900000000000004E-2</v>
      </c>
      <c r="F20" s="34">
        <v>46643</v>
      </c>
      <c r="G20" s="34">
        <v>46655</v>
      </c>
      <c r="H20" s="35">
        <v>2.3534246575342466</v>
      </c>
      <c r="I20" s="36">
        <v>100</v>
      </c>
      <c r="J20" s="37">
        <v>607.5</v>
      </c>
      <c r="K20" s="38">
        <v>2.5000000000000001E-2</v>
      </c>
      <c r="L20" s="39">
        <v>1.1242798353909464</v>
      </c>
      <c r="M20" s="40">
        <v>123.8</v>
      </c>
      <c r="N20" s="41">
        <v>0.10114934114202057</v>
      </c>
      <c r="O20" s="42">
        <v>29989.999999999993</v>
      </c>
      <c r="P20" s="43">
        <v>1</v>
      </c>
      <c r="Q20" s="43">
        <v>0.86599999999999999</v>
      </c>
      <c r="R20" s="44" t="s">
        <v>26</v>
      </c>
      <c r="S20" s="45"/>
      <c r="T20" s="46"/>
    </row>
    <row r="21" spans="1:20" ht="17.25" customHeight="1" x14ac:dyDescent="0.4">
      <c r="A21" s="29" t="s">
        <v>74</v>
      </c>
      <c r="B21" s="30">
        <v>23837</v>
      </c>
      <c r="C21" s="31" t="s">
        <v>48</v>
      </c>
      <c r="D21" s="32" t="s">
        <v>73</v>
      </c>
      <c r="E21" s="33">
        <v>0.12609999999999999</v>
      </c>
      <c r="F21" s="34">
        <v>47386</v>
      </c>
      <c r="G21" s="34">
        <v>47400</v>
      </c>
      <c r="H21" s="35">
        <v>4.3945205479452056</v>
      </c>
      <c r="I21" s="36">
        <v>100</v>
      </c>
      <c r="J21" s="37">
        <v>490.7</v>
      </c>
      <c r="K21" s="38">
        <v>2.8000000000000001E-2</v>
      </c>
      <c r="L21" s="39">
        <v>1.3918891379661711</v>
      </c>
      <c r="M21" s="40">
        <v>138.80000000000001</v>
      </c>
      <c r="N21" s="41">
        <v>-2.79414348462673E-3</v>
      </c>
      <c r="O21" s="42">
        <v>51410.000000000015</v>
      </c>
      <c r="P21" s="43">
        <v>0.99886666666666668</v>
      </c>
      <c r="Q21" s="43">
        <v>0.86599999999999999</v>
      </c>
      <c r="R21" s="44" t="s">
        <v>26</v>
      </c>
      <c r="S21" s="45"/>
      <c r="T21" s="46"/>
    </row>
    <row r="22" spans="1:20" ht="17.25" customHeight="1" x14ac:dyDescent="0.4">
      <c r="A22" s="29" t="s">
        <v>75</v>
      </c>
      <c r="B22" s="30">
        <v>24394</v>
      </c>
      <c r="C22" s="31" t="s">
        <v>48</v>
      </c>
      <c r="D22" s="32" t="s">
        <v>73</v>
      </c>
      <c r="E22" s="33">
        <v>5.6600000000000004E-2</v>
      </c>
      <c r="F22" s="34">
        <v>46566</v>
      </c>
      <c r="G22" s="34">
        <v>46578</v>
      </c>
      <c r="H22" s="35">
        <v>2.1424657534246574</v>
      </c>
      <c r="I22" s="36">
        <v>100</v>
      </c>
      <c r="J22" s="37">
        <v>137.5</v>
      </c>
      <c r="K22" s="38">
        <v>2.5000000000000001E-2</v>
      </c>
      <c r="L22" s="39">
        <v>0.92363636363636359</v>
      </c>
      <c r="M22" s="40">
        <v>107.95</v>
      </c>
      <c r="N22" s="41">
        <v>0.16875000000000007</v>
      </c>
      <c r="O22" s="42">
        <v>13610.000000000002</v>
      </c>
      <c r="P22" s="43">
        <v>1</v>
      </c>
      <c r="Q22" s="43">
        <v>0.66400000000000003</v>
      </c>
      <c r="R22" s="44" t="s">
        <v>25</v>
      </c>
      <c r="S22" s="45"/>
      <c r="T22" s="46"/>
    </row>
    <row r="23" spans="1:20" ht="15.75" customHeight="1" x14ac:dyDescent="0.4">
      <c r="A23" s="29" t="s">
        <v>28</v>
      </c>
      <c r="B23" s="30">
        <v>24395</v>
      </c>
      <c r="C23" s="31" t="s">
        <v>48</v>
      </c>
      <c r="D23" s="32" t="s">
        <v>73</v>
      </c>
      <c r="E23" s="33">
        <v>5.7400000000000007E-2</v>
      </c>
      <c r="F23" s="34">
        <v>46576</v>
      </c>
      <c r="G23" s="34">
        <v>46590</v>
      </c>
      <c r="H23" s="35">
        <v>2.1753424657534248</v>
      </c>
      <c r="I23" s="36">
        <v>100</v>
      </c>
      <c r="J23" s="37">
        <v>133.5</v>
      </c>
      <c r="K23" s="38">
        <v>2.5000000000000001E-2</v>
      </c>
      <c r="L23" s="39">
        <v>0.95131086142322085</v>
      </c>
      <c r="M23" s="40">
        <v>108.9</v>
      </c>
      <c r="N23" s="41">
        <v>0.14473622047244109</v>
      </c>
      <c r="O23" s="42">
        <v>14640.000000000005</v>
      </c>
      <c r="P23" s="43">
        <v>1</v>
      </c>
      <c r="Q23" s="43">
        <v>0.66400000000000003</v>
      </c>
      <c r="R23" s="44" t="s">
        <v>25</v>
      </c>
      <c r="S23" s="45"/>
      <c r="T23" s="46"/>
    </row>
    <row r="24" spans="1:20" ht="17.25" customHeight="1" x14ac:dyDescent="0.4">
      <c r="A24" s="29" t="s">
        <v>76</v>
      </c>
      <c r="B24" s="30">
        <v>24616</v>
      </c>
      <c r="C24" s="31" t="s">
        <v>58</v>
      </c>
      <c r="D24" s="32" t="s">
        <v>60</v>
      </c>
      <c r="E24" s="33">
        <v>2.1699999999999997E-2</v>
      </c>
      <c r="F24" s="34">
        <v>46091</v>
      </c>
      <c r="G24" s="34">
        <v>46105</v>
      </c>
      <c r="H24" s="35">
        <v>0.84657534246575339</v>
      </c>
      <c r="I24" s="36">
        <v>100</v>
      </c>
      <c r="J24" s="37">
        <v>15.3</v>
      </c>
      <c r="K24" s="38">
        <v>2.1999999999999999E-2</v>
      </c>
      <c r="L24" s="39">
        <v>1.1568627450980391</v>
      </c>
      <c r="M24" s="40">
        <v>140</v>
      </c>
      <c r="N24" s="41">
        <v>0.21016949152542386</v>
      </c>
      <c r="O24" s="42">
        <v>42170</v>
      </c>
      <c r="P24" s="43">
        <v>0.44350000000000001</v>
      </c>
      <c r="Q24" s="43">
        <v>0.67500000000000004</v>
      </c>
      <c r="R24" s="44" t="s">
        <v>25</v>
      </c>
      <c r="S24" s="45"/>
      <c r="T24" s="46"/>
    </row>
    <row r="25" spans="1:20" ht="17.25" customHeight="1" x14ac:dyDescent="0.4">
      <c r="A25" s="29" t="s">
        <v>77</v>
      </c>
      <c r="B25" s="30">
        <v>24762</v>
      </c>
      <c r="C25" s="31" t="s">
        <v>48</v>
      </c>
      <c r="D25" s="32" t="s">
        <v>49</v>
      </c>
      <c r="E25" s="33">
        <v>4.7000000000000007E-2</v>
      </c>
      <c r="F25" s="34">
        <v>46399</v>
      </c>
      <c r="G25" s="34">
        <v>46413</v>
      </c>
      <c r="H25" s="35">
        <v>1.6904109589041096</v>
      </c>
      <c r="I25" s="36">
        <v>100</v>
      </c>
      <c r="J25" s="37">
        <v>69.599999999999994</v>
      </c>
      <c r="K25" s="38">
        <v>2.5999999999999999E-2</v>
      </c>
      <c r="L25" s="39">
        <v>1.0689655172413794</v>
      </c>
      <c r="M25" s="40">
        <v>117.8</v>
      </c>
      <c r="N25" s="41">
        <v>0.10199999999999977</v>
      </c>
      <c r="O25" s="42">
        <v>22499.999999999996</v>
      </c>
      <c r="P25" s="43">
        <v>0.76929999999999998</v>
      </c>
      <c r="Q25" s="43">
        <v>0.76800000000000002</v>
      </c>
      <c r="R25" s="44" t="s">
        <v>26</v>
      </c>
      <c r="S25" s="45"/>
      <c r="T25" s="46"/>
    </row>
    <row r="26" spans="1:20" ht="17.25" customHeight="1" x14ac:dyDescent="0.4">
      <c r="A26" s="29" t="s">
        <v>78</v>
      </c>
      <c r="B26" s="30">
        <v>25283</v>
      </c>
      <c r="C26" s="31" t="s">
        <v>79</v>
      </c>
      <c r="D26" s="32" t="s">
        <v>52</v>
      </c>
      <c r="E26" s="33">
        <v>5.5800000000000002E-2</v>
      </c>
      <c r="F26" s="34">
        <v>46738</v>
      </c>
      <c r="G26" s="34">
        <v>46752</v>
      </c>
      <c r="H26" s="35">
        <v>2.6191780821917807</v>
      </c>
      <c r="I26" s="36">
        <v>100.752</v>
      </c>
      <c r="J26" s="37">
        <v>44.5</v>
      </c>
      <c r="K26" s="38">
        <v>2.3E-2</v>
      </c>
      <c r="L26" s="39">
        <v>0.84269662921348309</v>
      </c>
      <c r="M26" s="40">
        <v>110.05</v>
      </c>
      <c r="N26" s="41">
        <v>0.30592666666666662</v>
      </c>
      <c r="O26" s="42">
        <v>15630</v>
      </c>
      <c r="P26" s="43">
        <v>1</v>
      </c>
      <c r="Q26" s="43">
        <v>0.624</v>
      </c>
      <c r="R26" s="44" t="s">
        <v>25</v>
      </c>
      <c r="S26" s="45"/>
      <c r="T26" s="46"/>
    </row>
    <row r="27" spans="1:20" ht="17.25" customHeight="1" x14ac:dyDescent="0.4">
      <c r="A27" s="29" t="s">
        <v>80</v>
      </c>
      <c r="B27" s="30">
        <v>26107</v>
      </c>
      <c r="C27" s="31" t="s">
        <v>48</v>
      </c>
      <c r="D27" s="32" t="s">
        <v>49</v>
      </c>
      <c r="E27" s="33">
        <v>2.6599999999999999E-2</v>
      </c>
      <c r="F27" s="34">
        <v>46126</v>
      </c>
      <c r="G27" s="34">
        <v>46140</v>
      </c>
      <c r="H27" s="35">
        <v>0.94246575342465755</v>
      </c>
      <c r="I27" s="36">
        <v>100</v>
      </c>
      <c r="J27" s="37">
        <v>17.5</v>
      </c>
      <c r="K27" s="38">
        <v>2.5000000000000001E-2</v>
      </c>
      <c r="L27" s="39">
        <v>1.3114285714285714</v>
      </c>
      <c r="M27" s="40">
        <v>137.75</v>
      </c>
      <c r="N27" s="41">
        <v>5.0381263616557766E-2</v>
      </c>
      <c r="O27" s="42">
        <v>40410</v>
      </c>
      <c r="P27" s="43">
        <v>0.22997777777777778</v>
      </c>
      <c r="Q27" s="43">
        <v>0.63400000000000001</v>
      </c>
      <c r="R27" s="44" t="s">
        <v>26</v>
      </c>
      <c r="S27" s="45"/>
      <c r="T27" s="46"/>
    </row>
    <row r="28" spans="1:20" ht="17.25" customHeight="1" x14ac:dyDescent="0.4">
      <c r="A28" s="29" t="s">
        <v>81</v>
      </c>
      <c r="B28" s="30">
        <v>27271</v>
      </c>
      <c r="C28" s="31" t="s">
        <v>48</v>
      </c>
      <c r="D28" s="32" t="s">
        <v>49</v>
      </c>
      <c r="E28" s="33">
        <v>1.9599999999999999E-2</v>
      </c>
      <c r="F28" s="34">
        <v>46097</v>
      </c>
      <c r="G28" s="34">
        <v>46110</v>
      </c>
      <c r="H28" s="35">
        <v>0.86027397260273974</v>
      </c>
      <c r="I28" s="36">
        <v>100.75190000000001</v>
      </c>
      <c r="J28" s="37">
        <v>248.1</v>
      </c>
      <c r="K28" s="38">
        <v>2.8000000000000001E-2</v>
      </c>
      <c r="L28" s="39">
        <v>0.92301491334139452</v>
      </c>
      <c r="M28" s="40">
        <v>108.7</v>
      </c>
      <c r="N28" s="41">
        <v>0.17766244541484724</v>
      </c>
      <c r="O28" s="42">
        <v>10660.000000000004</v>
      </c>
      <c r="P28" s="43">
        <v>0.99985714285714289</v>
      </c>
      <c r="Q28" s="43">
        <v>0.43099999999999999</v>
      </c>
      <c r="R28" s="44" t="s">
        <v>26</v>
      </c>
      <c r="S28" s="45"/>
      <c r="T28" s="46"/>
    </row>
    <row r="29" spans="1:20" ht="17.25" customHeight="1" x14ac:dyDescent="0.4">
      <c r="A29" s="29" t="s">
        <v>82</v>
      </c>
      <c r="B29" s="30">
        <v>30134</v>
      </c>
      <c r="C29" s="31" t="s">
        <v>83</v>
      </c>
      <c r="D29" s="32" t="s">
        <v>60</v>
      </c>
      <c r="E29" s="33">
        <v>5.8600000000000006E-2</v>
      </c>
      <c r="F29" s="34">
        <v>46664</v>
      </c>
      <c r="G29" s="34">
        <v>46678</v>
      </c>
      <c r="H29" s="35">
        <v>2.4164383561643836</v>
      </c>
      <c r="I29" s="36">
        <v>100</v>
      </c>
      <c r="J29" s="37">
        <v>144.5</v>
      </c>
      <c r="K29" s="38">
        <v>2.3E-2</v>
      </c>
      <c r="L29" s="39">
        <v>0.73010380622837379</v>
      </c>
      <c r="M29" s="40">
        <v>108.4</v>
      </c>
      <c r="N29" s="41">
        <v>0.48472037914691946</v>
      </c>
      <c r="O29" s="42">
        <v>14260.000000000005</v>
      </c>
      <c r="P29" s="43">
        <v>1</v>
      </c>
      <c r="Q29" s="43">
        <v>0.90600000000000003</v>
      </c>
      <c r="R29" s="44" t="s">
        <v>25</v>
      </c>
      <c r="S29" s="45"/>
      <c r="T29" s="46"/>
    </row>
    <row r="30" spans="1:20" ht="17.25" customHeight="1" x14ac:dyDescent="0.4">
      <c r="A30" s="29" t="s">
        <v>84</v>
      </c>
      <c r="B30" s="30">
        <v>30238</v>
      </c>
      <c r="C30" s="31" t="s">
        <v>48</v>
      </c>
      <c r="D30" s="32" t="s">
        <v>49</v>
      </c>
      <c r="E30" s="33">
        <v>1.72E-2</v>
      </c>
      <c r="F30" s="34">
        <v>45989</v>
      </c>
      <c r="G30" s="34">
        <v>46003</v>
      </c>
      <c r="H30" s="35">
        <v>0.56712328767123288</v>
      </c>
      <c r="I30" s="36">
        <v>100</v>
      </c>
      <c r="J30" s="37">
        <v>270.89999999999998</v>
      </c>
      <c r="K30" s="38">
        <v>2.5000000000000001E-2</v>
      </c>
      <c r="L30" s="39">
        <v>0.86932447397563672</v>
      </c>
      <c r="M30" s="40">
        <v>107.5</v>
      </c>
      <c r="N30" s="41">
        <v>0.23659235668789808</v>
      </c>
      <c r="O30" s="42">
        <v>9220</v>
      </c>
      <c r="P30" s="43">
        <v>0.81669999999999998</v>
      </c>
      <c r="Q30" s="43">
        <v>0.77400000000000002</v>
      </c>
      <c r="R30" s="44" t="s">
        <v>25</v>
      </c>
      <c r="S30" s="45"/>
      <c r="T30" s="46"/>
    </row>
    <row r="31" spans="1:20" ht="17.25" customHeight="1" x14ac:dyDescent="0.4">
      <c r="A31" s="29" t="s">
        <v>85</v>
      </c>
      <c r="B31" s="30">
        <v>30454</v>
      </c>
      <c r="C31" s="31" t="s">
        <v>48</v>
      </c>
      <c r="D31" s="32" t="s">
        <v>86</v>
      </c>
      <c r="E31" s="33">
        <v>6.6800000000000012E-2</v>
      </c>
      <c r="F31" s="34">
        <v>46793</v>
      </c>
      <c r="G31" s="34">
        <v>46807</v>
      </c>
      <c r="H31" s="35">
        <v>2.7698630136986302</v>
      </c>
      <c r="I31" s="36">
        <v>100</v>
      </c>
      <c r="J31" s="37">
        <v>123</v>
      </c>
      <c r="K31" s="38">
        <v>2.3E-2</v>
      </c>
      <c r="L31" s="39">
        <v>0.93089430894308944</v>
      </c>
      <c r="M31" s="40">
        <v>99.2</v>
      </c>
      <c r="N31" s="41">
        <v>6.5641921397379899E-2</v>
      </c>
      <c r="O31" s="42">
        <v>5880.0000000000036</v>
      </c>
      <c r="P31" s="43">
        <v>1</v>
      </c>
      <c r="Q31" s="43">
        <v>0.23799999999999999</v>
      </c>
      <c r="R31" s="44" t="s">
        <v>25</v>
      </c>
      <c r="S31" s="45"/>
      <c r="T31" s="46"/>
    </row>
    <row r="32" spans="1:20" ht="17.25" customHeight="1" x14ac:dyDescent="0.4">
      <c r="A32" s="29" t="s">
        <v>87</v>
      </c>
      <c r="B32" s="30">
        <v>30455</v>
      </c>
      <c r="C32" s="31" t="s">
        <v>48</v>
      </c>
      <c r="D32" s="32" t="s">
        <v>86</v>
      </c>
      <c r="E32" s="33">
        <v>6.6800000000000012E-2</v>
      </c>
      <c r="F32" s="34">
        <v>46794</v>
      </c>
      <c r="G32" s="34">
        <v>46808</v>
      </c>
      <c r="H32" s="35">
        <v>2.7726027397260276</v>
      </c>
      <c r="I32" s="36">
        <v>100</v>
      </c>
      <c r="J32" s="37">
        <v>115.8</v>
      </c>
      <c r="K32" s="38">
        <v>2.3E-2</v>
      </c>
      <c r="L32" s="39">
        <v>0.98877374784110539</v>
      </c>
      <c r="M32" s="40">
        <v>103.2</v>
      </c>
      <c r="N32" s="41">
        <v>4.3717030567685534E-2</v>
      </c>
      <c r="O32" s="42">
        <v>9880.0000000000036</v>
      </c>
      <c r="P32" s="43">
        <v>1</v>
      </c>
      <c r="Q32" s="43">
        <v>0.23799999999999999</v>
      </c>
      <c r="R32" s="44" t="s">
        <v>25</v>
      </c>
      <c r="S32" s="45"/>
      <c r="T32" s="46"/>
    </row>
    <row r="33" spans="1:20" ht="17.25" customHeight="1" x14ac:dyDescent="0.4">
      <c r="A33" s="29" t="s">
        <v>88</v>
      </c>
      <c r="B33" s="30">
        <v>30954</v>
      </c>
      <c r="C33" s="31" t="s">
        <v>89</v>
      </c>
      <c r="D33" s="32" t="s">
        <v>90</v>
      </c>
      <c r="E33" s="33">
        <v>4.5600000000000009E-2</v>
      </c>
      <c r="F33" s="34">
        <v>46429</v>
      </c>
      <c r="G33" s="34">
        <v>46443</v>
      </c>
      <c r="H33" s="35">
        <v>1.7726027397260273</v>
      </c>
      <c r="I33" s="36">
        <v>100</v>
      </c>
      <c r="J33" s="37">
        <v>41.1</v>
      </c>
      <c r="K33" s="38">
        <v>2.4E-2</v>
      </c>
      <c r="L33" s="39">
        <v>0.86131386861313852</v>
      </c>
      <c r="M33" s="40">
        <v>114</v>
      </c>
      <c r="N33" s="41">
        <v>0.32355932203389848</v>
      </c>
      <c r="O33" s="42">
        <v>18560</v>
      </c>
      <c r="P33" s="43">
        <v>1</v>
      </c>
      <c r="Q33" s="43">
        <v>0.878</v>
      </c>
      <c r="R33" s="44" t="s">
        <v>25</v>
      </c>
      <c r="S33" s="45"/>
      <c r="T33" s="46"/>
    </row>
    <row r="34" spans="1:20" ht="17.149999999999999" customHeight="1" x14ac:dyDescent="0.4">
      <c r="A34" s="29" t="s">
        <v>91</v>
      </c>
      <c r="B34" s="30">
        <v>33101</v>
      </c>
      <c r="C34" s="31" t="s">
        <v>92</v>
      </c>
      <c r="D34" s="32" t="s">
        <v>52</v>
      </c>
      <c r="E34" s="33">
        <v>2.8E-3</v>
      </c>
      <c r="F34" s="34">
        <v>45904</v>
      </c>
      <c r="G34" s="34">
        <v>45918</v>
      </c>
      <c r="H34" s="35">
        <v>0.33424657534246577</v>
      </c>
      <c r="I34" s="36">
        <v>100.75230000000001</v>
      </c>
      <c r="J34" s="37">
        <v>23.43</v>
      </c>
      <c r="K34" s="38">
        <v>2.1999999999999999E-2</v>
      </c>
      <c r="L34" s="39">
        <v>3.6022193768672643</v>
      </c>
      <c r="M34" s="40">
        <v>353</v>
      </c>
      <c r="N34" s="41">
        <v>-2.0048578199052213E-2</v>
      </c>
      <c r="O34" s="42">
        <v>253280</v>
      </c>
      <c r="P34" s="43">
        <v>0.13233333333333333</v>
      </c>
      <c r="Q34" s="43">
        <v>0.68200000000000005</v>
      </c>
      <c r="R34" s="44" t="s">
        <v>25</v>
      </c>
      <c r="S34" s="45"/>
      <c r="T34" s="46"/>
    </row>
    <row r="35" spans="1:20" ht="17.149999999999999" customHeight="1" x14ac:dyDescent="0.4">
      <c r="A35" s="29" t="s">
        <v>93</v>
      </c>
      <c r="B35" s="30">
        <v>33133</v>
      </c>
      <c r="C35" s="31" t="s">
        <v>79</v>
      </c>
      <c r="D35" s="32" t="s">
        <v>70</v>
      </c>
      <c r="E35" s="33">
        <v>6.1300000000000007E-2</v>
      </c>
      <c r="F35" s="34">
        <v>46706</v>
      </c>
      <c r="G35" s="34">
        <v>46720</v>
      </c>
      <c r="H35" s="35">
        <v>2.5315068493150683</v>
      </c>
      <c r="I35" s="36">
        <v>100</v>
      </c>
      <c r="J35" s="37">
        <v>15.7</v>
      </c>
      <c r="K35" s="38">
        <v>2.3E-2</v>
      </c>
      <c r="L35" s="39">
        <v>0.89171974522292996</v>
      </c>
      <c r="M35" s="40">
        <v>107</v>
      </c>
      <c r="N35" s="41">
        <v>0.19992857142857137</v>
      </c>
      <c r="O35" s="42">
        <v>13130.000000000004</v>
      </c>
      <c r="P35" s="43">
        <v>1</v>
      </c>
      <c r="Q35" s="43">
        <v>0.63600000000000001</v>
      </c>
      <c r="R35" s="44" t="s">
        <v>25</v>
      </c>
      <c r="S35" s="45"/>
      <c r="T35" s="46"/>
    </row>
    <row r="36" spans="1:20" ht="17.149999999999999" customHeight="1" x14ac:dyDescent="0.4">
      <c r="A36" s="29" t="s">
        <v>94</v>
      </c>
      <c r="B36" s="30">
        <v>33245</v>
      </c>
      <c r="C36" s="31" t="s">
        <v>48</v>
      </c>
      <c r="D36" s="32" t="s">
        <v>49</v>
      </c>
      <c r="E36" s="33">
        <v>4.3000000000000003E-2</v>
      </c>
      <c r="F36" s="34">
        <v>46587</v>
      </c>
      <c r="G36" s="34">
        <v>46599</v>
      </c>
      <c r="H36" s="35">
        <v>2.2000000000000002</v>
      </c>
      <c r="I36" s="36">
        <v>101.50749999999999</v>
      </c>
      <c r="J36" s="37">
        <v>747.7</v>
      </c>
      <c r="K36" s="38">
        <v>2.5000000000000001E-2</v>
      </c>
      <c r="L36" s="39">
        <v>0.75966296643038644</v>
      </c>
      <c r="M36" s="40">
        <v>115.7</v>
      </c>
      <c r="N36" s="41">
        <v>0.52304383802816912</v>
      </c>
      <c r="O36" s="42">
        <v>20000.000000000004</v>
      </c>
      <c r="P36" s="43">
        <v>1</v>
      </c>
      <c r="Q36" s="43">
        <v>0.93400000000000005</v>
      </c>
      <c r="R36" s="44" t="s">
        <v>25</v>
      </c>
      <c r="S36" s="45"/>
      <c r="T36" s="46"/>
    </row>
    <row r="37" spans="1:20" ht="17.25" customHeight="1" x14ac:dyDescent="0.4">
      <c r="A37" s="29" t="s">
        <v>95</v>
      </c>
      <c r="B37" s="30">
        <v>33571</v>
      </c>
      <c r="C37" s="31" t="s">
        <v>48</v>
      </c>
      <c r="D37" s="32" t="s">
        <v>49</v>
      </c>
      <c r="E37" s="33">
        <v>4.2300000000000004E-2</v>
      </c>
      <c r="F37" s="34">
        <v>46314</v>
      </c>
      <c r="G37" s="34">
        <v>46326</v>
      </c>
      <c r="H37" s="35">
        <v>1.452054794520548</v>
      </c>
      <c r="I37" s="36">
        <v>100</v>
      </c>
      <c r="J37" s="37">
        <v>108.9</v>
      </c>
      <c r="K37" s="38">
        <v>2.7E-2</v>
      </c>
      <c r="L37" s="39">
        <v>0.97796143250688705</v>
      </c>
      <c r="M37" s="40">
        <v>109.45</v>
      </c>
      <c r="N37" s="41">
        <v>0.11916478873239444</v>
      </c>
      <c r="O37" s="42">
        <v>13680.000000000004</v>
      </c>
      <c r="P37" s="43">
        <v>0.99990909090909086</v>
      </c>
      <c r="Q37" s="43">
        <v>0.67400000000000004</v>
      </c>
      <c r="R37" s="44" t="s">
        <v>25</v>
      </c>
      <c r="S37" s="45"/>
      <c r="T37" s="46"/>
    </row>
    <row r="38" spans="1:20" ht="17.25" customHeight="1" x14ac:dyDescent="0.4">
      <c r="A38" s="29" t="s">
        <v>96</v>
      </c>
      <c r="B38" s="30">
        <v>33621</v>
      </c>
      <c r="C38" s="31" t="s">
        <v>97</v>
      </c>
      <c r="D38" s="32" t="s">
        <v>60</v>
      </c>
      <c r="E38" s="33">
        <v>4.5200000000000004E-2</v>
      </c>
      <c r="F38" s="34">
        <v>46570</v>
      </c>
      <c r="G38" s="34">
        <v>46584</v>
      </c>
      <c r="H38" s="35">
        <v>2.1589041095890411</v>
      </c>
      <c r="I38" s="36">
        <v>100.75</v>
      </c>
      <c r="J38" s="37">
        <v>253</v>
      </c>
      <c r="K38" s="38">
        <v>2.3E-2</v>
      </c>
      <c r="L38" s="39">
        <v>0.53162055335968383</v>
      </c>
      <c r="M38" s="40">
        <v>102</v>
      </c>
      <c r="N38" s="41">
        <v>0.91866171003717456</v>
      </c>
      <c r="O38" s="42">
        <v>6520.0000000000009</v>
      </c>
      <c r="P38" s="43">
        <v>0.99991666666666668</v>
      </c>
      <c r="Q38" s="43">
        <v>0.88600000000000001</v>
      </c>
      <c r="R38" s="44" t="s">
        <v>25</v>
      </c>
      <c r="S38" s="45"/>
      <c r="T38" s="46"/>
    </row>
    <row r="39" spans="1:20" ht="17.25" customHeight="1" x14ac:dyDescent="0.4">
      <c r="A39" s="29" t="s">
        <v>29</v>
      </c>
      <c r="B39" s="30">
        <v>33763</v>
      </c>
      <c r="C39" s="31" t="s">
        <v>48</v>
      </c>
      <c r="D39" s="32" t="s">
        <v>49</v>
      </c>
      <c r="E39" s="33">
        <v>4.4500000000000005E-2</v>
      </c>
      <c r="F39" s="34">
        <v>46608</v>
      </c>
      <c r="G39" s="34">
        <v>46622</v>
      </c>
      <c r="H39" s="35">
        <v>2.2630136986301368</v>
      </c>
      <c r="I39" s="36">
        <v>101.51</v>
      </c>
      <c r="J39" s="37">
        <v>200.3</v>
      </c>
      <c r="K39" s="38">
        <v>2.5000000000000001E-2</v>
      </c>
      <c r="L39" s="39">
        <v>0.9560659011482775</v>
      </c>
      <c r="M39" s="40">
        <v>120.05</v>
      </c>
      <c r="N39" s="41">
        <v>0.25566657963446476</v>
      </c>
      <c r="O39" s="42">
        <v>24500</v>
      </c>
      <c r="P39" s="43">
        <v>1</v>
      </c>
      <c r="Q39" s="43">
        <v>0.875</v>
      </c>
      <c r="R39" s="44" t="s">
        <v>25</v>
      </c>
      <c r="S39" s="45"/>
      <c r="T39" s="46"/>
    </row>
    <row r="40" spans="1:20" ht="17.25" customHeight="1" x14ac:dyDescent="0.4">
      <c r="A40" s="29" t="s">
        <v>98</v>
      </c>
      <c r="B40" s="30">
        <v>33881</v>
      </c>
      <c r="C40" s="31" t="s">
        <v>48</v>
      </c>
      <c r="D40" s="32" t="s">
        <v>49</v>
      </c>
      <c r="E40" s="33">
        <v>1.6399999999999998E-2</v>
      </c>
      <c r="F40" s="34">
        <v>45957</v>
      </c>
      <c r="G40" s="34">
        <v>45970</v>
      </c>
      <c r="H40" s="35">
        <v>0.47671232876712327</v>
      </c>
      <c r="I40" s="36">
        <v>100</v>
      </c>
      <c r="J40" s="37">
        <v>66.400000000000006</v>
      </c>
      <c r="K40" s="38">
        <v>2.8000000000000001E-2</v>
      </c>
      <c r="L40" s="39">
        <v>0.97740963855421692</v>
      </c>
      <c r="M40" s="40">
        <v>104.8</v>
      </c>
      <c r="N40" s="41">
        <v>7.2221879815100018E-2</v>
      </c>
      <c r="O40" s="42">
        <v>6439.9999999999973</v>
      </c>
      <c r="P40" s="43">
        <v>0.99985714285714289</v>
      </c>
      <c r="Q40" s="43">
        <v>0.35199999999999998</v>
      </c>
      <c r="R40" s="44" t="s">
        <v>25</v>
      </c>
      <c r="S40" s="45"/>
      <c r="T40" s="46"/>
    </row>
    <row r="41" spans="1:20" ht="17.25" customHeight="1" x14ac:dyDescent="0.4">
      <c r="A41" s="29" t="s">
        <v>99</v>
      </c>
      <c r="B41" s="30">
        <v>33902</v>
      </c>
      <c r="C41" s="31" t="s">
        <v>100</v>
      </c>
      <c r="D41" s="32" t="s">
        <v>70</v>
      </c>
      <c r="E41" s="33">
        <v>6.6600000000000006E-2</v>
      </c>
      <c r="F41" s="34">
        <v>46790</v>
      </c>
      <c r="G41" s="34">
        <v>46804</v>
      </c>
      <c r="H41" s="35">
        <v>2.7616438356164386</v>
      </c>
      <c r="I41" s="36">
        <v>100</v>
      </c>
      <c r="J41" s="37">
        <v>25.5</v>
      </c>
      <c r="K41" s="38">
        <v>2.3E-2</v>
      </c>
      <c r="L41" s="39">
        <v>0.87647058823529422</v>
      </c>
      <c r="M41" s="40">
        <v>108.5</v>
      </c>
      <c r="N41" s="41">
        <v>0.23791946308724821</v>
      </c>
      <c r="O41" s="42">
        <v>15160.000000000002</v>
      </c>
      <c r="P41" s="43">
        <v>1</v>
      </c>
      <c r="Q41" s="43">
        <v>0.54400000000000004</v>
      </c>
      <c r="R41" s="44" t="s">
        <v>25</v>
      </c>
      <c r="S41" s="45"/>
      <c r="T41" s="46"/>
    </row>
    <row r="42" spans="1:20" ht="17.25" customHeight="1" x14ac:dyDescent="0.4">
      <c r="A42" s="29" t="s">
        <v>101</v>
      </c>
      <c r="B42" s="30">
        <v>34341</v>
      </c>
      <c r="C42" s="31" t="s">
        <v>69</v>
      </c>
      <c r="D42" s="32" t="s">
        <v>70</v>
      </c>
      <c r="E42" s="33">
        <v>4.3900000000000008E-2</v>
      </c>
      <c r="F42" s="34">
        <v>46433</v>
      </c>
      <c r="G42" s="34">
        <v>46445</v>
      </c>
      <c r="H42" s="35">
        <v>1.7780821917808218</v>
      </c>
      <c r="I42" s="36">
        <v>100</v>
      </c>
      <c r="J42" s="37">
        <v>30.3</v>
      </c>
      <c r="K42" s="38">
        <v>2.3E-2</v>
      </c>
      <c r="L42" s="39">
        <v>1.9339933993399341</v>
      </c>
      <c r="M42" s="40">
        <v>180</v>
      </c>
      <c r="N42" s="41">
        <v>-6.9283276450512035E-2</v>
      </c>
      <c r="O42" s="42">
        <v>84390.000000000015</v>
      </c>
      <c r="P42" s="43">
        <v>1</v>
      </c>
      <c r="Q42" s="43">
        <v>1.236</v>
      </c>
      <c r="R42" s="44" t="s">
        <v>25</v>
      </c>
      <c r="S42" s="45"/>
      <c r="T42" s="46"/>
    </row>
    <row r="43" spans="1:20" ht="17.25" customHeight="1" x14ac:dyDescent="0.4">
      <c r="A43" s="29" t="s">
        <v>102</v>
      </c>
      <c r="B43" s="30">
        <v>35161</v>
      </c>
      <c r="C43" s="31" t="s">
        <v>103</v>
      </c>
      <c r="D43" s="32" t="s">
        <v>70</v>
      </c>
      <c r="E43" s="33">
        <v>5.8600000000000006E-2</v>
      </c>
      <c r="F43" s="34">
        <v>46664</v>
      </c>
      <c r="G43" s="34">
        <v>46678</v>
      </c>
      <c r="H43" s="35">
        <v>2.4164383561643836</v>
      </c>
      <c r="I43" s="36">
        <v>100</v>
      </c>
      <c r="J43" s="37">
        <v>26.14</v>
      </c>
      <c r="K43" s="38">
        <v>2.3E-2</v>
      </c>
      <c r="L43" s="39">
        <v>0.79762815608263216</v>
      </c>
      <c r="M43" s="40">
        <v>105</v>
      </c>
      <c r="N43" s="41">
        <v>0.31640287769784153</v>
      </c>
      <c r="O43" s="42">
        <v>10860</v>
      </c>
      <c r="P43" s="43">
        <v>1</v>
      </c>
      <c r="Q43" s="43">
        <v>0.64100000000000001</v>
      </c>
      <c r="R43" s="44" t="s">
        <v>25</v>
      </c>
      <c r="S43" s="45"/>
      <c r="T43" s="46"/>
    </row>
    <row r="44" spans="1:20" ht="17.25" customHeight="1" x14ac:dyDescent="0.4">
      <c r="A44" s="29" t="s">
        <v>104</v>
      </c>
      <c r="B44" s="30">
        <v>35181</v>
      </c>
      <c r="C44" s="31" t="s">
        <v>105</v>
      </c>
      <c r="D44" s="32" t="s">
        <v>52</v>
      </c>
      <c r="E44" s="33">
        <v>5.4600000000000003E-2</v>
      </c>
      <c r="F44" s="34">
        <v>46601</v>
      </c>
      <c r="G44" s="34">
        <v>46614</v>
      </c>
      <c r="H44" s="35">
        <v>2.2410958904109588</v>
      </c>
      <c r="I44" s="36">
        <v>100</v>
      </c>
      <c r="J44" s="37">
        <v>35</v>
      </c>
      <c r="K44" s="38">
        <v>2.3E-2</v>
      </c>
      <c r="L44" s="39">
        <v>0.51285714285714279</v>
      </c>
      <c r="M44" s="40">
        <v>101.45</v>
      </c>
      <c r="N44" s="41">
        <v>0.97813370473537642</v>
      </c>
      <c r="O44" s="42">
        <v>6910.0000000000036</v>
      </c>
      <c r="P44" s="43">
        <v>1</v>
      </c>
      <c r="Q44" s="43">
        <v>0.70899999999999996</v>
      </c>
      <c r="R44" s="44" t="s">
        <v>25</v>
      </c>
      <c r="S44" s="45"/>
      <c r="T44" s="46"/>
    </row>
    <row r="45" spans="1:20" ht="17.25" customHeight="1" x14ac:dyDescent="0.4">
      <c r="A45" s="29" t="s">
        <v>106</v>
      </c>
      <c r="B45" s="30">
        <v>35221</v>
      </c>
      <c r="C45" s="31" t="s">
        <v>107</v>
      </c>
      <c r="D45" s="32" t="s">
        <v>90</v>
      </c>
      <c r="E45" s="33">
        <v>5.8999999999999999E-3</v>
      </c>
      <c r="F45" s="34">
        <v>45995</v>
      </c>
      <c r="G45" s="34">
        <v>46009</v>
      </c>
      <c r="H45" s="35">
        <v>0.58356164383561648</v>
      </c>
      <c r="I45" s="36">
        <v>101.0025</v>
      </c>
      <c r="J45" s="37">
        <v>18.600000000000001</v>
      </c>
      <c r="K45" s="38">
        <v>2.1999999999999999E-2</v>
      </c>
      <c r="L45" s="39">
        <v>0.88440860215053752</v>
      </c>
      <c r="M45" s="40">
        <v>103.5</v>
      </c>
      <c r="N45" s="41">
        <v>0.17027355623100326</v>
      </c>
      <c r="O45" s="42">
        <v>4090.0000000000005</v>
      </c>
      <c r="P45" s="43">
        <v>0.82066666666666666</v>
      </c>
      <c r="Q45" s="43">
        <v>0.75800000000000001</v>
      </c>
      <c r="R45" s="44" t="s">
        <v>25</v>
      </c>
      <c r="S45" s="45"/>
      <c r="T45" s="46"/>
    </row>
    <row r="46" spans="1:20" ht="17.25" customHeight="1" x14ac:dyDescent="0.4">
      <c r="A46" s="29" t="s">
        <v>108</v>
      </c>
      <c r="B46" s="30">
        <v>35482</v>
      </c>
      <c r="C46" s="31" t="s">
        <v>48</v>
      </c>
      <c r="D46" s="32" t="s">
        <v>49</v>
      </c>
      <c r="E46" s="33">
        <v>4.9000000000000009E-2</v>
      </c>
      <c r="F46" s="34">
        <v>46381</v>
      </c>
      <c r="G46" s="34">
        <v>46395</v>
      </c>
      <c r="H46" s="35">
        <v>1.6410958904109589</v>
      </c>
      <c r="I46" s="36">
        <v>100</v>
      </c>
      <c r="J46" s="37">
        <v>194.2</v>
      </c>
      <c r="K46" s="38">
        <v>2.8000000000000001E-2</v>
      </c>
      <c r="L46" s="39">
        <v>0.66168898043254376</v>
      </c>
      <c r="M46" s="40">
        <v>103.5</v>
      </c>
      <c r="N46" s="41">
        <v>0.56417898832684832</v>
      </c>
      <c r="O46" s="42">
        <v>8400.0000000000018</v>
      </c>
      <c r="P46" s="43">
        <v>0.99987499999999996</v>
      </c>
      <c r="Q46" s="43">
        <v>0.79400000000000004</v>
      </c>
      <c r="R46" s="44" t="s">
        <v>26</v>
      </c>
      <c r="S46" s="45"/>
      <c r="T46" s="46"/>
    </row>
    <row r="47" spans="1:20" ht="17.25" customHeight="1" x14ac:dyDescent="0.4">
      <c r="A47" s="29" t="s">
        <v>109</v>
      </c>
      <c r="B47" s="30">
        <v>35483</v>
      </c>
      <c r="C47" s="31" t="s">
        <v>48</v>
      </c>
      <c r="D47" s="32" t="s">
        <v>49</v>
      </c>
      <c r="E47" s="33">
        <v>7.2400000000000006E-2</v>
      </c>
      <c r="F47" s="34">
        <v>46794</v>
      </c>
      <c r="G47" s="34">
        <v>46808</v>
      </c>
      <c r="H47" s="35">
        <v>2.7726027397260276</v>
      </c>
      <c r="I47" s="36">
        <v>100</v>
      </c>
      <c r="J47" s="37">
        <v>170</v>
      </c>
      <c r="K47" s="38">
        <v>2.5000000000000001E-2</v>
      </c>
      <c r="L47" s="39">
        <v>0.75588235294117656</v>
      </c>
      <c r="M47" s="40">
        <v>104</v>
      </c>
      <c r="N47" s="41">
        <v>0.37587548638132284</v>
      </c>
      <c r="O47" s="42">
        <v>11240</v>
      </c>
      <c r="P47" s="43">
        <v>1</v>
      </c>
      <c r="Q47" s="43">
        <v>0.79400000000000004</v>
      </c>
      <c r="R47" s="44" t="s">
        <v>26</v>
      </c>
      <c r="S47" s="45"/>
      <c r="T47" s="46"/>
    </row>
    <row r="48" spans="1:20" ht="17.25" customHeight="1" x14ac:dyDescent="0.4">
      <c r="A48" s="29" t="s">
        <v>110</v>
      </c>
      <c r="B48" s="30">
        <v>35871</v>
      </c>
      <c r="C48" s="31" t="s">
        <v>48</v>
      </c>
      <c r="D48" s="32" t="s">
        <v>49</v>
      </c>
      <c r="E48" s="33">
        <v>3.2399999999999998E-2</v>
      </c>
      <c r="F48" s="34">
        <v>46181</v>
      </c>
      <c r="G48" s="34">
        <v>46193</v>
      </c>
      <c r="H48" s="35">
        <v>1.0876712328767124</v>
      </c>
      <c r="I48" s="36">
        <v>100</v>
      </c>
      <c r="J48" s="37">
        <v>200.7</v>
      </c>
      <c r="K48" s="38">
        <v>2.7E-2</v>
      </c>
      <c r="L48" s="39">
        <v>0.77727952167414061</v>
      </c>
      <c r="M48" s="40">
        <v>109</v>
      </c>
      <c r="N48" s="41">
        <v>0.40232692307692292</v>
      </c>
      <c r="O48" s="42">
        <v>12240</v>
      </c>
      <c r="P48" s="43">
        <v>0.75116666666666665</v>
      </c>
      <c r="Q48" s="43">
        <v>0.61599999999999999</v>
      </c>
      <c r="R48" s="44" t="s">
        <v>26</v>
      </c>
      <c r="S48" s="45"/>
      <c r="T48" s="46"/>
    </row>
    <row r="49" spans="1:20" ht="17.25" customHeight="1" x14ac:dyDescent="0.4">
      <c r="A49" s="29" t="s">
        <v>111</v>
      </c>
      <c r="B49" s="30">
        <v>36913</v>
      </c>
      <c r="C49" s="31" t="s">
        <v>112</v>
      </c>
      <c r="D49" s="32" t="s">
        <v>70</v>
      </c>
      <c r="E49" s="33">
        <v>5.5500000000000008E-2</v>
      </c>
      <c r="F49" s="34">
        <v>46615</v>
      </c>
      <c r="G49" s="34">
        <v>46629</v>
      </c>
      <c r="H49" s="35">
        <v>2.2821917808219179</v>
      </c>
      <c r="I49" s="36">
        <v>100</v>
      </c>
      <c r="J49" s="37">
        <v>118</v>
      </c>
      <c r="K49" s="38">
        <v>2.3E-2</v>
      </c>
      <c r="L49" s="39">
        <v>0.56949152542372883</v>
      </c>
      <c r="M49" s="40">
        <v>98.8</v>
      </c>
      <c r="N49" s="41">
        <v>0.73488095238095219</v>
      </c>
      <c r="O49" s="42">
        <v>4349.9999999999982</v>
      </c>
      <c r="P49" s="43">
        <v>1</v>
      </c>
      <c r="Q49" s="43">
        <v>0.755</v>
      </c>
      <c r="R49" s="44" t="s">
        <v>25</v>
      </c>
      <c r="S49" s="45"/>
      <c r="T49" s="46"/>
    </row>
    <row r="50" spans="1:20" ht="17.25" customHeight="1" x14ac:dyDescent="0.4">
      <c r="A50" s="29" t="s">
        <v>113</v>
      </c>
      <c r="B50" s="30">
        <v>37083</v>
      </c>
      <c r="C50" s="31" t="s">
        <v>56</v>
      </c>
      <c r="D50" s="32" t="s">
        <v>60</v>
      </c>
      <c r="E50" s="33">
        <v>3.4300000000000004E-2</v>
      </c>
      <c r="F50" s="34">
        <v>46279</v>
      </c>
      <c r="G50" s="34">
        <v>46292</v>
      </c>
      <c r="H50" s="35">
        <v>1.3589041095890411</v>
      </c>
      <c r="I50" s="36">
        <v>100</v>
      </c>
      <c r="J50" s="37">
        <v>89.1</v>
      </c>
      <c r="K50" s="38">
        <v>2.3E-2</v>
      </c>
      <c r="L50" s="39">
        <v>0.86644219977553316</v>
      </c>
      <c r="M50" s="40">
        <v>106</v>
      </c>
      <c r="N50" s="41">
        <v>0.22339378238341956</v>
      </c>
      <c r="O50" s="42">
        <v>9430</v>
      </c>
      <c r="P50" s="43">
        <v>0.33650000000000002</v>
      </c>
      <c r="Q50" s="43">
        <v>0.75700000000000001</v>
      </c>
      <c r="R50" s="44" t="s">
        <v>25</v>
      </c>
      <c r="S50" s="45" t="s">
        <v>3</v>
      </c>
      <c r="T50" s="46"/>
    </row>
    <row r="51" spans="1:20" ht="17.25" customHeight="1" x14ac:dyDescent="0.4">
      <c r="A51" s="29" t="s">
        <v>114</v>
      </c>
      <c r="B51" s="30">
        <v>41234</v>
      </c>
      <c r="C51" s="31" t="s">
        <v>115</v>
      </c>
      <c r="D51" s="32" t="s">
        <v>60</v>
      </c>
      <c r="E51" s="33">
        <v>9.7000000000000003E-3</v>
      </c>
      <c r="F51" s="34">
        <v>45894</v>
      </c>
      <c r="G51" s="34">
        <v>45907</v>
      </c>
      <c r="H51" s="35">
        <v>0.30410958904109592</v>
      </c>
      <c r="I51" s="36">
        <v>100</v>
      </c>
      <c r="J51" s="37">
        <v>58.3</v>
      </c>
      <c r="K51" s="38">
        <v>2.1999999999999999E-2</v>
      </c>
      <c r="L51" s="39">
        <v>0.64665523156089189</v>
      </c>
      <c r="M51" s="40">
        <v>99.95</v>
      </c>
      <c r="N51" s="41">
        <v>0.54564588859416452</v>
      </c>
      <c r="O51" s="42">
        <v>920.00000000000296</v>
      </c>
      <c r="P51" s="43">
        <v>0.99719999999999998</v>
      </c>
      <c r="Q51" s="43">
        <v>0.52200000000000002</v>
      </c>
      <c r="R51" s="44" t="s">
        <v>25</v>
      </c>
      <c r="S51" s="45"/>
      <c r="T51" s="46"/>
    </row>
    <row r="52" spans="1:20" ht="17.25" customHeight="1" x14ac:dyDescent="0.4">
      <c r="A52" s="29" t="s">
        <v>116</v>
      </c>
      <c r="B52" s="30">
        <v>41235</v>
      </c>
      <c r="C52" s="31" t="s">
        <v>117</v>
      </c>
      <c r="D52" s="32" t="s">
        <v>60</v>
      </c>
      <c r="E52" s="33">
        <v>9.7999999999999997E-3</v>
      </c>
      <c r="F52" s="34">
        <v>45894</v>
      </c>
      <c r="G52" s="34">
        <v>45908</v>
      </c>
      <c r="H52" s="35">
        <v>0.30684931506849317</v>
      </c>
      <c r="I52" s="36">
        <v>100</v>
      </c>
      <c r="J52" s="37">
        <v>57.6</v>
      </c>
      <c r="K52" s="38">
        <v>2.1999999999999999E-2</v>
      </c>
      <c r="L52" s="39">
        <v>0.65451388888888895</v>
      </c>
      <c r="M52" s="40">
        <v>99.9</v>
      </c>
      <c r="N52" s="41">
        <v>0.52632360742705553</v>
      </c>
      <c r="O52" s="42">
        <v>880.00000000000557</v>
      </c>
      <c r="P52" s="43">
        <v>0.99339999999999995</v>
      </c>
      <c r="Q52" s="43">
        <v>0.52200000000000002</v>
      </c>
      <c r="R52" s="44" t="s">
        <v>25</v>
      </c>
      <c r="S52" s="45"/>
      <c r="T52" s="46"/>
    </row>
    <row r="53" spans="1:20" ht="17.25" customHeight="1" x14ac:dyDescent="0.4">
      <c r="A53" s="29" t="s">
        <v>118</v>
      </c>
      <c r="B53" s="30">
        <v>41236</v>
      </c>
      <c r="C53" s="31" t="s">
        <v>119</v>
      </c>
      <c r="D53" s="32" t="s">
        <v>60</v>
      </c>
      <c r="E53" s="33">
        <v>7.0699999999999999E-2</v>
      </c>
      <c r="F53" s="34">
        <v>46855</v>
      </c>
      <c r="G53" s="34">
        <v>46869</v>
      </c>
      <c r="H53" s="35">
        <v>2.9397260273972603</v>
      </c>
      <c r="I53" s="36">
        <v>100</v>
      </c>
      <c r="J53" s="37">
        <v>41.3</v>
      </c>
      <c r="K53" s="38">
        <v>2.3E-2</v>
      </c>
      <c r="L53" s="39">
        <v>0.91283292978208241</v>
      </c>
      <c r="M53" s="40">
        <v>107</v>
      </c>
      <c r="N53" s="41">
        <v>0.17217506631299728</v>
      </c>
      <c r="O53" s="42">
        <v>14070</v>
      </c>
      <c r="P53" s="43">
        <v>0.90885714285714281</v>
      </c>
      <c r="Q53" s="43">
        <v>0.52200000000000002</v>
      </c>
      <c r="R53" s="44" t="s">
        <v>25</v>
      </c>
      <c r="S53" s="45"/>
      <c r="T53" s="46"/>
    </row>
    <row r="54" spans="1:20" ht="17.25" customHeight="1" x14ac:dyDescent="0.4">
      <c r="A54" s="29" t="s">
        <v>120</v>
      </c>
      <c r="B54" s="30">
        <v>41644</v>
      </c>
      <c r="C54" s="31" t="s">
        <v>121</v>
      </c>
      <c r="D54" s="32" t="s">
        <v>60</v>
      </c>
      <c r="E54" s="33">
        <v>-1.77E-2</v>
      </c>
      <c r="F54" s="34">
        <v>45859</v>
      </c>
      <c r="G54" s="34">
        <v>45873</v>
      </c>
      <c r="H54" s="35">
        <v>0.21095890410958903</v>
      </c>
      <c r="I54" s="36">
        <v>102.52500000000001</v>
      </c>
      <c r="J54" s="37">
        <v>45.2</v>
      </c>
      <c r="K54" s="38">
        <v>2.1999999999999999E-2</v>
      </c>
      <c r="L54" s="39">
        <v>0.9247787610619469</v>
      </c>
      <c r="M54" s="40">
        <v>104</v>
      </c>
      <c r="N54" s="41">
        <v>0.12459330143540676</v>
      </c>
      <c r="O54" s="42">
        <v>2230</v>
      </c>
      <c r="P54" s="43">
        <v>0.2858</v>
      </c>
      <c r="Q54" s="43">
        <v>0.72199999999999998</v>
      </c>
      <c r="R54" s="44" t="s">
        <v>25</v>
      </c>
      <c r="S54" s="45"/>
      <c r="T54" s="46"/>
    </row>
    <row r="55" spans="1:20" ht="17.25" customHeight="1" x14ac:dyDescent="0.4">
      <c r="A55" s="29" t="s">
        <v>122</v>
      </c>
      <c r="B55" s="30">
        <v>44163</v>
      </c>
      <c r="C55" s="31" t="s">
        <v>56</v>
      </c>
      <c r="D55" s="32" t="s">
        <v>52</v>
      </c>
      <c r="E55" s="33">
        <v>-4.1000000000000003E-3</v>
      </c>
      <c r="F55" s="34">
        <v>45916</v>
      </c>
      <c r="G55" s="34">
        <v>45930</v>
      </c>
      <c r="H55" s="35">
        <v>0.36712328767123287</v>
      </c>
      <c r="I55" s="36">
        <v>101.51</v>
      </c>
      <c r="J55" s="37">
        <v>66.8</v>
      </c>
      <c r="K55" s="38">
        <v>2.1999999999999999E-2</v>
      </c>
      <c r="L55" s="39">
        <v>0.93562874251497008</v>
      </c>
      <c r="M55" s="40">
        <v>109.2</v>
      </c>
      <c r="N55" s="41">
        <v>0.16712960000000002</v>
      </c>
      <c r="O55" s="42">
        <v>8790.0000000000018</v>
      </c>
      <c r="P55" s="43">
        <v>0.95589999999999997</v>
      </c>
      <c r="Q55" s="43">
        <v>0.46400000000000002</v>
      </c>
      <c r="R55" s="44" t="s">
        <v>25</v>
      </c>
      <c r="S55" s="45"/>
      <c r="T55" s="46"/>
    </row>
    <row r="56" spans="1:20" ht="17.25" customHeight="1" x14ac:dyDescent="0.4">
      <c r="A56" s="29" t="s">
        <v>123</v>
      </c>
      <c r="B56" s="30">
        <v>45401</v>
      </c>
      <c r="C56" s="31" t="s">
        <v>56</v>
      </c>
      <c r="D56" s="32" t="s">
        <v>70</v>
      </c>
      <c r="E56" s="33">
        <v>1.26E-2</v>
      </c>
      <c r="F56" s="34">
        <v>45940</v>
      </c>
      <c r="G56" s="34">
        <v>45954</v>
      </c>
      <c r="H56" s="35">
        <v>0.43287671232876712</v>
      </c>
      <c r="I56" s="36">
        <v>100</v>
      </c>
      <c r="J56" s="37">
        <v>38.9</v>
      </c>
      <c r="K56" s="38">
        <v>2.1999999999999999E-2</v>
      </c>
      <c r="L56" s="39">
        <v>1.1105398457583548</v>
      </c>
      <c r="M56" s="40">
        <v>115</v>
      </c>
      <c r="N56" s="41">
        <v>3.5532407407407311E-2</v>
      </c>
      <c r="O56" s="42">
        <v>16260</v>
      </c>
      <c r="P56" s="43">
        <v>0.1888</v>
      </c>
      <c r="Q56" s="43">
        <v>0.88700000000000001</v>
      </c>
      <c r="R56" s="44" t="s">
        <v>25</v>
      </c>
      <c r="S56" s="45"/>
      <c r="T56" s="46"/>
    </row>
    <row r="57" spans="1:20" ht="17.25" customHeight="1" x14ac:dyDescent="0.4">
      <c r="A57" s="29" t="s">
        <v>124</v>
      </c>
      <c r="B57" s="30">
        <v>45553</v>
      </c>
      <c r="C57" s="31" t="s">
        <v>92</v>
      </c>
      <c r="D57" s="32" t="s">
        <v>60</v>
      </c>
      <c r="E57" s="33">
        <v>9.6000000000000009E-3</v>
      </c>
      <c r="F57" s="34">
        <v>45891</v>
      </c>
      <c r="G57" s="34">
        <v>45905</v>
      </c>
      <c r="H57" s="35">
        <v>0.29863013698630136</v>
      </c>
      <c r="I57" s="36">
        <v>100</v>
      </c>
      <c r="J57" s="37">
        <v>56</v>
      </c>
      <c r="K57" s="38">
        <v>2.1999999999999999E-2</v>
      </c>
      <c r="L57" s="39">
        <v>0.74642857142857144</v>
      </c>
      <c r="M57" s="40">
        <v>101.2</v>
      </c>
      <c r="N57" s="41">
        <v>0.35578947368421066</v>
      </c>
      <c r="O57" s="42">
        <v>2160.0000000000027</v>
      </c>
      <c r="P57" s="43">
        <v>0.9368333333333333</v>
      </c>
      <c r="Q57" s="43">
        <v>0.79300000000000004</v>
      </c>
      <c r="R57" s="44" t="s">
        <v>25</v>
      </c>
      <c r="S57" s="45"/>
      <c r="T57" s="46"/>
    </row>
    <row r="58" spans="1:20" ht="21" customHeight="1" x14ac:dyDescent="0.4">
      <c r="A58" s="29" t="s">
        <v>125</v>
      </c>
      <c r="B58" s="30">
        <v>45721</v>
      </c>
      <c r="C58" s="31" t="s">
        <v>48</v>
      </c>
      <c r="D58" s="32" t="s">
        <v>60</v>
      </c>
      <c r="E58" s="33">
        <v>4.6500000000000007E-2</v>
      </c>
      <c r="F58" s="34">
        <v>46205</v>
      </c>
      <c r="G58" s="34">
        <v>46219</v>
      </c>
      <c r="H58" s="35">
        <v>1.1589041095890411</v>
      </c>
      <c r="I58" s="36">
        <v>100</v>
      </c>
      <c r="J58" s="37">
        <v>169.6</v>
      </c>
      <c r="K58" s="38">
        <v>3.7499999999999999E-2</v>
      </c>
      <c r="L58" s="39">
        <v>1.0908018867924529</v>
      </c>
      <c r="M58" s="40">
        <v>116.5</v>
      </c>
      <c r="N58" s="41">
        <v>6.8021621621621495E-2</v>
      </c>
      <c r="O58" s="42">
        <v>21150.000000000004</v>
      </c>
      <c r="P58" s="43">
        <v>1</v>
      </c>
      <c r="Q58" s="43">
        <v>0.56000000000000005</v>
      </c>
      <c r="R58" s="44" t="s">
        <v>26</v>
      </c>
      <c r="S58" s="45"/>
      <c r="T58" s="46"/>
    </row>
    <row r="59" spans="1:20" ht="17.25" customHeight="1" x14ac:dyDescent="0.4">
      <c r="A59" s="29" t="s">
        <v>126</v>
      </c>
      <c r="B59" s="30">
        <v>47393</v>
      </c>
      <c r="C59" s="31" t="s">
        <v>127</v>
      </c>
      <c r="D59" s="32" t="s">
        <v>66</v>
      </c>
      <c r="E59" s="33">
        <v>3.6300000000000006E-2</v>
      </c>
      <c r="F59" s="34">
        <v>46309</v>
      </c>
      <c r="G59" s="34">
        <v>46323</v>
      </c>
      <c r="H59" s="35">
        <v>1.4438356164383561</v>
      </c>
      <c r="I59" s="36">
        <v>100</v>
      </c>
      <c r="J59" s="37">
        <v>100.5</v>
      </c>
      <c r="K59" s="38">
        <v>2.3E-2</v>
      </c>
      <c r="L59" s="39">
        <v>0.49552238805970139</v>
      </c>
      <c r="M59" s="40">
        <v>106.9</v>
      </c>
      <c r="N59" s="41">
        <v>1.1573192771084342</v>
      </c>
      <c r="O59" s="42">
        <v>10530.000000000005</v>
      </c>
      <c r="P59" s="43">
        <v>0.9921428571428571</v>
      </c>
      <c r="Q59" s="43">
        <v>0.67600000000000005</v>
      </c>
      <c r="R59" s="44" t="s">
        <v>25</v>
      </c>
      <c r="S59" s="45"/>
      <c r="T59" s="46"/>
    </row>
    <row r="60" spans="1:20" ht="17.25" customHeight="1" x14ac:dyDescent="0.4">
      <c r="A60" s="29" t="s">
        <v>128</v>
      </c>
      <c r="B60" s="30">
        <v>49066</v>
      </c>
      <c r="C60" s="31" t="s">
        <v>48</v>
      </c>
      <c r="D60" s="32" t="s">
        <v>66</v>
      </c>
      <c r="E60" s="33">
        <v>3.4600000000000006E-2</v>
      </c>
      <c r="F60" s="34">
        <v>46161</v>
      </c>
      <c r="G60" s="34">
        <v>46175</v>
      </c>
      <c r="H60" s="35">
        <v>1.0383561643835617</v>
      </c>
      <c r="I60" s="36">
        <v>101.0025</v>
      </c>
      <c r="J60" s="37">
        <v>28.2</v>
      </c>
      <c r="K60" s="38">
        <v>0.04</v>
      </c>
      <c r="L60" s="39">
        <v>0.97517730496453903</v>
      </c>
      <c r="M60" s="40">
        <v>110</v>
      </c>
      <c r="N60" s="41">
        <v>0.12799999999999992</v>
      </c>
      <c r="O60" s="42">
        <v>13460</v>
      </c>
      <c r="P60" s="43">
        <v>0.43013333333333331</v>
      </c>
      <c r="Q60" s="43">
        <v>0.66300000000000003</v>
      </c>
      <c r="R60" s="44" t="s">
        <v>26</v>
      </c>
      <c r="S60" s="45" t="s">
        <v>27</v>
      </c>
      <c r="T60" s="46"/>
    </row>
    <row r="61" spans="1:20" ht="17.25" customHeight="1" x14ac:dyDescent="0.4">
      <c r="A61" s="29" t="s">
        <v>129</v>
      </c>
      <c r="B61" s="30">
        <v>52303</v>
      </c>
      <c r="C61" s="31" t="s">
        <v>65</v>
      </c>
      <c r="D61" s="32" t="s">
        <v>70</v>
      </c>
      <c r="E61" s="33">
        <v>2.7799999999999998E-2</v>
      </c>
      <c r="F61" s="34">
        <v>46213</v>
      </c>
      <c r="G61" s="34">
        <v>46227</v>
      </c>
      <c r="H61" s="35">
        <v>1.1808219178082191</v>
      </c>
      <c r="I61" s="36">
        <v>100</v>
      </c>
      <c r="J61" s="37">
        <v>22.5</v>
      </c>
      <c r="K61" s="38">
        <v>2.1000000000000001E-2</v>
      </c>
      <c r="L61" s="39">
        <v>0.93555555555555558</v>
      </c>
      <c r="M61" s="40">
        <v>110</v>
      </c>
      <c r="N61" s="41">
        <v>0.17577197149643703</v>
      </c>
      <c r="O61" s="42">
        <v>12780</v>
      </c>
      <c r="P61" s="43">
        <v>0.19866666666666666</v>
      </c>
      <c r="Q61" s="43">
        <v>0.69499999999999995</v>
      </c>
      <c r="R61" s="44" t="s">
        <v>25</v>
      </c>
      <c r="S61" s="45"/>
      <c r="T61" s="46"/>
    </row>
    <row r="62" spans="1:20" ht="17.25" customHeight="1" x14ac:dyDescent="0.4">
      <c r="A62" s="29" t="s">
        <v>130</v>
      </c>
      <c r="B62" s="30">
        <v>52451</v>
      </c>
      <c r="C62" s="31" t="s">
        <v>63</v>
      </c>
      <c r="D62" s="32" t="s">
        <v>60</v>
      </c>
      <c r="E62" s="33">
        <v>9.0000000000000011E-3</v>
      </c>
      <c r="F62" s="34">
        <v>45880</v>
      </c>
      <c r="G62" s="34">
        <v>45894</v>
      </c>
      <c r="H62" s="35">
        <v>0.26849315068493151</v>
      </c>
      <c r="I62" s="36">
        <v>100</v>
      </c>
      <c r="J62" s="37">
        <v>61.5</v>
      </c>
      <c r="K62" s="38">
        <v>2.1999999999999999E-2</v>
      </c>
      <c r="L62" s="39">
        <v>0.38373983739837397</v>
      </c>
      <c r="M62" s="40">
        <v>98</v>
      </c>
      <c r="N62" s="41">
        <v>1.5538135593220339</v>
      </c>
      <c r="O62" s="42" t="s">
        <v>131</v>
      </c>
      <c r="P62" s="43">
        <v>0.51633333333333331</v>
      </c>
      <c r="Q62" s="43">
        <v>0.66600000000000004</v>
      </c>
      <c r="R62" s="44" t="s">
        <v>25</v>
      </c>
      <c r="S62" s="45" t="s">
        <v>3</v>
      </c>
      <c r="T62" s="46"/>
    </row>
    <row r="63" spans="1:20" ht="17.25" customHeight="1" x14ac:dyDescent="0.4">
      <c r="A63" s="29" t="s">
        <v>132</v>
      </c>
      <c r="B63" s="30">
        <v>52635</v>
      </c>
      <c r="C63" s="31" t="s">
        <v>133</v>
      </c>
      <c r="D63" s="32" t="s">
        <v>70</v>
      </c>
      <c r="E63" s="33">
        <v>1.8499999999999999E-2</v>
      </c>
      <c r="F63" s="34">
        <v>46071</v>
      </c>
      <c r="G63" s="34">
        <v>46085</v>
      </c>
      <c r="H63" s="35">
        <v>0.79178082191780819</v>
      </c>
      <c r="I63" s="36">
        <v>100.20010000000001</v>
      </c>
      <c r="J63" s="37">
        <v>111.7</v>
      </c>
      <c r="K63" s="38">
        <v>2.1999999999999999E-2</v>
      </c>
      <c r="L63" s="39">
        <v>0.9892569382273948</v>
      </c>
      <c r="M63" s="40">
        <v>112.9</v>
      </c>
      <c r="N63" s="41">
        <v>0.14126063348416301</v>
      </c>
      <c r="O63" s="42">
        <v>14750.000000000005</v>
      </c>
      <c r="P63" s="43">
        <v>0.50462499999999999</v>
      </c>
      <c r="Q63" s="43">
        <v>0.55200000000000005</v>
      </c>
      <c r="R63" s="44" t="s">
        <v>25</v>
      </c>
      <c r="S63" s="45"/>
      <c r="T63" s="46"/>
    </row>
    <row r="64" spans="1:20" ht="17.25" customHeight="1" x14ac:dyDescent="0.4">
      <c r="A64" s="29" t="s">
        <v>134</v>
      </c>
      <c r="B64" s="30">
        <v>53064</v>
      </c>
      <c r="C64" s="31" t="s">
        <v>135</v>
      </c>
      <c r="D64" s="32" t="s">
        <v>49</v>
      </c>
      <c r="E64" s="33">
        <v>3.7000000000000005E-2</v>
      </c>
      <c r="F64" s="34">
        <v>46321</v>
      </c>
      <c r="G64" s="34">
        <v>46334</v>
      </c>
      <c r="H64" s="35">
        <v>1.473972602739726</v>
      </c>
      <c r="I64" s="36">
        <v>100</v>
      </c>
      <c r="J64" s="37">
        <v>124.9</v>
      </c>
      <c r="K64" s="38">
        <v>2.3E-2</v>
      </c>
      <c r="L64" s="39">
        <v>0.84867894315452364</v>
      </c>
      <c r="M64" s="40">
        <v>104.15</v>
      </c>
      <c r="N64" s="41">
        <v>0.22720141509433969</v>
      </c>
      <c r="O64" s="42">
        <v>7850.0000000000073</v>
      </c>
      <c r="P64" s="43">
        <v>0.99990000000000001</v>
      </c>
      <c r="Q64" s="43">
        <v>0.68500000000000005</v>
      </c>
      <c r="R64" s="44" t="s">
        <v>25</v>
      </c>
      <c r="S64" s="45"/>
      <c r="T64" s="46"/>
    </row>
    <row r="65" spans="1:42" ht="17.25" customHeight="1" x14ac:dyDescent="0.4">
      <c r="A65" s="29" t="s">
        <v>136</v>
      </c>
      <c r="B65" s="30">
        <v>53887</v>
      </c>
      <c r="C65" s="31" t="s">
        <v>48</v>
      </c>
      <c r="D65" s="32" t="s">
        <v>49</v>
      </c>
      <c r="E65" s="33">
        <v>4.4900000000000002E-2</v>
      </c>
      <c r="F65" s="34">
        <v>46349</v>
      </c>
      <c r="G65" s="34">
        <v>46362</v>
      </c>
      <c r="H65" s="35">
        <v>1.5506849315068494</v>
      </c>
      <c r="I65" s="36">
        <v>100</v>
      </c>
      <c r="J65" s="37">
        <v>134.6</v>
      </c>
      <c r="K65" s="38">
        <v>2.7E-2</v>
      </c>
      <c r="L65" s="39">
        <v>0.75780089153046082</v>
      </c>
      <c r="M65" s="40">
        <v>106</v>
      </c>
      <c r="N65" s="41">
        <v>0.39878431372548989</v>
      </c>
      <c r="O65" s="42">
        <v>10490</v>
      </c>
      <c r="P65" s="43">
        <v>1</v>
      </c>
      <c r="Q65" s="43">
        <v>0.76200000000000001</v>
      </c>
      <c r="R65" s="44" t="s">
        <v>26</v>
      </c>
      <c r="S65" s="45"/>
      <c r="T65" s="46"/>
    </row>
    <row r="66" spans="1:42" ht="17.149999999999999" customHeight="1" x14ac:dyDescent="0.4">
      <c r="A66" s="29" t="s">
        <v>137</v>
      </c>
      <c r="B66" s="30">
        <v>54342</v>
      </c>
      <c r="C66" s="31" t="s">
        <v>48</v>
      </c>
      <c r="D66" s="32" t="s">
        <v>49</v>
      </c>
      <c r="E66" s="33">
        <v>3.3099999999999997E-2</v>
      </c>
      <c r="F66" s="34">
        <v>46188</v>
      </c>
      <c r="G66" s="34">
        <v>46202</v>
      </c>
      <c r="H66" s="35">
        <v>1.1123287671232878</v>
      </c>
      <c r="I66" s="36">
        <v>100</v>
      </c>
      <c r="J66" s="37">
        <v>192.5</v>
      </c>
      <c r="K66" s="38">
        <v>2.7E-2</v>
      </c>
      <c r="L66" s="39">
        <v>1.3324675324675326</v>
      </c>
      <c r="M66" s="40">
        <v>140</v>
      </c>
      <c r="N66" s="41">
        <v>5.0682261208576912E-2</v>
      </c>
      <c r="O66" s="42">
        <v>43310.000000000007</v>
      </c>
      <c r="P66" s="43">
        <v>0.49270000000000003</v>
      </c>
      <c r="Q66" s="43">
        <v>0.56399999999999995</v>
      </c>
      <c r="R66" s="44" t="s">
        <v>25</v>
      </c>
      <c r="S66" s="45"/>
      <c r="T66" s="46"/>
    </row>
    <row r="67" spans="1:42" ht="17.149999999999999" customHeight="1" x14ac:dyDescent="0.4">
      <c r="A67" s="29" t="s">
        <v>138</v>
      </c>
      <c r="B67" s="30">
        <v>54501</v>
      </c>
      <c r="C67" s="31" t="s">
        <v>97</v>
      </c>
      <c r="D67" s="32" t="s">
        <v>70</v>
      </c>
      <c r="E67" s="33">
        <v>1.3999999999999999E-2</v>
      </c>
      <c r="F67" s="34">
        <v>46090</v>
      </c>
      <c r="G67" s="34">
        <v>46102</v>
      </c>
      <c r="H67" s="35">
        <v>0.83835616438356164</v>
      </c>
      <c r="I67" s="36">
        <v>100.75</v>
      </c>
      <c r="J67" s="37">
        <v>18</v>
      </c>
      <c r="K67" s="38">
        <v>2.1999999999999999E-2</v>
      </c>
      <c r="L67" s="39">
        <v>0.91666666666666652</v>
      </c>
      <c r="M67" s="40">
        <v>105.75</v>
      </c>
      <c r="N67" s="41">
        <v>0.15363636363636377</v>
      </c>
      <c r="O67" s="42">
        <v>7150.0000000000009</v>
      </c>
      <c r="P67" s="43">
        <v>0.99960000000000004</v>
      </c>
      <c r="Q67" s="43">
        <v>0.70099999999999996</v>
      </c>
      <c r="R67" s="44" t="s">
        <v>25</v>
      </c>
      <c r="S67" s="45"/>
      <c r="T67" s="46"/>
    </row>
    <row r="68" spans="1:42" ht="17.149999999999999" customHeight="1" x14ac:dyDescent="0.4">
      <c r="A68" s="29" t="s">
        <v>139</v>
      </c>
      <c r="B68" s="30">
        <v>56086</v>
      </c>
      <c r="C68" s="31" t="s">
        <v>140</v>
      </c>
      <c r="D68" s="32" t="s">
        <v>70</v>
      </c>
      <c r="E68" s="33">
        <v>2.81E-2</v>
      </c>
      <c r="F68" s="34">
        <v>46181</v>
      </c>
      <c r="G68" s="34">
        <v>46194</v>
      </c>
      <c r="H68" s="35">
        <v>1.0904109589041096</v>
      </c>
      <c r="I68" s="36">
        <v>100</v>
      </c>
      <c r="J68" s="37">
        <v>22.1</v>
      </c>
      <c r="K68" s="38">
        <v>2.3E-2</v>
      </c>
      <c r="L68" s="39">
        <v>0.8393665158371042</v>
      </c>
      <c r="M68" s="40">
        <v>105.6</v>
      </c>
      <c r="N68" s="41">
        <v>0.25809164420485159</v>
      </c>
      <c r="O68" s="42">
        <v>8409.9999999999945</v>
      </c>
      <c r="P68" s="43">
        <v>0.99980000000000002</v>
      </c>
      <c r="Q68" s="43">
        <v>0.77200000000000002</v>
      </c>
      <c r="R68" s="44" t="s">
        <v>25</v>
      </c>
      <c r="S68" s="45"/>
      <c r="T68" s="46"/>
    </row>
    <row r="69" spans="1:42" ht="18" customHeight="1" x14ac:dyDescent="0.4">
      <c r="A69" s="29" t="s">
        <v>141</v>
      </c>
      <c r="B69" s="30">
        <v>56087</v>
      </c>
      <c r="C69" s="31" t="s">
        <v>56</v>
      </c>
      <c r="D69" s="32" t="s">
        <v>70</v>
      </c>
      <c r="E69" s="33">
        <v>6.2400000000000004E-2</v>
      </c>
      <c r="F69" s="34">
        <v>46724</v>
      </c>
      <c r="G69" s="34">
        <v>46738</v>
      </c>
      <c r="H69" s="35">
        <v>2.580821917808219</v>
      </c>
      <c r="I69" s="36">
        <v>100</v>
      </c>
      <c r="J69" s="37">
        <v>19.3</v>
      </c>
      <c r="K69" s="38">
        <v>2.3E-2</v>
      </c>
      <c r="L69" s="39">
        <v>0.96113989637305697</v>
      </c>
      <c r="M69" s="40">
        <v>111.9</v>
      </c>
      <c r="N69" s="41">
        <v>0.16424258760107829</v>
      </c>
      <c r="O69" s="42">
        <v>18140.000000000007</v>
      </c>
      <c r="P69" s="43">
        <v>1</v>
      </c>
      <c r="Q69" s="43">
        <v>0.77200000000000002</v>
      </c>
      <c r="R69" s="44" t="s">
        <v>25</v>
      </c>
      <c r="S69" s="45"/>
      <c r="T69" s="46"/>
    </row>
    <row r="70" spans="1:42" ht="18" customHeight="1" x14ac:dyDescent="0.4">
      <c r="A70" s="29" t="s">
        <v>142</v>
      </c>
      <c r="B70" s="30">
        <v>59055</v>
      </c>
      <c r="C70" s="31" t="s">
        <v>143</v>
      </c>
      <c r="D70" s="32" t="s">
        <v>70</v>
      </c>
      <c r="E70" s="33">
        <v>2.4999999999999998E-2</v>
      </c>
      <c r="F70" s="34">
        <v>46146</v>
      </c>
      <c r="G70" s="34">
        <v>46160</v>
      </c>
      <c r="H70" s="35">
        <v>0.99726027397260275</v>
      </c>
      <c r="I70" s="36">
        <v>100</v>
      </c>
      <c r="J70" s="37">
        <v>12.62</v>
      </c>
      <c r="K70" s="38">
        <v>2.1999999999999999E-2</v>
      </c>
      <c r="L70" s="39">
        <v>0.95087163232963556</v>
      </c>
      <c r="M70" s="40">
        <v>106.75</v>
      </c>
      <c r="N70" s="41">
        <v>0.12265416666666652</v>
      </c>
      <c r="O70" s="42">
        <v>9250</v>
      </c>
      <c r="P70" s="43">
        <v>0.33100000000000002</v>
      </c>
      <c r="Q70" s="43">
        <v>0.56399999999999995</v>
      </c>
      <c r="R70" s="44" t="s">
        <v>25</v>
      </c>
      <c r="S70" s="45" t="s">
        <v>27</v>
      </c>
      <c r="T70" s="46"/>
    </row>
    <row r="71" spans="1:42" ht="17.149999999999999" customHeight="1" x14ac:dyDescent="0.4">
      <c r="A71" s="29" t="s">
        <v>144</v>
      </c>
      <c r="B71" s="30">
        <v>61894</v>
      </c>
      <c r="C71" s="31" t="s">
        <v>48</v>
      </c>
      <c r="D71" s="32" t="s">
        <v>49</v>
      </c>
      <c r="E71" s="33">
        <v>3.5500000000000004E-2</v>
      </c>
      <c r="F71" s="34">
        <v>46322</v>
      </c>
      <c r="G71" s="34">
        <v>46336</v>
      </c>
      <c r="H71" s="35">
        <v>1.4794520547945205</v>
      </c>
      <c r="I71" s="36">
        <v>100.75190000000001</v>
      </c>
      <c r="J71" s="37">
        <v>54.56</v>
      </c>
      <c r="K71" s="38">
        <v>2.7E-2</v>
      </c>
      <c r="L71" s="39">
        <v>1.3618035190615834</v>
      </c>
      <c r="M71" s="40">
        <v>135.9</v>
      </c>
      <c r="N71" s="41">
        <v>-2.0586810228800131E-3</v>
      </c>
      <c r="O71" s="42">
        <v>39450.000000000007</v>
      </c>
      <c r="P71" s="43">
        <v>0.25800000000000001</v>
      </c>
      <c r="Q71" s="43">
        <v>0.67600000000000005</v>
      </c>
      <c r="R71" s="44" t="s">
        <v>25</v>
      </c>
      <c r="S71" s="45"/>
      <c r="T71" s="46"/>
    </row>
    <row r="72" spans="1:42" ht="17.149999999999999" customHeight="1" x14ac:dyDescent="0.4">
      <c r="A72" s="29" t="s">
        <v>145</v>
      </c>
      <c r="B72" s="30">
        <v>62235</v>
      </c>
      <c r="C72" s="31" t="s">
        <v>48</v>
      </c>
      <c r="D72" s="32" t="s">
        <v>49</v>
      </c>
      <c r="E72" s="33">
        <v>6.9100000000000009E-2</v>
      </c>
      <c r="F72" s="34">
        <v>46748</v>
      </c>
      <c r="G72" s="34">
        <v>46760</v>
      </c>
      <c r="H72" s="35">
        <v>2.6410958904109587</v>
      </c>
      <c r="I72" s="36">
        <v>100</v>
      </c>
      <c r="J72" s="37">
        <v>930</v>
      </c>
      <c r="K72" s="38">
        <v>2.5000000000000001E-2</v>
      </c>
      <c r="L72" s="39">
        <v>0.73870967741935489</v>
      </c>
      <c r="M72" s="40">
        <v>106.2</v>
      </c>
      <c r="N72" s="41">
        <v>0.4376419213973799</v>
      </c>
      <c r="O72" s="42">
        <v>13110.000000000005</v>
      </c>
      <c r="P72" s="43">
        <v>1</v>
      </c>
      <c r="Q72" s="43">
        <v>0.87</v>
      </c>
      <c r="R72" s="44" t="s">
        <v>26</v>
      </c>
      <c r="S72" s="45"/>
      <c r="T72" s="46"/>
    </row>
    <row r="73" spans="1:42" ht="17.149999999999999" customHeight="1" x14ac:dyDescent="0.4">
      <c r="A73" s="29" t="s">
        <v>146</v>
      </c>
      <c r="B73" s="30">
        <v>62744</v>
      </c>
      <c r="C73" s="31" t="s">
        <v>48</v>
      </c>
      <c r="D73" s="32" t="s">
        <v>49</v>
      </c>
      <c r="E73" s="33">
        <v>5.2200000000000003E-2</v>
      </c>
      <c r="F73" s="34">
        <v>46499</v>
      </c>
      <c r="G73" s="34">
        <v>46513</v>
      </c>
      <c r="H73" s="35">
        <v>1.9643835616438357</v>
      </c>
      <c r="I73" s="36">
        <v>100</v>
      </c>
      <c r="J73" s="37">
        <v>163.6</v>
      </c>
      <c r="K73" s="38">
        <v>2.5000000000000001E-2</v>
      </c>
      <c r="L73" s="39">
        <v>0.97799511002445005</v>
      </c>
      <c r="M73" s="40">
        <v>114.6</v>
      </c>
      <c r="N73" s="41">
        <v>0.17178499999999977</v>
      </c>
      <c r="O73" s="42">
        <v>19819.999999999993</v>
      </c>
      <c r="P73" s="43">
        <v>1</v>
      </c>
      <c r="Q73" s="43">
        <v>0.79500000000000004</v>
      </c>
      <c r="R73" s="44" t="s">
        <v>25</v>
      </c>
      <c r="S73" s="45"/>
      <c r="T73" s="46"/>
    </row>
    <row r="74" spans="1:42" ht="17.149999999999999" customHeight="1" x14ac:dyDescent="0.4">
      <c r="A74" s="29" t="s">
        <v>147</v>
      </c>
      <c r="B74" s="30">
        <v>62843</v>
      </c>
      <c r="C74" s="31" t="s">
        <v>48</v>
      </c>
      <c r="D74" s="32" t="s">
        <v>49</v>
      </c>
      <c r="E74" s="33">
        <v>1.8499999999999999E-2</v>
      </c>
      <c r="F74" s="34">
        <v>45992</v>
      </c>
      <c r="G74" s="34">
        <v>46005</v>
      </c>
      <c r="H74" s="35">
        <v>0.57260273972602738</v>
      </c>
      <c r="I74" s="36">
        <v>100</v>
      </c>
      <c r="J74" s="37">
        <v>90</v>
      </c>
      <c r="K74" s="38">
        <v>2.7E-2</v>
      </c>
      <c r="L74" s="39">
        <v>0.8288888888888889</v>
      </c>
      <c r="M74" s="40">
        <v>109.95</v>
      </c>
      <c r="N74" s="41">
        <v>0.32647453083109929</v>
      </c>
      <c r="O74" s="42">
        <v>11800.000000000004</v>
      </c>
      <c r="P74" s="43">
        <v>1</v>
      </c>
      <c r="Q74" s="43">
        <v>0.73099999999999998</v>
      </c>
      <c r="R74" s="44" t="s">
        <v>25</v>
      </c>
      <c r="S74" s="45"/>
      <c r="T74" s="46"/>
    </row>
    <row r="75" spans="1:42" ht="17.25" customHeight="1" x14ac:dyDescent="0.4">
      <c r="A75" s="55" t="s">
        <v>148</v>
      </c>
      <c r="B75" s="56">
        <v>629010</v>
      </c>
      <c r="C75" s="57" t="s">
        <v>48</v>
      </c>
      <c r="D75" s="58" t="s">
        <v>66</v>
      </c>
      <c r="E75" s="59">
        <v>6.7500000000000004E-2</v>
      </c>
      <c r="F75" s="60">
        <v>46506</v>
      </c>
      <c r="G75" s="60">
        <v>46520</v>
      </c>
      <c r="H75" s="61">
        <v>1.9835616438356165</v>
      </c>
      <c r="I75" s="62">
        <v>100.500625</v>
      </c>
      <c r="J75" s="63">
        <v>80.099999999999994</v>
      </c>
      <c r="K75" s="64">
        <v>3.5000000000000003E-2</v>
      </c>
      <c r="L75" s="65">
        <v>1.2222222222222223</v>
      </c>
      <c r="M75" s="66">
        <v>121.3</v>
      </c>
      <c r="N75" s="67">
        <v>-7.5454545454546199E-3</v>
      </c>
      <c r="O75" s="68">
        <v>28049.999999999996</v>
      </c>
      <c r="P75" s="69">
        <v>1</v>
      </c>
      <c r="Q75" s="69">
        <v>0.748</v>
      </c>
      <c r="R75" s="70" t="s">
        <v>26</v>
      </c>
      <c r="S75" s="71" t="s">
        <v>31</v>
      </c>
      <c r="T75" s="91" t="s">
        <v>46</v>
      </c>
      <c r="U75" s="49"/>
      <c r="V75" s="49" t="str">
        <f>IF(ISERROR(VLOOKUP(B75,[4]富邦!$C:$H,6,FALSE)),"無",VLOOKUP(B75,[4]富邦!$C:$H,6,FALSE))</f>
        <v>無</v>
      </c>
      <c r="W75" s="48" t="str">
        <f>IF(ISERROR(VLOOKUP(B75,[4]凱基!$C:$J,8,FALSE)%),"無",(VLOOKUP(B75,[4]凱基!$C:$J,8,FALSE)%))</f>
        <v>無</v>
      </c>
      <c r="X75" s="48" t="str">
        <f>IF(ISERROR(VLOOKUP(B75,[4]債券部報價!$B:$I,8,FALSE)),"無",(VLOOKUP(B75,[4]債券部報價!$B:$I,8,FALSE)))</f>
        <v>無</v>
      </c>
      <c r="Y75" s="50" t="str">
        <f>IF(ISERROR(VLOOKUP(B75,[4]群益報價!$B:$N,8,FALSE)%),"無",(VLOOKUP(B75,[4]群益報價!$B:$N,8,FALSE)%))</f>
        <v>無</v>
      </c>
      <c r="Z75" s="48" t="str">
        <f>IF(ISERROR(VLOOKUP(B75,[4]國票!$A:$G,7,FALSE)),"無",(VLOOKUP(B75,[4]國票!$A:$G,7,FALSE)))</f>
        <v>無</v>
      </c>
      <c r="AA75" s="48" t="str">
        <f>IF(ISERROR(VLOOKUP(B75,[4]第一金報價!$B:$I,8,FALSE)),"無",(VLOOKUP(B75,[4]第一金報價!$B:$I,8,FALSE)))</f>
        <v>無</v>
      </c>
      <c r="AB75" s="48" t="str">
        <f>IF(ISERROR(VLOOKUP(B75,[4]元富!$B:$J,9,FALSE)),"無",(VLOOKUP(B75,[4]元富!$B:$J,9,FALSE))%)</f>
        <v>無</v>
      </c>
      <c r="AC75" s="48" t="str">
        <f>IF(ISERROR(VLOOKUP(B75,[4]康和!$C:$J,5,FALSE)),"無",(VLOOKUP(B75,[4]康和!$C:$J,5,FALSE))%)</f>
        <v>無</v>
      </c>
      <c r="AD75" s="48" t="str">
        <f>IF(ISERROR(VLOOKUP(B75,[4]永豐!$B:$N,10,FALSE)),"無",VLOOKUP(B75,[4]永豐!$B:$N,10,FALSE))</f>
        <v>無</v>
      </c>
      <c r="AE75" s="48" t="str">
        <f>IF(ISERROR(VLOOKUP(B75,[4]統一證!$B:$E,4,FALSE)),"無",VLOOKUP(B75,[4]統一證!$B:$E,4,FALSE))</f>
        <v>無</v>
      </c>
      <c r="AF75" s="48" t="str">
        <f>IF(ISERROR(VLOOKUP(B75,[4]大展報價!$B:$G,6,FALSE)),"無",VLOOKUP(B75,[4]大展報價!$B:$G,6,FALSE))</f>
        <v>無</v>
      </c>
      <c r="AG75" s="48" t="str">
        <f>IF(ISERROR(VLOOKUP(B75,[4]台新!$B:$H,7,FALSE)),"無",VLOOKUP(B75,[4]台新!$B:$H,7,FALSE))</f>
        <v>無</v>
      </c>
      <c r="AH75" s="51" t="e">
        <f>VLOOKUP(B75,[5]調整後!$A:$E,4,FALSE)</f>
        <v>#N/A</v>
      </c>
      <c r="AI75" s="51" t="e">
        <f>VLOOKUP(B75,[6]內部ASW!A:N,9,FALSE)%</f>
        <v>#N/A</v>
      </c>
      <c r="AJ75" s="51" t="e">
        <f>K75-AI75</f>
        <v>#N/A</v>
      </c>
      <c r="AK75" s="52" t="e">
        <f>X75-K75</f>
        <v>#VALUE!</v>
      </c>
      <c r="AL75"/>
      <c r="AM75" s="47" t="e">
        <f>K75-AF75</f>
        <v>#VALUE!</v>
      </c>
      <c r="AN75" s="47">
        <f t="shared" ref="AN75" si="0">K75</f>
        <v>3.5000000000000003E-2</v>
      </c>
      <c r="AP75" s="53">
        <f ca="1">VLOOKUP(B75,[6]額度表!A68:AB1067,26,FALSE)</f>
        <v>0</v>
      </c>
    </row>
    <row r="76" spans="1:42" ht="17.25" customHeight="1" x14ac:dyDescent="0.4">
      <c r="A76" s="29" t="s">
        <v>149</v>
      </c>
      <c r="B76" s="30">
        <v>64251</v>
      </c>
      <c r="C76" s="31" t="s">
        <v>150</v>
      </c>
      <c r="D76" s="32" t="s">
        <v>52</v>
      </c>
      <c r="E76" s="33">
        <v>5.8400000000000007E-2</v>
      </c>
      <c r="F76" s="34">
        <v>46661</v>
      </c>
      <c r="G76" s="34">
        <v>46675</v>
      </c>
      <c r="H76" s="35">
        <v>2.408219178082192</v>
      </c>
      <c r="I76" s="36">
        <v>100</v>
      </c>
      <c r="J76" s="37">
        <v>60</v>
      </c>
      <c r="K76" s="38">
        <v>2.3E-2</v>
      </c>
      <c r="L76" s="39">
        <v>0.84166666666666667</v>
      </c>
      <c r="M76" s="40">
        <v>126</v>
      </c>
      <c r="N76" s="41">
        <v>0.49702970297029697</v>
      </c>
      <c r="O76" s="42">
        <v>31840</v>
      </c>
      <c r="P76" s="43">
        <v>1</v>
      </c>
      <c r="Q76" s="43">
        <v>0.86599999999999999</v>
      </c>
      <c r="R76" s="44" t="s">
        <v>25</v>
      </c>
      <c r="S76" s="45"/>
      <c r="T76" s="46"/>
    </row>
    <row r="77" spans="1:42" ht="17.25" customHeight="1" x14ac:dyDescent="0.4">
      <c r="A77" s="29" t="s">
        <v>151</v>
      </c>
      <c r="B77" s="30">
        <v>64692</v>
      </c>
      <c r="C77" s="31" t="s">
        <v>48</v>
      </c>
      <c r="D77" s="32" t="s">
        <v>49</v>
      </c>
      <c r="E77" s="33">
        <v>1.1900000000000001E-2</v>
      </c>
      <c r="F77" s="34">
        <v>45898</v>
      </c>
      <c r="G77" s="34">
        <v>45912</v>
      </c>
      <c r="H77" s="35">
        <v>0.31780821917808222</v>
      </c>
      <c r="I77" s="36">
        <v>100</v>
      </c>
      <c r="J77" s="37">
        <v>206.58</v>
      </c>
      <c r="K77" s="38">
        <v>2.8000000000000001E-2</v>
      </c>
      <c r="L77" s="39">
        <v>0.77935908606835125</v>
      </c>
      <c r="M77" s="40">
        <v>104.5</v>
      </c>
      <c r="N77" s="41">
        <v>0.34084534161490676</v>
      </c>
      <c r="O77" s="42">
        <v>5690</v>
      </c>
      <c r="P77" s="43">
        <v>0.59150000000000003</v>
      </c>
      <c r="Q77" s="43">
        <v>0.42499999999999999</v>
      </c>
      <c r="R77" s="44" t="s">
        <v>26</v>
      </c>
      <c r="S77" s="45"/>
      <c r="T77" s="46"/>
    </row>
    <row r="78" spans="1:42" ht="17.25" customHeight="1" x14ac:dyDescent="0.4">
      <c r="A78" s="29" t="s">
        <v>152</v>
      </c>
      <c r="B78" s="30">
        <v>65521</v>
      </c>
      <c r="C78" s="31" t="s">
        <v>105</v>
      </c>
      <c r="D78" s="32" t="s">
        <v>60</v>
      </c>
      <c r="E78" s="33">
        <v>3.6100000000000007E-2</v>
      </c>
      <c r="F78" s="34">
        <v>46307</v>
      </c>
      <c r="G78" s="34">
        <v>46320</v>
      </c>
      <c r="H78" s="35">
        <v>1.4356164383561645</v>
      </c>
      <c r="I78" s="36">
        <v>100</v>
      </c>
      <c r="J78" s="37">
        <v>59.2</v>
      </c>
      <c r="K78" s="38">
        <v>2.3E-2</v>
      </c>
      <c r="L78" s="39">
        <v>0.46621621621621623</v>
      </c>
      <c r="M78" s="40">
        <v>99.9</v>
      </c>
      <c r="N78" s="41">
        <v>1.1427826086956523</v>
      </c>
      <c r="O78" s="42">
        <v>3510.0000000000064</v>
      </c>
      <c r="P78" s="43">
        <v>1</v>
      </c>
      <c r="Q78" s="43">
        <v>0.755</v>
      </c>
      <c r="R78" s="44" t="s">
        <v>25</v>
      </c>
      <c r="S78" s="45"/>
      <c r="T78" s="46"/>
    </row>
    <row r="79" spans="1:42" ht="17.25" customHeight="1" x14ac:dyDescent="0.4">
      <c r="A79" s="29" t="s">
        <v>30</v>
      </c>
      <c r="B79" s="30">
        <v>65841</v>
      </c>
      <c r="C79" s="31" t="s">
        <v>127</v>
      </c>
      <c r="D79" s="32" t="s">
        <v>70</v>
      </c>
      <c r="E79" s="33">
        <v>2.6299999999999997E-2</v>
      </c>
      <c r="F79" s="34">
        <v>46310</v>
      </c>
      <c r="G79" s="34">
        <v>46324</v>
      </c>
      <c r="H79" s="35">
        <v>1.4465753424657535</v>
      </c>
      <c r="I79" s="36">
        <v>101.0025</v>
      </c>
      <c r="J79" s="37">
        <v>178.8</v>
      </c>
      <c r="K79" s="38">
        <v>2.3E-2</v>
      </c>
      <c r="L79" s="39">
        <v>0.79977628635346742</v>
      </c>
      <c r="M79" s="40">
        <v>107.5</v>
      </c>
      <c r="N79" s="41">
        <v>0.34412587412587425</v>
      </c>
      <c r="O79" s="42">
        <v>10130</v>
      </c>
      <c r="P79" s="43">
        <v>1</v>
      </c>
      <c r="Q79" s="43">
        <v>0.79700000000000004</v>
      </c>
      <c r="R79" s="44" t="s">
        <v>25</v>
      </c>
      <c r="S79" s="45"/>
      <c r="T79" s="46"/>
    </row>
    <row r="80" spans="1:42" ht="17.25" customHeight="1" x14ac:dyDescent="0.4">
      <c r="A80" s="29" t="s">
        <v>153</v>
      </c>
      <c r="B80" s="30">
        <v>65851</v>
      </c>
      <c r="C80" s="31" t="s">
        <v>56</v>
      </c>
      <c r="D80" s="32" t="s">
        <v>66</v>
      </c>
      <c r="E80" s="33">
        <v>3.6100000000000007E-2</v>
      </c>
      <c r="F80" s="34">
        <v>46307</v>
      </c>
      <c r="G80" s="34">
        <v>46321</v>
      </c>
      <c r="H80" s="35">
        <v>1.4383561643835616</v>
      </c>
      <c r="I80" s="36">
        <v>100</v>
      </c>
      <c r="J80" s="37">
        <v>118.5</v>
      </c>
      <c r="K80" s="38">
        <v>2.3E-2</v>
      </c>
      <c r="L80" s="39">
        <v>1.1181434599156117</v>
      </c>
      <c r="M80" s="40">
        <v>116.9</v>
      </c>
      <c r="N80" s="41">
        <v>4.5483018867924697E-2</v>
      </c>
      <c r="O80" s="42">
        <v>20510.000000000007</v>
      </c>
      <c r="P80" s="43">
        <v>0.54620000000000002</v>
      </c>
      <c r="Q80" s="43">
        <v>0.79600000000000004</v>
      </c>
      <c r="R80" s="44" t="s">
        <v>25</v>
      </c>
      <c r="S80" s="45"/>
      <c r="T80" s="46"/>
    </row>
    <row r="81" spans="1:20" ht="17.25" customHeight="1" x14ac:dyDescent="0.4">
      <c r="A81" s="29" t="s">
        <v>154</v>
      </c>
      <c r="B81" s="30">
        <v>65931</v>
      </c>
      <c r="C81" s="31" t="s">
        <v>105</v>
      </c>
      <c r="D81" s="32" t="s">
        <v>70</v>
      </c>
      <c r="E81" s="33">
        <v>1.5599999999999999E-2</v>
      </c>
      <c r="F81" s="34">
        <v>45992</v>
      </c>
      <c r="G81" s="34">
        <v>46005</v>
      </c>
      <c r="H81" s="35">
        <v>0.57260273972602738</v>
      </c>
      <c r="I81" s="36">
        <v>100</v>
      </c>
      <c r="J81" s="37">
        <v>37.15</v>
      </c>
      <c r="K81" s="38">
        <v>2.1999999999999999E-2</v>
      </c>
      <c r="L81" s="39">
        <v>1.1709286675639301</v>
      </c>
      <c r="M81" s="40">
        <v>298</v>
      </c>
      <c r="N81" s="41">
        <v>1.5449885057471264</v>
      </c>
      <c r="O81" s="42">
        <v>199560</v>
      </c>
      <c r="P81" s="43">
        <v>0.42766666666666664</v>
      </c>
      <c r="Q81" s="43">
        <v>0.61</v>
      </c>
      <c r="R81" s="44" t="s">
        <v>25</v>
      </c>
      <c r="S81" s="45"/>
      <c r="T81" s="46"/>
    </row>
    <row r="82" spans="1:20" ht="17.25" customHeight="1" x14ac:dyDescent="0.4">
      <c r="A82" s="29" t="s">
        <v>155</v>
      </c>
      <c r="B82" s="30">
        <v>66241</v>
      </c>
      <c r="C82" s="31" t="s">
        <v>97</v>
      </c>
      <c r="D82" s="32" t="s">
        <v>70</v>
      </c>
      <c r="E82" s="33">
        <v>4.4500000000000005E-2</v>
      </c>
      <c r="F82" s="34">
        <v>46559</v>
      </c>
      <c r="G82" s="34">
        <v>46573</v>
      </c>
      <c r="H82" s="35">
        <v>2.128767123287671</v>
      </c>
      <c r="I82" s="36">
        <v>100.75</v>
      </c>
      <c r="J82" s="37">
        <v>41.2</v>
      </c>
      <c r="K82" s="38">
        <v>2.3E-2</v>
      </c>
      <c r="L82" s="39">
        <v>0.91019417475728148</v>
      </c>
      <c r="M82" s="40">
        <v>105</v>
      </c>
      <c r="N82" s="41">
        <v>0.1536000000000001</v>
      </c>
      <c r="O82" s="42">
        <v>9450</v>
      </c>
      <c r="P82" s="43">
        <v>1</v>
      </c>
      <c r="Q82" s="43">
        <v>0.37</v>
      </c>
      <c r="R82" s="44" t="s">
        <v>25</v>
      </c>
      <c r="S82" s="45"/>
      <c r="T82" s="46"/>
    </row>
    <row r="83" spans="1:20" ht="17" x14ac:dyDescent="0.4">
      <c r="A83" s="29" t="s">
        <v>156</v>
      </c>
      <c r="B83" s="30">
        <v>67711</v>
      </c>
      <c r="C83" s="31" t="s">
        <v>133</v>
      </c>
      <c r="D83" s="32" t="s">
        <v>60</v>
      </c>
      <c r="E83" s="33">
        <v>3.8300000000000008E-2</v>
      </c>
      <c r="F83" s="34">
        <v>46503</v>
      </c>
      <c r="G83" s="34">
        <v>46515</v>
      </c>
      <c r="H83" s="35">
        <v>1.9698630136986301</v>
      </c>
      <c r="I83" s="36">
        <v>101.0025</v>
      </c>
      <c r="J83" s="37">
        <v>55</v>
      </c>
      <c r="K83" s="38">
        <v>2.3E-2</v>
      </c>
      <c r="L83" s="39">
        <v>1.1181818181818182</v>
      </c>
      <c r="M83" s="40">
        <v>114.5</v>
      </c>
      <c r="N83" s="41">
        <v>2.3983739837398422E-2</v>
      </c>
      <c r="O83" s="42">
        <v>18330</v>
      </c>
      <c r="P83" s="43">
        <v>1</v>
      </c>
      <c r="Q83" s="43">
        <v>0.42199999999999999</v>
      </c>
      <c r="R83" s="44" t="s">
        <v>25</v>
      </c>
      <c r="S83" s="45"/>
      <c r="T83" s="46"/>
    </row>
    <row r="84" spans="1:20" ht="17.25" customHeight="1" x14ac:dyDescent="0.4">
      <c r="A84" s="29" t="s">
        <v>157</v>
      </c>
      <c r="B84" s="30">
        <v>68061</v>
      </c>
      <c r="C84" s="31" t="s">
        <v>158</v>
      </c>
      <c r="D84" s="32" t="s">
        <v>70</v>
      </c>
      <c r="E84" s="33">
        <v>3.7800000000000007E-2</v>
      </c>
      <c r="F84" s="34">
        <v>46335</v>
      </c>
      <c r="G84" s="34">
        <v>46348</v>
      </c>
      <c r="H84" s="35">
        <v>1.5123287671232877</v>
      </c>
      <c r="I84" s="36">
        <v>100</v>
      </c>
      <c r="J84" s="37">
        <v>106.6</v>
      </c>
      <c r="K84" s="38">
        <v>2.3E-2</v>
      </c>
      <c r="L84" s="39">
        <v>0.85928705440900577</v>
      </c>
      <c r="M84" s="40">
        <v>108</v>
      </c>
      <c r="N84" s="41">
        <v>0.25685589519650642</v>
      </c>
      <c r="O84" s="42">
        <v>11780.000000000002</v>
      </c>
      <c r="P84" s="43">
        <v>0.67726666666666668</v>
      </c>
      <c r="Q84" s="43">
        <v>0.77</v>
      </c>
      <c r="R84" s="44" t="s">
        <v>25</v>
      </c>
      <c r="S84" s="45"/>
      <c r="T84" s="46"/>
    </row>
    <row r="85" spans="1:20" ht="17.25" customHeight="1" x14ac:dyDescent="0.4">
      <c r="A85" s="29" t="s">
        <v>159</v>
      </c>
      <c r="B85" s="30">
        <v>68541</v>
      </c>
      <c r="C85" s="31" t="s">
        <v>160</v>
      </c>
      <c r="D85" s="32" t="s">
        <v>70</v>
      </c>
      <c r="E85" s="33">
        <v>3.39E-2</v>
      </c>
      <c r="F85" s="34">
        <v>46433</v>
      </c>
      <c r="G85" s="34">
        <v>46445</v>
      </c>
      <c r="H85" s="35">
        <v>1.7780821917808218</v>
      </c>
      <c r="I85" s="36">
        <v>101.0025</v>
      </c>
      <c r="J85" s="37">
        <v>248.3</v>
      </c>
      <c r="K85" s="38">
        <v>2.3E-2</v>
      </c>
      <c r="L85" s="39">
        <v>0.60813532017720495</v>
      </c>
      <c r="M85" s="40">
        <v>105</v>
      </c>
      <c r="N85" s="41">
        <v>0.72658940397351002</v>
      </c>
      <c r="O85" s="42">
        <v>8390</v>
      </c>
      <c r="P85" s="43">
        <v>1</v>
      </c>
      <c r="Q85" s="43">
        <v>0.84299999999999997</v>
      </c>
      <c r="R85" s="44" t="s">
        <v>25</v>
      </c>
      <c r="S85" s="45"/>
      <c r="T85" s="54"/>
    </row>
    <row r="86" spans="1:20" ht="17.25" customHeight="1" x14ac:dyDescent="0.4">
      <c r="A86" s="29" t="s">
        <v>161</v>
      </c>
      <c r="B86" s="30">
        <v>81551</v>
      </c>
      <c r="C86" s="31" t="s">
        <v>48</v>
      </c>
      <c r="D86" s="32" t="s">
        <v>49</v>
      </c>
      <c r="E86" s="33">
        <v>6.9200000000000012E-2</v>
      </c>
      <c r="F86" s="34">
        <v>46748</v>
      </c>
      <c r="G86" s="34">
        <v>46762</v>
      </c>
      <c r="H86" s="35">
        <v>2.6465753424657534</v>
      </c>
      <c r="I86" s="36">
        <v>100</v>
      </c>
      <c r="J86" s="37">
        <v>125.1</v>
      </c>
      <c r="K86" s="38">
        <v>2.5000000000000001E-2</v>
      </c>
      <c r="L86" s="39">
        <v>1.0111910471622703</v>
      </c>
      <c r="M86" s="40">
        <v>113.2</v>
      </c>
      <c r="N86" s="41">
        <v>0.1194719367588932</v>
      </c>
      <c r="O86" s="42">
        <v>20120.000000000004</v>
      </c>
      <c r="P86" s="43">
        <v>1</v>
      </c>
      <c r="Q86" s="43">
        <v>0.89900000000000002</v>
      </c>
      <c r="R86" s="44" t="s">
        <v>26</v>
      </c>
      <c r="S86" s="45"/>
      <c r="T86" s="46"/>
    </row>
    <row r="87" spans="1:20" ht="17.25" customHeight="1" x14ac:dyDescent="0.4">
      <c r="A87" s="29" t="s">
        <v>162</v>
      </c>
      <c r="B87" s="30">
        <v>81714</v>
      </c>
      <c r="C87" s="31" t="s">
        <v>163</v>
      </c>
      <c r="D87" s="32" t="s">
        <v>70</v>
      </c>
      <c r="E87" s="33">
        <v>6.0200000000000004E-2</v>
      </c>
      <c r="F87" s="34">
        <v>46689</v>
      </c>
      <c r="G87" s="34">
        <v>46703</v>
      </c>
      <c r="H87" s="35">
        <v>2.484931506849315</v>
      </c>
      <c r="I87" s="36">
        <v>100</v>
      </c>
      <c r="J87" s="37">
        <v>33.799999999999997</v>
      </c>
      <c r="K87" s="38">
        <v>2.3E-2</v>
      </c>
      <c r="L87" s="39">
        <v>1.0754437869822486</v>
      </c>
      <c r="M87" s="40">
        <v>115</v>
      </c>
      <c r="N87" s="41">
        <v>6.9325997248968277E-2</v>
      </c>
      <c r="O87" s="42">
        <v>21020</v>
      </c>
      <c r="P87" s="43">
        <v>1</v>
      </c>
      <c r="Q87" s="43">
        <v>0.67200000000000004</v>
      </c>
      <c r="R87" s="44" t="s">
        <v>25</v>
      </c>
      <c r="S87" s="45"/>
      <c r="T87" s="46"/>
    </row>
    <row r="88" spans="1:20" ht="17.25" customHeight="1" x14ac:dyDescent="0.4">
      <c r="A88" s="29" t="s">
        <v>164</v>
      </c>
      <c r="B88" s="30">
        <v>82101</v>
      </c>
      <c r="C88" s="31" t="s">
        <v>48</v>
      </c>
      <c r="D88" s="32" t="s">
        <v>49</v>
      </c>
      <c r="E88" s="33">
        <v>4.6500000000000007E-2</v>
      </c>
      <c r="F88" s="34">
        <v>46392</v>
      </c>
      <c r="G88" s="34">
        <v>46406</v>
      </c>
      <c r="H88" s="35">
        <v>1.6712328767123288</v>
      </c>
      <c r="I88" s="36">
        <v>100</v>
      </c>
      <c r="J88" s="37">
        <v>266.60000000000002</v>
      </c>
      <c r="K88" s="38">
        <v>2.5999999999999999E-2</v>
      </c>
      <c r="L88" s="39">
        <v>1.09152288072018</v>
      </c>
      <c r="M88" s="40">
        <v>118.45</v>
      </c>
      <c r="N88" s="41">
        <v>8.5181099656357506E-2</v>
      </c>
      <c r="O88" s="42">
        <v>23100.000000000004</v>
      </c>
      <c r="P88" s="43">
        <v>0.99980000000000002</v>
      </c>
      <c r="Q88" s="43">
        <v>0.84499999999999997</v>
      </c>
      <c r="R88" s="44" t="s">
        <v>25</v>
      </c>
      <c r="S88" s="45"/>
      <c r="T88" s="46"/>
    </row>
    <row r="89" spans="1:20" ht="17" x14ac:dyDescent="0.4">
      <c r="A89" s="29" t="s">
        <v>165</v>
      </c>
      <c r="B89" s="30">
        <v>82551</v>
      </c>
      <c r="C89" s="31" t="s">
        <v>48</v>
      </c>
      <c r="D89" s="32" t="s">
        <v>49</v>
      </c>
      <c r="E89" s="33">
        <v>3.6100000000000007E-2</v>
      </c>
      <c r="F89" s="34">
        <v>46230</v>
      </c>
      <c r="G89" s="34">
        <v>46243</v>
      </c>
      <c r="H89" s="35">
        <v>1.2246575342465753</v>
      </c>
      <c r="I89" s="36">
        <v>100</v>
      </c>
      <c r="J89" s="37">
        <v>203.4</v>
      </c>
      <c r="K89" s="38">
        <v>2.7E-2</v>
      </c>
      <c r="L89" s="39">
        <v>0.65634218289085533</v>
      </c>
      <c r="M89" s="40">
        <v>104.6</v>
      </c>
      <c r="N89" s="41">
        <v>0.59368089887640463</v>
      </c>
      <c r="O89" s="42">
        <v>8209.9999999999945</v>
      </c>
      <c r="P89" s="43">
        <v>0.99987499999999996</v>
      </c>
      <c r="Q89" s="43">
        <v>0.872</v>
      </c>
      <c r="R89" s="44" t="s">
        <v>26</v>
      </c>
      <c r="S89" s="45"/>
      <c r="T89" s="46"/>
    </row>
    <row r="90" spans="1:20" ht="17" x14ac:dyDescent="0.4">
      <c r="A90" s="29" t="s">
        <v>166</v>
      </c>
      <c r="B90" s="30">
        <v>82992</v>
      </c>
      <c r="C90" s="31" t="s">
        <v>48</v>
      </c>
      <c r="D90" s="32" t="s">
        <v>73</v>
      </c>
      <c r="E90" s="33">
        <v>4.6800000000000008E-2</v>
      </c>
      <c r="F90" s="34">
        <v>46398</v>
      </c>
      <c r="G90" s="34">
        <v>46410</v>
      </c>
      <c r="H90" s="35">
        <v>1.6821917808219178</v>
      </c>
      <c r="I90" s="36">
        <v>100</v>
      </c>
      <c r="J90" s="37">
        <v>563.29999999999995</v>
      </c>
      <c r="K90" s="38">
        <v>2.5999999999999999E-2</v>
      </c>
      <c r="L90" s="39">
        <v>0.87608734244629871</v>
      </c>
      <c r="M90" s="40">
        <v>109.25</v>
      </c>
      <c r="N90" s="41">
        <v>0.24702178318135748</v>
      </c>
      <c r="O90" s="42">
        <v>13930</v>
      </c>
      <c r="P90" s="43">
        <v>1</v>
      </c>
      <c r="Q90" s="43">
        <v>0.72599999999999998</v>
      </c>
      <c r="R90" s="44" t="s">
        <v>26</v>
      </c>
      <c r="S90" s="45"/>
      <c r="T90" s="46"/>
    </row>
    <row r="91" spans="1:20" ht="17" x14ac:dyDescent="0.4">
      <c r="A91" s="29" t="s">
        <v>167</v>
      </c>
      <c r="B91" s="30">
        <v>84421</v>
      </c>
      <c r="C91" s="31" t="s">
        <v>168</v>
      </c>
      <c r="D91" s="32" t="s">
        <v>60</v>
      </c>
      <c r="E91" s="33">
        <v>8.6E-3</v>
      </c>
      <c r="F91" s="34">
        <v>45874</v>
      </c>
      <c r="G91" s="34">
        <v>45888</v>
      </c>
      <c r="H91" s="35">
        <v>0.25205479452054796</v>
      </c>
      <c r="I91" s="36">
        <v>100</v>
      </c>
      <c r="J91" s="37">
        <v>57.3</v>
      </c>
      <c r="K91" s="38">
        <v>2.1999999999999999E-2</v>
      </c>
      <c r="L91" s="39">
        <v>1.549738219895288</v>
      </c>
      <c r="M91" s="40">
        <v>151</v>
      </c>
      <c r="N91" s="41">
        <v>-2.5641891891891925E-2</v>
      </c>
      <c r="O91" s="42">
        <v>51860.000000000007</v>
      </c>
      <c r="P91" s="43">
        <v>0.48833333333333334</v>
      </c>
      <c r="Q91" s="43">
        <v>0.73</v>
      </c>
      <c r="R91" s="44" t="s">
        <v>25</v>
      </c>
      <c r="S91" s="45"/>
      <c r="T91" s="46"/>
    </row>
    <row r="92" spans="1:20" ht="17" x14ac:dyDescent="0.4">
      <c r="A92" s="29" t="s">
        <v>169</v>
      </c>
      <c r="B92" s="30">
        <v>84422</v>
      </c>
      <c r="C92" s="31" t="s">
        <v>51</v>
      </c>
      <c r="D92" s="32" t="s">
        <v>60</v>
      </c>
      <c r="E92" s="33">
        <v>3.5700000000000003E-2</v>
      </c>
      <c r="F92" s="34">
        <v>46300</v>
      </c>
      <c r="G92" s="34">
        <v>46314</v>
      </c>
      <c r="H92" s="35">
        <v>1.4191780821917808</v>
      </c>
      <c r="I92" s="36">
        <v>100</v>
      </c>
      <c r="J92" s="37">
        <v>79.900000000000006</v>
      </c>
      <c r="K92" s="38">
        <v>2.3E-2</v>
      </c>
      <c r="L92" s="39">
        <v>1.1113892365456819</v>
      </c>
      <c r="M92" s="40">
        <v>118.95</v>
      </c>
      <c r="N92" s="41">
        <v>7.0282094594594835E-2</v>
      </c>
      <c r="O92" s="42">
        <v>22520.000000000004</v>
      </c>
      <c r="P92" s="43">
        <v>0.90375000000000005</v>
      </c>
      <c r="Q92" s="43">
        <v>0.73</v>
      </c>
      <c r="R92" s="44" t="s">
        <v>25</v>
      </c>
      <c r="S92" s="45"/>
      <c r="T92" s="46"/>
    </row>
    <row r="93" spans="1:20" ht="17.25" customHeight="1" x14ac:dyDescent="0.4">
      <c r="A93" s="29" t="s">
        <v>170</v>
      </c>
      <c r="B93" s="30">
        <v>84672</v>
      </c>
      <c r="C93" s="31" t="s">
        <v>51</v>
      </c>
      <c r="D93" s="32" t="s">
        <v>60</v>
      </c>
      <c r="E93" s="33">
        <v>4.9700000000000008E-2</v>
      </c>
      <c r="F93" s="34">
        <v>46524</v>
      </c>
      <c r="G93" s="34">
        <v>46537</v>
      </c>
      <c r="H93" s="35">
        <v>2.0301369863013701</v>
      </c>
      <c r="I93" s="36">
        <v>100</v>
      </c>
      <c r="J93" s="37">
        <v>193.6</v>
      </c>
      <c r="K93" s="38">
        <v>2.3E-2</v>
      </c>
      <c r="L93" s="39">
        <v>0.9375</v>
      </c>
      <c r="M93" s="40">
        <v>111</v>
      </c>
      <c r="N93" s="41">
        <v>0.184</v>
      </c>
      <c r="O93" s="42">
        <v>15970</v>
      </c>
      <c r="P93" s="43">
        <v>0.55238095238095242</v>
      </c>
      <c r="Q93" s="43">
        <v>0.78100000000000003</v>
      </c>
      <c r="R93" s="44" t="s">
        <v>25</v>
      </c>
      <c r="S93" s="45"/>
      <c r="T93" s="46"/>
    </row>
    <row r="94" spans="1:20" ht="17.25" customHeight="1" x14ac:dyDescent="0.4">
      <c r="A94" s="29" t="s">
        <v>171</v>
      </c>
      <c r="B94" s="30">
        <v>84881</v>
      </c>
      <c r="C94" s="31" t="s">
        <v>172</v>
      </c>
      <c r="D94" s="32" t="s">
        <v>70</v>
      </c>
      <c r="E94" s="33">
        <v>3.9500000000000007E-2</v>
      </c>
      <c r="F94" s="34">
        <v>46363</v>
      </c>
      <c r="G94" s="34">
        <v>46375</v>
      </c>
      <c r="H94" s="35">
        <v>1.5863013698630137</v>
      </c>
      <c r="I94" s="36">
        <v>100</v>
      </c>
      <c r="J94" s="37">
        <v>18.399999999999999</v>
      </c>
      <c r="K94" s="38">
        <v>2.3E-2</v>
      </c>
      <c r="L94" s="39">
        <v>0.64130434782608703</v>
      </c>
      <c r="M94" s="40">
        <v>100</v>
      </c>
      <c r="N94" s="41">
        <v>0.55932203389830493</v>
      </c>
      <c r="O94" s="42">
        <v>3950.0000000000009</v>
      </c>
      <c r="P94" s="43">
        <v>1</v>
      </c>
      <c r="Q94" s="43">
        <v>0.40400000000000003</v>
      </c>
      <c r="R94" s="44" t="s">
        <v>25</v>
      </c>
      <c r="S94" s="45"/>
      <c r="T94" s="46"/>
    </row>
    <row r="95" spans="1:20" ht="17.25" customHeight="1" x14ac:dyDescent="0.4">
      <c r="A95" s="29" t="s">
        <v>173</v>
      </c>
      <c r="B95" s="30">
        <v>84891</v>
      </c>
      <c r="C95" s="31" t="s">
        <v>174</v>
      </c>
      <c r="D95" s="32" t="s">
        <v>60</v>
      </c>
      <c r="E95" s="33">
        <v>3.6900000000000002E-2</v>
      </c>
      <c r="F95" s="34">
        <v>46351</v>
      </c>
      <c r="G95" s="34">
        <v>46365</v>
      </c>
      <c r="H95" s="35">
        <v>1.558904109589041</v>
      </c>
      <c r="I95" s="36">
        <v>100.20010000000001</v>
      </c>
      <c r="J95" s="37">
        <v>28.8</v>
      </c>
      <c r="K95" s="38">
        <v>2.3E-2</v>
      </c>
      <c r="L95" s="39">
        <v>1.3298611111111109</v>
      </c>
      <c r="M95" s="40">
        <v>131</v>
      </c>
      <c r="N95" s="41">
        <v>-1.4934725848563781E-2</v>
      </c>
      <c r="O95" s="42">
        <v>34690</v>
      </c>
      <c r="P95" s="43">
        <v>0.8817025989505457</v>
      </c>
      <c r="Q95" s="43">
        <v>0.66900000000000004</v>
      </c>
      <c r="R95" s="44" t="s">
        <v>25</v>
      </c>
      <c r="S95" s="45"/>
      <c r="T95" s="46"/>
    </row>
    <row r="96" spans="1:20" ht="17.25" customHeight="1" x14ac:dyDescent="0.4">
      <c r="A96" s="29" t="s">
        <v>175</v>
      </c>
      <c r="B96" s="30">
        <v>89277</v>
      </c>
      <c r="C96" s="31" t="s">
        <v>63</v>
      </c>
      <c r="D96" s="32" t="s">
        <v>70</v>
      </c>
      <c r="E96" s="33">
        <v>3.9600000000000003E-2</v>
      </c>
      <c r="F96" s="34">
        <v>46601</v>
      </c>
      <c r="G96" s="34">
        <v>46615</v>
      </c>
      <c r="H96" s="35">
        <v>2.2438356164383562</v>
      </c>
      <c r="I96" s="36">
        <v>101.50749999999999</v>
      </c>
      <c r="J96" s="37">
        <v>59.79</v>
      </c>
      <c r="K96" s="38">
        <v>2.3E-2</v>
      </c>
      <c r="L96" s="39">
        <v>0.79110219100183987</v>
      </c>
      <c r="M96" s="40">
        <v>111.45</v>
      </c>
      <c r="N96" s="41">
        <v>0.4087939746300211</v>
      </c>
      <c r="O96" s="42">
        <v>15410.000000000004</v>
      </c>
      <c r="P96" s="43">
        <v>1</v>
      </c>
      <c r="Q96" s="43">
        <v>0.47099999999999997</v>
      </c>
      <c r="R96" s="44" t="s">
        <v>25</v>
      </c>
      <c r="S96" s="45"/>
      <c r="T96" s="46"/>
    </row>
    <row r="97" spans="1:20" s="4" customFormat="1" ht="17.25" customHeight="1" x14ac:dyDescent="0.4">
      <c r="A97" s="72"/>
      <c r="B97" s="27"/>
      <c r="C97" s="73"/>
      <c r="D97" s="72"/>
      <c r="E97" s="72"/>
      <c r="F97" s="72" t="s">
        <v>3</v>
      </c>
      <c r="G97" s="72"/>
      <c r="H97" s="16"/>
      <c r="I97" s="17"/>
      <c r="J97" s="17"/>
      <c r="K97" s="74"/>
      <c r="L97" s="74"/>
      <c r="M97" s="74"/>
      <c r="N97" s="74"/>
      <c r="O97" s="74"/>
      <c r="P97" s="74"/>
      <c r="Q97" s="74"/>
      <c r="R97" s="75"/>
      <c r="S97" s="76"/>
      <c r="T97" s="46"/>
    </row>
    <row r="98" spans="1:20" s="4" customFormat="1" ht="17.25" customHeight="1" x14ac:dyDescent="0.4">
      <c r="A98" s="72"/>
      <c r="B98" s="27"/>
      <c r="C98" s="73"/>
      <c r="D98" s="72"/>
      <c r="E98" s="72"/>
      <c r="F98" s="72"/>
      <c r="G98" s="72"/>
      <c r="H98" s="16"/>
      <c r="I98" s="17"/>
      <c r="J98" s="17"/>
      <c r="K98" s="74"/>
      <c r="L98" s="74"/>
      <c r="M98" s="74"/>
      <c r="N98" s="74"/>
      <c r="O98" s="74"/>
      <c r="P98" s="74"/>
      <c r="Q98" s="74"/>
      <c r="R98" s="75"/>
      <c r="S98" s="76"/>
      <c r="T98" s="11"/>
    </row>
    <row r="99" spans="1:20" s="4" customFormat="1" ht="17.25" customHeight="1" x14ac:dyDescent="0.4">
      <c r="A99" s="72" t="s">
        <v>32</v>
      </c>
      <c r="B99" s="27"/>
      <c r="C99" s="73"/>
      <c r="D99" s="72"/>
      <c r="E99" s="72"/>
      <c r="F99" s="72"/>
      <c r="G99" s="72"/>
      <c r="H99" s="16"/>
      <c r="I99" s="17"/>
      <c r="J99" s="17"/>
      <c r="K99" s="74"/>
      <c r="L99" s="74"/>
      <c r="M99" s="74"/>
      <c r="N99" s="74"/>
      <c r="O99" s="74"/>
      <c r="P99" s="74"/>
      <c r="Q99" s="74"/>
      <c r="R99" s="75"/>
      <c r="S99" s="76"/>
      <c r="T99" s="11"/>
    </row>
    <row r="100" spans="1:20" ht="17.25" customHeight="1" x14ac:dyDescent="0.4">
      <c r="A100" s="72" t="s">
        <v>33</v>
      </c>
      <c r="C100" s="73"/>
      <c r="D100" s="72"/>
      <c r="E100" s="72"/>
      <c r="F100" s="72"/>
      <c r="G100" s="72"/>
      <c r="H100" s="16"/>
      <c r="I100" s="17"/>
      <c r="J100" s="17"/>
      <c r="K100" s="77"/>
      <c r="L100" s="77"/>
      <c r="M100" s="77"/>
      <c r="N100" s="77"/>
      <c r="O100" s="77"/>
      <c r="P100" s="77"/>
      <c r="Q100" s="77"/>
      <c r="R100" s="75"/>
      <c r="S100" s="76"/>
      <c r="T100" s="11"/>
    </row>
    <row r="101" spans="1:20" ht="17.25" customHeight="1" x14ac:dyDescent="0.4">
      <c r="A101" s="72" t="s">
        <v>34</v>
      </c>
      <c r="C101" s="73"/>
      <c r="D101" s="72"/>
      <c r="E101" s="72"/>
      <c r="F101" s="72"/>
      <c r="G101" s="72"/>
      <c r="H101" s="16"/>
      <c r="I101" s="17"/>
      <c r="J101" s="17"/>
      <c r="K101" s="77"/>
      <c r="L101" s="77"/>
      <c r="M101" s="77"/>
      <c r="N101" s="77"/>
      <c r="O101" s="77"/>
      <c r="P101" s="77"/>
      <c r="Q101" s="77"/>
      <c r="R101" s="75"/>
      <c r="S101" s="76"/>
      <c r="T101" s="11"/>
    </row>
    <row r="102" spans="1:20" ht="17.25" customHeight="1" x14ac:dyDescent="0.4">
      <c r="A102" s="78" t="s">
        <v>35</v>
      </c>
      <c r="C102" s="73"/>
      <c r="D102" s="72"/>
      <c r="E102" s="72"/>
      <c r="F102" s="72"/>
      <c r="G102" s="72"/>
      <c r="H102" s="16"/>
      <c r="I102" s="17"/>
      <c r="J102" s="17"/>
      <c r="K102" s="77"/>
      <c r="L102" s="77"/>
      <c r="M102" s="77"/>
      <c r="N102" s="77"/>
      <c r="O102" s="77"/>
      <c r="P102" s="77"/>
      <c r="Q102" s="77"/>
      <c r="R102" s="75"/>
      <c r="S102" s="76"/>
      <c r="T102" s="11"/>
    </row>
    <row r="103" spans="1:20" ht="17.25" customHeight="1" x14ac:dyDescent="0.4">
      <c r="A103" s="72" t="s">
        <v>36</v>
      </c>
      <c r="C103" s="73"/>
      <c r="D103" s="72"/>
      <c r="E103" s="72"/>
      <c r="F103" s="72"/>
      <c r="G103" s="72"/>
      <c r="H103" s="16"/>
      <c r="I103" s="73"/>
      <c r="J103" s="73"/>
      <c r="K103" s="72"/>
      <c r="L103" s="72"/>
      <c r="M103" s="72"/>
      <c r="N103" s="72"/>
      <c r="O103" s="72"/>
      <c r="P103" s="72"/>
      <c r="Q103" s="72"/>
      <c r="R103" s="73"/>
      <c r="S103" s="8"/>
      <c r="T103" s="79"/>
    </row>
    <row r="104" spans="1:20" ht="17.25" customHeight="1" x14ac:dyDescent="0.4">
      <c r="A104" s="95" t="s">
        <v>37</v>
      </c>
      <c r="B104" s="95"/>
      <c r="C104" s="95"/>
      <c r="D104" s="95"/>
      <c r="E104" s="95"/>
      <c r="F104" s="95"/>
      <c r="G104" s="95"/>
      <c r="H104" s="96"/>
      <c r="I104" s="95"/>
      <c r="J104" s="95"/>
      <c r="K104" s="95"/>
      <c r="L104" s="95"/>
      <c r="M104" s="95"/>
      <c r="N104" s="95"/>
      <c r="O104" s="95"/>
      <c r="P104" s="95"/>
      <c r="Q104" s="95"/>
      <c r="R104" s="95"/>
      <c r="S104" s="80"/>
      <c r="T104" s="81"/>
    </row>
    <row r="105" spans="1:20" ht="17.25" customHeight="1" x14ac:dyDescent="0.4">
      <c r="A105" s="97" t="s">
        <v>3</v>
      </c>
      <c r="B105" s="97"/>
      <c r="C105" s="97"/>
      <c r="D105" s="97"/>
      <c r="E105" s="97"/>
      <c r="F105" s="97"/>
      <c r="G105" s="97"/>
      <c r="H105" s="98"/>
      <c r="I105" s="97"/>
      <c r="J105" s="97"/>
      <c r="K105" s="97"/>
      <c r="L105" s="97"/>
      <c r="M105" s="97"/>
      <c r="N105" s="97"/>
      <c r="O105" s="97"/>
      <c r="P105" s="97"/>
      <c r="Q105" s="97"/>
      <c r="R105" s="97"/>
      <c r="S105" s="80"/>
      <c r="T105" s="81"/>
    </row>
    <row r="106" spans="1:20" ht="17.25" customHeight="1" x14ac:dyDescent="0.4">
      <c r="A106" s="72" t="s">
        <v>38</v>
      </c>
      <c r="C106" s="73"/>
      <c r="D106" s="72"/>
      <c r="E106" s="72"/>
      <c r="F106" s="72"/>
      <c r="G106" s="72"/>
      <c r="H106" s="16"/>
      <c r="I106" s="17"/>
      <c r="J106" s="17"/>
      <c r="K106" s="77"/>
      <c r="L106" s="77"/>
      <c r="M106" s="77"/>
      <c r="N106" s="77"/>
      <c r="O106" s="77"/>
      <c r="P106" s="77"/>
      <c r="Q106" s="77"/>
      <c r="R106" s="75"/>
      <c r="S106" s="76"/>
      <c r="T106" s="11"/>
    </row>
    <row r="107" spans="1:20" ht="17.25" customHeight="1" x14ac:dyDescent="0.4">
      <c r="A107" s="82" t="s">
        <v>39</v>
      </c>
      <c r="C107" s="73"/>
      <c r="D107" s="72"/>
      <c r="E107" s="72"/>
      <c r="F107" s="72"/>
      <c r="G107" s="72"/>
      <c r="H107" s="16"/>
      <c r="I107" s="17"/>
      <c r="J107" s="17"/>
      <c r="K107" s="77"/>
      <c r="L107" s="77"/>
      <c r="M107" s="77"/>
      <c r="N107" s="77"/>
      <c r="O107" s="77"/>
      <c r="P107" s="77"/>
      <c r="Q107" s="77"/>
      <c r="R107" s="75"/>
      <c r="S107" s="76"/>
      <c r="T107" s="11"/>
    </row>
    <row r="108" spans="1:20" s="85" customFormat="1" ht="17.25" customHeight="1" x14ac:dyDescent="0.4">
      <c r="A108" s="99" t="s">
        <v>40</v>
      </c>
      <c r="B108" s="100"/>
      <c r="C108" s="100"/>
      <c r="D108" s="100"/>
      <c r="E108" s="100"/>
      <c r="F108" s="100"/>
      <c r="G108" s="100"/>
      <c r="H108" s="101"/>
      <c r="I108" s="100"/>
      <c r="J108" s="100"/>
      <c r="K108" s="100"/>
      <c r="L108" s="100"/>
      <c r="M108" s="100"/>
      <c r="N108" s="100"/>
      <c r="O108" s="100"/>
      <c r="P108" s="100"/>
      <c r="Q108" s="100"/>
      <c r="R108" s="100"/>
      <c r="S108" s="83"/>
      <c r="T108" s="84"/>
    </row>
    <row r="109" spans="1:20" ht="17.25" customHeight="1" x14ac:dyDescent="0.4">
      <c r="A109" s="82" t="s">
        <v>41</v>
      </c>
      <c r="C109" s="73"/>
      <c r="D109" s="72"/>
      <c r="E109" s="72"/>
      <c r="F109" s="72"/>
      <c r="G109" s="72"/>
      <c r="H109" s="16"/>
      <c r="I109" s="17"/>
      <c r="J109" s="17"/>
      <c r="K109" s="77"/>
      <c r="L109" s="77"/>
      <c r="M109" s="77"/>
      <c r="N109" s="77"/>
      <c r="O109" s="77"/>
      <c r="P109" s="77"/>
      <c r="Q109" s="77"/>
      <c r="R109" s="75"/>
      <c r="S109" s="76"/>
      <c r="T109" s="11"/>
    </row>
    <row r="110" spans="1:20" ht="17.25" customHeight="1" x14ac:dyDescent="0.4">
      <c r="A110" s="82" t="s">
        <v>42</v>
      </c>
      <c r="C110" s="73"/>
      <c r="D110" s="72"/>
      <c r="E110" s="72"/>
      <c r="F110" s="72"/>
      <c r="G110" s="72"/>
      <c r="H110" s="16"/>
      <c r="I110" s="17"/>
      <c r="J110" s="17"/>
      <c r="K110" s="77"/>
      <c r="L110" s="77"/>
      <c r="M110" s="77"/>
      <c r="N110" s="77"/>
      <c r="O110" s="77"/>
      <c r="P110" s="77"/>
      <c r="Q110" s="77"/>
      <c r="R110" s="75"/>
      <c r="S110" s="76"/>
      <c r="T110" s="11"/>
    </row>
    <row r="111" spans="1:20" ht="17.25" customHeight="1" x14ac:dyDescent="0.4">
      <c r="A111" s="82" t="s">
        <v>43</v>
      </c>
      <c r="C111" s="73"/>
      <c r="D111" s="72"/>
      <c r="E111" s="72"/>
      <c r="F111" s="72"/>
      <c r="G111" s="72"/>
      <c r="H111" s="16"/>
      <c r="I111" s="17"/>
      <c r="J111" s="17"/>
      <c r="K111" s="77"/>
      <c r="L111" s="77"/>
      <c r="M111" s="77"/>
      <c r="N111" s="77"/>
      <c r="O111" s="77"/>
      <c r="P111" s="77"/>
      <c r="Q111" s="77"/>
      <c r="R111" s="75"/>
      <c r="S111" s="76"/>
      <c r="T111" s="11"/>
    </row>
    <row r="112" spans="1:20" s="85" customFormat="1" ht="17.25" customHeight="1" x14ac:dyDescent="0.4">
      <c r="A112" s="92" t="s">
        <v>44</v>
      </c>
      <c r="B112" s="93"/>
      <c r="C112" s="93"/>
      <c r="D112" s="93"/>
      <c r="E112" s="93"/>
      <c r="F112" s="93"/>
      <c r="G112" s="93"/>
      <c r="H112" s="94"/>
      <c r="I112" s="93"/>
      <c r="J112" s="93"/>
      <c r="K112" s="93"/>
      <c r="L112" s="93"/>
      <c r="M112" s="93"/>
      <c r="N112" s="93"/>
      <c r="O112" s="93"/>
      <c r="P112" s="93"/>
      <c r="Q112" s="93"/>
      <c r="R112" s="93"/>
      <c r="S112" s="83"/>
      <c r="T112" s="84"/>
    </row>
    <row r="113" spans="1:20" s="85" customFormat="1" ht="17.25" customHeight="1" x14ac:dyDescent="0.4">
      <c r="A113" s="78" t="s">
        <v>45</v>
      </c>
      <c r="B113" s="86"/>
      <c r="C113" s="86"/>
      <c r="D113" s="86"/>
      <c r="E113" s="86"/>
      <c r="F113" s="86"/>
      <c r="G113" s="86"/>
      <c r="H113" s="87"/>
      <c r="I113" s="86"/>
      <c r="J113" s="86"/>
      <c r="K113" s="86"/>
      <c r="L113" s="86"/>
      <c r="M113" s="86"/>
      <c r="N113" s="86"/>
      <c r="O113" s="86"/>
      <c r="P113" s="86"/>
      <c r="Q113" s="86"/>
      <c r="R113" s="86"/>
      <c r="S113" s="83"/>
      <c r="T113" s="84"/>
    </row>
    <row r="114" spans="1:20" ht="17.25" customHeight="1" x14ac:dyDescent="0.4">
      <c r="B114" s="5"/>
      <c r="C114" s="5"/>
      <c r="I114" s="5"/>
      <c r="J114" s="5"/>
      <c r="K114" s="5"/>
      <c r="L114" s="5"/>
      <c r="M114" s="5"/>
      <c r="N114" s="5"/>
      <c r="O114" s="5"/>
      <c r="P114" s="5"/>
      <c r="Q114" s="5"/>
      <c r="R114" s="5"/>
      <c r="S114" s="9"/>
      <c r="T114" s="89"/>
    </row>
  </sheetData>
  <autoFilter ref="A7:T97"/>
  <mergeCells count="7">
    <mergeCell ref="A2:R2"/>
    <mergeCell ref="A3:R3"/>
    <mergeCell ref="A4:R4"/>
    <mergeCell ref="A112:R112"/>
    <mergeCell ref="A104:R104"/>
    <mergeCell ref="A105:R105"/>
    <mergeCell ref="A108:R108"/>
  </mergeCells>
  <phoneticPr fontId="3" type="noConversion"/>
  <pageMargins left="0.19685039370078741" right="7.874015748031496E-2" top="0.31496062992125984" bottom="0.31496062992125984" header="0.19685039370078741" footer="0.15748031496062992"/>
  <pageSetup paperSize="9" scale="8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金融交易部資產交換選擇權報價表</vt:lpstr>
      <vt:lpstr>金融交易部資產交換選擇權報價表!Print_Titles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楊孟華 EmmaYang (Yuanta)</dc:creator>
  <cp:lastModifiedBy>楊孟華 EmmaYang (Yuanta)</cp:lastModifiedBy>
  <dcterms:created xsi:type="dcterms:W3CDTF">2025-05-16T02:44:29Z</dcterms:created>
  <dcterms:modified xsi:type="dcterms:W3CDTF">2025-05-16T03:32:25Z</dcterms:modified>
</cp:coreProperties>
</file>